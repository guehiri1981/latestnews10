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workbookPr codeName="ThisWorkbook" defaultThemeVersion="124226"/>
  <bookViews>
    <workbookView xWindow="480" yWindow="30" windowWidth="22995" windowHeight="10050" firstSheet="1" activeTab="6"/>
  </bookViews>
  <sheets>
    <sheet name="الكلية" sheetId="1" r:id="rId1"/>
    <sheet name="المعطيات" sheetId="2" r:id="rId2"/>
    <sheet name="النتيجة" sheetId="3" r:id="rId3"/>
    <sheet name="النتتيج2" sheetId="4" r:id="rId4"/>
    <sheet name="النتتيج2 (2)" sheetId="25" r:id="rId5"/>
    <sheet name="ورقة2" sheetId="23" r:id="rId6"/>
    <sheet name="النتتيج2 (3)" sheetId="26" r:id="rId7"/>
    <sheet name="اختصار الروابط" sheetId="24" r:id="rId8"/>
    <sheet name="ورقة3" sheetId="6" r:id="rId9"/>
    <sheet name="1" sheetId="29" r:id="rId10"/>
    <sheet name="3" sheetId="30" r:id="rId11"/>
    <sheet name="5" sheetId="31" r:id="rId12"/>
    <sheet name="6" sheetId="32" r:id="rId13"/>
    <sheet name="ورقة1" sheetId="33" r:id="rId14"/>
    <sheet name="ورقة4" sheetId="34" r:id="rId15"/>
    <sheet name="ورقة5" sheetId="35" r:id="rId16"/>
  </sheets>
  <calcPr calcId="144525"/>
</workbook>
</file>

<file path=xl/calcChain.xml><?xml version="1.0" encoding="utf-8"?>
<calcChain xmlns="http://schemas.openxmlformats.org/spreadsheetml/2006/main">
  <c r="I32" i="26" l="1"/>
  <c r="I33" i="26"/>
  <c r="I34" i="26"/>
  <c r="I35" i="26"/>
  <c r="I36" i="26"/>
  <c r="I37" i="26"/>
  <c r="I38" i="26"/>
  <c r="I39" i="26"/>
  <c r="I40" i="26"/>
  <c r="I41" i="26"/>
  <c r="I42" i="26"/>
  <c r="I43" i="26"/>
  <c r="I44" i="26"/>
  <c r="I45" i="26"/>
  <c r="I46" i="26"/>
  <c r="I47" i="26"/>
  <c r="I48" i="26"/>
  <c r="I49" i="26"/>
  <c r="I50" i="26"/>
  <c r="I51" i="26"/>
  <c r="I52" i="26"/>
  <c r="I53" i="26"/>
  <c r="I54" i="26"/>
  <c r="I55" i="26"/>
  <c r="I56" i="26"/>
  <c r="I57" i="26"/>
  <c r="I58" i="26"/>
  <c r="I59" i="26"/>
  <c r="I60" i="26"/>
  <c r="I61" i="26"/>
  <c r="I62" i="26"/>
  <c r="I63" i="26"/>
  <c r="I64" i="26"/>
  <c r="I65" i="26"/>
  <c r="I66" i="26"/>
  <c r="I67" i="26"/>
  <c r="I68" i="26"/>
  <c r="I69" i="26"/>
  <c r="I70" i="26"/>
  <c r="I71" i="26"/>
  <c r="I72" i="26"/>
  <c r="I73" i="26"/>
  <c r="I74" i="26"/>
  <c r="I75" i="26"/>
  <c r="I76" i="26"/>
  <c r="I77" i="26"/>
  <c r="I78" i="26"/>
  <c r="I79" i="26"/>
  <c r="I80" i="26"/>
  <c r="I81" i="26"/>
  <c r="I82" i="26"/>
  <c r="I83" i="26"/>
  <c r="I84" i="26"/>
  <c r="I85" i="26"/>
  <c r="I86" i="26"/>
  <c r="I87" i="26"/>
  <c r="I88" i="26"/>
  <c r="I89" i="26"/>
  <c r="I90" i="26"/>
  <c r="E93" i="24"/>
  <c r="E94" i="24"/>
  <c r="E95" i="24"/>
  <c r="E96" i="24"/>
  <c r="E97" i="24"/>
  <c r="E98" i="24"/>
  <c r="E35" i="24"/>
  <c r="E36" i="24"/>
  <c r="E37" i="24"/>
  <c r="E38" i="24"/>
  <c r="E39" i="24"/>
  <c r="E40" i="24"/>
  <c r="E41" i="24"/>
  <c r="E42" i="24"/>
  <c r="E43" i="24"/>
  <c r="E44" i="24"/>
  <c r="E45" i="24"/>
  <c r="E46" i="24"/>
  <c r="E47" i="24"/>
  <c r="E48" i="24"/>
  <c r="E49" i="24"/>
  <c r="E50" i="24"/>
  <c r="E51" i="24"/>
  <c r="E52" i="24"/>
  <c r="E53" i="24"/>
  <c r="E54" i="24"/>
  <c r="E55" i="24"/>
  <c r="E56" i="24"/>
  <c r="E57" i="24"/>
  <c r="E58" i="24"/>
  <c r="E59" i="24"/>
  <c r="E60" i="24"/>
  <c r="E61" i="24"/>
  <c r="E62" i="24"/>
  <c r="E63" i="24"/>
  <c r="E64" i="24"/>
  <c r="E65" i="24"/>
  <c r="E66" i="24"/>
  <c r="E67" i="24"/>
  <c r="E68" i="24"/>
  <c r="E69" i="24"/>
  <c r="E70" i="24"/>
  <c r="E71" i="24"/>
  <c r="E72" i="24"/>
  <c r="E73" i="24"/>
  <c r="E74" i="24"/>
  <c r="E75" i="24"/>
  <c r="E76" i="24"/>
  <c r="E77" i="24"/>
  <c r="E78" i="24"/>
  <c r="E79" i="24"/>
  <c r="E80" i="24"/>
  <c r="E81" i="24"/>
  <c r="E82" i="24"/>
  <c r="E83" i="24"/>
  <c r="E84" i="24"/>
  <c r="E85" i="24"/>
  <c r="E86" i="24"/>
  <c r="E87" i="24"/>
  <c r="E88" i="24"/>
  <c r="E89" i="24"/>
  <c r="E90" i="24"/>
  <c r="E91" i="24"/>
  <c r="E92" i="24"/>
  <c r="A34" i="35"/>
  <c r="A64" i="35" s="1"/>
  <c r="A35" i="35"/>
  <c r="A65" i="35" s="1"/>
  <c r="A36" i="35"/>
  <c r="A66" i="35" s="1"/>
  <c r="A37" i="35"/>
  <c r="A38" i="35"/>
  <c r="A39" i="35"/>
  <c r="A69" i="35" s="1"/>
  <c r="A40" i="35"/>
  <c r="A70" i="35" s="1"/>
  <c r="A41" i="35"/>
  <c r="A71" i="35" s="1"/>
  <c r="A42" i="35"/>
  <c r="A72" i="35" s="1"/>
  <c r="A43" i="35"/>
  <c r="A73" i="35" s="1"/>
  <c r="A44" i="35"/>
  <c r="A74" i="35" s="1"/>
  <c r="A45" i="35"/>
  <c r="A46" i="35"/>
  <c r="A75" i="35" s="1"/>
  <c r="A47" i="35"/>
  <c r="A76" i="35" s="1"/>
  <c r="A48" i="35"/>
  <c r="A77" i="35" s="1"/>
  <c r="A49" i="35"/>
  <c r="A50" i="35"/>
  <c r="A51" i="35"/>
  <c r="A80" i="35" s="1"/>
  <c r="A52" i="35"/>
  <c r="A81" i="35" s="1"/>
  <c r="A53" i="35"/>
  <c r="A82" i="35" s="1"/>
  <c r="A54" i="35"/>
  <c r="A83" i="35" s="1"/>
  <c r="A55" i="35"/>
  <c r="A84" i="35" s="1"/>
  <c r="A56" i="35"/>
  <c r="A85" i="35" s="1"/>
  <c r="A57" i="35"/>
  <c r="A86" i="35" s="1"/>
  <c r="A58" i="35"/>
  <c r="A87" i="35" s="1"/>
  <c r="A59" i="35"/>
  <c r="A88" i="35" s="1"/>
  <c r="A60" i="35"/>
  <c r="A89" i="35" s="1"/>
  <c r="A61" i="35"/>
  <c r="A62" i="35"/>
  <c r="A91" i="35" s="1"/>
  <c r="A67" i="35"/>
  <c r="A68" i="35"/>
  <c r="A78" i="35"/>
  <c r="A79" i="35"/>
  <c r="A90" i="35"/>
  <c r="A33" i="35"/>
  <c r="A63" i="35" s="1"/>
  <c r="I21" i="26" l="1"/>
  <c r="I22" i="26"/>
  <c r="I23" i="26"/>
  <c r="I24" i="26"/>
  <c r="I25" i="26"/>
  <c r="I26" i="26"/>
  <c r="I27" i="26"/>
  <c r="I28" i="26"/>
  <c r="I29" i="26"/>
  <c r="I30" i="26"/>
  <c r="I31" i="26"/>
  <c r="K3" i="32" l="1"/>
  <c r="K4" i="32" l="1"/>
  <c r="K5" i="32"/>
  <c r="K6" i="32"/>
  <c r="K7" i="32"/>
  <c r="K8" i="32"/>
  <c r="K9" i="32"/>
  <c r="K10" i="32"/>
  <c r="K11" i="32"/>
  <c r="K12" i="32"/>
  <c r="K13" i="32"/>
  <c r="K14" i="32"/>
  <c r="K15" i="32"/>
  <c r="K16" i="32"/>
  <c r="K17" i="32"/>
  <c r="K18" i="32"/>
  <c r="K19" i="32"/>
  <c r="K20" i="32"/>
  <c r="K2" i="32"/>
  <c r="I20" i="32" l="1"/>
  <c r="I19" i="32"/>
  <c r="I18" i="32"/>
  <c r="I17" i="32"/>
  <c r="I16" i="32"/>
  <c r="I15" i="32"/>
  <c r="I14" i="32"/>
  <c r="I13" i="32"/>
  <c r="I12" i="32"/>
  <c r="I11" i="32"/>
  <c r="I10" i="32"/>
  <c r="I9" i="32"/>
  <c r="I8" i="32"/>
  <c r="I7" i="32"/>
  <c r="I6" i="32"/>
  <c r="I5" i="32"/>
  <c r="I4" i="32"/>
  <c r="I3" i="32"/>
  <c r="I2" i="32"/>
  <c r="F36" i="6"/>
  <c r="F37" i="6"/>
  <c r="F38" i="6"/>
  <c r="F39" i="6"/>
  <c r="F40" i="6"/>
  <c r="F41" i="6"/>
  <c r="F42" i="6"/>
  <c r="F25" i="6"/>
  <c r="F26" i="6"/>
  <c r="F27" i="6"/>
  <c r="F28" i="6"/>
  <c r="F29" i="6"/>
  <c r="F30" i="6"/>
  <c r="F31" i="6"/>
  <c r="F32" i="6"/>
  <c r="F33" i="6"/>
  <c r="F34" i="6"/>
  <c r="F35" i="6"/>
  <c r="F24" i="6"/>
  <c r="I21" i="31"/>
  <c r="I20" i="31"/>
  <c r="I19" i="31"/>
  <c r="I18" i="31"/>
  <c r="I17" i="31"/>
  <c r="I16" i="31"/>
  <c r="I15" i="31"/>
  <c r="I14" i="31"/>
  <c r="I13" i="31"/>
  <c r="I12" i="31"/>
  <c r="I11" i="31"/>
  <c r="I10" i="31"/>
  <c r="I9" i="31"/>
  <c r="I8" i="31"/>
  <c r="I7" i="31"/>
  <c r="I6" i="31"/>
  <c r="I5" i="31"/>
  <c r="I4" i="31"/>
  <c r="I3" i="31"/>
  <c r="I2" i="31"/>
  <c r="D2" i="6"/>
  <c r="D3" i="6"/>
  <c r="D4" i="6"/>
  <c r="D5" i="6"/>
  <c r="D6" i="6"/>
  <c r="D7" i="6"/>
  <c r="D8" i="6"/>
  <c r="D9" i="6"/>
  <c r="D10" i="6"/>
  <c r="D11" i="6"/>
  <c r="D12" i="6"/>
  <c r="D13" i="6"/>
  <c r="D14" i="6"/>
  <c r="D15" i="6"/>
  <c r="D16" i="6"/>
  <c r="D17" i="6"/>
  <c r="D18" i="6"/>
  <c r="D19" i="6"/>
  <c r="D20" i="6"/>
  <c r="D1" i="6"/>
  <c r="I29" i="30"/>
  <c r="I28" i="30"/>
  <c r="I27" i="30"/>
  <c r="I26" i="30"/>
  <c r="I25" i="30"/>
  <c r="I24" i="30"/>
  <c r="I23" i="30"/>
  <c r="I22" i="30"/>
  <c r="I21" i="30"/>
  <c r="I20" i="30"/>
  <c r="I19" i="30"/>
  <c r="I18" i="30"/>
  <c r="I17" i="30"/>
  <c r="I16" i="30"/>
  <c r="I15" i="30"/>
  <c r="I14" i="30"/>
  <c r="I13" i="30"/>
  <c r="I12" i="30"/>
  <c r="I11" i="30"/>
  <c r="I10" i="30"/>
  <c r="I9" i="30"/>
  <c r="I8" i="30"/>
  <c r="I7" i="30"/>
  <c r="I6" i="30"/>
  <c r="I5" i="30"/>
  <c r="I4" i="30"/>
  <c r="I3" i="30"/>
  <c r="I2" i="30"/>
  <c r="E3" i="24" l="1"/>
  <c r="E16" i="24"/>
  <c r="E12" i="24"/>
  <c r="E10" i="24"/>
  <c r="E8" i="24"/>
  <c r="E6" i="24"/>
  <c r="E4" i="24"/>
  <c r="E5" i="24"/>
  <c r="E7" i="24"/>
  <c r="E9" i="24"/>
  <c r="E11" i="24"/>
  <c r="E13" i="24"/>
  <c r="E14" i="24"/>
  <c r="E15" i="24"/>
  <c r="E17" i="24"/>
  <c r="E18" i="24"/>
  <c r="E19" i="24"/>
  <c r="I2" i="26" l="1"/>
  <c r="E20" i="24"/>
  <c r="E21" i="24"/>
  <c r="E22" i="24"/>
  <c r="E23" i="24"/>
  <c r="E24" i="24"/>
  <c r="E25" i="24"/>
  <c r="E26" i="24"/>
  <c r="E27" i="24"/>
  <c r="E28" i="24"/>
  <c r="E29" i="24"/>
  <c r="E30" i="24"/>
  <c r="E31" i="24"/>
  <c r="E32" i="24"/>
  <c r="E33" i="24"/>
  <c r="E34" i="24"/>
  <c r="I3" i="26"/>
  <c r="I4" i="26"/>
  <c r="I5" i="26"/>
  <c r="I6" i="26"/>
  <c r="I7" i="26"/>
  <c r="I8" i="26"/>
  <c r="I9" i="26"/>
  <c r="I10" i="26"/>
  <c r="I11" i="26"/>
  <c r="I12" i="26"/>
  <c r="I13" i="26"/>
  <c r="I14" i="26"/>
  <c r="I15" i="26"/>
  <c r="I16" i="26"/>
  <c r="I17" i="26"/>
  <c r="I18" i="26"/>
  <c r="I19" i="26"/>
  <c r="I20" i="26"/>
  <c r="F129" i="25" l="1"/>
  <c r="F128" i="25"/>
  <c r="F127" i="25"/>
  <c r="F126" i="25"/>
  <c r="F125" i="25"/>
  <c r="F124" i="25"/>
  <c r="F123" i="25"/>
  <c r="F122" i="25"/>
  <c r="F121" i="25"/>
  <c r="F120" i="25"/>
  <c r="F119" i="25"/>
  <c r="F118" i="25"/>
  <c r="F117" i="25"/>
  <c r="F116" i="25"/>
  <c r="F115" i="25"/>
  <c r="F114" i="25"/>
  <c r="F113" i="25"/>
  <c r="F112" i="25"/>
  <c r="F111" i="25"/>
  <c r="F110" i="25"/>
  <c r="F109" i="25"/>
  <c r="F108" i="25"/>
  <c r="F107" i="25"/>
  <c r="F106" i="25"/>
  <c r="F105" i="25"/>
  <c r="F104" i="25"/>
  <c r="F103" i="25"/>
  <c r="F102" i="25"/>
  <c r="F101" i="25"/>
  <c r="F100" i="25"/>
  <c r="F99" i="25"/>
  <c r="F98" i="25"/>
  <c r="F97" i="25"/>
  <c r="F96" i="25"/>
  <c r="F95" i="25"/>
  <c r="F94" i="25"/>
  <c r="F93" i="25"/>
  <c r="F92" i="25"/>
  <c r="F91" i="25"/>
  <c r="F90" i="25"/>
  <c r="F89" i="25"/>
  <c r="F88" i="25"/>
  <c r="F87" i="25"/>
  <c r="F86" i="25"/>
  <c r="F85" i="25"/>
  <c r="F84" i="25"/>
  <c r="F83" i="25"/>
  <c r="F82" i="25"/>
  <c r="F81" i="25"/>
  <c r="F80" i="25"/>
  <c r="F79" i="25"/>
  <c r="F78" i="25"/>
  <c r="F77" i="25"/>
  <c r="F76" i="25"/>
  <c r="F75" i="25"/>
  <c r="F74" i="25"/>
  <c r="F73" i="25"/>
  <c r="F72" i="25"/>
  <c r="F71" i="25"/>
  <c r="F70" i="25"/>
  <c r="F69" i="25"/>
  <c r="F68" i="25"/>
  <c r="F67" i="25"/>
  <c r="F66" i="25"/>
  <c r="F65" i="25"/>
  <c r="F64" i="25"/>
  <c r="F63" i="25"/>
  <c r="F62" i="25"/>
  <c r="F61" i="25"/>
  <c r="F60" i="25"/>
  <c r="F59" i="25"/>
  <c r="F58" i="25"/>
  <c r="F57" i="25"/>
  <c r="F56" i="25"/>
  <c r="F55" i="25"/>
  <c r="F54" i="25"/>
  <c r="F53" i="25"/>
  <c r="F52" i="25"/>
  <c r="F51" i="25"/>
  <c r="F50" i="25"/>
  <c r="F49" i="25"/>
  <c r="F48" i="25"/>
  <c r="F47" i="25"/>
  <c r="F46" i="25"/>
  <c r="F45" i="25"/>
  <c r="F44" i="25"/>
  <c r="F43" i="25"/>
  <c r="F42" i="25"/>
  <c r="F41" i="25"/>
  <c r="F40" i="25"/>
  <c r="F39" i="25"/>
  <c r="F38" i="25"/>
  <c r="F37" i="25"/>
  <c r="F36" i="25"/>
  <c r="F35" i="25"/>
  <c r="F34" i="25"/>
  <c r="F33" i="25"/>
  <c r="F32" i="25"/>
  <c r="F31" i="25"/>
  <c r="F30" i="25"/>
  <c r="F29" i="25"/>
  <c r="F28" i="25"/>
  <c r="F27" i="25"/>
  <c r="F26" i="25"/>
  <c r="F25" i="25"/>
  <c r="F24" i="25"/>
  <c r="F23" i="25"/>
  <c r="F22" i="25"/>
  <c r="F21" i="25"/>
  <c r="F20" i="25"/>
  <c r="F19" i="25"/>
  <c r="F18" i="25"/>
  <c r="F17" i="25"/>
  <c r="F16" i="25"/>
  <c r="F15" i="25"/>
  <c r="F14" i="25"/>
  <c r="F13" i="25"/>
  <c r="F12" i="25"/>
  <c r="F11" i="25"/>
  <c r="F10" i="25"/>
  <c r="F9" i="25"/>
  <c r="F8" i="25"/>
  <c r="F7" i="25"/>
  <c r="F6" i="25"/>
  <c r="F5" i="25"/>
  <c r="F4" i="25"/>
  <c r="F3" i="25"/>
  <c r="F2" i="25"/>
  <c r="H2" i="4" l="1"/>
  <c r="H3" i="4"/>
  <c r="H4" i="4"/>
  <c r="H5" i="4"/>
  <c r="H6" i="4"/>
  <c r="H7" i="4"/>
  <c r="H8" i="4"/>
  <c r="H9" i="4"/>
  <c r="H10" i="4"/>
  <c r="H11" i="4" l="1"/>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S2" i="3" l="1"/>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534" i="3"/>
  <c r="S535" i="3"/>
  <c r="S536" i="3"/>
  <c r="S537" i="3"/>
  <c r="S538" i="3"/>
  <c r="S539" i="3"/>
  <c r="S540" i="3"/>
  <c r="S541" i="3"/>
  <c r="S542" i="3"/>
  <c r="S543" i="3"/>
  <c r="S544" i="3"/>
  <c r="S545" i="3"/>
  <c r="S546" i="3"/>
  <c r="S547" i="3"/>
  <c r="S548" i="3"/>
  <c r="S549" i="3"/>
  <c r="S550" i="3"/>
  <c r="S551" i="3"/>
  <c r="S552" i="3"/>
  <c r="S553" i="3"/>
  <c r="S554" i="3"/>
  <c r="S555" i="3"/>
  <c r="S556" i="3"/>
  <c r="S557" i="3"/>
  <c r="S558" i="3"/>
  <c r="S559" i="3"/>
  <c r="S560" i="3"/>
  <c r="S561" i="3"/>
  <c r="S562" i="3"/>
  <c r="S563" i="3"/>
  <c r="S564" i="3"/>
  <c r="S565" i="3"/>
  <c r="S566" i="3"/>
  <c r="S567" i="3"/>
  <c r="S568" i="3"/>
  <c r="S569" i="3"/>
  <c r="S570" i="3"/>
  <c r="S571" i="3"/>
  <c r="S572" i="3"/>
  <c r="S573" i="3"/>
  <c r="S574" i="3"/>
  <c r="S575" i="3"/>
  <c r="S576" i="3"/>
  <c r="S577" i="3"/>
  <c r="S578" i="3"/>
  <c r="S579" i="3"/>
  <c r="S580" i="3"/>
  <c r="S581" i="3"/>
  <c r="S582" i="3"/>
  <c r="S583" i="3"/>
  <c r="S584" i="3"/>
  <c r="S585" i="3"/>
  <c r="S586" i="3"/>
  <c r="S587" i="3"/>
  <c r="S588" i="3"/>
  <c r="S589" i="3"/>
  <c r="S590" i="3"/>
  <c r="S591" i="3"/>
  <c r="S592" i="3"/>
  <c r="S593" i="3"/>
  <c r="S594" i="3"/>
  <c r="S595" i="3"/>
  <c r="S596" i="3"/>
  <c r="S597" i="3"/>
  <c r="S598" i="3"/>
  <c r="S599" i="3"/>
  <c r="S600" i="3"/>
  <c r="S601" i="3"/>
  <c r="S602" i="3"/>
  <c r="S603" i="3"/>
  <c r="S604" i="3"/>
  <c r="S605" i="3"/>
  <c r="S606" i="3"/>
  <c r="S607" i="3"/>
  <c r="S608" i="3"/>
  <c r="S609" i="3"/>
  <c r="S610" i="3"/>
  <c r="S611" i="3"/>
  <c r="S612" i="3"/>
  <c r="S613" i="3"/>
  <c r="S614" i="3"/>
  <c r="S615" i="3"/>
  <c r="S616" i="3"/>
  <c r="S617" i="3"/>
  <c r="S618" i="3"/>
  <c r="S619" i="3"/>
  <c r="S620" i="3"/>
  <c r="S621" i="3"/>
  <c r="S622" i="3"/>
  <c r="S623" i="3"/>
  <c r="S624" i="3"/>
  <c r="S625" i="3"/>
  <c r="S626" i="3"/>
  <c r="S627" i="3"/>
  <c r="S628" i="3"/>
  <c r="S629" i="3"/>
  <c r="S630" i="3"/>
  <c r="S631" i="3"/>
  <c r="S632" i="3"/>
  <c r="S633" i="3"/>
  <c r="S634" i="3"/>
  <c r="S635" i="3"/>
  <c r="S636" i="3"/>
  <c r="S637" i="3"/>
  <c r="S638" i="3"/>
  <c r="S639" i="3"/>
  <c r="S640" i="3"/>
  <c r="S641" i="3"/>
  <c r="S642" i="3"/>
  <c r="S643" i="3"/>
  <c r="S644" i="3"/>
  <c r="S645" i="3"/>
  <c r="S646" i="3"/>
  <c r="S647" i="3"/>
  <c r="S648" i="3"/>
  <c r="S649" i="3"/>
  <c r="S650" i="3"/>
  <c r="S651" i="3"/>
  <c r="S652" i="3"/>
  <c r="S653" i="3"/>
  <c r="S654" i="3"/>
  <c r="S655" i="3"/>
  <c r="S656" i="3"/>
  <c r="S657" i="3"/>
  <c r="S658" i="3"/>
  <c r="S659" i="3"/>
  <c r="S660" i="3"/>
  <c r="S661" i="3"/>
  <c r="S662" i="3"/>
  <c r="S663" i="3"/>
  <c r="S664" i="3"/>
  <c r="S665" i="3"/>
  <c r="S666" i="3"/>
  <c r="S667" i="3"/>
  <c r="S668" i="3"/>
  <c r="S669" i="3"/>
  <c r="S670" i="3"/>
  <c r="S671" i="3"/>
  <c r="S672" i="3"/>
  <c r="S673" i="3"/>
  <c r="S674" i="3"/>
  <c r="S675" i="3"/>
  <c r="S676" i="3"/>
  <c r="S677" i="3"/>
  <c r="S678" i="3"/>
  <c r="S679" i="3"/>
  <c r="S680" i="3"/>
  <c r="S681" i="3"/>
  <c r="S682" i="3"/>
  <c r="S683" i="3"/>
  <c r="S684" i="3"/>
  <c r="S685" i="3"/>
  <c r="S686" i="3"/>
  <c r="S687" i="3"/>
  <c r="S688" i="3"/>
  <c r="S689" i="3"/>
  <c r="S690" i="3"/>
  <c r="S691" i="3"/>
  <c r="S692" i="3"/>
  <c r="S693" i="3"/>
  <c r="S694" i="3"/>
  <c r="S695" i="3"/>
  <c r="S696" i="3"/>
  <c r="S697" i="3"/>
  <c r="S698" i="3"/>
  <c r="S699" i="3"/>
  <c r="S700" i="3"/>
  <c r="S701" i="3"/>
  <c r="S702" i="3"/>
  <c r="S703" i="3"/>
  <c r="S704" i="3"/>
  <c r="S705" i="3"/>
  <c r="S706" i="3"/>
  <c r="S707" i="3"/>
  <c r="S708" i="3"/>
  <c r="S709" i="3"/>
  <c r="S710" i="3"/>
  <c r="S711" i="3"/>
  <c r="S712" i="3"/>
  <c r="S713" i="3"/>
  <c r="S714" i="3"/>
  <c r="S715" i="3"/>
  <c r="S716" i="3"/>
  <c r="S717" i="3"/>
  <c r="S718" i="3"/>
  <c r="S719" i="3"/>
  <c r="S720" i="3"/>
  <c r="S721" i="3"/>
  <c r="S722" i="3"/>
  <c r="S723" i="3"/>
  <c r="S724" i="3"/>
  <c r="S725" i="3"/>
  <c r="S726" i="3"/>
  <c r="S727" i="3"/>
  <c r="S728" i="3"/>
  <c r="S729" i="3"/>
  <c r="S730" i="3"/>
  <c r="S731" i="3"/>
  <c r="S732" i="3"/>
  <c r="S733" i="3"/>
  <c r="S734" i="3"/>
  <c r="S735" i="3"/>
  <c r="S736" i="3"/>
  <c r="S737" i="3"/>
  <c r="S738" i="3"/>
  <c r="S739" i="3"/>
  <c r="S740" i="3"/>
  <c r="S741" i="3"/>
  <c r="S742" i="3"/>
  <c r="S743" i="3"/>
  <c r="S744" i="3"/>
  <c r="S745" i="3"/>
  <c r="S746" i="3"/>
  <c r="S747" i="3"/>
  <c r="S748" i="3"/>
  <c r="S749" i="3"/>
  <c r="S750" i="3"/>
  <c r="S751" i="3"/>
  <c r="S752" i="3"/>
  <c r="S753" i="3"/>
  <c r="S754" i="3"/>
  <c r="S755" i="3"/>
  <c r="S756" i="3"/>
  <c r="S757" i="3"/>
  <c r="S758" i="3"/>
  <c r="S759" i="3"/>
  <c r="S760" i="3"/>
  <c r="S761" i="3"/>
  <c r="S762" i="3"/>
  <c r="S763" i="3"/>
  <c r="S764" i="3"/>
  <c r="S765" i="3"/>
  <c r="S766" i="3"/>
  <c r="S767" i="3"/>
  <c r="S768" i="3"/>
  <c r="S769" i="3"/>
  <c r="S770" i="3"/>
  <c r="S771" i="3"/>
  <c r="S772" i="3"/>
  <c r="S773" i="3"/>
  <c r="S774" i="3"/>
  <c r="S775" i="3"/>
  <c r="S776" i="3"/>
  <c r="S777" i="3"/>
  <c r="S778" i="3"/>
  <c r="S779" i="3"/>
  <c r="S780" i="3"/>
  <c r="S781" i="3"/>
  <c r="S782" i="3"/>
  <c r="S783" i="3"/>
  <c r="S784" i="3"/>
  <c r="S785" i="3"/>
  <c r="S786" i="3"/>
  <c r="S787" i="3"/>
  <c r="S788" i="3"/>
  <c r="S789" i="3"/>
  <c r="S790" i="3"/>
  <c r="S791" i="3"/>
  <c r="S792" i="3"/>
  <c r="S793" i="3"/>
  <c r="S794" i="3"/>
  <c r="S795" i="3"/>
  <c r="S796" i="3"/>
  <c r="S797" i="3"/>
  <c r="S798" i="3"/>
  <c r="S799" i="3"/>
  <c r="S800" i="3"/>
  <c r="S801" i="3"/>
  <c r="S802" i="3"/>
  <c r="S803" i="3"/>
  <c r="S804" i="3"/>
  <c r="S805" i="3"/>
  <c r="S806" i="3"/>
  <c r="S807" i="3"/>
  <c r="S808" i="3"/>
  <c r="S809" i="3"/>
  <c r="S810" i="3"/>
  <c r="S811" i="3"/>
  <c r="S812" i="3"/>
  <c r="S813" i="3"/>
  <c r="S814" i="3"/>
  <c r="S815" i="3"/>
  <c r="S816" i="3"/>
  <c r="S817" i="3"/>
  <c r="S818" i="3"/>
  <c r="S819" i="3"/>
  <c r="S820" i="3"/>
  <c r="S821" i="3"/>
  <c r="S822" i="3"/>
  <c r="S823" i="3"/>
  <c r="S824" i="3"/>
  <c r="S825" i="3"/>
  <c r="S826" i="3"/>
  <c r="S827" i="3"/>
  <c r="S828" i="3"/>
  <c r="S829" i="3"/>
  <c r="S830" i="3"/>
  <c r="S831" i="3"/>
  <c r="S832" i="3"/>
  <c r="S833" i="3"/>
  <c r="S834" i="3"/>
  <c r="S835" i="3"/>
  <c r="S836" i="3"/>
  <c r="S837" i="3"/>
  <c r="S838" i="3"/>
  <c r="S839" i="3"/>
  <c r="S840" i="3"/>
  <c r="S841" i="3"/>
  <c r="S842" i="3"/>
  <c r="S843" i="3"/>
  <c r="S844" i="3"/>
  <c r="S845" i="3"/>
  <c r="S846" i="3"/>
  <c r="S847" i="3"/>
  <c r="S848" i="3"/>
  <c r="S849" i="3"/>
  <c r="S850" i="3"/>
  <c r="S851" i="3"/>
  <c r="S852" i="3"/>
  <c r="S853" i="3"/>
  <c r="S854" i="3"/>
  <c r="S855" i="3"/>
  <c r="S856" i="3"/>
  <c r="S857" i="3"/>
  <c r="S858" i="3"/>
  <c r="S859" i="3"/>
  <c r="S860" i="3"/>
  <c r="S861" i="3"/>
  <c r="S862" i="3"/>
  <c r="S863" i="3"/>
  <c r="S864" i="3"/>
  <c r="S865" i="3"/>
  <c r="S866" i="3"/>
  <c r="S867" i="3"/>
  <c r="S868" i="3"/>
  <c r="S869" i="3"/>
  <c r="S870" i="3"/>
  <c r="S871" i="3"/>
  <c r="S872" i="3"/>
  <c r="S873" i="3"/>
  <c r="S874" i="3"/>
  <c r="S875" i="3"/>
  <c r="S876" i="3"/>
  <c r="S877" i="3"/>
  <c r="S878" i="3"/>
  <c r="S879" i="3"/>
  <c r="S880" i="3"/>
  <c r="S881" i="3"/>
  <c r="S882" i="3"/>
  <c r="S883" i="3"/>
  <c r="S884" i="3"/>
  <c r="S885" i="3"/>
  <c r="S886" i="3"/>
  <c r="S887" i="3"/>
  <c r="S888" i="3"/>
  <c r="S889" i="3"/>
  <c r="S890" i="3"/>
  <c r="S891" i="3"/>
  <c r="S892" i="3"/>
  <c r="S893" i="3"/>
  <c r="S894" i="3"/>
  <c r="S895" i="3"/>
  <c r="S896" i="3"/>
  <c r="S897" i="3"/>
  <c r="S898" i="3"/>
  <c r="S899" i="3"/>
  <c r="S900" i="3"/>
  <c r="S901" i="3"/>
  <c r="S902" i="3"/>
  <c r="S903" i="3"/>
  <c r="S904" i="3"/>
  <c r="S905" i="3"/>
  <c r="S906" i="3"/>
  <c r="S907" i="3"/>
  <c r="S908" i="3"/>
  <c r="S909" i="3"/>
  <c r="S910" i="3"/>
  <c r="S911" i="3"/>
  <c r="S912" i="3"/>
  <c r="S913" i="3"/>
  <c r="S914" i="3"/>
  <c r="S915" i="3"/>
  <c r="S916" i="3"/>
  <c r="S917" i="3"/>
  <c r="S918" i="3"/>
  <c r="S919" i="3"/>
  <c r="S920" i="3"/>
  <c r="S921" i="3"/>
  <c r="S922" i="3"/>
  <c r="S923" i="3"/>
  <c r="S924" i="3"/>
  <c r="S925" i="3"/>
  <c r="S926" i="3"/>
  <c r="S927" i="3"/>
  <c r="S928" i="3"/>
  <c r="S929" i="3"/>
  <c r="S930" i="3"/>
  <c r="S931" i="3"/>
  <c r="S932" i="3"/>
  <c r="S933" i="3"/>
  <c r="S934" i="3"/>
  <c r="S935" i="3"/>
  <c r="S936" i="3"/>
  <c r="S937" i="3"/>
  <c r="S938" i="3"/>
  <c r="S939" i="3"/>
  <c r="S940" i="3"/>
  <c r="S941" i="3"/>
  <c r="S942" i="3"/>
  <c r="S943" i="3"/>
  <c r="S944" i="3"/>
  <c r="S945" i="3"/>
  <c r="S946" i="3"/>
  <c r="S947" i="3"/>
  <c r="S948" i="3"/>
  <c r="S949" i="3"/>
  <c r="S950" i="3"/>
  <c r="S951" i="3"/>
  <c r="S952" i="3"/>
  <c r="S953" i="3"/>
  <c r="S954" i="3"/>
  <c r="S955" i="3"/>
  <c r="S956" i="3"/>
  <c r="S957" i="3"/>
  <c r="S958" i="3"/>
  <c r="S959" i="3"/>
  <c r="S960" i="3"/>
  <c r="S961" i="3"/>
  <c r="S962" i="3"/>
  <c r="S963" i="3"/>
  <c r="S964" i="3"/>
  <c r="S965" i="3"/>
  <c r="S966" i="3"/>
  <c r="S967" i="3"/>
  <c r="S968" i="3"/>
  <c r="S969" i="3"/>
  <c r="S970" i="3"/>
  <c r="S971" i="3"/>
  <c r="S972" i="3"/>
  <c r="S973" i="3"/>
  <c r="S974" i="3"/>
  <c r="S975" i="3"/>
  <c r="S976" i="3"/>
  <c r="S977" i="3"/>
  <c r="S978" i="3"/>
  <c r="S979" i="3"/>
  <c r="S980" i="3"/>
  <c r="S981" i="3"/>
  <c r="S982" i="3"/>
  <c r="S983" i="3"/>
  <c r="S984" i="3"/>
  <c r="S985" i="3"/>
  <c r="S986" i="3"/>
  <c r="S987" i="3"/>
  <c r="S988" i="3"/>
  <c r="S989" i="3"/>
  <c r="S990" i="3"/>
  <c r="S991" i="3"/>
  <c r="S992" i="3"/>
  <c r="S993" i="3"/>
  <c r="S994" i="3"/>
  <c r="S995" i="3"/>
  <c r="S996" i="3"/>
  <c r="S997" i="3"/>
  <c r="S998" i="3"/>
  <c r="S999" i="3"/>
  <c r="S1000" i="3"/>
  <c r="S1001" i="3"/>
  <c r="S1002" i="3"/>
  <c r="S1003" i="3"/>
  <c r="S1004" i="3"/>
  <c r="S1005" i="3"/>
  <c r="S1006" i="3"/>
  <c r="S1007" i="3"/>
  <c r="S1008" i="3"/>
  <c r="S1009" i="3"/>
  <c r="S1010" i="3"/>
  <c r="S1011" i="3"/>
  <c r="S1012" i="3"/>
  <c r="S1013" i="3"/>
  <c r="S1014" i="3"/>
  <c r="S1015" i="3"/>
  <c r="S1016" i="3"/>
  <c r="S1017" i="3"/>
  <c r="S1018" i="3"/>
  <c r="S1019" i="3"/>
  <c r="S1020" i="3"/>
  <c r="S1021" i="3"/>
  <c r="S1022" i="3"/>
  <c r="S1023" i="3"/>
  <c r="S1024" i="3"/>
  <c r="S1025" i="3"/>
  <c r="S1026" i="3"/>
  <c r="S1027" i="3"/>
  <c r="S1028" i="3"/>
  <c r="S1029" i="3"/>
  <c r="S1030" i="3"/>
  <c r="S1031" i="3"/>
  <c r="S1032" i="3"/>
  <c r="S1033" i="3"/>
  <c r="S1034" i="3"/>
  <c r="S1035" i="3"/>
  <c r="S1036" i="3"/>
  <c r="S1037" i="3"/>
  <c r="S1038" i="3"/>
  <c r="S1039" i="3"/>
  <c r="S1040" i="3"/>
  <c r="S1041" i="3"/>
  <c r="S1042" i="3"/>
  <c r="S1043" i="3"/>
  <c r="S1044" i="3"/>
  <c r="S1045" i="3"/>
  <c r="S1046" i="3"/>
  <c r="S1047" i="3"/>
  <c r="S1048" i="3"/>
  <c r="S1049" i="3"/>
  <c r="S1050" i="3"/>
  <c r="S1051" i="3"/>
  <c r="S1052" i="3"/>
  <c r="S1053" i="3"/>
  <c r="S1054" i="3"/>
  <c r="S1055" i="3"/>
  <c r="S1056" i="3"/>
  <c r="S1057" i="3"/>
  <c r="S1058" i="3"/>
  <c r="S1059" i="3"/>
  <c r="S1060" i="3"/>
  <c r="S1061" i="3"/>
  <c r="S1062" i="3"/>
  <c r="S1063" i="3"/>
  <c r="S1064" i="3"/>
  <c r="S1065" i="3"/>
  <c r="S1066" i="3"/>
  <c r="S1067" i="3"/>
  <c r="S1068" i="3"/>
  <c r="S1069" i="3"/>
  <c r="S1070" i="3"/>
  <c r="S1071" i="3"/>
  <c r="S1072" i="3"/>
  <c r="S1073" i="3"/>
  <c r="S1074" i="3"/>
  <c r="S1075" i="3"/>
  <c r="S1076" i="3"/>
  <c r="S1077" i="3"/>
  <c r="S1078" i="3"/>
  <c r="S1079" i="3"/>
  <c r="S1080" i="3"/>
  <c r="S1081" i="3"/>
  <c r="S1082" i="3"/>
  <c r="S1083" i="3"/>
  <c r="S1084" i="3"/>
  <c r="S1085" i="3"/>
  <c r="S1086" i="3"/>
  <c r="S1087" i="3"/>
  <c r="S1088" i="3"/>
  <c r="S1089" i="3"/>
  <c r="S1090" i="3"/>
  <c r="S1091" i="3"/>
  <c r="S1092" i="3"/>
  <c r="S1093" i="3"/>
  <c r="S1094" i="3"/>
  <c r="S1095" i="3"/>
  <c r="S1096" i="3"/>
  <c r="S1097" i="3"/>
  <c r="S1098" i="3"/>
  <c r="S1099" i="3"/>
  <c r="S1100" i="3"/>
  <c r="S1101" i="3"/>
  <c r="S1102" i="3"/>
  <c r="S1103" i="3"/>
  <c r="S1104" i="3"/>
  <c r="S1105" i="3"/>
  <c r="S1106" i="3"/>
  <c r="S1107" i="3"/>
  <c r="S1108" i="3"/>
  <c r="S1109" i="3"/>
  <c r="S1110" i="3"/>
  <c r="S1111" i="3"/>
  <c r="S1112" i="3"/>
  <c r="S1113" i="3"/>
  <c r="S1114" i="3"/>
  <c r="S1115" i="3"/>
  <c r="S1116" i="3"/>
  <c r="S1117" i="3"/>
  <c r="S1118" i="3"/>
  <c r="S1119" i="3"/>
  <c r="S1120" i="3"/>
  <c r="S1121" i="3"/>
  <c r="S1122" i="3"/>
  <c r="S1123" i="3"/>
  <c r="S1124" i="3"/>
  <c r="S1125" i="3"/>
  <c r="S1126" i="3"/>
  <c r="S1127" i="3"/>
  <c r="S1128" i="3"/>
  <c r="S1129" i="3"/>
  <c r="S1130" i="3"/>
  <c r="S1131" i="3"/>
  <c r="S1132" i="3"/>
  <c r="S1133" i="3"/>
  <c r="S1134" i="3"/>
  <c r="S1135" i="3"/>
  <c r="S1136" i="3"/>
  <c r="S1137" i="3"/>
  <c r="S1138" i="3"/>
  <c r="S1139" i="3"/>
  <c r="S1140" i="3"/>
  <c r="S1141" i="3"/>
  <c r="S1142" i="3"/>
  <c r="S1143" i="3"/>
  <c r="S1144" i="3"/>
  <c r="S1145" i="3"/>
  <c r="S1146" i="3"/>
  <c r="S1147" i="3"/>
  <c r="S1148" i="3"/>
  <c r="S1149" i="3"/>
  <c r="S1150" i="3"/>
  <c r="S1151" i="3"/>
  <c r="S1152" i="3"/>
  <c r="S1153" i="3"/>
  <c r="S1154" i="3"/>
  <c r="S1155" i="3"/>
  <c r="S1156" i="3"/>
  <c r="S1157" i="3"/>
  <c r="S1158" i="3"/>
  <c r="S1159" i="3"/>
  <c r="S1160" i="3"/>
  <c r="S1161" i="3"/>
  <c r="S1162" i="3"/>
  <c r="S1163" i="3"/>
  <c r="S1164" i="3"/>
  <c r="S1165" i="3"/>
  <c r="S1166" i="3"/>
  <c r="S1167" i="3"/>
  <c r="S1168" i="3"/>
  <c r="S1169" i="3"/>
  <c r="S1170" i="3"/>
  <c r="S1171" i="3"/>
  <c r="S1172" i="3"/>
  <c r="S1173" i="3"/>
  <c r="S1174" i="3"/>
  <c r="S1175" i="3"/>
  <c r="S1176" i="3"/>
  <c r="S1177" i="3"/>
  <c r="S1178" i="3"/>
  <c r="S1179" i="3"/>
  <c r="S1180" i="3"/>
  <c r="S1181" i="3"/>
  <c r="S1182" i="3"/>
  <c r="S1183" i="3"/>
  <c r="S1184" i="3"/>
  <c r="S1185" i="3"/>
  <c r="S1186" i="3"/>
  <c r="S1187" i="3"/>
  <c r="S1188" i="3"/>
  <c r="S1189" i="3"/>
  <c r="S1190" i="3"/>
  <c r="S1191" i="3"/>
  <c r="S1192" i="3"/>
  <c r="S1193" i="3"/>
  <c r="S1194" i="3"/>
  <c r="S1195" i="3"/>
  <c r="S1196" i="3"/>
  <c r="S1197" i="3"/>
  <c r="S1198" i="3"/>
  <c r="S1199" i="3"/>
  <c r="S1200" i="3"/>
  <c r="S1201" i="3"/>
  <c r="S1202" i="3"/>
  <c r="S1203" i="3"/>
  <c r="S1204" i="3"/>
  <c r="S1205" i="3"/>
  <c r="S1206" i="3"/>
  <c r="S1207" i="3"/>
  <c r="S1208" i="3"/>
  <c r="S1209" i="3"/>
  <c r="S1210" i="3"/>
  <c r="S1211" i="3"/>
  <c r="S1212" i="3"/>
  <c r="S1213" i="3"/>
  <c r="S1214" i="3"/>
  <c r="S1215" i="3"/>
  <c r="S1216" i="3"/>
  <c r="S1217" i="3"/>
  <c r="S1218" i="3"/>
  <c r="S1219" i="3"/>
  <c r="S1220" i="3"/>
  <c r="S1221" i="3"/>
  <c r="S1222" i="3"/>
  <c r="S1223" i="3"/>
  <c r="S1224" i="3"/>
  <c r="S1225" i="3"/>
  <c r="S1226" i="3"/>
  <c r="S1227" i="3"/>
  <c r="S1228" i="3"/>
  <c r="S1229" i="3"/>
  <c r="S1230" i="3"/>
  <c r="S1231" i="3"/>
  <c r="S1232" i="3"/>
  <c r="S1233" i="3"/>
  <c r="S1234" i="3"/>
  <c r="S1235" i="3"/>
  <c r="S1236" i="3"/>
  <c r="S1237" i="3"/>
  <c r="S1238" i="3"/>
  <c r="S1239" i="3"/>
  <c r="S1240" i="3"/>
  <c r="S1241" i="3"/>
  <c r="S1242" i="3"/>
  <c r="S1243" i="3"/>
  <c r="S1244" i="3"/>
  <c r="S1245" i="3"/>
  <c r="S1246" i="3"/>
  <c r="S1247" i="3"/>
  <c r="S1248" i="3"/>
  <c r="S1249" i="3"/>
  <c r="S1250" i="3"/>
  <c r="S1251" i="3"/>
  <c r="S1252" i="3"/>
  <c r="S1253" i="3"/>
  <c r="S1254" i="3"/>
  <c r="S1255" i="3"/>
  <c r="S1256" i="3"/>
  <c r="S1257" i="3"/>
  <c r="S1258" i="3"/>
  <c r="S1259" i="3"/>
  <c r="S1260" i="3"/>
  <c r="S1261" i="3"/>
  <c r="S1262" i="3"/>
  <c r="S1263" i="3"/>
  <c r="S1264" i="3"/>
  <c r="S1265" i="3"/>
  <c r="S1266" i="3"/>
  <c r="S1267" i="3"/>
  <c r="S1268" i="3"/>
  <c r="S1269" i="3"/>
  <c r="S1270" i="3"/>
  <c r="S1271" i="3"/>
  <c r="S1272" i="3"/>
  <c r="S1273" i="3"/>
  <c r="S1274" i="3"/>
  <c r="S1275" i="3"/>
  <c r="S1276" i="3"/>
  <c r="S1277" i="3"/>
  <c r="S1278" i="3"/>
  <c r="S1279" i="3"/>
  <c r="S1280" i="3"/>
  <c r="S1281" i="3"/>
  <c r="S1282" i="3"/>
  <c r="S1283" i="3"/>
  <c r="S1284" i="3"/>
  <c r="S1285" i="3"/>
  <c r="S1286" i="3"/>
  <c r="S1287" i="3"/>
  <c r="S1288" i="3"/>
  <c r="S1289" i="3"/>
  <c r="S1290" i="3"/>
  <c r="S1291" i="3"/>
  <c r="S1292" i="3"/>
  <c r="S1293" i="3"/>
  <c r="S1294" i="3"/>
  <c r="S1295" i="3"/>
  <c r="S1296" i="3"/>
  <c r="S1297" i="3"/>
  <c r="S1298" i="3"/>
  <c r="S1299" i="3"/>
  <c r="S1300" i="3"/>
  <c r="S1301" i="3"/>
  <c r="S1302" i="3"/>
  <c r="S1303" i="3"/>
  <c r="S1304" i="3"/>
  <c r="S1305" i="3"/>
  <c r="S1306" i="3"/>
  <c r="S1307" i="3"/>
  <c r="S1308" i="3"/>
  <c r="S1309" i="3"/>
  <c r="S1310" i="3"/>
  <c r="S1311" i="3"/>
  <c r="S1312" i="3"/>
  <c r="S1313" i="3"/>
  <c r="S1314" i="3"/>
  <c r="S1315" i="3"/>
  <c r="S1316" i="3"/>
  <c r="S1317" i="3"/>
  <c r="S1318" i="3"/>
  <c r="S1319" i="3"/>
  <c r="S1320" i="3"/>
  <c r="S1321" i="3"/>
  <c r="S1322" i="3"/>
  <c r="S1323" i="3"/>
  <c r="S1324" i="3"/>
  <c r="S1325" i="3"/>
  <c r="S1326" i="3"/>
  <c r="S1327" i="3"/>
  <c r="S1328" i="3"/>
  <c r="S1329" i="3"/>
  <c r="S1330" i="3"/>
  <c r="S1331" i="3"/>
  <c r="S1332" i="3"/>
  <c r="S1333" i="3"/>
  <c r="S1334" i="3"/>
  <c r="S1335" i="3"/>
  <c r="S1336" i="3"/>
  <c r="S1337" i="3"/>
  <c r="S1338" i="3"/>
  <c r="S1339" i="3"/>
  <c r="S1340" i="3"/>
  <c r="S1341" i="3"/>
  <c r="S1342" i="3"/>
  <c r="S1343" i="3"/>
  <c r="S1344" i="3"/>
  <c r="S1345" i="3"/>
  <c r="S1346" i="3"/>
  <c r="S1347" i="3"/>
  <c r="S1348" i="3"/>
  <c r="S1349" i="3"/>
  <c r="S1350" i="3"/>
  <c r="S1351" i="3"/>
  <c r="S1352" i="3"/>
  <c r="S1353" i="3"/>
  <c r="S1354" i="3"/>
  <c r="S1355" i="3"/>
  <c r="S1356" i="3"/>
  <c r="S1357" i="3"/>
  <c r="S1358" i="3"/>
  <c r="S1359" i="3"/>
  <c r="S1360" i="3"/>
  <c r="S1361" i="3"/>
  <c r="S1362" i="3"/>
  <c r="S1363" i="3"/>
  <c r="S1364" i="3"/>
  <c r="S1365" i="3"/>
  <c r="S1366" i="3"/>
  <c r="S1367" i="3"/>
  <c r="S1368" i="3"/>
  <c r="S1369" i="3"/>
  <c r="S1370" i="3"/>
  <c r="S1371" i="3"/>
  <c r="S1372" i="3"/>
  <c r="S1373" i="3"/>
  <c r="S1374" i="3"/>
  <c r="S1375" i="3"/>
  <c r="S1376" i="3"/>
  <c r="S1377" i="3"/>
  <c r="S1378" i="3"/>
  <c r="S1379" i="3"/>
  <c r="S1380" i="3"/>
  <c r="S1381" i="3"/>
  <c r="S1382" i="3"/>
  <c r="S1383" i="3"/>
  <c r="S1384" i="3"/>
  <c r="S1385" i="3"/>
  <c r="S1386" i="3"/>
  <c r="S1387" i="3"/>
  <c r="S1388" i="3"/>
  <c r="S1389" i="3"/>
  <c r="S1390" i="3"/>
  <c r="S1391" i="3"/>
  <c r="S1392" i="3"/>
  <c r="S1393" i="3"/>
  <c r="S1394" i="3"/>
  <c r="S1395" i="3"/>
  <c r="S1396" i="3"/>
  <c r="S1397" i="3"/>
  <c r="S1398" i="3"/>
  <c r="S1399" i="3"/>
  <c r="S1400" i="3"/>
  <c r="S1401" i="3"/>
  <c r="S1402" i="3"/>
  <c r="S1403" i="3"/>
  <c r="S1404" i="3"/>
  <c r="S1405" i="3"/>
  <c r="S1406" i="3"/>
  <c r="S1407" i="3"/>
  <c r="S1408" i="3"/>
  <c r="S1409" i="3"/>
  <c r="S1410" i="3"/>
  <c r="S1411" i="3"/>
  <c r="S1412" i="3"/>
  <c r="S1413" i="3"/>
  <c r="S1414" i="3"/>
  <c r="S1415" i="3"/>
  <c r="S1416" i="3"/>
  <c r="S1417" i="3"/>
  <c r="S1418" i="3"/>
  <c r="S1419" i="3"/>
  <c r="S1420" i="3"/>
  <c r="S1421" i="3"/>
  <c r="S1422" i="3"/>
  <c r="S1423" i="3"/>
  <c r="S1424" i="3"/>
  <c r="S1425" i="3"/>
  <c r="S1426" i="3"/>
  <c r="S1427" i="3"/>
  <c r="S1428" i="3"/>
  <c r="S1429" i="3"/>
  <c r="S1430" i="3"/>
  <c r="S1431" i="3"/>
  <c r="S1432" i="3"/>
  <c r="S1433" i="3"/>
  <c r="S1434" i="3"/>
  <c r="S1435" i="3"/>
  <c r="S1436" i="3"/>
  <c r="S1437" i="3"/>
  <c r="S1438" i="3"/>
  <c r="S1439" i="3"/>
  <c r="S1440" i="3"/>
  <c r="S1441" i="3"/>
  <c r="S1442" i="3"/>
  <c r="S1443" i="3"/>
  <c r="S1444" i="3"/>
  <c r="S1445" i="3"/>
  <c r="S1446" i="3"/>
  <c r="S1447" i="3"/>
  <c r="S1448" i="3"/>
  <c r="S1449" i="3"/>
  <c r="S1450" i="3"/>
  <c r="S1451" i="3"/>
  <c r="S1452" i="3"/>
  <c r="S1453" i="3"/>
  <c r="S1454" i="3"/>
  <c r="S1455" i="3"/>
  <c r="S1456" i="3"/>
  <c r="S1457" i="3"/>
  <c r="S1458" i="3"/>
  <c r="S1459" i="3"/>
  <c r="S1460" i="3"/>
  <c r="S1461" i="3"/>
  <c r="S1462" i="3"/>
  <c r="S1463" i="3"/>
  <c r="S1464" i="3"/>
  <c r="S1465" i="3"/>
  <c r="S1466" i="3"/>
  <c r="S1467" i="3"/>
  <c r="S1468" i="3"/>
  <c r="S1469" i="3"/>
  <c r="S1470" i="3"/>
  <c r="S1471" i="3"/>
  <c r="S1472" i="3"/>
  <c r="S1473" i="3"/>
  <c r="S1474" i="3"/>
  <c r="S1475" i="3"/>
  <c r="S1476" i="3"/>
  <c r="S1477" i="3"/>
  <c r="S1478" i="3"/>
  <c r="S1479" i="3"/>
  <c r="S1480" i="3"/>
  <c r="S1481" i="3"/>
  <c r="S1482" i="3"/>
  <c r="S1483" i="3"/>
  <c r="S1484" i="3"/>
  <c r="S1485" i="3"/>
  <c r="S1486" i="3"/>
  <c r="S1487" i="3"/>
  <c r="S1488" i="3"/>
  <c r="S1489" i="3"/>
  <c r="S1490" i="3"/>
  <c r="S1491" i="3"/>
  <c r="S1492" i="3"/>
  <c r="S1493" i="3"/>
  <c r="S1494" i="3"/>
  <c r="S1495" i="3"/>
  <c r="S1496" i="3"/>
  <c r="S1497" i="3"/>
  <c r="S1498" i="3"/>
  <c r="S1499" i="3"/>
  <c r="S1500" i="3"/>
  <c r="S1501" i="3"/>
  <c r="S1502" i="3"/>
  <c r="S1503" i="3"/>
  <c r="S1504" i="3"/>
  <c r="S1505" i="3"/>
  <c r="S1506" i="3"/>
  <c r="S1507" i="3"/>
  <c r="S1508" i="3"/>
  <c r="S1509" i="3"/>
  <c r="S1510" i="3"/>
  <c r="S1511" i="3"/>
  <c r="S1512" i="3"/>
  <c r="S1513" i="3"/>
  <c r="S1514" i="3"/>
  <c r="S1515" i="3"/>
  <c r="S1516" i="3"/>
  <c r="S1517" i="3"/>
  <c r="S1518" i="3"/>
  <c r="S1519" i="3"/>
  <c r="S1520" i="3"/>
  <c r="S1521" i="3"/>
  <c r="S1522" i="3"/>
  <c r="S1523" i="3"/>
  <c r="S1524" i="3"/>
  <c r="S1525" i="3"/>
  <c r="S1526" i="3"/>
  <c r="S1527" i="3"/>
  <c r="S1528" i="3"/>
  <c r="S1529" i="3"/>
  <c r="S1530" i="3"/>
  <c r="S1531" i="3"/>
  <c r="S1532" i="3"/>
  <c r="S1533" i="3"/>
  <c r="S1534" i="3"/>
  <c r="S1535" i="3"/>
  <c r="S1536" i="3"/>
  <c r="S1537" i="3"/>
  <c r="S1538" i="3"/>
  <c r="S1539" i="3"/>
  <c r="S1540" i="3"/>
  <c r="S1541" i="3"/>
  <c r="S1542" i="3"/>
  <c r="S1543" i="3"/>
  <c r="S1544" i="3"/>
  <c r="S1545" i="3"/>
  <c r="S1546" i="3"/>
  <c r="S1547" i="3"/>
  <c r="S1548" i="3"/>
  <c r="S1549" i="3"/>
  <c r="S1550" i="3"/>
  <c r="S1551" i="3"/>
  <c r="S1552" i="3"/>
  <c r="S1553" i="3"/>
  <c r="S1554" i="3"/>
  <c r="S1555" i="3"/>
  <c r="S1556" i="3"/>
  <c r="S1557" i="3"/>
  <c r="S1558" i="3"/>
  <c r="S1559" i="3"/>
  <c r="S1560" i="3"/>
  <c r="S1561" i="3"/>
  <c r="S1562" i="3"/>
  <c r="S1563" i="3"/>
  <c r="S1564" i="3"/>
  <c r="S1565" i="3"/>
  <c r="S1566" i="3"/>
  <c r="S1567" i="3"/>
  <c r="S1568" i="3"/>
  <c r="S1569" i="3"/>
  <c r="S1570" i="3"/>
  <c r="S1571" i="3"/>
  <c r="S1572" i="3"/>
  <c r="S1573" i="3"/>
  <c r="S1574" i="3"/>
  <c r="S1575" i="3"/>
  <c r="S1576" i="3"/>
  <c r="S1577" i="3"/>
  <c r="S1578" i="3"/>
  <c r="S1579" i="3"/>
  <c r="S1580" i="3"/>
  <c r="S1581" i="3"/>
  <c r="S1582" i="3"/>
  <c r="S1583" i="3"/>
  <c r="S1584" i="3"/>
  <c r="S1585" i="3"/>
  <c r="S1586" i="3"/>
  <c r="S1587" i="3"/>
  <c r="S1588" i="3"/>
  <c r="S1589" i="3"/>
  <c r="S1590" i="3"/>
  <c r="S1591" i="3"/>
  <c r="S1592" i="3"/>
  <c r="S1593" i="3"/>
  <c r="S1594" i="3"/>
  <c r="S1595" i="3"/>
  <c r="S1596" i="3"/>
  <c r="S1597" i="3"/>
  <c r="S1598" i="3"/>
  <c r="S1599" i="3"/>
  <c r="S1600" i="3"/>
  <c r="S1601" i="3"/>
  <c r="S1602" i="3"/>
  <c r="S1603" i="3"/>
  <c r="S1604" i="3"/>
  <c r="S1605" i="3"/>
  <c r="S1606" i="3"/>
  <c r="S1607" i="3"/>
  <c r="S1608" i="3"/>
  <c r="S1609" i="3"/>
  <c r="S1610" i="3"/>
  <c r="S1611" i="3"/>
  <c r="S1612" i="3"/>
  <c r="S1613" i="3"/>
  <c r="S1614" i="3"/>
  <c r="S1615" i="3"/>
  <c r="S1616" i="3"/>
  <c r="S1617" i="3"/>
  <c r="S1618" i="3"/>
  <c r="S1619" i="3"/>
  <c r="S1620" i="3"/>
  <c r="S1621" i="3"/>
  <c r="S1622" i="3"/>
  <c r="S1623" i="3"/>
  <c r="S1624" i="3"/>
  <c r="S1625" i="3"/>
  <c r="S1626" i="3"/>
  <c r="S1627" i="3"/>
  <c r="S1628" i="3"/>
  <c r="S1629" i="3"/>
  <c r="S1630" i="3"/>
  <c r="S1631" i="3"/>
  <c r="S1632" i="3"/>
  <c r="S1633" i="3"/>
  <c r="S1634" i="3"/>
  <c r="S1635" i="3"/>
  <c r="S1636" i="3"/>
  <c r="S1637" i="3"/>
  <c r="S1638" i="3"/>
  <c r="S1639" i="3"/>
  <c r="S1640" i="3"/>
  <c r="S1641" i="3"/>
  <c r="S1642" i="3"/>
  <c r="S1643" i="3"/>
  <c r="S1644" i="3"/>
  <c r="S1645" i="3"/>
  <c r="S1646" i="3"/>
  <c r="S1647" i="3"/>
  <c r="S1648" i="3"/>
  <c r="S1649" i="3"/>
  <c r="S1650" i="3"/>
  <c r="S1651" i="3"/>
  <c r="S1652" i="3"/>
  <c r="S1653" i="3"/>
  <c r="S1654" i="3"/>
  <c r="S1655" i="3"/>
  <c r="S1656" i="3"/>
  <c r="S1657" i="3"/>
  <c r="S1658" i="3"/>
  <c r="S1659" i="3"/>
  <c r="S1660" i="3"/>
  <c r="S1661" i="3"/>
  <c r="S1662" i="3"/>
  <c r="S1663" i="3"/>
  <c r="S1664" i="3"/>
  <c r="S1665" i="3"/>
  <c r="S1666" i="3"/>
  <c r="S1667" i="3"/>
  <c r="S1668" i="3"/>
  <c r="S1669" i="3"/>
  <c r="S1670" i="3"/>
  <c r="S1671" i="3"/>
  <c r="S1672" i="3"/>
  <c r="S1673" i="3"/>
  <c r="S1674" i="3"/>
  <c r="S1675" i="3"/>
  <c r="S1676" i="3"/>
  <c r="S1677" i="3"/>
  <c r="S1678" i="3"/>
  <c r="S1679" i="3"/>
  <c r="S1680" i="3"/>
  <c r="S1681" i="3"/>
  <c r="S1682" i="3"/>
  <c r="S1683" i="3"/>
  <c r="S1684" i="3"/>
  <c r="S1685" i="3"/>
  <c r="S1686" i="3"/>
  <c r="S1687" i="3"/>
  <c r="S1688" i="3"/>
  <c r="S1689" i="3"/>
  <c r="S1690" i="3"/>
  <c r="S1691" i="3"/>
  <c r="S1692" i="3"/>
  <c r="S1693" i="3"/>
  <c r="S1694" i="3"/>
  <c r="S1695" i="3"/>
  <c r="S1696" i="3"/>
  <c r="S1697" i="3"/>
  <c r="S1698" i="3"/>
  <c r="S1699" i="3"/>
  <c r="S1700" i="3"/>
  <c r="S1701" i="3"/>
  <c r="S1702" i="3"/>
  <c r="S1703" i="3"/>
  <c r="S1704" i="3"/>
  <c r="S1705" i="3"/>
  <c r="S1706" i="3"/>
  <c r="S1707" i="3"/>
  <c r="S1708" i="3"/>
  <c r="S1709" i="3"/>
  <c r="S1710" i="3"/>
  <c r="S1711" i="3"/>
  <c r="S1712" i="3"/>
  <c r="S1713" i="3"/>
  <c r="S1714" i="3"/>
  <c r="S1715" i="3"/>
  <c r="S1716" i="3"/>
  <c r="S1717" i="3"/>
  <c r="S1718" i="3"/>
  <c r="S1719" i="3"/>
  <c r="S1720" i="3"/>
  <c r="S1721" i="3"/>
  <c r="S1722" i="3"/>
  <c r="S1723" i="3"/>
  <c r="S1724" i="3"/>
  <c r="S1725" i="3"/>
  <c r="S1726" i="3"/>
  <c r="S1727" i="3"/>
  <c r="S1728" i="3"/>
  <c r="S1729" i="3"/>
  <c r="S1730" i="3"/>
  <c r="S1731" i="3"/>
  <c r="S1732" i="3"/>
  <c r="S1733" i="3"/>
  <c r="S1734" i="3"/>
  <c r="S1735" i="3"/>
  <c r="S1736" i="3"/>
  <c r="S1737" i="3"/>
  <c r="S1738" i="3"/>
  <c r="S1739" i="3"/>
  <c r="S1740" i="3"/>
  <c r="S1741" i="3"/>
  <c r="S1742" i="3"/>
  <c r="S1743" i="3"/>
  <c r="S1744" i="3"/>
  <c r="S1745" i="3"/>
  <c r="S1746" i="3"/>
  <c r="S1747" i="3"/>
  <c r="S1748" i="3"/>
  <c r="S1749" i="3"/>
  <c r="S1750" i="3"/>
  <c r="S1751" i="3"/>
  <c r="S1752" i="3"/>
  <c r="S1753" i="3"/>
  <c r="S1754" i="3"/>
  <c r="S1755" i="3"/>
  <c r="S1756" i="3"/>
  <c r="S1757" i="3"/>
  <c r="S1758" i="3"/>
  <c r="S1759" i="3"/>
  <c r="S1760" i="3"/>
  <c r="S1761" i="3"/>
  <c r="S1762" i="3"/>
  <c r="S1763" i="3"/>
  <c r="S1764" i="3"/>
  <c r="S1765" i="3"/>
  <c r="S1766" i="3"/>
  <c r="S1767" i="3"/>
  <c r="S1768" i="3"/>
  <c r="S1769" i="3"/>
  <c r="S1770" i="3"/>
  <c r="S1771" i="3"/>
  <c r="S1772" i="3"/>
  <c r="S1773" i="3"/>
  <c r="S1774" i="3"/>
  <c r="S1775" i="3"/>
  <c r="S1776" i="3"/>
  <c r="S1777" i="3"/>
  <c r="S1778" i="3"/>
  <c r="S1779" i="3"/>
  <c r="S1780" i="3"/>
  <c r="S1781" i="3"/>
  <c r="S1782" i="3"/>
  <c r="S1783" i="3"/>
  <c r="S1784" i="3"/>
  <c r="S1785" i="3"/>
  <c r="S1786" i="3"/>
  <c r="S1787" i="3"/>
  <c r="S1788" i="3"/>
  <c r="S1789" i="3"/>
  <c r="S1790" i="3"/>
  <c r="S1791" i="3"/>
  <c r="S1792" i="3"/>
  <c r="S1793" i="3"/>
  <c r="S1794" i="3"/>
  <c r="S1795" i="3"/>
  <c r="S1796" i="3"/>
  <c r="S1797" i="3"/>
  <c r="S1798" i="3"/>
  <c r="S1799" i="3"/>
  <c r="S1800" i="3"/>
  <c r="S1801" i="3"/>
  <c r="S1802" i="3"/>
  <c r="S1803" i="3"/>
  <c r="S1804" i="3"/>
  <c r="S1805" i="3"/>
  <c r="S1806" i="3"/>
  <c r="S1807" i="3"/>
  <c r="S1808" i="3"/>
  <c r="S1809" i="3"/>
  <c r="S1810" i="3"/>
  <c r="S1811" i="3"/>
  <c r="S1812" i="3"/>
  <c r="S1813" i="3"/>
  <c r="S1814" i="3"/>
  <c r="S1815" i="3"/>
  <c r="S1816" i="3"/>
  <c r="S1817" i="3"/>
  <c r="S1818" i="3"/>
  <c r="S1819" i="3"/>
  <c r="S1820" i="3"/>
  <c r="S1821" i="3"/>
  <c r="S1822" i="3"/>
  <c r="S1823" i="3"/>
  <c r="S1824" i="3"/>
  <c r="S1825" i="3"/>
  <c r="S1826" i="3"/>
  <c r="S1827" i="3"/>
  <c r="S1828" i="3"/>
  <c r="S1829" i="3"/>
  <c r="S1830" i="3"/>
  <c r="S1831" i="3"/>
  <c r="S1832" i="3"/>
  <c r="S1833" i="3"/>
  <c r="S1834" i="3"/>
  <c r="S1835" i="3"/>
  <c r="S1836" i="3"/>
  <c r="S1837" i="3"/>
  <c r="S1838" i="3"/>
  <c r="S1839" i="3"/>
  <c r="S1840" i="3"/>
  <c r="S1841" i="3"/>
  <c r="S1842" i="3"/>
  <c r="S1843" i="3"/>
  <c r="S1844" i="3"/>
  <c r="S1845" i="3"/>
  <c r="S1846" i="3"/>
  <c r="S1847" i="3"/>
  <c r="S1848" i="3"/>
  <c r="S1849" i="3"/>
  <c r="S1850" i="3"/>
  <c r="S1851" i="3"/>
  <c r="S1852" i="3"/>
  <c r="S1853" i="3"/>
  <c r="S1854" i="3"/>
  <c r="S1855" i="3"/>
  <c r="S1856" i="3"/>
  <c r="S1857" i="3"/>
  <c r="S1858" i="3"/>
  <c r="S1859" i="3"/>
  <c r="S1860" i="3"/>
  <c r="S1861" i="3"/>
  <c r="S1862" i="3"/>
  <c r="S1863" i="3"/>
  <c r="S1864" i="3"/>
  <c r="S1865" i="3"/>
  <c r="S1866" i="3"/>
  <c r="S1867" i="3"/>
  <c r="S1868" i="3"/>
  <c r="S1869" i="3"/>
  <c r="S1870" i="3"/>
  <c r="S1871" i="3"/>
  <c r="S1872" i="3"/>
  <c r="S1873" i="3"/>
  <c r="S1874" i="3"/>
  <c r="S1875" i="3"/>
  <c r="S1876" i="3"/>
  <c r="S1877" i="3"/>
  <c r="S1878" i="3"/>
  <c r="S1879" i="3"/>
  <c r="S1880" i="3"/>
  <c r="S1881" i="3"/>
  <c r="S1882" i="3"/>
  <c r="S1883" i="3"/>
  <c r="S1884" i="3"/>
  <c r="S1885" i="3"/>
  <c r="S1886" i="3"/>
  <c r="S1887" i="3"/>
  <c r="S1888" i="3"/>
  <c r="S1889" i="3"/>
  <c r="S1890" i="3"/>
  <c r="S1891" i="3"/>
  <c r="S1892" i="3"/>
  <c r="S1893" i="3"/>
  <c r="S1894" i="3"/>
  <c r="S1895" i="3"/>
  <c r="S1896" i="3"/>
  <c r="S1897" i="3"/>
  <c r="S1898" i="3"/>
  <c r="S1899" i="3"/>
  <c r="S1900" i="3"/>
  <c r="S1901" i="3"/>
  <c r="S1902" i="3"/>
  <c r="S1903" i="3"/>
  <c r="S1904" i="3"/>
  <c r="S1905" i="3"/>
  <c r="S1906" i="3"/>
  <c r="S1907" i="3"/>
  <c r="S1908" i="3"/>
  <c r="S1909" i="3"/>
  <c r="S1910" i="3"/>
  <c r="S1911" i="3"/>
  <c r="S1912" i="3"/>
  <c r="S1913" i="3"/>
  <c r="S1914" i="3"/>
  <c r="S1915" i="3"/>
  <c r="S1916" i="3"/>
  <c r="S1917" i="3"/>
  <c r="S1918" i="3"/>
  <c r="S1919" i="3"/>
  <c r="S1920" i="3"/>
  <c r="S1921" i="3"/>
  <c r="S1922" i="3"/>
  <c r="S1923" i="3"/>
  <c r="S1924" i="3"/>
  <c r="S1925" i="3"/>
  <c r="S1926" i="3"/>
  <c r="S1927" i="3"/>
  <c r="S1928" i="3"/>
  <c r="S1929" i="3"/>
  <c r="S1930" i="3"/>
  <c r="S1931" i="3"/>
  <c r="S1932" i="3"/>
  <c r="S1933" i="3"/>
  <c r="S1934" i="3"/>
  <c r="S1935" i="3"/>
  <c r="S1936" i="3"/>
  <c r="S1937" i="3"/>
  <c r="S1938" i="3"/>
  <c r="S1939" i="3"/>
  <c r="S1940" i="3"/>
  <c r="S1941" i="3"/>
  <c r="S1942" i="3"/>
  <c r="S1943" i="3"/>
  <c r="S1944" i="3"/>
  <c r="S1945" i="3"/>
  <c r="S1946" i="3"/>
  <c r="S1947" i="3"/>
  <c r="S1948" i="3"/>
  <c r="S1949" i="3"/>
  <c r="S1950" i="3"/>
  <c r="S1951" i="3"/>
  <c r="S1952" i="3"/>
  <c r="S1953" i="3"/>
  <c r="S1954" i="3"/>
  <c r="S1955" i="3"/>
  <c r="S1956" i="3"/>
  <c r="S1957" i="3"/>
  <c r="S1958" i="3"/>
  <c r="S1959" i="3"/>
  <c r="S1960" i="3"/>
  <c r="S1961" i="3"/>
  <c r="S1962" i="3"/>
  <c r="S1963" i="3"/>
  <c r="S1964" i="3"/>
  <c r="S1965" i="3"/>
  <c r="S1966" i="3"/>
  <c r="S1967" i="3"/>
  <c r="S1968" i="3"/>
  <c r="S1969" i="3"/>
  <c r="S1970" i="3"/>
  <c r="S1971" i="3"/>
  <c r="S1972" i="3"/>
  <c r="S1973" i="3"/>
  <c r="S1974" i="3"/>
  <c r="S1975" i="3"/>
  <c r="S1976" i="3"/>
  <c r="S1977" i="3"/>
  <c r="S1978" i="3"/>
  <c r="S1979" i="3"/>
  <c r="S1980" i="3"/>
  <c r="S1981" i="3"/>
  <c r="S1982" i="3"/>
  <c r="S1983" i="3"/>
  <c r="S1984" i="3"/>
  <c r="S1985" i="3"/>
  <c r="S1986" i="3"/>
  <c r="S1987" i="3"/>
  <c r="S1988" i="3"/>
  <c r="S1989" i="3"/>
  <c r="S1990" i="3"/>
  <c r="S1991" i="3"/>
  <c r="S1992" i="3"/>
  <c r="S1993" i="3"/>
  <c r="S1994" i="3"/>
  <c r="S1995" i="3"/>
  <c r="S1996" i="3"/>
  <c r="S1997" i="3"/>
  <c r="S1998" i="3"/>
  <c r="S1999" i="3"/>
  <c r="S2000" i="3"/>
  <c r="S2001" i="3"/>
  <c r="S2002" i="3"/>
  <c r="S2003" i="3"/>
  <c r="S2004" i="3"/>
  <c r="S2005" i="3"/>
  <c r="S2006" i="3"/>
  <c r="S2007" i="3"/>
  <c r="S2008" i="3"/>
  <c r="S2009" i="3"/>
  <c r="S2010" i="3"/>
  <c r="S2011" i="3"/>
  <c r="S2012" i="3"/>
  <c r="S2013" i="3"/>
  <c r="S2014" i="3"/>
  <c r="S2015" i="3"/>
  <c r="S2016" i="3"/>
  <c r="S2017" i="3"/>
  <c r="S2018" i="3"/>
  <c r="S2019" i="3"/>
  <c r="S2020" i="3"/>
  <c r="S2021" i="3"/>
  <c r="S2022" i="3"/>
  <c r="S2023" i="3"/>
  <c r="S2024" i="3"/>
  <c r="S2025" i="3"/>
  <c r="S2026" i="3"/>
  <c r="S2027" i="3"/>
  <c r="S2028" i="3"/>
  <c r="S2029" i="3"/>
  <c r="S2030" i="3"/>
  <c r="S2031" i="3"/>
  <c r="S2032" i="3"/>
  <c r="S2033" i="3"/>
  <c r="S2034" i="3"/>
  <c r="S2035" i="3"/>
  <c r="S2036" i="3"/>
  <c r="S2037" i="3"/>
  <c r="S2038" i="3"/>
  <c r="S2039" i="3"/>
  <c r="S2040" i="3"/>
  <c r="S2041" i="3"/>
  <c r="S2042" i="3"/>
  <c r="S2043" i="3"/>
  <c r="S2044" i="3"/>
  <c r="S2045" i="3"/>
  <c r="S2046" i="3"/>
  <c r="S2047" i="3"/>
  <c r="S2048" i="3"/>
  <c r="S2049" i="3"/>
  <c r="S2050" i="3"/>
  <c r="S2051" i="3"/>
  <c r="S2052" i="3"/>
  <c r="S2053" i="3"/>
  <c r="S2054" i="3"/>
  <c r="S2055" i="3"/>
  <c r="S2056" i="3"/>
  <c r="S2057" i="3"/>
  <c r="S2058" i="3"/>
  <c r="S2059" i="3"/>
  <c r="S2060" i="3"/>
  <c r="S2061" i="3"/>
  <c r="S2062" i="3"/>
  <c r="S2063" i="3"/>
  <c r="S2064" i="3"/>
  <c r="S2065" i="3"/>
  <c r="S2066" i="3"/>
  <c r="S2067" i="3"/>
  <c r="S2068" i="3"/>
  <c r="S2069" i="3"/>
  <c r="S2070" i="3"/>
  <c r="S2071" i="3"/>
  <c r="S2072" i="3"/>
  <c r="S2073" i="3"/>
  <c r="S2074" i="3"/>
  <c r="S2075" i="3"/>
  <c r="S2076" i="3"/>
  <c r="S2077" i="3"/>
  <c r="S2078" i="3"/>
  <c r="S2079" i="3"/>
  <c r="S2080" i="3"/>
  <c r="S2081" i="3"/>
  <c r="S2082" i="3"/>
  <c r="S2083" i="3"/>
  <c r="S2084" i="3"/>
  <c r="S2085" i="3"/>
  <c r="S2086" i="3"/>
  <c r="S2087" i="3"/>
  <c r="S2088" i="3"/>
  <c r="S2089" i="3"/>
  <c r="S2090" i="3"/>
  <c r="S2091" i="3"/>
  <c r="S2092" i="3"/>
  <c r="S1" i="3"/>
  <c r="P2092" i="3"/>
  <c r="K2092" i="3"/>
  <c r="H2092" i="3"/>
  <c r="F2092" i="3"/>
  <c r="D2092" i="3"/>
  <c r="P2091" i="3"/>
  <c r="K2091" i="3"/>
  <c r="H2091" i="3"/>
  <c r="F2091" i="3"/>
  <c r="D2091" i="3"/>
  <c r="N2091" i="3" s="1"/>
  <c r="P2090" i="3"/>
  <c r="K2090" i="3"/>
  <c r="H2090" i="3"/>
  <c r="F2090" i="3"/>
  <c r="D2090" i="3"/>
  <c r="N2090" i="3" s="1"/>
  <c r="P2089" i="3"/>
  <c r="K2089" i="3"/>
  <c r="H2089" i="3"/>
  <c r="F2089" i="3"/>
  <c r="D2089" i="3"/>
  <c r="P2088" i="3"/>
  <c r="K2088" i="3"/>
  <c r="H2088" i="3"/>
  <c r="F2088" i="3"/>
  <c r="D2088" i="3"/>
  <c r="P2087" i="3"/>
  <c r="K2087" i="3"/>
  <c r="H2087" i="3"/>
  <c r="F2087" i="3"/>
  <c r="D2087" i="3"/>
  <c r="N2087" i="3" s="1"/>
  <c r="P2086" i="3"/>
  <c r="K2086" i="3"/>
  <c r="H2086" i="3"/>
  <c r="F2086" i="3"/>
  <c r="D2086" i="3"/>
  <c r="N2086" i="3" s="1"/>
  <c r="P2085" i="3"/>
  <c r="K2085" i="3"/>
  <c r="H2085" i="3"/>
  <c r="F2085" i="3"/>
  <c r="D2085" i="3"/>
  <c r="P2084" i="3"/>
  <c r="K2084" i="3"/>
  <c r="H2084" i="3"/>
  <c r="F2084" i="3"/>
  <c r="D2084" i="3"/>
  <c r="P2083" i="3"/>
  <c r="K2083" i="3"/>
  <c r="H2083" i="3"/>
  <c r="F2083" i="3"/>
  <c r="D2083" i="3"/>
  <c r="N2083" i="3" s="1"/>
  <c r="P2082" i="3"/>
  <c r="K2082" i="3"/>
  <c r="H2082" i="3"/>
  <c r="F2082" i="3"/>
  <c r="D2082" i="3"/>
  <c r="N2082" i="3" s="1"/>
  <c r="P2081" i="3"/>
  <c r="K2081" i="3"/>
  <c r="H2081" i="3"/>
  <c r="F2081" i="3"/>
  <c r="D2081" i="3"/>
  <c r="P2080" i="3"/>
  <c r="K2080" i="3"/>
  <c r="H2080" i="3"/>
  <c r="F2080" i="3"/>
  <c r="D2080" i="3"/>
  <c r="P2079" i="3"/>
  <c r="K2079" i="3"/>
  <c r="H2079" i="3"/>
  <c r="F2079" i="3"/>
  <c r="D2079" i="3"/>
  <c r="N2079" i="3" s="1"/>
  <c r="P2078" i="3"/>
  <c r="K2078" i="3"/>
  <c r="H2078" i="3"/>
  <c r="F2078" i="3"/>
  <c r="D2078" i="3"/>
  <c r="N2078" i="3" s="1"/>
  <c r="P2077" i="3"/>
  <c r="K2077" i="3"/>
  <c r="H2077" i="3"/>
  <c r="F2077" i="3"/>
  <c r="D2077" i="3"/>
  <c r="P2076" i="3"/>
  <c r="K2076" i="3"/>
  <c r="H2076" i="3"/>
  <c r="F2076" i="3"/>
  <c r="D2076" i="3"/>
  <c r="P2075" i="3"/>
  <c r="K2075" i="3"/>
  <c r="H2075" i="3"/>
  <c r="F2075" i="3"/>
  <c r="D2075" i="3"/>
  <c r="N2075" i="3" s="1"/>
  <c r="P2074" i="3"/>
  <c r="K2074" i="3"/>
  <c r="H2074" i="3"/>
  <c r="F2074" i="3"/>
  <c r="D2074" i="3"/>
  <c r="N2074" i="3" s="1"/>
  <c r="P2073" i="3"/>
  <c r="K2073" i="3"/>
  <c r="H2073" i="3"/>
  <c r="F2073" i="3"/>
  <c r="D2073" i="3"/>
  <c r="P2072" i="3"/>
  <c r="K2072" i="3"/>
  <c r="H2072" i="3"/>
  <c r="F2072" i="3"/>
  <c r="D2072" i="3"/>
  <c r="P2071" i="3"/>
  <c r="K2071" i="3"/>
  <c r="H2071" i="3"/>
  <c r="F2071" i="3"/>
  <c r="D2071" i="3"/>
  <c r="N2071" i="3" s="1"/>
  <c r="P2070" i="3"/>
  <c r="K2070" i="3"/>
  <c r="H2070" i="3"/>
  <c r="F2070" i="3"/>
  <c r="D2070" i="3"/>
  <c r="N2070" i="3" s="1"/>
  <c r="P2069" i="3"/>
  <c r="K2069" i="3"/>
  <c r="H2069" i="3"/>
  <c r="F2069" i="3"/>
  <c r="D2069" i="3"/>
  <c r="P2068" i="3"/>
  <c r="K2068" i="3"/>
  <c r="H2068" i="3"/>
  <c r="F2068" i="3"/>
  <c r="D2068" i="3"/>
  <c r="P2067" i="3"/>
  <c r="K2067" i="3"/>
  <c r="H2067" i="3"/>
  <c r="F2067" i="3"/>
  <c r="D2067" i="3"/>
  <c r="N2067" i="3" s="1"/>
  <c r="P2066" i="3"/>
  <c r="K2066" i="3"/>
  <c r="H2066" i="3"/>
  <c r="F2066" i="3"/>
  <c r="D2066" i="3"/>
  <c r="N2066" i="3" s="1"/>
  <c r="P2065" i="3"/>
  <c r="K2065" i="3"/>
  <c r="H2065" i="3"/>
  <c r="F2065" i="3"/>
  <c r="D2065" i="3"/>
  <c r="N2065" i="3" s="1"/>
  <c r="P2064" i="3"/>
  <c r="K2064" i="3"/>
  <c r="H2064" i="3"/>
  <c r="F2064" i="3"/>
  <c r="D2064" i="3"/>
  <c r="P2063" i="3"/>
  <c r="K2063" i="3"/>
  <c r="H2063" i="3"/>
  <c r="F2063" i="3"/>
  <c r="D2063" i="3"/>
  <c r="N2063" i="3" s="1"/>
  <c r="P2062" i="3"/>
  <c r="K2062" i="3"/>
  <c r="H2062" i="3"/>
  <c r="F2062" i="3"/>
  <c r="D2062" i="3"/>
  <c r="N2062" i="3" s="1"/>
  <c r="P2061" i="3"/>
  <c r="K2061" i="3"/>
  <c r="H2061" i="3"/>
  <c r="F2061" i="3"/>
  <c r="D2061" i="3"/>
  <c r="N2061" i="3" s="1"/>
  <c r="P2060" i="3"/>
  <c r="K2060" i="3"/>
  <c r="H2060" i="3"/>
  <c r="F2060" i="3"/>
  <c r="D2060" i="3"/>
  <c r="P2059" i="3"/>
  <c r="K2059" i="3"/>
  <c r="H2059" i="3"/>
  <c r="F2059" i="3"/>
  <c r="D2059" i="3"/>
  <c r="N2059" i="3" s="1"/>
  <c r="P2058" i="3"/>
  <c r="K2058" i="3"/>
  <c r="H2058" i="3"/>
  <c r="F2058" i="3"/>
  <c r="D2058" i="3"/>
  <c r="N2058" i="3" s="1"/>
  <c r="P2057" i="3"/>
  <c r="K2057" i="3"/>
  <c r="H2057" i="3"/>
  <c r="F2057" i="3"/>
  <c r="D2057" i="3"/>
  <c r="N2057" i="3" s="1"/>
  <c r="P2056" i="3"/>
  <c r="K2056" i="3"/>
  <c r="H2056" i="3"/>
  <c r="F2056" i="3"/>
  <c r="D2056" i="3"/>
  <c r="P2055" i="3"/>
  <c r="K2055" i="3"/>
  <c r="H2055" i="3"/>
  <c r="F2055" i="3"/>
  <c r="D2055" i="3"/>
  <c r="N2055" i="3" s="1"/>
  <c r="P2054" i="3"/>
  <c r="K2054" i="3"/>
  <c r="H2054" i="3"/>
  <c r="F2054" i="3"/>
  <c r="D2054" i="3"/>
  <c r="N2054" i="3" s="1"/>
  <c r="P2053" i="3"/>
  <c r="K2053" i="3"/>
  <c r="H2053" i="3"/>
  <c r="F2053" i="3"/>
  <c r="D2053" i="3"/>
  <c r="N2053" i="3" s="1"/>
  <c r="P2052" i="3"/>
  <c r="K2052" i="3"/>
  <c r="H2052" i="3"/>
  <c r="F2052" i="3"/>
  <c r="D2052" i="3"/>
  <c r="P2051" i="3"/>
  <c r="K2051" i="3"/>
  <c r="H2051" i="3"/>
  <c r="F2051" i="3"/>
  <c r="D2051" i="3"/>
  <c r="N2051" i="3" s="1"/>
  <c r="P2050" i="3"/>
  <c r="K2050" i="3"/>
  <c r="H2050" i="3"/>
  <c r="F2050" i="3"/>
  <c r="D2050" i="3"/>
  <c r="N2050" i="3" s="1"/>
  <c r="P2049" i="3"/>
  <c r="K2049" i="3"/>
  <c r="H2049" i="3"/>
  <c r="F2049" i="3"/>
  <c r="D2049" i="3"/>
  <c r="N2049" i="3" s="1"/>
  <c r="P2048" i="3"/>
  <c r="K2048" i="3"/>
  <c r="H2048" i="3"/>
  <c r="F2048" i="3"/>
  <c r="D2048" i="3"/>
  <c r="P2047" i="3"/>
  <c r="K2047" i="3"/>
  <c r="H2047" i="3"/>
  <c r="F2047" i="3"/>
  <c r="D2047" i="3"/>
  <c r="N2047" i="3" s="1"/>
  <c r="P2046" i="3"/>
  <c r="K2046" i="3"/>
  <c r="H2046" i="3"/>
  <c r="F2046" i="3"/>
  <c r="D2046" i="3"/>
  <c r="N2046" i="3" s="1"/>
  <c r="P2045" i="3"/>
  <c r="K2045" i="3"/>
  <c r="H2045" i="3"/>
  <c r="F2045" i="3"/>
  <c r="D2045" i="3"/>
  <c r="N2045" i="3" s="1"/>
  <c r="P2044" i="3"/>
  <c r="K2044" i="3"/>
  <c r="H2044" i="3"/>
  <c r="F2044" i="3"/>
  <c r="D2044" i="3"/>
  <c r="P2043" i="3"/>
  <c r="K2043" i="3"/>
  <c r="H2043" i="3"/>
  <c r="F2043" i="3"/>
  <c r="D2043" i="3"/>
  <c r="N2043" i="3" s="1"/>
  <c r="P2042" i="3"/>
  <c r="K2042" i="3"/>
  <c r="H2042" i="3"/>
  <c r="F2042" i="3"/>
  <c r="D2042" i="3"/>
  <c r="N2042" i="3" s="1"/>
  <c r="P2041" i="3"/>
  <c r="K2041" i="3"/>
  <c r="H2041" i="3"/>
  <c r="F2041" i="3"/>
  <c r="D2041" i="3"/>
  <c r="N2041" i="3" s="1"/>
  <c r="P2040" i="3"/>
  <c r="K2040" i="3"/>
  <c r="H2040" i="3"/>
  <c r="F2040" i="3"/>
  <c r="D2040" i="3"/>
  <c r="P2039" i="3"/>
  <c r="K2039" i="3"/>
  <c r="H2039" i="3"/>
  <c r="F2039" i="3"/>
  <c r="D2039" i="3"/>
  <c r="N2039" i="3" s="1"/>
  <c r="P2038" i="3"/>
  <c r="K2038" i="3"/>
  <c r="H2038" i="3"/>
  <c r="F2038" i="3"/>
  <c r="D2038" i="3"/>
  <c r="N2038" i="3" s="1"/>
  <c r="P2037" i="3"/>
  <c r="K2037" i="3"/>
  <c r="H2037" i="3"/>
  <c r="F2037" i="3"/>
  <c r="D2037" i="3"/>
  <c r="N2037" i="3" s="1"/>
  <c r="P2036" i="3"/>
  <c r="K2036" i="3"/>
  <c r="H2036" i="3"/>
  <c r="F2036" i="3"/>
  <c r="D2036" i="3"/>
  <c r="P2035" i="3"/>
  <c r="K2035" i="3"/>
  <c r="H2035" i="3"/>
  <c r="F2035" i="3"/>
  <c r="D2035" i="3"/>
  <c r="N2035" i="3" s="1"/>
  <c r="P2034" i="3"/>
  <c r="K2034" i="3"/>
  <c r="H2034" i="3"/>
  <c r="F2034" i="3"/>
  <c r="D2034" i="3"/>
  <c r="N2034" i="3" s="1"/>
  <c r="P2033" i="3"/>
  <c r="K2033" i="3"/>
  <c r="H2033" i="3"/>
  <c r="F2033" i="3"/>
  <c r="D2033" i="3"/>
  <c r="N2033" i="3" s="1"/>
  <c r="P2032" i="3"/>
  <c r="K2032" i="3"/>
  <c r="H2032" i="3"/>
  <c r="F2032" i="3"/>
  <c r="D2032" i="3"/>
  <c r="P2031" i="3"/>
  <c r="K2031" i="3"/>
  <c r="H2031" i="3"/>
  <c r="F2031" i="3"/>
  <c r="D2031" i="3"/>
  <c r="N2031" i="3" s="1"/>
  <c r="P2030" i="3"/>
  <c r="K2030" i="3"/>
  <c r="H2030" i="3"/>
  <c r="F2030" i="3"/>
  <c r="D2030" i="3"/>
  <c r="N2030" i="3" s="1"/>
  <c r="P2029" i="3"/>
  <c r="K2029" i="3"/>
  <c r="H2029" i="3"/>
  <c r="F2029" i="3"/>
  <c r="D2029" i="3"/>
  <c r="N2029" i="3" s="1"/>
  <c r="P2028" i="3"/>
  <c r="K2028" i="3"/>
  <c r="H2028" i="3"/>
  <c r="F2028" i="3"/>
  <c r="D2028" i="3"/>
  <c r="P2027" i="3"/>
  <c r="K2027" i="3"/>
  <c r="H2027" i="3"/>
  <c r="F2027" i="3"/>
  <c r="D2027" i="3"/>
  <c r="N2027" i="3" s="1"/>
  <c r="P2026" i="3"/>
  <c r="K2026" i="3"/>
  <c r="H2026" i="3"/>
  <c r="F2026" i="3"/>
  <c r="D2026" i="3"/>
  <c r="N2026" i="3" s="1"/>
  <c r="P2025" i="3"/>
  <c r="K2025" i="3"/>
  <c r="H2025" i="3"/>
  <c r="F2025" i="3"/>
  <c r="D2025" i="3"/>
  <c r="N2025" i="3" s="1"/>
  <c r="P2024" i="3"/>
  <c r="K2024" i="3"/>
  <c r="H2024" i="3"/>
  <c r="F2024" i="3"/>
  <c r="D2024" i="3"/>
  <c r="P2023" i="3"/>
  <c r="K2023" i="3"/>
  <c r="H2023" i="3"/>
  <c r="F2023" i="3"/>
  <c r="D2023" i="3"/>
  <c r="N2023" i="3" s="1"/>
  <c r="P2022" i="3"/>
  <c r="K2022" i="3"/>
  <c r="H2022" i="3"/>
  <c r="F2022" i="3"/>
  <c r="D2022" i="3"/>
  <c r="N2022" i="3" s="1"/>
  <c r="P2021" i="3"/>
  <c r="K2021" i="3"/>
  <c r="H2021" i="3"/>
  <c r="F2021" i="3"/>
  <c r="D2021" i="3"/>
  <c r="N2021" i="3" s="1"/>
  <c r="P2020" i="3"/>
  <c r="K2020" i="3"/>
  <c r="H2020" i="3"/>
  <c r="F2020" i="3"/>
  <c r="D2020" i="3"/>
  <c r="P2019" i="3"/>
  <c r="K2019" i="3"/>
  <c r="H2019" i="3"/>
  <c r="F2019" i="3"/>
  <c r="D2019" i="3"/>
  <c r="N2019" i="3" s="1"/>
  <c r="P2018" i="3"/>
  <c r="K2018" i="3"/>
  <c r="H2018" i="3"/>
  <c r="F2018" i="3"/>
  <c r="D2018" i="3"/>
  <c r="N2018" i="3" s="1"/>
  <c r="P2017" i="3"/>
  <c r="K2017" i="3"/>
  <c r="H2017" i="3"/>
  <c r="F2017" i="3"/>
  <c r="D2017" i="3"/>
  <c r="N2017" i="3" s="1"/>
  <c r="P2016" i="3"/>
  <c r="K2016" i="3"/>
  <c r="H2016" i="3"/>
  <c r="F2016" i="3"/>
  <c r="D2016" i="3"/>
  <c r="P2015" i="3"/>
  <c r="K2015" i="3"/>
  <c r="H2015" i="3"/>
  <c r="F2015" i="3"/>
  <c r="D2015" i="3"/>
  <c r="N2015" i="3" s="1"/>
  <c r="P2014" i="3"/>
  <c r="K2014" i="3"/>
  <c r="H2014" i="3"/>
  <c r="F2014" i="3"/>
  <c r="D2014" i="3"/>
  <c r="N2014" i="3" s="1"/>
  <c r="P2013" i="3"/>
  <c r="K2013" i="3"/>
  <c r="H2013" i="3"/>
  <c r="F2013" i="3"/>
  <c r="D2013" i="3"/>
  <c r="N2013" i="3" s="1"/>
  <c r="P2012" i="3"/>
  <c r="K2012" i="3"/>
  <c r="H2012" i="3"/>
  <c r="F2012" i="3"/>
  <c r="D2012" i="3"/>
  <c r="P2011" i="3"/>
  <c r="K2011" i="3"/>
  <c r="H2011" i="3"/>
  <c r="F2011" i="3"/>
  <c r="D2011" i="3"/>
  <c r="N2011" i="3" s="1"/>
  <c r="P2010" i="3"/>
  <c r="K2010" i="3"/>
  <c r="H2010" i="3"/>
  <c r="F2010" i="3"/>
  <c r="D2010" i="3"/>
  <c r="N2010" i="3" s="1"/>
  <c r="P2009" i="3"/>
  <c r="K2009" i="3"/>
  <c r="H2009" i="3"/>
  <c r="F2009" i="3"/>
  <c r="D2009" i="3"/>
  <c r="N2009" i="3" s="1"/>
  <c r="P2008" i="3"/>
  <c r="K2008" i="3"/>
  <c r="H2008" i="3"/>
  <c r="F2008" i="3"/>
  <c r="D2008" i="3"/>
  <c r="P2007" i="3"/>
  <c r="K2007" i="3"/>
  <c r="H2007" i="3"/>
  <c r="F2007" i="3"/>
  <c r="D2007" i="3"/>
  <c r="N2007" i="3" s="1"/>
  <c r="P2006" i="3"/>
  <c r="K2006" i="3"/>
  <c r="H2006" i="3"/>
  <c r="F2006" i="3"/>
  <c r="D2006" i="3"/>
  <c r="N2006" i="3" s="1"/>
  <c r="P2005" i="3"/>
  <c r="K2005" i="3"/>
  <c r="H2005" i="3"/>
  <c r="F2005" i="3"/>
  <c r="D2005" i="3"/>
  <c r="N2005" i="3" s="1"/>
  <c r="P2004" i="3"/>
  <c r="K2004" i="3"/>
  <c r="H2004" i="3"/>
  <c r="F2004" i="3"/>
  <c r="D2004" i="3"/>
  <c r="P2003" i="3"/>
  <c r="K2003" i="3"/>
  <c r="H2003" i="3"/>
  <c r="F2003" i="3"/>
  <c r="D2003" i="3"/>
  <c r="N2003" i="3" s="1"/>
  <c r="P2002" i="3"/>
  <c r="K2002" i="3"/>
  <c r="H2002" i="3"/>
  <c r="F2002" i="3"/>
  <c r="D2002" i="3"/>
  <c r="N2002" i="3" s="1"/>
  <c r="P2001" i="3"/>
  <c r="K2001" i="3"/>
  <c r="H2001" i="3"/>
  <c r="F2001" i="3"/>
  <c r="D2001" i="3"/>
  <c r="N2001" i="3" s="1"/>
  <c r="P2000" i="3"/>
  <c r="K2000" i="3"/>
  <c r="H2000" i="3"/>
  <c r="F2000" i="3"/>
  <c r="D2000" i="3"/>
  <c r="P1999" i="3"/>
  <c r="K1999" i="3"/>
  <c r="H1999" i="3"/>
  <c r="F1999" i="3"/>
  <c r="D1999" i="3"/>
  <c r="N1999" i="3" s="1"/>
  <c r="P1998" i="3"/>
  <c r="K1998" i="3"/>
  <c r="H1998" i="3"/>
  <c r="F1998" i="3"/>
  <c r="D1998" i="3"/>
  <c r="N1998" i="3" s="1"/>
  <c r="P1997" i="3"/>
  <c r="K1997" i="3"/>
  <c r="H1997" i="3"/>
  <c r="F1997" i="3"/>
  <c r="D1997" i="3"/>
  <c r="N1997" i="3" s="1"/>
  <c r="P1996" i="3"/>
  <c r="K1996" i="3"/>
  <c r="H1996" i="3"/>
  <c r="F1996" i="3"/>
  <c r="D1996" i="3"/>
  <c r="P1995" i="3"/>
  <c r="K1995" i="3"/>
  <c r="H1995" i="3"/>
  <c r="F1995" i="3"/>
  <c r="D1995" i="3"/>
  <c r="N1995" i="3" s="1"/>
  <c r="P1994" i="3"/>
  <c r="K1994" i="3"/>
  <c r="H1994" i="3"/>
  <c r="F1994" i="3"/>
  <c r="D1994" i="3"/>
  <c r="N1994" i="3" s="1"/>
  <c r="P1993" i="3"/>
  <c r="K1993" i="3"/>
  <c r="H1993" i="3"/>
  <c r="F1993" i="3"/>
  <c r="D1993" i="3"/>
  <c r="N1993" i="3" s="1"/>
  <c r="P1992" i="3"/>
  <c r="K1992" i="3"/>
  <c r="H1992" i="3"/>
  <c r="F1992" i="3"/>
  <c r="D1992" i="3"/>
  <c r="P1991" i="3"/>
  <c r="K1991" i="3"/>
  <c r="H1991" i="3"/>
  <c r="F1991" i="3"/>
  <c r="D1991" i="3"/>
  <c r="N1991" i="3" s="1"/>
  <c r="P1990" i="3"/>
  <c r="K1990" i="3"/>
  <c r="H1990" i="3"/>
  <c r="F1990" i="3"/>
  <c r="D1990" i="3"/>
  <c r="N1990" i="3" s="1"/>
  <c r="P1989" i="3"/>
  <c r="K1989" i="3"/>
  <c r="H1989" i="3"/>
  <c r="F1989" i="3"/>
  <c r="D1989" i="3"/>
  <c r="N1989" i="3" s="1"/>
  <c r="P1988" i="3"/>
  <c r="K1988" i="3"/>
  <c r="H1988" i="3"/>
  <c r="F1988" i="3"/>
  <c r="D1988" i="3"/>
  <c r="P1987" i="3"/>
  <c r="K1987" i="3"/>
  <c r="H1987" i="3"/>
  <c r="F1987" i="3"/>
  <c r="D1987" i="3"/>
  <c r="N1987" i="3" s="1"/>
  <c r="P1986" i="3"/>
  <c r="K1986" i="3"/>
  <c r="H1986" i="3"/>
  <c r="F1986" i="3"/>
  <c r="D1986" i="3"/>
  <c r="N1986" i="3" s="1"/>
  <c r="P1985" i="3"/>
  <c r="K1985" i="3"/>
  <c r="H1985" i="3"/>
  <c r="F1985" i="3"/>
  <c r="D1985" i="3"/>
  <c r="N1985" i="3" s="1"/>
  <c r="P1984" i="3"/>
  <c r="K1984" i="3"/>
  <c r="H1984" i="3"/>
  <c r="F1984" i="3"/>
  <c r="D1984" i="3"/>
  <c r="P1983" i="3"/>
  <c r="K1983" i="3"/>
  <c r="H1983" i="3"/>
  <c r="F1983" i="3"/>
  <c r="D1983" i="3"/>
  <c r="N1983" i="3" s="1"/>
  <c r="P1982" i="3"/>
  <c r="K1982" i="3"/>
  <c r="H1982" i="3"/>
  <c r="F1982" i="3"/>
  <c r="D1982" i="3"/>
  <c r="N1982" i="3" s="1"/>
  <c r="P1981" i="3"/>
  <c r="K1981" i="3"/>
  <c r="H1981" i="3"/>
  <c r="F1981" i="3"/>
  <c r="D1981" i="3"/>
  <c r="N1981" i="3" s="1"/>
  <c r="P1980" i="3"/>
  <c r="K1980" i="3"/>
  <c r="H1980" i="3"/>
  <c r="F1980" i="3"/>
  <c r="D1980" i="3"/>
  <c r="P1979" i="3"/>
  <c r="K1979" i="3"/>
  <c r="H1979" i="3"/>
  <c r="F1979" i="3"/>
  <c r="D1979" i="3"/>
  <c r="N1979" i="3" s="1"/>
  <c r="P1978" i="3"/>
  <c r="K1978" i="3"/>
  <c r="H1978" i="3"/>
  <c r="F1978" i="3"/>
  <c r="D1978" i="3"/>
  <c r="N1978" i="3" s="1"/>
  <c r="P1977" i="3"/>
  <c r="K1977" i="3"/>
  <c r="H1977" i="3"/>
  <c r="F1977" i="3"/>
  <c r="D1977" i="3"/>
  <c r="N1977" i="3" s="1"/>
  <c r="P1976" i="3"/>
  <c r="K1976" i="3"/>
  <c r="H1976" i="3"/>
  <c r="F1976" i="3"/>
  <c r="D1976" i="3"/>
  <c r="P1975" i="3"/>
  <c r="K1975" i="3"/>
  <c r="H1975" i="3"/>
  <c r="F1975" i="3"/>
  <c r="D1975" i="3"/>
  <c r="N1975" i="3" s="1"/>
  <c r="P1974" i="3"/>
  <c r="K1974" i="3"/>
  <c r="H1974" i="3"/>
  <c r="F1974" i="3"/>
  <c r="D1974" i="3"/>
  <c r="N1974" i="3" s="1"/>
  <c r="P1973" i="3"/>
  <c r="K1973" i="3"/>
  <c r="H1973" i="3"/>
  <c r="F1973" i="3"/>
  <c r="D1973" i="3"/>
  <c r="N1973" i="3" s="1"/>
  <c r="P1972" i="3"/>
  <c r="K1972" i="3"/>
  <c r="H1972" i="3"/>
  <c r="F1972" i="3"/>
  <c r="D1972" i="3"/>
  <c r="P1971" i="3"/>
  <c r="K1971" i="3"/>
  <c r="H1971" i="3"/>
  <c r="F1971" i="3"/>
  <c r="D1971" i="3"/>
  <c r="N1971" i="3" s="1"/>
  <c r="P1970" i="3"/>
  <c r="K1970" i="3"/>
  <c r="H1970" i="3"/>
  <c r="F1970" i="3"/>
  <c r="D1970" i="3"/>
  <c r="N1970" i="3" s="1"/>
  <c r="P1969" i="3"/>
  <c r="K1969" i="3"/>
  <c r="H1969" i="3"/>
  <c r="F1969" i="3"/>
  <c r="D1969" i="3"/>
  <c r="N1969" i="3" s="1"/>
  <c r="P1968" i="3"/>
  <c r="K1968" i="3"/>
  <c r="H1968" i="3"/>
  <c r="F1968" i="3"/>
  <c r="D1968" i="3"/>
  <c r="P1967" i="3"/>
  <c r="K1967" i="3"/>
  <c r="H1967" i="3"/>
  <c r="F1967" i="3"/>
  <c r="D1967" i="3"/>
  <c r="N1967" i="3" s="1"/>
  <c r="P1966" i="3"/>
  <c r="K1966" i="3"/>
  <c r="H1966" i="3"/>
  <c r="F1966" i="3"/>
  <c r="D1966" i="3"/>
  <c r="N1966" i="3" s="1"/>
  <c r="P1965" i="3"/>
  <c r="K1965" i="3"/>
  <c r="H1965" i="3"/>
  <c r="F1965" i="3"/>
  <c r="D1965" i="3"/>
  <c r="N1965" i="3" s="1"/>
  <c r="P1964" i="3"/>
  <c r="K1964" i="3"/>
  <c r="H1964" i="3"/>
  <c r="F1964" i="3"/>
  <c r="D1964" i="3"/>
  <c r="P1963" i="3"/>
  <c r="K1963" i="3"/>
  <c r="H1963" i="3"/>
  <c r="F1963" i="3"/>
  <c r="D1963" i="3"/>
  <c r="N1963" i="3" s="1"/>
  <c r="P1962" i="3"/>
  <c r="K1962" i="3"/>
  <c r="H1962" i="3"/>
  <c r="F1962" i="3"/>
  <c r="D1962" i="3"/>
  <c r="N1962" i="3" s="1"/>
  <c r="P1961" i="3"/>
  <c r="K1961" i="3"/>
  <c r="H1961" i="3"/>
  <c r="F1961" i="3"/>
  <c r="D1961" i="3"/>
  <c r="N1961" i="3" s="1"/>
  <c r="P1960" i="3"/>
  <c r="K1960" i="3"/>
  <c r="H1960" i="3"/>
  <c r="F1960" i="3"/>
  <c r="D1960" i="3"/>
  <c r="P1959" i="3"/>
  <c r="K1959" i="3"/>
  <c r="H1959" i="3"/>
  <c r="F1959" i="3"/>
  <c r="D1959" i="3"/>
  <c r="N1959" i="3" s="1"/>
  <c r="P1958" i="3"/>
  <c r="K1958" i="3"/>
  <c r="H1958" i="3"/>
  <c r="F1958" i="3"/>
  <c r="D1958" i="3"/>
  <c r="N1958" i="3" s="1"/>
  <c r="P1957" i="3"/>
  <c r="K1957" i="3"/>
  <c r="H1957" i="3"/>
  <c r="F1957" i="3"/>
  <c r="D1957" i="3"/>
  <c r="N1957" i="3" s="1"/>
  <c r="P1956" i="3"/>
  <c r="K1956" i="3"/>
  <c r="H1956" i="3"/>
  <c r="F1956" i="3"/>
  <c r="D1956" i="3"/>
  <c r="P1955" i="3"/>
  <c r="K1955" i="3"/>
  <c r="H1955" i="3"/>
  <c r="F1955" i="3"/>
  <c r="D1955" i="3"/>
  <c r="N1955" i="3" s="1"/>
  <c r="P1954" i="3"/>
  <c r="K1954" i="3"/>
  <c r="H1954" i="3"/>
  <c r="F1954" i="3"/>
  <c r="D1954" i="3"/>
  <c r="N1954" i="3" s="1"/>
  <c r="P1953" i="3"/>
  <c r="K1953" i="3"/>
  <c r="H1953" i="3"/>
  <c r="F1953" i="3"/>
  <c r="D1953" i="3"/>
  <c r="N1953" i="3" s="1"/>
  <c r="P1952" i="3"/>
  <c r="K1952" i="3"/>
  <c r="H1952" i="3"/>
  <c r="F1952" i="3"/>
  <c r="D1952" i="3"/>
  <c r="P1951" i="3"/>
  <c r="K1951" i="3"/>
  <c r="H1951" i="3"/>
  <c r="F1951" i="3"/>
  <c r="D1951" i="3"/>
  <c r="N1951" i="3" s="1"/>
  <c r="P1950" i="3"/>
  <c r="K1950" i="3"/>
  <c r="H1950" i="3"/>
  <c r="F1950" i="3"/>
  <c r="D1950" i="3"/>
  <c r="N1950" i="3" s="1"/>
  <c r="P1949" i="3"/>
  <c r="K1949" i="3"/>
  <c r="H1949" i="3"/>
  <c r="F1949" i="3"/>
  <c r="D1949" i="3"/>
  <c r="N1949" i="3" s="1"/>
  <c r="P1948" i="3"/>
  <c r="K1948" i="3"/>
  <c r="H1948" i="3"/>
  <c r="F1948" i="3"/>
  <c r="D1948" i="3"/>
  <c r="P1947" i="3"/>
  <c r="K1947" i="3"/>
  <c r="H1947" i="3"/>
  <c r="F1947" i="3"/>
  <c r="D1947" i="3"/>
  <c r="N1947" i="3" s="1"/>
  <c r="P1946" i="3"/>
  <c r="K1946" i="3"/>
  <c r="H1946" i="3"/>
  <c r="F1946" i="3"/>
  <c r="D1946" i="3"/>
  <c r="N1946" i="3" s="1"/>
  <c r="P1945" i="3"/>
  <c r="K1945" i="3"/>
  <c r="H1945" i="3"/>
  <c r="F1945" i="3"/>
  <c r="D1945" i="3"/>
  <c r="N1945" i="3" s="1"/>
  <c r="P1944" i="3"/>
  <c r="K1944" i="3"/>
  <c r="H1944" i="3"/>
  <c r="F1944" i="3"/>
  <c r="D1944" i="3"/>
  <c r="P1943" i="3"/>
  <c r="K1943" i="3"/>
  <c r="H1943" i="3"/>
  <c r="F1943" i="3"/>
  <c r="D1943" i="3"/>
  <c r="N1943" i="3" s="1"/>
  <c r="P1942" i="3"/>
  <c r="K1942" i="3"/>
  <c r="H1942" i="3"/>
  <c r="F1942" i="3"/>
  <c r="D1942" i="3"/>
  <c r="N1942" i="3" s="1"/>
  <c r="P1941" i="3"/>
  <c r="K1941" i="3"/>
  <c r="H1941" i="3"/>
  <c r="F1941" i="3"/>
  <c r="D1941" i="3"/>
  <c r="N1941" i="3" s="1"/>
  <c r="P1940" i="3"/>
  <c r="K1940" i="3"/>
  <c r="H1940" i="3"/>
  <c r="F1940" i="3"/>
  <c r="D1940" i="3"/>
  <c r="P1939" i="3"/>
  <c r="K1939" i="3"/>
  <c r="H1939" i="3"/>
  <c r="F1939" i="3"/>
  <c r="D1939" i="3"/>
  <c r="N1939" i="3" s="1"/>
  <c r="P1938" i="3"/>
  <c r="K1938" i="3"/>
  <c r="H1938" i="3"/>
  <c r="F1938" i="3"/>
  <c r="D1938" i="3"/>
  <c r="N1938" i="3" s="1"/>
  <c r="P1937" i="3"/>
  <c r="K1937" i="3"/>
  <c r="H1937" i="3"/>
  <c r="F1937" i="3"/>
  <c r="D1937" i="3"/>
  <c r="N1937" i="3" s="1"/>
  <c r="P1936" i="3"/>
  <c r="K1936" i="3"/>
  <c r="H1936" i="3"/>
  <c r="F1936" i="3"/>
  <c r="D1936" i="3"/>
  <c r="P1935" i="3"/>
  <c r="K1935" i="3"/>
  <c r="H1935" i="3"/>
  <c r="F1935" i="3"/>
  <c r="D1935" i="3"/>
  <c r="N1935" i="3" s="1"/>
  <c r="P1934" i="3"/>
  <c r="K1934" i="3"/>
  <c r="H1934" i="3"/>
  <c r="F1934" i="3"/>
  <c r="D1934" i="3"/>
  <c r="N1934" i="3" s="1"/>
  <c r="P1933" i="3"/>
  <c r="K1933" i="3"/>
  <c r="H1933" i="3"/>
  <c r="F1933" i="3"/>
  <c r="D1933" i="3"/>
  <c r="N1933" i="3" s="1"/>
  <c r="P1932" i="3"/>
  <c r="K1932" i="3"/>
  <c r="H1932" i="3"/>
  <c r="F1932" i="3"/>
  <c r="D1932" i="3"/>
  <c r="P1931" i="3"/>
  <c r="K1931" i="3"/>
  <c r="H1931" i="3"/>
  <c r="F1931" i="3"/>
  <c r="D1931" i="3"/>
  <c r="N1931" i="3" s="1"/>
  <c r="P1930" i="3"/>
  <c r="K1930" i="3"/>
  <c r="H1930" i="3"/>
  <c r="F1930" i="3"/>
  <c r="D1930" i="3"/>
  <c r="N1930" i="3" s="1"/>
  <c r="P1929" i="3"/>
  <c r="K1929" i="3"/>
  <c r="H1929" i="3"/>
  <c r="F1929" i="3"/>
  <c r="D1929" i="3"/>
  <c r="N1929" i="3" s="1"/>
  <c r="P1928" i="3"/>
  <c r="K1928" i="3"/>
  <c r="H1928" i="3"/>
  <c r="F1928" i="3"/>
  <c r="D1928" i="3"/>
  <c r="P1927" i="3"/>
  <c r="K1927" i="3"/>
  <c r="H1927" i="3"/>
  <c r="F1927" i="3"/>
  <c r="D1927" i="3"/>
  <c r="N1927" i="3" s="1"/>
  <c r="P1926" i="3"/>
  <c r="K1926" i="3"/>
  <c r="H1926" i="3"/>
  <c r="F1926" i="3"/>
  <c r="D1926" i="3"/>
  <c r="N1926" i="3" s="1"/>
  <c r="P1925" i="3"/>
  <c r="K1925" i="3"/>
  <c r="H1925" i="3"/>
  <c r="F1925" i="3"/>
  <c r="D1925" i="3"/>
  <c r="N1925" i="3" s="1"/>
  <c r="P1924" i="3"/>
  <c r="K1924" i="3"/>
  <c r="H1924" i="3"/>
  <c r="F1924" i="3"/>
  <c r="D1924" i="3"/>
  <c r="P1923" i="3"/>
  <c r="K1923" i="3"/>
  <c r="H1923" i="3"/>
  <c r="F1923" i="3"/>
  <c r="D1923" i="3"/>
  <c r="P1922" i="3"/>
  <c r="K1922" i="3"/>
  <c r="H1922" i="3"/>
  <c r="F1922" i="3"/>
  <c r="D1922" i="3"/>
  <c r="P1921" i="3"/>
  <c r="K1921" i="3"/>
  <c r="H1921" i="3"/>
  <c r="F1921" i="3"/>
  <c r="D1921" i="3"/>
  <c r="N1921" i="3" s="1"/>
  <c r="P1920" i="3"/>
  <c r="K1920" i="3"/>
  <c r="H1920" i="3"/>
  <c r="F1920" i="3"/>
  <c r="D1920" i="3"/>
  <c r="N1920" i="3" s="1"/>
  <c r="P1919" i="3"/>
  <c r="K1919" i="3"/>
  <c r="H1919" i="3"/>
  <c r="F1919" i="3"/>
  <c r="D1919" i="3"/>
  <c r="N1919" i="3" s="1"/>
  <c r="P1918" i="3"/>
  <c r="K1918" i="3"/>
  <c r="H1918" i="3"/>
  <c r="F1918" i="3"/>
  <c r="D1918" i="3"/>
  <c r="P1917" i="3"/>
  <c r="K1917" i="3"/>
  <c r="H1917" i="3"/>
  <c r="F1917" i="3"/>
  <c r="D1917" i="3"/>
  <c r="N1917" i="3" s="1"/>
  <c r="P1916" i="3"/>
  <c r="K1916" i="3"/>
  <c r="H1916" i="3"/>
  <c r="F1916" i="3"/>
  <c r="D1916" i="3"/>
  <c r="N1916" i="3" s="1"/>
  <c r="P1915" i="3"/>
  <c r="K1915" i="3"/>
  <c r="H1915" i="3"/>
  <c r="F1915" i="3"/>
  <c r="D1915" i="3"/>
  <c r="N1915" i="3" s="1"/>
  <c r="P1914" i="3"/>
  <c r="K1914" i="3"/>
  <c r="H1914" i="3"/>
  <c r="F1914" i="3"/>
  <c r="D1914" i="3"/>
  <c r="P1913" i="3"/>
  <c r="K1913" i="3"/>
  <c r="H1913" i="3"/>
  <c r="F1913" i="3"/>
  <c r="D1913" i="3"/>
  <c r="N1913" i="3" s="1"/>
  <c r="P1912" i="3"/>
  <c r="K1912" i="3"/>
  <c r="H1912" i="3"/>
  <c r="F1912" i="3"/>
  <c r="D1912" i="3"/>
  <c r="N1912" i="3" s="1"/>
  <c r="P1911" i="3"/>
  <c r="K1911" i="3"/>
  <c r="H1911" i="3"/>
  <c r="F1911" i="3"/>
  <c r="D1911" i="3"/>
  <c r="N1911" i="3" s="1"/>
  <c r="P1910" i="3"/>
  <c r="K1910" i="3"/>
  <c r="H1910" i="3"/>
  <c r="F1910" i="3"/>
  <c r="D1910" i="3"/>
  <c r="P1909" i="3"/>
  <c r="K1909" i="3"/>
  <c r="H1909" i="3"/>
  <c r="F1909" i="3"/>
  <c r="D1909" i="3"/>
  <c r="N1909" i="3" s="1"/>
  <c r="P1908" i="3"/>
  <c r="K1908" i="3"/>
  <c r="H1908" i="3"/>
  <c r="F1908" i="3"/>
  <c r="D1908" i="3"/>
  <c r="N1908" i="3" s="1"/>
  <c r="P1907" i="3"/>
  <c r="K1907" i="3"/>
  <c r="H1907" i="3"/>
  <c r="F1907" i="3"/>
  <c r="D1907" i="3"/>
  <c r="N1907" i="3" s="1"/>
  <c r="P1906" i="3"/>
  <c r="K1906" i="3"/>
  <c r="H1906" i="3"/>
  <c r="F1906" i="3"/>
  <c r="D1906" i="3"/>
  <c r="P1905" i="3"/>
  <c r="K1905" i="3"/>
  <c r="H1905" i="3"/>
  <c r="F1905" i="3"/>
  <c r="D1905" i="3"/>
  <c r="N1905" i="3" s="1"/>
  <c r="P1904" i="3"/>
  <c r="K1904" i="3"/>
  <c r="H1904" i="3"/>
  <c r="F1904" i="3"/>
  <c r="D1904" i="3"/>
  <c r="N1904" i="3" s="1"/>
  <c r="P1903" i="3"/>
  <c r="K1903" i="3"/>
  <c r="H1903" i="3"/>
  <c r="F1903" i="3"/>
  <c r="D1903" i="3"/>
  <c r="N1903" i="3" s="1"/>
  <c r="P1902" i="3"/>
  <c r="K1902" i="3"/>
  <c r="H1902" i="3"/>
  <c r="F1902" i="3"/>
  <c r="D1902" i="3"/>
  <c r="P1901" i="3"/>
  <c r="K1901" i="3"/>
  <c r="H1901" i="3"/>
  <c r="F1901" i="3"/>
  <c r="D1901" i="3"/>
  <c r="N1901" i="3" s="1"/>
  <c r="P1900" i="3"/>
  <c r="K1900" i="3"/>
  <c r="H1900" i="3"/>
  <c r="F1900" i="3"/>
  <c r="D1900" i="3"/>
  <c r="N1900" i="3" s="1"/>
  <c r="P1899" i="3"/>
  <c r="K1899" i="3"/>
  <c r="H1899" i="3"/>
  <c r="F1899" i="3"/>
  <c r="D1899" i="3"/>
  <c r="N1899" i="3" s="1"/>
  <c r="P1898" i="3"/>
  <c r="K1898" i="3"/>
  <c r="H1898" i="3"/>
  <c r="F1898" i="3"/>
  <c r="D1898" i="3"/>
  <c r="P1897" i="3"/>
  <c r="K1897" i="3"/>
  <c r="H1897" i="3"/>
  <c r="F1897" i="3"/>
  <c r="D1897" i="3"/>
  <c r="N1897" i="3" s="1"/>
  <c r="P1896" i="3"/>
  <c r="K1896" i="3"/>
  <c r="H1896" i="3"/>
  <c r="F1896" i="3"/>
  <c r="D1896" i="3"/>
  <c r="N1896" i="3" s="1"/>
  <c r="P1895" i="3"/>
  <c r="K1895" i="3"/>
  <c r="H1895" i="3"/>
  <c r="F1895" i="3"/>
  <c r="D1895" i="3"/>
  <c r="N1895" i="3" s="1"/>
  <c r="P1894" i="3"/>
  <c r="K1894" i="3"/>
  <c r="H1894" i="3"/>
  <c r="F1894" i="3"/>
  <c r="D1894" i="3"/>
  <c r="P1893" i="3"/>
  <c r="K1893" i="3"/>
  <c r="H1893" i="3"/>
  <c r="F1893" i="3"/>
  <c r="D1893" i="3"/>
  <c r="N1893" i="3" s="1"/>
  <c r="P1892" i="3"/>
  <c r="K1892" i="3"/>
  <c r="H1892" i="3"/>
  <c r="F1892" i="3"/>
  <c r="D1892" i="3"/>
  <c r="N1892" i="3" s="1"/>
  <c r="P1891" i="3"/>
  <c r="K1891" i="3"/>
  <c r="H1891" i="3"/>
  <c r="F1891" i="3"/>
  <c r="D1891" i="3"/>
  <c r="N1891" i="3" s="1"/>
  <c r="P1890" i="3"/>
  <c r="K1890" i="3"/>
  <c r="H1890" i="3"/>
  <c r="F1890" i="3"/>
  <c r="D1890" i="3"/>
  <c r="P1889" i="3"/>
  <c r="K1889" i="3"/>
  <c r="H1889" i="3"/>
  <c r="F1889" i="3"/>
  <c r="D1889" i="3"/>
  <c r="N1889" i="3" s="1"/>
  <c r="P1888" i="3"/>
  <c r="K1888" i="3"/>
  <c r="H1888" i="3"/>
  <c r="F1888" i="3"/>
  <c r="D1888" i="3"/>
  <c r="N1888" i="3" s="1"/>
  <c r="P1887" i="3"/>
  <c r="K1887" i="3"/>
  <c r="H1887" i="3"/>
  <c r="F1887" i="3"/>
  <c r="D1887" i="3"/>
  <c r="N1887" i="3" s="1"/>
  <c r="P1886" i="3"/>
  <c r="K1886" i="3"/>
  <c r="H1886" i="3"/>
  <c r="F1886" i="3"/>
  <c r="D1886" i="3"/>
  <c r="P1885" i="3"/>
  <c r="K1885" i="3"/>
  <c r="H1885" i="3"/>
  <c r="F1885" i="3"/>
  <c r="D1885" i="3"/>
  <c r="N1885" i="3" s="1"/>
  <c r="P1884" i="3"/>
  <c r="K1884" i="3"/>
  <c r="H1884" i="3"/>
  <c r="F1884" i="3"/>
  <c r="D1884" i="3"/>
  <c r="N1884" i="3" s="1"/>
  <c r="P1883" i="3"/>
  <c r="K1883" i="3"/>
  <c r="H1883" i="3"/>
  <c r="F1883" i="3"/>
  <c r="D1883" i="3"/>
  <c r="N1883" i="3" s="1"/>
  <c r="P1882" i="3"/>
  <c r="K1882" i="3"/>
  <c r="H1882" i="3"/>
  <c r="F1882" i="3"/>
  <c r="D1882" i="3"/>
  <c r="P1881" i="3"/>
  <c r="K1881" i="3"/>
  <c r="H1881" i="3"/>
  <c r="F1881" i="3"/>
  <c r="D1881" i="3"/>
  <c r="N1881" i="3" s="1"/>
  <c r="P1880" i="3"/>
  <c r="K1880" i="3"/>
  <c r="H1880" i="3"/>
  <c r="F1880" i="3"/>
  <c r="D1880" i="3"/>
  <c r="N1880" i="3" s="1"/>
  <c r="P1879" i="3"/>
  <c r="K1879" i="3"/>
  <c r="H1879" i="3"/>
  <c r="F1879" i="3"/>
  <c r="D1879" i="3"/>
  <c r="N1879" i="3" s="1"/>
  <c r="P1878" i="3"/>
  <c r="K1878" i="3"/>
  <c r="H1878" i="3"/>
  <c r="F1878" i="3"/>
  <c r="D1878" i="3"/>
  <c r="P1877" i="3"/>
  <c r="K1877" i="3"/>
  <c r="H1877" i="3"/>
  <c r="F1877" i="3"/>
  <c r="D1877" i="3"/>
  <c r="N1877" i="3" s="1"/>
  <c r="P1876" i="3"/>
  <c r="K1876" i="3"/>
  <c r="H1876" i="3"/>
  <c r="F1876" i="3"/>
  <c r="D1876" i="3"/>
  <c r="N1876" i="3" s="1"/>
  <c r="P1875" i="3"/>
  <c r="K1875" i="3"/>
  <c r="H1875" i="3"/>
  <c r="F1875" i="3"/>
  <c r="D1875" i="3"/>
  <c r="N1875" i="3" s="1"/>
  <c r="P1874" i="3"/>
  <c r="K1874" i="3"/>
  <c r="H1874" i="3"/>
  <c r="F1874" i="3"/>
  <c r="D1874" i="3"/>
  <c r="P1873" i="3"/>
  <c r="K1873" i="3"/>
  <c r="H1873" i="3"/>
  <c r="F1873" i="3"/>
  <c r="D1873" i="3"/>
  <c r="N1873" i="3" s="1"/>
  <c r="P1872" i="3"/>
  <c r="K1872" i="3"/>
  <c r="H1872" i="3"/>
  <c r="F1872" i="3"/>
  <c r="D1872" i="3"/>
  <c r="N1872" i="3" s="1"/>
  <c r="P1871" i="3"/>
  <c r="K1871" i="3"/>
  <c r="H1871" i="3"/>
  <c r="F1871" i="3"/>
  <c r="D1871" i="3"/>
  <c r="P1870" i="3"/>
  <c r="K1870" i="3"/>
  <c r="H1870" i="3"/>
  <c r="F1870" i="3"/>
  <c r="D1870" i="3"/>
  <c r="P1869" i="3"/>
  <c r="K1869" i="3"/>
  <c r="H1869" i="3"/>
  <c r="F1869" i="3"/>
  <c r="D1869" i="3"/>
  <c r="N1869" i="3" s="1"/>
  <c r="P1868" i="3"/>
  <c r="K1868" i="3"/>
  <c r="H1868" i="3"/>
  <c r="F1868" i="3"/>
  <c r="D1868" i="3"/>
  <c r="N1868" i="3" s="1"/>
  <c r="P1867" i="3"/>
  <c r="K1867" i="3"/>
  <c r="H1867" i="3"/>
  <c r="F1867" i="3"/>
  <c r="D1867" i="3"/>
  <c r="P1866" i="3"/>
  <c r="K1866" i="3"/>
  <c r="H1866" i="3"/>
  <c r="F1866" i="3"/>
  <c r="D1866" i="3"/>
  <c r="P1865" i="3"/>
  <c r="K1865" i="3"/>
  <c r="H1865" i="3"/>
  <c r="F1865" i="3"/>
  <c r="D1865" i="3"/>
  <c r="N1865" i="3" s="1"/>
  <c r="P1864" i="3"/>
  <c r="K1864" i="3"/>
  <c r="H1864" i="3"/>
  <c r="F1864" i="3"/>
  <c r="D1864" i="3"/>
  <c r="N1864" i="3" s="1"/>
  <c r="P1863" i="3"/>
  <c r="K1863" i="3"/>
  <c r="H1863" i="3"/>
  <c r="F1863" i="3"/>
  <c r="D1863" i="3"/>
  <c r="P1862" i="3"/>
  <c r="K1862" i="3"/>
  <c r="H1862" i="3"/>
  <c r="F1862" i="3"/>
  <c r="D1862" i="3"/>
  <c r="P1861" i="3"/>
  <c r="K1861" i="3"/>
  <c r="H1861" i="3"/>
  <c r="F1861" i="3"/>
  <c r="D1861" i="3"/>
  <c r="N1861" i="3" s="1"/>
  <c r="P1860" i="3"/>
  <c r="K1860" i="3"/>
  <c r="H1860" i="3"/>
  <c r="F1860" i="3"/>
  <c r="D1860" i="3"/>
  <c r="N1860" i="3" s="1"/>
  <c r="P1859" i="3"/>
  <c r="K1859" i="3"/>
  <c r="H1859" i="3"/>
  <c r="F1859" i="3"/>
  <c r="D1859" i="3"/>
  <c r="P1858" i="3"/>
  <c r="K1858" i="3"/>
  <c r="H1858" i="3"/>
  <c r="F1858" i="3"/>
  <c r="D1858" i="3"/>
  <c r="P1857" i="3"/>
  <c r="K1857" i="3"/>
  <c r="H1857" i="3"/>
  <c r="F1857" i="3"/>
  <c r="D1857" i="3"/>
  <c r="N1857" i="3" s="1"/>
  <c r="P1856" i="3"/>
  <c r="K1856" i="3"/>
  <c r="H1856" i="3"/>
  <c r="F1856" i="3"/>
  <c r="D1856" i="3"/>
  <c r="N1856" i="3" s="1"/>
  <c r="P1855" i="3"/>
  <c r="K1855" i="3"/>
  <c r="H1855" i="3"/>
  <c r="F1855" i="3"/>
  <c r="D1855" i="3"/>
  <c r="P1854" i="3"/>
  <c r="K1854" i="3"/>
  <c r="H1854" i="3"/>
  <c r="F1854" i="3"/>
  <c r="D1854" i="3"/>
  <c r="P1853" i="3"/>
  <c r="K1853" i="3"/>
  <c r="H1853" i="3"/>
  <c r="F1853" i="3"/>
  <c r="D1853" i="3"/>
  <c r="N1853" i="3" s="1"/>
  <c r="P1852" i="3"/>
  <c r="K1852" i="3"/>
  <c r="H1852" i="3"/>
  <c r="F1852" i="3"/>
  <c r="D1852" i="3"/>
  <c r="N1852" i="3" s="1"/>
  <c r="P1851" i="3"/>
  <c r="K1851" i="3"/>
  <c r="H1851" i="3"/>
  <c r="F1851" i="3"/>
  <c r="D1851" i="3"/>
  <c r="P1850" i="3"/>
  <c r="K1850" i="3"/>
  <c r="H1850" i="3"/>
  <c r="F1850" i="3"/>
  <c r="D1850" i="3"/>
  <c r="P1849" i="3"/>
  <c r="K1849" i="3"/>
  <c r="H1849" i="3"/>
  <c r="F1849" i="3"/>
  <c r="D1849" i="3"/>
  <c r="N1849" i="3" s="1"/>
  <c r="P1848" i="3"/>
  <c r="K1848" i="3"/>
  <c r="H1848" i="3"/>
  <c r="F1848" i="3"/>
  <c r="D1848" i="3"/>
  <c r="N1848" i="3" s="1"/>
  <c r="P1847" i="3"/>
  <c r="K1847" i="3"/>
  <c r="H1847" i="3"/>
  <c r="F1847" i="3"/>
  <c r="D1847" i="3"/>
  <c r="P1846" i="3"/>
  <c r="K1846" i="3"/>
  <c r="H1846" i="3"/>
  <c r="F1846" i="3"/>
  <c r="D1846" i="3"/>
  <c r="P1845" i="3"/>
  <c r="K1845" i="3"/>
  <c r="H1845" i="3"/>
  <c r="F1845" i="3"/>
  <c r="D1845" i="3"/>
  <c r="N1845" i="3" s="1"/>
  <c r="P1844" i="3"/>
  <c r="K1844" i="3"/>
  <c r="H1844" i="3"/>
  <c r="F1844" i="3"/>
  <c r="D1844" i="3"/>
  <c r="N1844" i="3" s="1"/>
  <c r="P1843" i="3"/>
  <c r="K1843" i="3"/>
  <c r="H1843" i="3"/>
  <c r="F1843" i="3"/>
  <c r="D1843" i="3"/>
  <c r="P1842" i="3"/>
  <c r="K1842" i="3"/>
  <c r="H1842" i="3"/>
  <c r="F1842" i="3"/>
  <c r="D1842" i="3"/>
  <c r="P1841" i="3"/>
  <c r="K1841" i="3"/>
  <c r="H1841" i="3"/>
  <c r="F1841" i="3"/>
  <c r="D1841" i="3"/>
  <c r="N1841" i="3" s="1"/>
  <c r="P1840" i="3"/>
  <c r="K1840" i="3"/>
  <c r="H1840" i="3"/>
  <c r="F1840" i="3"/>
  <c r="D1840" i="3"/>
  <c r="N1840" i="3" s="1"/>
  <c r="P1839" i="3"/>
  <c r="K1839" i="3"/>
  <c r="H1839" i="3"/>
  <c r="F1839" i="3"/>
  <c r="D1839" i="3"/>
  <c r="P1838" i="3"/>
  <c r="K1838" i="3"/>
  <c r="H1838" i="3"/>
  <c r="F1838" i="3"/>
  <c r="D1838" i="3"/>
  <c r="P1837" i="3"/>
  <c r="K1837" i="3"/>
  <c r="H1837" i="3"/>
  <c r="F1837" i="3"/>
  <c r="D1837" i="3"/>
  <c r="N1837" i="3" s="1"/>
  <c r="P1836" i="3"/>
  <c r="K1836" i="3"/>
  <c r="H1836" i="3"/>
  <c r="F1836" i="3"/>
  <c r="D1836" i="3"/>
  <c r="N1836" i="3" s="1"/>
  <c r="P1835" i="3"/>
  <c r="K1835" i="3"/>
  <c r="H1835" i="3"/>
  <c r="F1835" i="3"/>
  <c r="D1835" i="3"/>
  <c r="P1834" i="3"/>
  <c r="K1834" i="3"/>
  <c r="H1834" i="3"/>
  <c r="F1834" i="3"/>
  <c r="D1834" i="3"/>
  <c r="P1833" i="3"/>
  <c r="K1833" i="3"/>
  <c r="H1833" i="3"/>
  <c r="F1833" i="3"/>
  <c r="D1833" i="3"/>
  <c r="N1833" i="3" s="1"/>
  <c r="P1832" i="3"/>
  <c r="K1832" i="3"/>
  <c r="H1832" i="3"/>
  <c r="F1832" i="3"/>
  <c r="D1832" i="3"/>
  <c r="N1832" i="3" s="1"/>
  <c r="P1831" i="3"/>
  <c r="K1831" i="3"/>
  <c r="H1831" i="3"/>
  <c r="F1831" i="3"/>
  <c r="D1831" i="3"/>
  <c r="P1830" i="3"/>
  <c r="K1830" i="3"/>
  <c r="H1830" i="3"/>
  <c r="F1830" i="3"/>
  <c r="D1830" i="3"/>
  <c r="P1829" i="3"/>
  <c r="K1829" i="3"/>
  <c r="H1829" i="3"/>
  <c r="F1829" i="3"/>
  <c r="D1829" i="3"/>
  <c r="N1829" i="3" s="1"/>
  <c r="P1828" i="3"/>
  <c r="K1828" i="3"/>
  <c r="H1828" i="3"/>
  <c r="F1828" i="3"/>
  <c r="D1828" i="3"/>
  <c r="N1828" i="3" s="1"/>
  <c r="P1827" i="3"/>
  <c r="K1827" i="3"/>
  <c r="H1827" i="3"/>
  <c r="F1827" i="3"/>
  <c r="D1827" i="3"/>
  <c r="P1826" i="3"/>
  <c r="K1826" i="3"/>
  <c r="H1826" i="3"/>
  <c r="F1826" i="3"/>
  <c r="D1826" i="3"/>
  <c r="P1825" i="3"/>
  <c r="K1825" i="3"/>
  <c r="H1825" i="3"/>
  <c r="F1825" i="3"/>
  <c r="D1825" i="3"/>
  <c r="N1825" i="3" s="1"/>
  <c r="P1824" i="3"/>
  <c r="K1824" i="3"/>
  <c r="H1824" i="3"/>
  <c r="F1824" i="3"/>
  <c r="D1824" i="3"/>
  <c r="N1824" i="3" s="1"/>
  <c r="P1823" i="3"/>
  <c r="K1823" i="3"/>
  <c r="H1823" i="3"/>
  <c r="F1823" i="3"/>
  <c r="D1823" i="3"/>
  <c r="P1822" i="3"/>
  <c r="K1822" i="3"/>
  <c r="H1822" i="3"/>
  <c r="F1822" i="3"/>
  <c r="D1822" i="3"/>
  <c r="P1821" i="3"/>
  <c r="K1821" i="3"/>
  <c r="H1821" i="3"/>
  <c r="F1821" i="3"/>
  <c r="D1821" i="3"/>
  <c r="N1821" i="3" s="1"/>
  <c r="P1820" i="3"/>
  <c r="K1820" i="3"/>
  <c r="H1820" i="3"/>
  <c r="F1820" i="3"/>
  <c r="D1820" i="3"/>
  <c r="N1820" i="3" s="1"/>
  <c r="P1819" i="3"/>
  <c r="K1819" i="3"/>
  <c r="H1819" i="3"/>
  <c r="F1819" i="3"/>
  <c r="D1819" i="3"/>
  <c r="P1818" i="3"/>
  <c r="K1818" i="3"/>
  <c r="H1818" i="3"/>
  <c r="F1818" i="3"/>
  <c r="D1818" i="3"/>
  <c r="P1817" i="3"/>
  <c r="K1817" i="3"/>
  <c r="H1817" i="3"/>
  <c r="F1817" i="3"/>
  <c r="D1817" i="3"/>
  <c r="N1817" i="3" s="1"/>
  <c r="P1816" i="3"/>
  <c r="K1816" i="3"/>
  <c r="H1816" i="3"/>
  <c r="F1816" i="3"/>
  <c r="D1816" i="3"/>
  <c r="N1816" i="3" s="1"/>
  <c r="P1815" i="3"/>
  <c r="K1815" i="3"/>
  <c r="H1815" i="3"/>
  <c r="F1815" i="3"/>
  <c r="D1815" i="3"/>
  <c r="P1814" i="3"/>
  <c r="K1814" i="3"/>
  <c r="H1814" i="3"/>
  <c r="F1814" i="3"/>
  <c r="D1814" i="3"/>
  <c r="P1813" i="3"/>
  <c r="K1813" i="3"/>
  <c r="H1813" i="3"/>
  <c r="F1813" i="3"/>
  <c r="D1813" i="3"/>
  <c r="N1813" i="3" s="1"/>
  <c r="P1812" i="3"/>
  <c r="K1812" i="3"/>
  <c r="H1812" i="3"/>
  <c r="F1812" i="3"/>
  <c r="D1812" i="3"/>
  <c r="N1812" i="3" s="1"/>
  <c r="P1811" i="3"/>
  <c r="K1811" i="3"/>
  <c r="H1811" i="3"/>
  <c r="F1811" i="3"/>
  <c r="D1811" i="3"/>
  <c r="N1811" i="3" s="1"/>
  <c r="P1810" i="3"/>
  <c r="K1810" i="3"/>
  <c r="H1810" i="3"/>
  <c r="F1810" i="3"/>
  <c r="D1810" i="3"/>
  <c r="P1809" i="3"/>
  <c r="K1809" i="3"/>
  <c r="H1809" i="3"/>
  <c r="F1809" i="3"/>
  <c r="D1809" i="3"/>
  <c r="N1809" i="3" s="1"/>
  <c r="P1808" i="3"/>
  <c r="K1808" i="3"/>
  <c r="H1808" i="3"/>
  <c r="F1808" i="3"/>
  <c r="D1808" i="3"/>
  <c r="N1808" i="3" s="1"/>
  <c r="P1807" i="3"/>
  <c r="K1807" i="3"/>
  <c r="H1807" i="3"/>
  <c r="F1807" i="3"/>
  <c r="D1807" i="3"/>
  <c r="N1807" i="3" s="1"/>
  <c r="P1806" i="3"/>
  <c r="K1806" i="3"/>
  <c r="H1806" i="3"/>
  <c r="F1806" i="3"/>
  <c r="D1806" i="3"/>
  <c r="P1805" i="3"/>
  <c r="K1805" i="3"/>
  <c r="H1805" i="3"/>
  <c r="F1805" i="3"/>
  <c r="D1805" i="3"/>
  <c r="N1805" i="3" s="1"/>
  <c r="P1804" i="3"/>
  <c r="K1804" i="3"/>
  <c r="H1804" i="3"/>
  <c r="F1804" i="3"/>
  <c r="D1804" i="3"/>
  <c r="N1804" i="3" s="1"/>
  <c r="P1803" i="3"/>
  <c r="K1803" i="3"/>
  <c r="H1803" i="3"/>
  <c r="F1803" i="3"/>
  <c r="D1803" i="3"/>
  <c r="N1803" i="3" s="1"/>
  <c r="P1802" i="3"/>
  <c r="K1802" i="3"/>
  <c r="H1802" i="3"/>
  <c r="F1802" i="3"/>
  <c r="D1802" i="3"/>
  <c r="P1801" i="3"/>
  <c r="K1801" i="3"/>
  <c r="H1801" i="3"/>
  <c r="F1801" i="3"/>
  <c r="D1801" i="3"/>
  <c r="N1801" i="3" s="1"/>
  <c r="P1800" i="3"/>
  <c r="K1800" i="3"/>
  <c r="H1800" i="3"/>
  <c r="F1800" i="3"/>
  <c r="D1800" i="3"/>
  <c r="N1800" i="3" s="1"/>
  <c r="P1799" i="3"/>
  <c r="K1799" i="3"/>
  <c r="H1799" i="3"/>
  <c r="F1799" i="3"/>
  <c r="D1799" i="3"/>
  <c r="N1799" i="3" s="1"/>
  <c r="P1798" i="3"/>
  <c r="K1798" i="3"/>
  <c r="H1798" i="3"/>
  <c r="F1798" i="3"/>
  <c r="D1798" i="3"/>
  <c r="P1797" i="3"/>
  <c r="K1797" i="3"/>
  <c r="H1797" i="3"/>
  <c r="F1797" i="3"/>
  <c r="D1797" i="3"/>
  <c r="N1797" i="3" s="1"/>
  <c r="P1796" i="3"/>
  <c r="K1796" i="3"/>
  <c r="H1796" i="3"/>
  <c r="F1796" i="3"/>
  <c r="D1796" i="3"/>
  <c r="N1796" i="3" s="1"/>
  <c r="P1795" i="3"/>
  <c r="K1795" i="3"/>
  <c r="H1795" i="3"/>
  <c r="F1795" i="3"/>
  <c r="D1795" i="3"/>
  <c r="N1795" i="3" s="1"/>
  <c r="P1794" i="3"/>
  <c r="K1794" i="3"/>
  <c r="H1794" i="3"/>
  <c r="F1794" i="3"/>
  <c r="D1794" i="3"/>
  <c r="P1793" i="3"/>
  <c r="K1793" i="3"/>
  <c r="H1793" i="3"/>
  <c r="F1793" i="3"/>
  <c r="D1793" i="3"/>
  <c r="N1793" i="3" s="1"/>
  <c r="P1792" i="3"/>
  <c r="K1792" i="3"/>
  <c r="H1792" i="3"/>
  <c r="F1792" i="3"/>
  <c r="D1792" i="3"/>
  <c r="N1792" i="3" s="1"/>
  <c r="P1791" i="3"/>
  <c r="K1791" i="3"/>
  <c r="H1791" i="3"/>
  <c r="F1791" i="3"/>
  <c r="D1791" i="3"/>
  <c r="N1791" i="3" s="1"/>
  <c r="P1790" i="3"/>
  <c r="K1790" i="3"/>
  <c r="H1790" i="3"/>
  <c r="F1790" i="3"/>
  <c r="D1790" i="3"/>
  <c r="P1789" i="3"/>
  <c r="K1789" i="3"/>
  <c r="H1789" i="3"/>
  <c r="F1789" i="3"/>
  <c r="D1789" i="3"/>
  <c r="N1789" i="3" s="1"/>
  <c r="P1788" i="3"/>
  <c r="K1788" i="3"/>
  <c r="H1788" i="3"/>
  <c r="F1788" i="3"/>
  <c r="D1788" i="3"/>
  <c r="N1788" i="3" s="1"/>
  <c r="P1787" i="3"/>
  <c r="K1787" i="3"/>
  <c r="H1787" i="3"/>
  <c r="F1787" i="3"/>
  <c r="D1787" i="3"/>
  <c r="N1787" i="3" s="1"/>
  <c r="P1786" i="3"/>
  <c r="K1786" i="3"/>
  <c r="H1786" i="3"/>
  <c r="F1786" i="3"/>
  <c r="D1786" i="3"/>
  <c r="P1785" i="3"/>
  <c r="K1785" i="3"/>
  <c r="H1785" i="3"/>
  <c r="F1785" i="3"/>
  <c r="D1785" i="3"/>
  <c r="N1785" i="3" s="1"/>
  <c r="P1784" i="3"/>
  <c r="K1784" i="3"/>
  <c r="H1784" i="3"/>
  <c r="F1784" i="3"/>
  <c r="D1784" i="3"/>
  <c r="N1784" i="3" s="1"/>
  <c r="P1783" i="3"/>
  <c r="K1783" i="3"/>
  <c r="H1783" i="3"/>
  <c r="F1783" i="3"/>
  <c r="D1783" i="3"/>
  <c r="N1783" i="3" s="1"/>
  <c r="P1782" i="3"/>
  <c r="K1782" i="3"/>
  <c r="H1782" i="3"/>
  <c r="F1782" i="3"/>
  <c r="D1782" i="3"/>
  <c r="P1781" i="3"/>
  <c r="K1781" i="3"/>
  <c r="H1781" i="3"/>
  <c r="F1781" i="3"/>
  <c r="D1781" i="3"/>
  <c r="N1781" i="3" s="1"/>
  <c r="P1780" i="3"/>
  <c r="K1780" i="3"/>
  <c r="H1780" i="3"/>
  <c r="F1780" i="3"/>
  <c r="D1780" i="3"/>
  <c r="N1780" i="3" s="1"/>
  <c r="P1779" i="3"/>
  <c r="K1779" i="3"/>
  <c r="H1779" i="3"/>
  <c r="F1779" i="3"/>
  <c r="D1779" i="3"/>
  <c r="N1779" i="3" s="1"/>
  <c r="P1778" i="3"/>
  <c r="K1778" i="3"/>
  <c r="H1778" i="3"/>
  <c r="F1778" i="3"/>
  <c r="D1778" i="3"/>
  <c r="P1777" i="3"/>
  <c r="K1777" i="3"/>
  <c r="H1777" i="3"/>
  <c r="F1777" i="3"/>
  <c r="D1777" i="3"/>
  <c r="N1777" i="3" s="1"/>
  <c r="P1776" i="3"/>
  <c r="K1776" i="3"/>
  <c r="H1776" i="3"/>
  <c r="F1776" i="3"/>
  <c r="D1776" i="3"/>
  <c r="N1776" i="3" s="1"/>
  <c r="P1775" i="3"/>
  <c r="K1775" i="3"/>
  <c r="H1775" i="3"/>
  <c r="F1775" i="3"/>
  <c r="D1775" i="3"/>
  <c r="N1775" i="3" s="1"/>
  <c r="P1774" i="3"/>
  <c r="K1774" i="3"/>
  <c r="H1774" i="3"/>
  <c r="F1774" i="3"/>
  <c r="D1774" i="3"/>
  <c r="P1773" i="3"/>
  <c r="K1773" i="3"/>
  <c r="H1773" i="3"/>
  <c r="F1773" i="3"/>
  <c r="D1773" i="3"/>
  <c r="N1773" i="3" s="1"/>
  <c r="P1772" i="3"/>
  <c r="K1772" i="3"/>
  <c r="H1772" i="3"/>
  <c r="F1772" i="3"/>
  <c r="D1772" i="3"/>
  <c r="N1772" i="3" s="1"/>
  <c r="P1771" i="3"/>
  <c r="K1771" i="3"/>
  <c r="H1771" i="3"/>
  <c r="F1771" i="3"/>
  <c r="D1771" i="3"/>
  <c r="N1771" i="3" s="1"/>
  <c r="P1770" i="3"/>
  <c r="K1770" i="3"/>
  <c r="H1770" i="3"/>
  <c r="F1770" i="3"/>
  <c r="D1770" i="3"/>
  <c r="P1769" i="3"/>
  <c r="K1769" i="3"/>
  <c r="H1769" i="3"/>
  <c r="F1769" i="3"/>
  <c r="D1769" i="3"/>
  <c r="N1769" i="3" s="1"/>
  <c r="P1768" i="3"/>
  <c r="K1768" i="3"/>
  <c r="H1768" i="3"/>
  <c r="F1768" i="3"/>
  <c r="D1768" i="3"/>
  <c r="N1768" i="3" s="1"/>
  <c r="P1767" i="3"/>
  <c r="K1767" i="3"/>
  <c r="H1767" i="3"/>
  <c r="F1767" i="3"/>
  <c r="D1767" i="3"/>
  <c r="N1767" i="3" s="1"/>
  <c r="P1766" i="3"/>
  <c r="K1766" i="3"/>
  <c r="H1766" i="3"/>
  <c r="F1766" i="3"/>
  <c r="D1766" i="3"/>
  <c r="P1765" i="3"/>
  <c r="K1765" i="3"/>
  <c r="H1765" i="3"/>
  <c r="F1765" i="3"/>
  <c r="D1765" i="3"/>
  <c r="P1764" i="3"/>
  <c r="K1764" i="3"/>
  <c r="H1764" i="3"/>
  <c r="F1764" i="3"/>
  <c r="D1764" i="3"/>
  <c r="N1764" i="3" s="1"/>
  <c r="P1763" i="3"/>
  <c r="K1763" i="3"/>
  <c r="H1763" i="3"/>
  <c r="F1763" i="3"/>
  <c r="D1763" i="3"/>
  <c r="P1762" i="3"/>
  <c r="K1762" i="3"/>
  <c r="H1762" i="3"/>
  <c r="F1762" i="3"/>
  <c r="D1762" i="3"/>
  <c r="P1761" i="3"/>
  <c r="K1761" i="3"/>
  <c r="H1761" i="3"/>
  <c r="F1761" i="3"/>
  <c r="D1761" i="3"/>
  <c r="N1761" i="3" s="1"/>
  <c r="P1760" i="3"/>
  <c r="K1760" i="3"/>
  <c r="H1760" i="3"/>
  <c r="F1760" i="3"/>
  <c r="D1760" i="3"/>
  <c r="P1759" i="3"/>
  <c r="K1759" i="3"/>
  <c r="H1759" i="3"/>
  <c r="F1759" i="3"/>
  <c r="D1759" i="3"/>
  <c r="P1758" i="3"/>
  <c r="K1758" i="3"/>
  <c r="H1758" i="3"/>
  <c r="F1758" i="3"/>
  <c r="D1758" i="3"/>
  <c r="N1758" i="3" s="1"/>
  <c r="P1757" i="3"/>
  <c r="K1757" i="3"/>
  <c r="H1757" i="3"/>
  <c r="F1757" i="3"/>
  <c r="D1757" i="3"/>
  <c r="N1757" i="3" s="1"/>
  <c r="P1756" i="3"/>
  <c r="K1756" i="3"/>
  <c r="H1756" i="3"/>
  <c r="F1756" i="3"/>
  <c r="D1756" i="3"/>
  <c r="P1755" i="3"/>
  <c r="K1755" i="3"/>
  <c r="H1755" i="3"/>
  <c r="F1755" i="3"/>
  <c r="D1755" i="3"/>
  <c r="P1754" i="3"/>
  <c r="K1754" i="3"/>
  <c r="H1754" i="3"/>
  <c r="F1754" i="3"/>
  <c r="D1754" i="3"/>
  <c r="N1754" i="3" s="1"/>
  <c r="P1753" i="3"/>
  <c r="K1753" i="3"/>
  <c r="H1753" i="3"/>
  <c r="F1753" i="3"/>
  <c r="D1753" i="3"/>
  <c r="N1753" i="3" s="1"/>
  <c r="P1752" i="3"/>
  <c r="K1752" i="3"/>
  <c r="H1752" i="3"/>
  <c r="F1752" i="3"/>
  <c r="D1752" i="3"/>
  <c r="P1751" i="3"/>
  <c r="K1751" i="3"/>
  <c r="H1751" i="3"/>
  <c r="F1751" i="3"/>
  <c r="D1751" i="3"/>
  <c r="P1750" i="3"/>
  <c r="K1750" i="3"/>
  <c r="H1750" i="3"/>
  <c r="F1750" i="3"/>
  <c r="D1750" i="3"/>
  <c r="N1750" i="3" s="1"/>
  <c r="P1749" i="3"/>
  <c r="K1749" i="3"/>
  <c r="H1749" i="3"/>
  <c r="F1749" i="3"/>
  <c r="D1749" i="3"/>
  <c r="N1749" i="3" s="1"/>
  <c r="P1748" i="3"/>
  <c r="K1748" i="3"/>
  <c r="H1748" i="3"/>
  <c r="F1748" i="3"/>
  <c r="D1748" i="3"/>
  <c r="P1747" i="3"/>
  <c r="K1747" i="3"/>
  <c r="H1747" i="3"/>
  <c r="F1747" i="3"/>
  <c r="D1747" i="3"/>
  <c r="P1746" i="3"/>
  <c r="K1746" i="3"/>
  <c r="H1746" i="3"/>
  <c r="F1746" i="3"/>
  <c r="D1746" i="3"/>
  <c r="N1746" i="3" s="1"/>
  <c r="P1745" i="3"/>
  <c r="K1745" i="3"/>
  <c r="H1745" i="3"/>
  <c r="F1745" i="3"/>
  <c r="D1745" i="3"/>
  <c r="N1745" i="3" s="1"/>
  <c r="P1744" i="3"/>
  <c r="K1744" i="3"/>
  <c r="H1744" i="3"/>
  <c r="F1744" i="3"/>
  <c r="D1744" i="3"/>
  <c r="P1743" i="3"/>
  <c r="K1743" i="3"/>
  <c r="H1743" i="3"/>
  <c r="F1743" i="3"/>
  <c r="D1743" i="3"/>
  <c r="P1742" i="3"/>
  <c r="K1742" i="3"/>
  <c r="H1742" i="3"/>
  <c r="F1742" i="3"/>
  <c r="D1742" i="3"/>
  <c r="N1742" i="3" s="1"/>
  <c r="P1741" i="3"/>
  <c r="K1741" i="3"/>
  <c r="H1741" i="3"/>
  <c r="F1741" i="3"/>
  <c r="D1741" i="3"/>
  <c r="N1741" i="3" s="1"/>
  <c r="P1740" i="3"/>
  <c r="K1740" i="3"/>
  <c r="H1740" i="3"/>
  <c r="F1740" i="3"/>
  <c r="D1740" i="3"/>
  <c r="P1739" i="3"/>
  <c r="K1739" i="3"/>
  <c r="H1739" i="3"/>
  <c r="F1739" i="3"/>
  <c r="D1739" i="3"/>
  <c r="P1738" i="3"/>
  <c r="K1738" i="3"/>
  <c r="H1738" i="3"/>
  <c r="F1738" i="3"/>
  <c r="D1738" i="3"/>
  <c r="N1738" i="3" s="1"/>
  <c r="P1737" i="3"/>
  <c r="K1737" i="3"/>
  <c r="H1737" i="3"/>
  <c r="F1737" i="3"/>
  <c r="D1737" i="3"/>
  <c r="N1737" i="3" s="1"/>
  <c r="P1736" i="3"/>
  <c r="K1736" i="3"/>
  <c r="H1736" i="3"/>
  <c r="F1736" i="3"/>
  <c r="D1736" i="3"/>
  <c r="N1736" i="3" s="1"/>
  <c r="P1735" i="3"/>
  <c r="K1735" i="3"/>
  <c r="H1735" i="3"/>
  <c r="F1735" i="3"/>
  <c r="D1735" i="3"/>
  <c r="P1734" i="3"/>
  <c r="K1734" i="3"/>
  <c r="H1734" i="3"/>
  <c r="F1734" i="3"/>
  <c r="D1734" i="3"/>
  <c r="P1733" i="3"/>
  <c r="K1733" i="3"/>
  <c r="H1733" i="3"/>
  <c r="F1733" i="3"/>
  <c r="D1733" i="3"/>
  <c r="N1733" i="3" s="1"/>
  <c r="P1732" i="3"/>
  <c r="K1732" i="3"/>
  <c r="H1732" i="3"/>
  <c r="F1732" i="3"/>
  <c r="D1732" i="3"/>
  <c r="P1731" i="3"/>
  <c r="K1731" i="3"/>
  <c r="H1731" i="3"/>
  <c r="F1731" i="3"/>
  <c r="D1731" i="3"/>
  <c r="P1730" i="3"/>
  <c r="K1730" i="3"/>
  <c r="H1730" i="3"/>
  <c r="F1730" i="3"/>
  <c r="D1730" i="3"/>
  <c r="N1730" i="3" s="1"/>
  <c r="P1729" i="3"/>
  <c r="K1729" i="3"/>
  <c r="H1729" i="3"/>
  <c r="F1729" i="3"/>
  <c r="D1729" i="3"/>
  <c r="N1729" i="3" s="1"/>
  <c r="P1728" i="3"/>
  <c r="K1728" i="3"/>
  <c r="H1728" i="3"/>
  <c r="F1728" i="3"/>
  <c r="D1728" i="3"/>
  <c r="N1728" i="3" s="1"/>
  <c r="P1727" i="3"/>
  <c r="K1727" i="3"/>
  <c r="H1727" i="3"/>
  <c r="F1727" i="3"/>
  <c r="D1727" i="3"/>
  <c r="P1726" i="3"/>
  <c r="K1726" i="3"/>
  <c r="H1726" i="3"/>
  <c r="F1726" i="3"/>
  <c r="D1726" i="3"/>
  <c r="P1725" i="3"/>
  <c r="K1725" i="3"/>
  <c r="H1725" i="3"/>
  <c r="F1725" i="3"/>
  <c r="D1725" i="3"/>
  <c r="N1725" i="3" s="1"/>
  <c r="P1724" i="3"/>
  <c r="K1724" i="3"/>
  <c r="H1724" i="3"/>
  <c r="F1724" i="3"/>
  <c r="D1724" i="3"/>
  <c r="P1723" i="3"/>
  <c r="K1723" i="3"/>
  <c r="H1723" i="3"/>
  <c r="F1723" i="3"/>
  <c r="D1723" i="3"/>
  <c r="P1722" i="3"/>
  <c r="K1722" i="3"/>
  <c r="H1722" i="3"/>
  <c r="F1722" i="3"/>
  <c r="D1722" i="3"/>
  <c r="N1722" i="3" s="1"/>
  <c r="P1721" i="3"/>
  <c r="K1721" i="3"/>
  <c r="H1721" i="3"/>
  <c r="F1721" i="3"/>
  <c r="D1721" i="3"/>
  <c r="N1721" i="3" s="1"/>
  <c r="P1720" i="3"/>
  <c r="K1720" i="3"/>
  <c r="H1720" i="3"/>
  <c r="F1720" i="3"/>
  <c r="D1720" i="3"/>
  <c r="N1720" i="3" s="1"/>
  <c r="P1719" i="3"/>
  <c r="K1719" i="3"/>
  <c r="H1719" i="3"/>
  <c r="F1719" i="3"/>
  <c r="D1719" i="3"/>
  <c r="P1718" i="3"/>
  <c r="K1718" i="3"/>
  <c r="H1718" i="3"/>
  <c r="F1718" i="3"/>
  <c r="D1718" i="3"/>
  <c r="P1717" i="3"/>
  <c r="K1717" i="3"/>
  <c r="H1717" i="3"/>
  <c r="F1717" i="3"/>
  <c r="D1717" i="3"/>
  <c r="N1717" i="3" s="1"/>
  <c r="P1716" i="3"/>
  <c r="K1716" i="3"/>
  <c r="H1716" i="3"/>
  <c r="F1716" i="3"/>
  <c r="D1716" i="3"/>
  <c r="P1715" i="3"/>
  <c r="K1715" i="3"/>
  <c r="H1715" i="3"/>
  <c r="F1715" i="3"/>
  <c r="D1715" i="3"/>
  <c r="P1714" i="3"/>
  <c r="K1714" i="3"/>
  <c r="H1714" i="3"/>
  <c r="F1714" i="3"/>
  <c r="D1714" i="3"/>
  <c r="N1714" i="3" s="1"/>
  <c r="P1713" i="3"/>
  <c r="K1713" i="3"/>
  <c r="H1713" i="3"/>
  <c r="F1713" i="3"/>
  <c r="D1713" i="3"/>
  <c r="N1713" i="3" s="1"/>
  <c r="P1712" i="3"/>
  <c r="K1712" i="3"/>
  <c r="H1712" i="3"/>
  <c r="F1712" i="3"/>
  <c r="D1712" i="3"/>
  <c r="N1712" i="3" s="1"/>
  <c r="P1711" i="3"/>
  <c r="K1711" i="3"/>
  <c r="H1711" i="3"/>
  <c r="F1711" i="3"/>
  <c r="D1711" i="3"/>
  <c r="P1710" i="3"/>
  <c r="K1710" i="3"/>
  <c r="H1710" i="3"/>
  <c r="F1710" i="3"/>
  <c r="D1710" i="3"/>
  <c r="P1709" i="3"/>
  <c r="K1709" i="3"/>
  <c r="H1709" i="3"/>
  <c r="F1709" i="3"/>
  <c r="D1709" i="3"/>
  <c r="N1709" i="3" s="1"/>
  <c r="P1708" i="3"/>
  <c r="K1708" i="3"/>
  <c r="H1708" i="3"/>
  <c r="F1708" i="3"/>
  <c r="D1708" i="3"/>
  <c r="P1707" i="3"/>
  <c r="K1707" i="3"/>
  <c r="H1707" i="3"/>
  <c r="F1707" i="3"/>
  <c r="D1707" i="3"/>
  <c r="P1706" i="3"/>
  <c r="K1706" i="3"/>
  <c r="H1706" i="3"/>
  <c r="F1706" i="3"/>
  <c r="D1706" i="3"/>
  <c r="N1706" i="3" s="1"/>
  <c r="P1705" i="3"/>
  <c r="K1705" i="3"/>
  <c r="H1705" i="3"/>
  <c r="F1705" i="3"/>
  <c r="D1705" i="3"/>
  <c r="N1705" i="3" s="1"/>
  <c r="P1704" i="3"/>
  <c r="K1704" i="3"/>
  <c r="H1704" i="3"/>
  <c r="F1704" i="3"/>
  <c r="D1704" i="3"/>
  <c r="N1704" i="3" s="1"/>
  <c r="P1703" i="3"/>
  <c r="K1703" i="3"/>
  <c r="H1703" i="3"/>
  <c r="F1703" i="3"/>
  <c r="D1703" i="3"/>
  <c r="P1702" i="3"/>
  <c r="K1702" i="3"/>
  <c r="H1702" i="3"/>
  <c r="F1702" i="3"/>
  <c r="D1702" i="3"/>
  <c r="P1701" i="3"/>
  <c r="K1701" i="3"/>
  <c r="H1701" i="3"/>
  <c r="F1701" i="3"/>
  <c r="D1701" i="3"/>
  <c r="N1701" i="3" s="1"/>
  <c r="P1700" i="3"/>
  <c r="K1700" i="3"/>
  <c r="H1700" i="3"/>
  <c r="F1700" i="3"/>
  <c r="D1700" i="3"/>
  <c r="P1699" i="3"/>
  <c r="K1699" i="3"/>
  <c r="H1699" i="3"/>
  <c r="F1699" i="3"/>
  <c r="D1699" i="3"/>
  <c r="P1698" i="3"/>
  <c r="K1698" i="3"/>
  <c r="H1698" i="3"/>
  <c r="F1698" i="3"/>
  <c r="D1698" i="3"/>
  <c r="N1698" i="3" s="1"/>
  <c r="P1697" i="3"/>
  <c r="K1697" i="3"/>
  <c r="H1697" i="3"/>
  <c r="F1697" i="3"/>
  <c r="D1697" i="3"/>
  <c r="N1697" i="3" s="1"/>
  <c r="P1696" i="3"/>
  <c r="K1696" i="3"/>
  <c r="H1696" i="3"/>
  <c r="F1696" i="3"/>
  <c r="D1696" i="3"/>
  <c r="N1696" i="3" s="1"/>
  <c r="P1695" i="3"/>
  <c r="K1695" i="3"/>
  <c r="H1695" i="3"/>
  <c r="F1695" i="3"/>
  <c r="D1695" i="3"/>
  <c r="N1695" i="3" s="1"/>
  <c r="P1694" i="3"/>
  <c r="K1694" i="3"/>
  <c r="H1694" i="3"/>
  <c r="F1694" i="3"/>
  <c r="D1694" i="3"/>
  <c r="P1693" i="3"/>
  <c r="K1693" i="3"/>
  <c r="H1693" i="3"/>
  <c r="F1693" i="3"/>
  <c r="D1693" i="3"/>
  <c r="P1692" i="3"/>
  <c r="K1692" i="3"/>
  <c r="H1692" i="3"/>
  <c r="F1692" i="3"/>
  <c r="D1692" i="3"/>
  <c r="N1692" i="3" s="1"/>
  <c r="P1691" i="3"/>
  <c r="K1691" i="3"/>
  <c r="H1691" i="3"/>
  <c r="F1691" i="3"/>
  <c r="D1691" i="3"/>
  <c r="N1691" i="3" s="1"/>
  <c r="P1690" i="3"/>
  <c r="K1690" i="3"/>
  <c r="H1690" i="3"/>
  <c r="F1690" i="3"/>
  <c r="D1690" i="3"/>
  <c r="P1689" i="3"/>
  <c r="K1689" i="3"/>
  <c r="H1689" i="3"/>
  <c r="F1689" i="3"/>
  <c r="D1689" i="3"/>
  <c r="P1688" i="3"/>
  <c r="K1688" i="3"/>
  <c r="H1688" i="3"/>
  <c r="F1688" i="3"/>
  <c r="D1688" i="3"/>
  <c r="N1688" i="3" s="1"/>
  <c r="P1687" i="3"/>
  <c r="K1687" i="3"/>
  <c r="H1687" i="3"/>
  <c r="F1687" i="3"/>
  <c r="D1687" i="3"/>
  <c r="N1687" i="3" s="1"/>
  <c r="P1686" i="3"/>
  <c r="K1686" i="3"/>
  <c r="H1686" i="3"/>
  <c r="F1686" i="3"/>
  <c r="D1686" i="3"/>
  <c r="P1685" i="3"/>
  <c r="K1685" i="3"/>
  <c r="H1685" i="3"/>
  <c r="F1685" i="3"/>
  <c r="D1685" i="3"/>
  <c r="P1684" i="3"/>
  <c r="K1684" i="3"/>
  <c r="H1684" i="3"/>
  <c r="F1684" i="3"/>
  <c r="D1684" i="3"/>
  <c r="N1684" i="3" s="1"/>
  <c r="P1683" i="3"/>
  <c r="K1683" i="3"/>
  <c r="H1683" i="3"/>
  <c r="F1683" i="3"/>
  <c r="D1683" i="3"/>
  <c r="N1683" i="3" s="1"/>
  <c r="P1682" i="3"/>
  <c r="K1682" i="3"/>
  <c r="H1682" i="3"/>
  <c r="F1682" i="3"/>
  <c r="D1682" i="3"/>
  <c r="P1681" i="3"/>
  <c r="K1681" i="3"/>
  <c r="H1681" i="3"/>
  <c r="F1681" i="3"/>
  <c r="D1681" i="3"/>
  <c r="P1680" i="3"/>
  <c r="K1680" i="3"/>
  <c r="H1680" i="3"/>
  <c r="F1680" i="3"/>
  <c r="D1680" i="3"/>
  <c r="N1680" i="3" s="1"/>
  <c r="P1679" i="3"/>
  <c r="K1679" i="3"/>
  <c r="H1679" i="3"/>
  <c r="F1679" i="3"/>
  <c r="D1679" i="3"/>
  <c r="N1679" i="3" s="1"/>
  <c r="P1678" i="3"/>
  <c r="K1678" i="3"/>
  <c r="H1678" i="3"/>
  <c r="F1678" i="3"/>
  <c r="D1678" i="3"/>
  <c r="P1677" i="3"/>
  <c r="K1677" i="3"/>
  <c r="H1677" i="3"/>
  <c r="F1677" i="3"/>
  <c r="D1677" i="3"/>
  <c r="P1676" i="3"/>
  <c r="K1676" i="3"/>
  <c r="H1676" i="3"/>
  <c r="F1676" i="3"/>
  <c r="D1676" i="3"/>
  <c r="N1676" i="3" s="1"/>
  <c r="P1675" i="3"/>
  <c r="K1675" i="3"/>
  <c r="H1675" i="3"/>
  <c r="F1675" i="3"/>
  <c r="D1675" i="3"/>
  <c r="N1675" i="3" s="1"/>
  <c r="P1674" i="3"/>
  <c r="K1674" i="3"/>
  <c r="H1674" i="3"/>
  <c r="F1674" i="3"/>
  <c r="D1674" i="3"/>
  <c r="P1673" i="3"/>
  <c r="K1673" i="3"/>
  <c r="H1673" i="3"/>
  <c r="F1673" i="3"/>
  <c r="D1673" i="3"/>
  <c r="P1672" i="3"/>
  <c r="K1672" i="3"/>
  <c r="H1672" i="3"/>
  <c r="F1672" i="3"/>
  <c r="D1672" i="3"/>
  <c r="N1672" i="3" s="1"/>
  <c r="P1671" i="3"/>
  <c r="K1671" i="3"/>
  <c r="H1671" i="3"/>
  <c r="F1671" i="3"/>
  <c r="D1671" i="3"/>
  <c r="N1671" i="3" s="1"/>
  <c r="P1670" i="3"/>
  <c r="K1670" i="3"/>
  <c r="H1670" i="3"/>
  <c r="F1670" i="3"/>
  <c r="D1670" i="3"/>
  <c r="P1669" i="3"/>
  <c r="K1669" i="3"/>
  <c r="H1669" i="3"/>
  <c r="F1669" i="3"/>
  <c r="D1669" i="3"/>
  <c r="P1668" i="3"/>
  <c r="K1668" i="3"/>
  <c r="H1668" i="3"/>
  <c r="F1668" i="3"/>
  <c r="D1668" i="3"/>
  <c r="N1668" i="3" s="1"/>
  <c r="P1667" i="3"/>
  <c r="K1667" i="3"/>
  <c r="H1667" i="3"/>
  <c r="F1667" i="3"/>
  <c r="D1667" i="3"/>
  <c r="N1667" i="3" s="1"/>
  <c r="P1666" i="3"/>
  <c r="K1666" i="3"/>
  <c r="H1666" i="3"/>
  <c r="F1666" i="3"/>
  <c r="D1666" i="3"/>
  <c r="P1665" i="3"/>
  <c r="K1665" i="3"/>
  <c r="H1665" i="3"/>
  <c r="F1665" i="3"/>
  <c r="D1665" i="3"/>
  <c r="P1664" i="3"/>
  <c r="K1664" i="3"/>
  <c r="H1664" i="3"/>
  <c r="F1664" i="3"/>
  <c r="D1664" i="3"/>
  <c r="N1664" i="3" s="1"/>
  <c r="P1663" i="3"/>
  <c r="K1663" i="3"/>
  <c r="H1663" i="3"/>
  <c r="F1663" i="3"/>
  <c r="D1663" i="3"/>
  <c r="N1663" i="3" s="1"/>
  <c r="P1662" i="3"/>
  <c r="K1662" i="3"/>
  <c r="H1662" i="3"/>
  <c r="F1662" i="3"/>
  <c r="D1662" i="3"/>
  <c r="P1661" i="3"/>
  <c r="K1661" i="3"/>
  <c r="H1661" i="3"/>
  <c r="F1661" i="3"/>
  <c r="D1661" i="3"/>
  <c r="P1660" i="3"/>
  <c r="K1660" i="3"/>
  <c r="H1660" i="3"/>
  <c r="F1660" i="3"/>
  <c r="D1660" i="3"/>
  <c r="N1660" i="3" s="1"/>
  <c r="P1659" i="3"/>
  <c r="K1659" i="3"/>
  <c r="H1659" i="3"/>
  <c r="F1659" i="3"/>
  <c r="D1659" i="3"/>
  <c r="N1659" i="3" s="1"/>
  <c r="P1658" i="3"/>
  <c r="K1658" i="3"/>
  <c r="H1658" i="3"/>
  <c r="F1658" i="3"/>
  <c r="D1658" i="3"/>
  <c r="P1657" i="3"/>
  <c r="K1657" i="3"/>
  <c r="H1657" i="3"/>
  <c r="F1657" i="3"/>
  <c r="D1657" i="3"/>
  <c r="P1656" i="3"/>
  <c r="K1656" i="3"/>
  <c r="H1656" i="3"/>
  <c r="F1656" i="3"/>
  <c r="D1656" i="3"/>
  <c r="N1656" i="3" s="1"/>
  <c r="P1655" i="3"/>
  <c r="K1655" i="3"/>
  <c r="H1655" i="3"/>
  <c r="F1655" i="3"/>
  <c r="D1655" i="3"/>
  <c r="N1655" i="3" s="1"/>
  <c r="P1654" i="3"/>
  <c r="K1654" i="3"/>
  <c r="H1654" i="3"/>
  <c r="F1654" i="3"/>
  <c r="D1654" i="3"/>
  <c r="P1653" i="3"/>
  <c r="K1653" i="3"/>
  <c r="H1653" i="3"/>
  <c r="F1653" i="3"/>
  <c r="D1653" i="3"/>
  <c r="P1652" i="3"/>
  <c r="K1652" i="3"/>
  <c r="H1652" i="3"/>
  <c r="F1652" i="3"/>
  <c r="D1652" i="3"/>
  <c r="N1652" i="3" s="1"/>
  <c r="P1651" i="3"/>
  <c r="K1651" i="3"/>
  <c r="H1651" i="3"/>
  <c r="F1651" i="3"/>
  <c r="D1651" i="3"/>
  <c r="N1651" i="3" s="1"/>
  <c r="P1650" i="3"/>
  <c r="K1650" i="3"/>
  <c r="H1650" i="3"/>
  <c r="F1650" i="3"/>
  <c r="D1650" i="3"/>
  <c r="P1649" i="3"/>
  <c r="K1649" i="3"/>
  <c r="H1649" i="3"/>
  <c r="F1649" i="3"/>
  <c r="D1649" i="3"/>
  <c r="P1648" i="3"/>
  <c r="K1648" i="3"/>
  <c r="H1648" i="3"/>
  <c r="F1648" i="3"/>
  <c r="D1648" i="3"/>
  <c r="N1648" i="3" s="1"/>
  <c r="P1647" i="3"/>
  <c r="K1647" i="3"/>
  <c r="H1647" i="3"/>
  <c r="F1647" i="3"/>
  <c r="D1647" i="3"/>
  <c r="N1647" i="3" s="1"/>
  <c r="P1646" i="3"/>
  <c r="K1646" i="3"/>
  <c r="H1646" i="3"/>
  <c r="F1646" i="3"/>
  <c r="D1646" i="3"/>
  <c r="P1645" i="3"/>
  <c r="K1645" i="3"/>
  <c r="H1645" i="3"/>
  <c r="F1645" i="3"/>
  <c r="D1645" i="3"/>
  <c r="P1644" i="3"/>
  <c r="K1644" i="3"/>
  <c r="H1644" i="3"/>
  <c r="F1644" i="3"/>
  <c r="D1644" i="3"/>
  <c r="N1644" i="3" s="1"/>
  <c r="P1643" i="3"/>
  <c r="K1643" i="3"/>
  <c r="H1643" i="3"/>
  <c r="F1643" i="3"/>
  <c r="D1643" i="3"/>
  <c r="N1643" i="3" s="1"/>
  <c r="P1642" i="3"/>
  <c r="K1642" i="3"/>
  <c r="H1642" i="3"/>
  <c r="F1642" i="3"/>
  <c r="D1642" i="3"/>
  <c r="P1641" i="3"/>
  <c r="K1641" i="3"/>
  <c r="H1641" i="3"/>
  <c r="F1641" i="3"/>
  <c r="D1641" i="3"/>
  <c r="P1640" i="3"/>
  <c r="K1640" i="3"/>
  <c r="H1640" i="3"/>
  <c r="F1640" i="3"/>
  <c r="D1640" i="3"/>
  <c r="N1640" i="3" s="1"/>
  <c r="P1639" i="3"/>
  <c r="K1639" i="3"/>
  <c r="H1639" i="3"/>
  <c r="F1639" i="3"/>
  <c r="D1639" i="3"/>
  <c r="N1639" i="3" s="1"/>
  <c r="P1638" i="3"/>
  <c r="K1638" i="3"/>
  <c r="H1638" i="3"/>
  <c r="F1638" i="3"/>
  <c r="D1638" i="3"/>
  <c r="P1637" i="3"/>
  <c r="K1637" i="3"/>
  <c r="H1637" i="3"/>
  <c r="F1637" i="3"/>
  <c r="D1637" i="3"/>
  <c r="P1636" i="3"/>
  <c r="K1636" i="3"/>
  <c r="H1636" i="3"/>
  <c r="F1636" i="3"/>
  <c r="D1636" i="3"/>
  <c r="N1636" i="3" s="1"/>
  <c r="P1635" i="3"/>
  <c r="K1635" i="3"/>
  <c r="H1635" i="3"/>
  <c r="F1635" i="3"/>
  <c r="D1635" i="3"/>
  <c r="N1635" i="3" s="1"/>
  <c r="P1634" i="3"/>
  <c r="K1634" i="3"/>
  <c r="H1634" i="3"/>
  <c r="F1634" i="3"/>
  <c r="D1634" i="3"/>
  <c r="P1633" i="3"/>
  <c r="K1633" i="3"/>
  <c r="H1633" i="3"/>
  <c r="F1633" i="3"/>
  <c r="D1633" i="3"/>
  <c r="P1632" i="3"/>
  <c r="K1632" i="3"/>
  <c r="H1632" i="3"/>
  <c r="F1632" i="3"/>
  <c r="D1632" i="3"/>
  <c r="N1632" i="3" s="1"/>
  <c r="P1631" i="3"/>
  <c r="K1631" i="3"/>
  <c r="H1631" i="3"/>
  <c r="F1631" i="3"/>
  <c r="D1631" i="3"/>
  <c r="N1631" i="3" s="1"/>
  <c r="P1630" i="3"/>
  <c r="K1630" i="3"/>
  <c r="H1630" i="3"/>
  <c r="F1630" i="3"/>
  <c r="D1630" i="3"/>
  <c r="P1629" i="3"/>
  <c r="K1629" i="3"/>
  <c r="H1629" i="3"/>
  <c r="F1629" i="3"/>
  <c r="D1629" i="3"/>
  <c r="P1628" i="3"/>
  <c r="K1628" i="3"/>
  <c r="H1628" i="3"/>
  <c r="F1628" i="3"/>
  <c r="D1628" i="3"/>
  <c r="N1628" i="3" s="1"/>
  <c r="P1627" i="3"/>
  <c r="K1627" i="3"/>
  <c r="H1627" i="3"/>
  <c r="F1627" i="3"/>
  <c r="D1627" i="3"/>
  <c r="N1627" i="3" s="1"/>
  <c r="P1626" i="3"/>
  <c r="K1626" i="3"/>
  <c r="H1626" i="3"/>
  <c r="F1626" i="3"/>
  <c r="D1626" i="3"/>
  <c r="P1625" i="3"/>
  <c r="K1625" i="3"/>
  <c r="H1625" i="3"/>
  <c r="F1625" i="3"/>
  <c r="D1625" i="3"/>
  <c r="P1624" i="3"/>
  <c r="K1624" i="3"/>
  <c r="H1624" i="3"/>
  <c r="F1624" i="3"/>
  <c r="D1624" i="3"/>
  <c r="N1624" i="3" s="1"/>
  <c r="P1623" i="3"/>
  <c r="K1623" i="3"/>
  <c r="H1623" i="3"/>
  <c r="F1623" i="3"/>
  <c r="D1623" i="3"/>
  <c r="N1623" i="3" s="1"/>
  <c r="P1622" i="3"/>
  <c r="K1622" i="3"/>
  <c r="H1622" i="3"/>
  <c r="F1622" i="3"/>
  <c r="D1622" i="3"/>
  <c r="P1621" i="3"/>
  <c r="K1621" i="3"/>
  <c r="H1621" i="3"/>
  <c r="F1621" i="3"/>
  <c r="D1621" i="3"/>
  <c r="P1620" i="3"/>
  <c r="K1620" i="3"/>
  <c r="H1620" i="3"/>
  <c r="F1620" i="3"/>
  <c r="D1620" i="3"/>
  <c r="N1620" i="3" s="1"/>
  <c r="P1619" i="3"/>
  <c r="K1619" i="3"/>
  <c r="H1619" i="3"/>
  <c r="F1619" i="3"/>
  <c r="D1619" i="3"/>
  <c r="N1619" i="3" s="1"/>
  <c r="P1618" i="3"/>
  <c r="K1618" i="3"/>
  <c r="H1618" i="3"/>
  <c r="F1618" i="3"/>
  <c r="D1618" i="3"/>
  <c r="N1618" i="3" s="1"/>
  <c r="P1617" i="3"/>
  <c r="K1617" i="3"/>
  <c r="H1617" i="3"/>
  <c r="F1617" i="3"/>
  <c r="D1617" i="3"/>
  <c r="P1616" i="3"/>
  <c r="K1616" i="3"/>
  <c r="H1616" i="3"/>
  <c r="F1616" i="3"/>
  <c r="D1616" i="3"/>
  <c r="N1616" i="3" s="1"/>
  <c r="P1615" i="3"/>
  <c r="K1615" i="3"/>
  <c r="H1615" i="3"/>
  <c r="F1615" i="3"/>
  <c r="D1615" i="3"/>
  <c r="N1615" i="3" s="1"/>
  <c r="P1614" i="3"/>
  <c r="K1614" i="3"/>
  <c r="H1614" i="3"/>
  <c r="F1614" i="3"/>
  <c r="D1614" i="3"/>
  <c r="N1614" i="3" s="1"/>
  <c r="P1613" i="3"/>
  <c r="K1613" i="3"/>
  <c r="H1613" i="3"/>
  <c r="F1613" i="3"/>
  <c r="D1613" i="3"/>
  <c r="P1612" i="3"/>
  <c r="K1612" i="3"/>
  <c r="H1612" i="3"/>
  <c r="F1612" i="3"/>
  <c r="D1612" i="3"/>
  <c r="P1611" i="3"/>
  <c r="K1611" i="3"/>
  <c r="H1611" i="3"/>
  <c r="F1611" i="3"/>
  <c r="D1611" i="3"/>
  <c r="N1611" i="3" s="1"/>
  <c r="P1610" i="3"/>
  <c r="K1610" i="3"/>
  <c r="H1610" i="3"/>
  <c r="F1610" i="3"/>
  <c r="D1610" i="3"/>
  <c r="N1610" i="3" s="1"/>
  <c r="P1609" i="3"/>
  <c r="K1609" i="3"/>
  <c r="H1609" i="3"/>
  <c r="F1609" i="3"/>
  <c r="D1609" i="3"/>
  <c r="P1608" i="3"/>
  <c r="K1608" i="3"/>
  <c r="H1608" i="3"/>
  <c r="F1608" i="3"/>
  <c r="D1608" i="3"/>
  <c r="N1608" i="3" s="1"/>
  <c r="P1607" i="3"/>
  <c r="K1607" i="3"/>
  <c r="H1607" i="3"/>
  <c r="F1607" i="3"/>
  <c r="D1607" i="3"/>
  <c r="N1607" i="3" s="1"/>
  <c r="P1606" i="3"/>
  <c r="K1606" i="3"/>
  <c r="H1606" i="3"/>
  <c r="F1606" i="3"/>
  <c r="D1606" i="3"/>
  <c r="N1606" i="3" s="1"/>
  <c r="P1605" i="3"/>
  <c r="K1605" i="3"/>
  <c r="H1605" i="3"/>
  <c r="F1605" i="3"/>
  <c r="D1605" i="3"/>
  <c r="P1604" i="3"/>
  <c r="K1604" i="3"/>
  <c r="H1604" i="3"/>
  <c r="F1604" i="3"/>
  <c r="D1604" i="3"/>
  <c r="P1603" i="3"/>
  <c r="K1603" i="3"/>
  <c r="H1603" i="3"/>
  <c r="F1603" i="3"/>
  <c r="D1603" i="3"/>
  <c r="N1603" i="3" s="1"/>
  <c r="P1602" i="3"/>
  <c r="K1602" i="3"/>
  <c r="H1602" i="3"/>
  <c r="F1602" i="3"/>
  <c r="D1602" i="3"/>
  <c r="N1602" i="3" s="1"/>
  <c r="P1601" i="3"/>
  <c r="K1601" i="3"/>
  <c r="H1601" i="3"/>
  <c r="F1601" i="3"/>
  <c r="D1601" i="3"/>
  <c r="N1601" i="3" s="1"/>
  <c r="P1600" i="3"/>
  <c r="K1600" i="3"/>
  <c r="H1600" i="3"/>
  <c r="F1600" i="3"/>
  <c r="D1600" i="3"/>
  <c r="P1599" i="3"/>
  <c r="K1599" i="3"/>
  <c r="H1599" i="3"/>
  <c r="F1599" i="3"/>
  <c r="D1599" i="3"/>
  <c r="N1599" i="3" s="1"/>
  <c r="P1598" i="3"/>
  <c r="K1598" i="3"/>
  <c r="H1598" i="3"/>
  <c r="F1598" i="3"/>
  <c r="D1598" i="3"/>
  <c r="N1598" i="3" s="1"/>
  <c r="P1597" i="3"/>
  <c r="K1597" i="3"/>
  <c r="H1597" i="3"/>
  <c r="F1597" i="3"/>
  <c r="D1597" i="3"/>
  <c r="N1597" i="3" s="1"/>
  <c r="P1596" i="3"/>
  <c r="K1596" i="3"/>
  <c r="H1596" i="3"/>
  <c r="F1596" i="3"/>
  <c r="D1596" i="3"/>
  <c r="P1595" i="3"/>
  <c r="K1595" i="3"/>
  <c r="H1595" i="3"/>
  <c r="F1595" i="3"/>
  <c r="D1595" i="3"/>
  <c r="N1595" i="3" s="1"/>
  <c r="P1594" i="3"/>
  <c r="K1594" i="3"/>
  <c r="H1594" i="3"/>
  <c r="F1594" i="3"/>
  <c r="D1594" i="3"/>
  <c r="N1594" i="3" s="1"/>
  <c r="P1593" i="3"/>
  <c r="K1593" i="3"/>
  <c r="H1593" i="3"/>
  <c r="F1593" i="3"/>
  <c r="D1593" i="3"/>
  <c r="N1593" i="3" s="1"/>
  <c r="P1592" i="3"/>
  <c r="K1592" i="3"/>
  <c r="H1592" i="3"/>
  <c r="F1592" i="3"/>
  <c r="D1592" i="3"/>
  <c r="P1591" i="3"/>
  <c r="K1591" i="3"/>
  <c r="H1591" i="3"/>
  <c r="F1591" i="3"/>
  <c r="D1591" i="3"/>
  <c r="N1591" i="3" s="1"/>
  <c r="P1590" i="3"/>
  <c r="K1590" i="3"/>
  <c r="H1590" i="3"/>
  <c r="F1590" i="3"/>
  <c r="D1590" i="3"/>
  <c r="N1590" i="3" s="1"/>
  <c r="P1589" i="3"/>
  <c r="K1589" i="3"/>
  <c r="H1589" i="3"/>
  <c r="F1589" i="3"/>
  <c r="D1589" i="3"/>
  <c r="N1589" i="3" s="1"/>
  <c r="P1588" i="3"/>
  <c r="K1588" i="3"/>
  <c r="H1588" i="3"/>
  <c r="F1588" i="3"/>
  <c r="D1588" i="3"/>
  <c r="P1587" i="3"/>
  <c r="K1587" i="3"/>
  <c r="H1587" i="3"/>
  <c r="F1587" i="3"/>
  <c r="D1587" i="3"/>
  <c r="N1587" i="3" s="1"/>
  <c r="P1586" i="3"/>
  <c r="K1586" i="3"/>
  <c r="H1586" i="3"/>
  <c r="F1586" i="3"/>
  <c r="D1586" i="3"/>
  <c r="N1586" i="3" s="1"/>
  <c r="P1585" i="3"/>
  <c r="K1585" i="3"/>
  <c r="H1585" i="3"/>
  <c r="F1585" i="3"/>
  <c r="D1585" i="3"/>
  <c r="N1585" i="3" s="1"/>
  <c r="P1584" i="3"/>
  <c r="K1584" i="3"/>
  <c r="H1584" i="3"/>
  <c r="F1584" i="3"/>
  <c r="D1584" i="3"/>
  <c r="P1583" i="3"/>
  <c r="K1583" i="3"/>
  <c r="H1583" i="3"/>
  <c r="F1583" i="3"/>
  <c r="D1583" i="3"/>
  <c r="N1583" i="3" s="1"/>
  <c r="P1582" i="3"/>
  <c r="K1582" i="3"/>
  <c r="H1582" i="3"/>
  <c r="F1582" i="3"/>
  <c r="D1582" i="3"/>
  <c r="N1582" i="3" s="1"/>
  <c r="P1581" i="3"/>
  <c r="K1581" i="3"/>
  <c r="H1581" i="3"/>
  <c r="F1581" i="3"/>
  <c r="D1581" i="3"/>
  <c r="N1581" i="3" s="1"/>
  <c r="P1580" i="3"/>
  <c r="K1580" i="3"/>
  <c r="H1580" i="3"/>
  <c r="F1580" i="3"/>
  <c r="D1580" i="3"/>
  <c r="P1579" i="3"/>
  <c r="K1579" i="3"/>
  <c r="H1579" i="3"/>
  <c r="F1579" i="3"/>
  <c r="D1579" i="3"/>
  <c r="N1579" i="3" s="1"/>
  <c r="P1578" i="3"/>
  <c r="K1578" i="3"/>
  <c r="H1578" i="3"/>
  <c r="F1578" i="3"/>
  <c r="D1578" i="3"/>
  <c r="N1578" i="3" s="1"/>
  <c r="P1577" i="3"/>
  <c r="K1577" i="3"/>
  <c r="H1577" i="3"/>
  <c r="F1577" i="3"/>
  <c r="D1577" i="3"/>
  <c r="N1577" i="3" s="1"/>
  <c r="P1576" i="3"/>
  <c r="K1576" i="3"/>
  <c r="H1576" i="3"/>
  <c r="F1576" i="3"/>
  <c r="D1576" i="3"/>
  <c r="P1575" i="3"/>
  <c r="K1575" i="3"/>
  <c r="H1575" i="3"/>
  <c r="F1575" i="3"/>
  <c r="D1575" i="3"/>
  <c r="N1575" i="3" s="1"/>
  <c r="P1574" i="3"/>
  <c r="K1574" i="3"/>
  <c r="H1574" i="3"/>
  <c r="F1574" i="3"/>
  <c r="D1574" i="3"/>
  <c r="N1574" i="3" s="1"/>
  <c r="P1573" i="3"/>
  <c r="K1573" i="3"/>
  <c r="H1573" i="3"/>
  <c r="F1573" i="3"/>
  <c r="D1573" i="3"/>
  <c r="N1573" i="3" s="1"/>
  <c r="P1572" i="3"/>
  <c r="K1572" i="3"/>
  <c r="H1572" i="3"/>
  <c r="F1572" i="3"/>
  <c r="D1572" i="3"/>
  <c r="P1571" i="3"/>
  <c r="K1571" i="3"/>
  <c r="H1571" i="3"/>
  <c r="F1571" i="3"/>
  <c r="D1571" i="3"/>
  <c r="N1571" i="3" s="1"/>
  <c r="P1570" i="3"/>
  <c r="K1570" i="3"/>
  <c r="H1570" i="3"/>
  <c r="F1570" i="3"/>
  <c r="D1570" i="3"/>
  <c r="N1570" i="3" s="1"/>
  <c r="P1569" i="3"/>
  <c r="K1569" i="3"/>
  <c r="H1569" i="3"/>
  <c r="F1569" i="3"/>
  <c r="D1569" i="3"/>
  <c r="N1569" i="3" s="1"/>
  <c r="P1568" i="3"/>
  <c r="K1568" i="3"/>
  <c r="H1568" i="3"/>
  <c r="F1568" i="3"/>
  <c r="D1568" i="3"/>
  <c r="P1567" i="3"/>
  <c r="K1567" i="3"/>
  <c r="H1567" i="3"/>
  <c r="F1567" i="3"/>
  <c r="D1567" i="3"/>
  <c r="N1567" i="3" s="1"/>
  <c r="P1566" i="3"/>
  <c r="K1566" i="3"/>
  <c r="H1566" i="3"/>
  <c r="F1566" i="3"/>
  <c r="D1566" i="3"/>
  <c r="N1566" i="3" s="1"/>
  <c r="P1565" i="3"/>
  <c r="K1565" i="3"/>
  <c r="H1565" i="3"/>
  <c r="F1565" i="3"/>
  <c r="D1565" i="3"/>
  <c r="N1565" i="3" s="1"/>
  <c r="P1564" i="3"/>
  <c r="K1564" i="3"/>
  <c r="H1564" i="3"/>
  <c r="F1564" i="3"/>
  <c r="D1564" i="3"/>
  <c r="P1563" i="3"/>
  <c r="K1563" i="3"/>
  <c r="H1563" i="3"/>
  <c r="F1563" i="3"/>
  <c r="D1563" i="3"/>
  <c r="N1563" i="3" s="1"/>
  <c r="P1562" i="3"/>
  <c r="K1562" i="3"/>
  <c r="H1562" i="3"/>
  <c r="F1562" i="3"/>
  <c r="D1562" i="3"/>
  <c r="N1562" i="3" s="1"/>
  <c r="P1561" i="3"/>
  <c r="K1561" i="3"/>
  <c r="H1561" i="3"/>
  <c r="F1561" i="3"/>
  <c r="D1561" i="3"/>
  <c r="N1561" i="3" s="1"/>
  <c r="P1560" i="3"/>
  <c r="K1560" i="3"/>
  <c r="H1560" i="3"/>
  <c r="F1560" i="3"/>
  <c r="D1560" i="3"/>
  <c r="P1559" i="3"/>
  <c r="K1559" i="3"/>
  <c r="H1559" i="3"/>
  <c r="F1559" i="3"/>
  <c r="D1559" i="3"/>
  <c r="N1559" i="3" s="1"/>
  <c r="P1558" i="3"/>
  <c r="K1558" i="3"/>
  <c r="H1558" i="3"/>
  <c r="F1558" i="3"/>
  <c r="D1558" i="3"/>
  <c r="N1558" i="3" s="1"/>
  <c r="P1557" i="3"/>
  <c r="K1557" i="3"/>
  <c r="H1557" i="3"/>
  <c r="F1557" i="3"/>
  <c r="D1557" i="3"/>
  <c r="N1557" i="3" s="1"/>
  <c r="P1556" i="3"/>
  <c r="K1556" i="3"/>
  <c r="H1556" i="3"/>
  <c r="F1556" i="3"/>
  <c r="D1556" i="3"/>
  <c r="P1555" i="3"/>
  <c r="K1555" i="3"/>
  <c r="H1555" i="3"/>
  <c r="F1555" i="3"/>
  <c r="D1555" i="3"/>
  <c r="N1555" i="3" s="1"/>
  <c r="P1554" i="3"/>
  <c r="K1554" i="3"/>
  <c r="H1554" i="3"/>
  <c r="F1554" i="3"/>
  <c r="D1554" i="3"/>
  <c r="N1554" i="3" s="1"/>
  <c r="P1553" i="3"/>
  <c r="K1553" i="3"/>
  <c r="H1553" i="3"/>
  <c r="F1553" i="3"/>
  <c r="D1553" i="3"/>
  <c r="N1553" i="3" s="1"/>
  <c r="P1552" i="3"/>
  <c r="K1552" i="3"/>
  <c r="H1552" i="3"/>
  <c r="F1552" i="3"/>
  <c r="D1552" i="3"/>
  <c r="P1551" i="3"/>
  <c r="K1551" i="3"/>
  <c r="H1551" i="3"/>
  <c r="F1551" i="3"/>
  <c r="D1551" i="3"/>
  <c r="N1551" i="3" s="1"/>
  <c r="P1550" i="3"/>
  <c r="K1550" i="3"/>
  <c r="H1550" i="3"/>
  <c r="F1550" i="3"/>
  <c r="D1550" i="3"/>
  <c r="N1550" i="3" s="1"/>
  <c r="P1549" i="3"/>
  <c r="K1549" i="3"/>
  <c r="H1549" i="3"/>
  <c r="F1549" i="3"/>
  <c r="D1549" i="3"/>
  <c r="N1549" i="3" s="1"/>
  <c r="P1548" i="3"/>
  <c r="K1548" i="3"/>
  <c r="H1548" i="3"/>
  <c r="F1548" i="3"/>
  <c r="D1548" i="3"/>
  <c r="P1547" i="3"/>
  <c r="K1547" i="3"/>
  <c r="H1547" i="3"/>
  <c r="F1547" i="3"/>
  <c r="D1547" i="3"/>
  <c r="N1547" i="3" s="1"/>
  <c r="P1546" i="3"/>
  <c r="K1546" i="3"/>
  <c r="H1546" i="3"/>
  <c r="F1546" i="3"/>
  <c r="D1546" i="3"/>
  <c r="N1546" i="3" s="1"/>
  <c r="P1545" i="3"/>
  <c r="K1545" i="3"/>
  <c r="H1545" i="3"/>
  <c r="F1545" i="3"/>
  <c r="D1545" i="3"/>
  <c r="N1545" i="3" s="1"/>
  <c r="P1544" i="3"/>
  <c r="K1544" i="3"/>
  <c r="H1544" i="3"/>
  <c r="F1544" i="3"/>
  <c r="D1544" i="3"/>
  <c r="P1543" i="3"/>
  <c r="K1543" i="3"/>
  <c r="H1543" i="3"/>
  <c r="F1543" i="3"/>
  <c r="D1543" i="3"/>
  <c r="N1543" i="3" s="1"/>
  <c r="P1542" i="3"/>
  <c r="K1542" i="3"/>
  <c r="H1542" i="3"/>
  <c r="F1542" i="3"/>
  <c r="D1542" i="3"/>
  <c r="N1542" i="3" s="1"/>
  <c r="P1541" i="3"/>
  <c r="K1541" i="3"/>
  <c r="H1541" i="3"/>
  <c r="F1541" i="3"/>
  <c r="D1541" i="3"/>
  <c r="N1541" i="3" s="1"/>
  <c r="P1540" i="3"/>
  <c r="K1540" i="3"/>
  <c r="H1540" i="3"/>
  <c r="F1540" i="3"/>
  <c r="D1540" i="3"/>
  <c r="P1539" i="3"/>
  <c r="K1539" i="3"/>
  <c r="H1539" i="3"/>
  <c r="F1539" i="3"/>
  <c r="D1539" i="3"/>
  <c r="N1539" i="3" s="1"/>
  <c r="P1538" i="3"/>
  <c r="K1538" i="3"/>
  <c r="H1538" i="3"/>
  <c r="F1538" i="3"/>
  <c r="D1538" i="3"/>
  <c r="N1538" i="3" s="1"/>
  <c r="P1537" i="3"/>
  <c r="K1537" i="3"/>
  <c r="H1537" i="3"/>
  <c r="F1537" i="3"/>
  <c r="D1537" i="3"/>
  <c r="N1537" i="3" s="1"/>
  <c r="P1536" i="3"/>
  <c r="K1536" i="3"/>
  <c r="H1536" i="3"/>
  <c r="F1536" i="3"/>
  <c r="D1536" i="3"/>
  <c r="P1535" i="3"/>
  <c r="K1535" i="3"/>
  <c r="H1535" i="3"/>
  <c r="F1535" i="3"/>
  <c r="D1535" i="3"/>
  <c r="N1535" i="3" s="1"/>
  <c r="P1534" i="3"/>
  <c r="K1534" i="3"/>
  <c r="H1534" i="3"/>
  <c r="F1534" i="3"/>
  <c r="D1534" i="3"/>
  <c r="N1534" i="3" s="1"/>
  <c r="P1533" i="3"/>
  <c r="K1533" i="3"/>
  <c r="H1533" i="3"/>
  <c r="F1533" i="3"/>
  <c r="D1533" i="3"/>
  <c r="N1533" i="3" s="1"/>
  <c r="P1532" i="3"/>
  <c r="K1532" i="3"/>
  <c r="H1532" i="3"/>
  <c r="F1532" i="3"/>
  <c r="D1532" i="3"/>
  <c r="P1531" i="3"/>
  <c r="K1531" i="3"/>
  <c r="H1531" i="3"/>
  <c r="F1531" i="3"/>
  <c r="D1531" i="3"/>
  <c r="N1531" i="3" s="1"/>
  <c r="P1530" i="3"/>
  <c r="K1530" i="3"/>
  <c r="H1530" i="3"/>
  <c r="F1530" i="3"/>
  <c r="D1530" i="3"/>
  <c r="N1530" i="3" s="1"/>
  <c r="P1529" i="3"/>
  <c r="K1529" i="3"/>
  <c r="H1529" i="3"/>
  <c r="F1529" i="3"/>
  <c r="D1529" i="3"/>
  <c r="N1529" i="3" s="1"/>
  <c r="P1528" i="3"/>
  <c r="K1528" i="3"/>
  <c r="H1528" i="3"/>
  <c r="F1528" i="3"/>
  <c r="D1528" i="3"/>
  <c r="P1527" i="3"/>
  <c r="K1527" i="3"/>
  <c r="H1527" i="3"/>
  <c r="F1527" i="3"/>
  <c r="D1527" i="3"/>
  <c r="N1527" i="3" s="1"/>
  <c r="P1526" i="3"/>
  <c r="K1526" i="3"/>
  <c r="H1526" i="3"/>
  <c r="F1526" i="3"/>
  <c r="D1526" i="3"/>
  <c r="N1526" i="3" s="1"/>
  <c r="P1525" i="3"/>
  <c r="K1525" i="3"/>
  <c r="H1525" i="3"/>
  <c r="F1525" i="3"/>
  <c r="D1525" i="3"/>
  <c r="N1525" i="3" s="1"/>
  <c r="P1524" i="3"/>
  <c r="K1524" i="3"/>
  <c r="H1524" i="3"/>
  <c r="F1524" i="3"/>
  <c r="D1524" i="3"/>
  <c r="P1523" i="3"/>
  <c r="K1523" i="3"/>
  <c r="H1523" i="3"/>
  <c r="F1523" i="3"/>
  <c r="D1523" i="3"/>
  <c r="N1523" i="3" s="1"/>
  <c r="P1522" i="3"/>
  <c r="K1522" i="3"/>
  <c r="H1522" i="3"/>
  <c r="F1522" i="3"/>
  <c r="D1522" i="3"/>
  <c r="N1522" i="3" s="1"/>
  <c r="P1521" i="3"/>
  <c r="K1521" i="3"/>
  <c r="H1521" i="3"/>
  <c r="F1521" i="3"/>
  <c r="D1521" i="3"/>
  <c r="N1521" i="3" s="1"/>
  <c r="P1520" i="3"/>
  <c r="K1520" i="3"/>
  <c r="H1520" i="3"/>
  <c r="F1520" i="3"/>
  <c r="D1520" i="3"/>
  <c r="P1519" i="3"/>
  <c r="K1519" i="3"/>
  <c r="H1519" i="3"/>
  <c r="F1519" i="3"/>
  <c r="D1519" i="3"/>
  <c r="N1519" i="3" s="1"/>
  <c r="P1518" i="3"/>
  <c r="K1518" i="3"/>
  <c r="H1518" i="3"/>
  <c r="F1518" i="3"/>
  <c r="D1518" i="3"/>
  <c r="N1518" i="3" s="1"/>
  <c r="P1517" i="3"/>
  <c r="K1517" i="3"/>
  <c r="H1517" i="3"/>
  <c r="F1517" i="3"/>
  <c r="D1517" i="3"/>
  <c r="N1517" i="3" s="1"/>
  <c r="P1516" i="3"/>
  <c r="K1516" i="3"/>
  <c r="H1516" i="3"/>
  <c r="F1516" i="3"/>
  <c r="D1516" i="3"/>
  <c r="P1515" i="3"/>
  <c r="K1515" i="3"/>
  <c r="H1515" i="3"/>
  <c r="F1515" i="3"/>
  <c r="D1515" i="3"/>
  <c r="N1515" i="3" s="1"/>
  <c r="P1514" i="3"/>
  <c r="K1514" i="3"/>
  <c r="H1514" i="3"/>
  <c r="F1514" i="3"/>
  <c r="D1514" i="3"/>
  <c r="N1514" i="3" s="1"/>
  <c r="P1513" i="3"/>
  <c r="K1513" i="3"/>
  <c r="H1513" i="3"/>
  <c r="F1513" i="3"/>
  <c r="D1513" i="3"/>
  <c r="N1513" i="3" s="1"/>
  <c r="P1512" i="3"/>
  <c r="K1512" i="3"/>
  <c r="H1512" i="3"/>
  <c r="F1512" i="3"/>
  <c r="D1512" i="3"/>
  <c r="P1511" i="3"/>
  <c r="K1511" i="3"/>
  <c r="H1511" i="3"/>
  <c r="F1511" i="3"/>
  <c r="D1511" i="3"/>
  <c r="N1511" i="3" s="1"/>
  <c r="P1510" i="3"/>
  <c r="K1510" i="3"/>
  <c r="H1510" i="3"/>
  <c r="F1510" i="3"/>
  <c r="D1510" i="3"/>
  <c r="N1510" i="3" s="1"/>
  <c r="P1509" i="3"/>
  <c r="K1509" i="3"/>
  <c r="H1509" i="3"/>
  <c r="F1509" i="3"/>
  <c r="D1509" i="3"/>
  <c r="N1509" i="3" s="1"/>
  <c r="P1508" i="3"/>
  <c r="K1508" i="3"/>
  <c r="H1508" i="3"/>
  <c r="F1508" i="3"/>
  <c r="D1508" i="3"/>
  <c r="P1507" i="3"/>
  <c r="K1507" i="3"/>
  <c r="H1507" i="3"/>
  <c r="F1507" i="3"/>
  <c r="D1507" i="3"/>
  <c r="N1507" i="3" s="1"/>
  <c r="P1506" i="3"/>
  <c r="K1506" i="3"/>
  <c r="H1506" i="3"/>
  <c r="F1506" i="3"/>
  <c r="D1506" i="3"/>
  <c r="N1506" i="3" s="1"/>
  <c r="P1505" i="3"/>
  <c r="K1505" i="3"/>
  <c r="H1505" i="3"/>
  <c r="F1505" i="3"/>
  <c r="D1505" i="3"/>
  <c r="N1505" i="3" s="1"/>
  <c r="P1504" i="3"/>
  <c r="K1504" i="3"/>
  <c r="H1504" i="3"/>
  <c r="F1504" i="3"/>
  <c r="D1504" i="3"/>
  <c r="P1503" i="3"/>
  <c r="K1503" i="3"/>
  <c r="H1503" i="3"/>
  <c r="F1503" i="3"/>
  <c r="D1503" i="3"/>
  <c r="N1503" i="3" s="1"/>
  <c r="P1502" i="3"/>
  <c r="K1502" i="3"/>
  <c r="H1502" i="3"/>
  <c r="F1502" i="3"/>
  <c r="D1502" i="3"/>
  <c r="N1502" i="3" s="1"/>
  <c r="P1501" i="3"/>
  <c r="K1501" i="3"/>
  <c r="H1501" i="3"/>
  <c r="F1501" i="3"/>
  <c r="D1501" i="3"/>
  <c r="N1501" i="3" s="1"/>
  <c r="P1500" i="3"/>
  <c r="K1500" i="3"/>
  <c r="H1500" i="3"/>
  <c r="F1500" i="3"/>
  <c r="D1500" i="3"/>
  <c r="P1499" i="3"/>
  <c r="K1499" i="3"/>
  <c r="H1499" i="3"/>
  <c r="F1499" i="3"/>
  <c r="D1499" i="3"/>
  <c r="N1499" i="3" s="1"/>
  <c r="P1498" i="3"/>
  <c r="K1498" i="3"/>
  <c r="H1498" i="3"/>
  <c r="F1498" i="3"/>
  <c r="D1498" i="3"/>
  <c r="N1498" i="3" s="1"/>
  <c r="P1497" i="3"/>
  <c r="K1497" i="3"/>
  <c r="H1497" i="3"/>
  <c r="F1497" i="3"/>
  <c r="D1497" i="3"/>
  <c r="N1497" i="3" s="1"/>
  <c r="P1496" i="3"/>
  <c r="K1496" i="3"/>
  <c r="H1496" i="3"/>
  <c r="F1496" i="3"/>
  <c r="D1496" i="3"/>
  <c r="P1495" i="3"/>
  <c r="K1495" i="3"/>
  <c r="H1495" i="3"/>
  <c r="F1495" i="3"/>
  <c r="D1495" i="3"/>
  <c r="N1495" i="3" s="1"/>
  <c r="P1494" i="3"/>
  <c r="K1494" i="3"/>
  <c r="H1494" i="3"/>
  <c r="F1494" i="3"/>
  <c r="D1494" i="3"/>
  <c r="N1494" i="3" s="1"/>
  <c r="P1493" i="3"/>
  <c r="K1493" i="3"/>
  <c r="H1493" i="3"/>
  <c r="F1493" i="3"/>
  <c r="D1493" i="3"/>
  <c r="N1493" i="3" s="1"/>
  <c r="P1492" i="3"/>
  <c r="K1492" i="3"/>
  <c r="H1492" i="3"/>
  <c r="F1492" i="3"/>
  <c r="D1492" i="3"/>
  <c r="P1491" i="3"/>
  <c r="K1491" i="3"/>
  <c r="H1491" i="3"/>
  <c r="F1491" i="3"/>
  <c r="D1491" i="3"/>
  <c r="N1491" i="3" s="1"/>
  <c r="P1490" i="3"/>
  <c r="K1490" i="3"/>
  <c r="H1490" i="3"/>
  <c r="F1490" i="3"/>
  <c r="D1490" i="3"/>
  <c r="N1490" i="3" s="1"/>
  <c r="P1489" i="3"/>
  <c r="K1489" i="3"/>
  <c r="H1489" i="3"/>
  <c r="F1489" i="3"/>
  <c r="D1489" i="3"/>
  <c r="N1489" i="3" s="1"/>
  <c r="P1488" i="3"/>
  <c r="K1488" i="3"/>
  <c r="H1488" i="3"/>
  <c r="F1488" i="3"/>
  <c r="D1488" i="3"/>
  <c r="P1487" i="3"/>
  <c r="K1487" i="3"/>
  <c r="H1487" i="3"/>
  <c r="F1487" i="3"/>
  <c r="D1487" i="3"/>
  <c r="N1487" i="3" s="1"/>
  <c r="P1486" i="3"/>
  <c r="K1486" i="3"/>
  <c r="H1486" i="3"/>
  <c r="F1486" i="3"/>
  <c r="D1486" i="3"/>
  <c r="N1486" i="3" s="1"/>
  <c r="P1485" i="3"/>
  <c r="K1485" i="3"/>
  <c r="H1485" i="3"/>
  <c r="F1485" i="3"/>
  <c r="D1485" i="3"/>
  <c r="N1485" i="3" s="1"/>
  <c r="P1484" i="3"/>
  <c r="K1484" i="3"/>
  <c r="H1484" i="3"/>
  <c r="F1484" i="3"/>
  <c r="D1484" i="3"/>
  <c r="P1483" i="3"/>
  <c r="K1483" i="3"/>
  <c r="H1483" i="3"/>
  <c r="F1483" i="3"/>
  <c r="D1483" i="3"/>
  <c r="N1483" i="3" s="1"/>
  <c r="P1482" i="3"/>
  <c r="K1482" i="3"/>
  <c r="H1482" i="3"/>
  <c r="F1482" i="3"/>
  <c r="D1482" i="3"/>
  <c r="N1482" i="3" s="1"/>
  <c r="P1481" i="3"/>
  <c r="K1481" i="3"/>
  <c r="H1481" i="3"/>
  <c r="F1481" i="3"/>
  <c r="D1481" i="3"/>
  <c r="N1481" i="3" s="1"/>
  <c r="P1480" i="3"/>
  <c r="K1480" i="3"/>
  <c r="H1480" i="3"/>
  <c r="F1480" i="3"/>
  <c r="D1480" i="3"/>
  <c r="P1479" i="3"/>
  <c r="K1479" i="3"/>
  <c r="H1479" i="3"/>
  <c r="F1479" i="3"/>
  <c r="D1479" i="3"/>
  <c r="N1479" i="3" s="1"/>
  <c r="P1478" i="3"/>
  <c r="K1478" i="3"/>
  <c r="H1478" i="3"/>
  <c r="F1478" i="3"/>
  <c r="D1478" i="3"/>
  <c r="N1478" i="3" s="1"/>
  <c r="P1477" i="3"/>
  <c r="K1477" i="3"/>
  <c r="H1477" i="3"/>
  <c r="F1477" i="3"/>
  <c r="D1477" i="3"/>
  <c r="N1477" i="3" s="1"/>
  <c r="P1476" i="3"/>
  <c r="K1476" i="3"/>
  <c r="H1476" i="3"/>
  <c r="F1476" i="3"/>
  <c r="D1476" i="3"/>
  <c r="P1475" i="3"/>
  <c r="K1475" i="3"/>
  <c r="H1475" i="3"/>
  <c r="F1475" i="3"/>
  <c r="D1475" i="3"/>
  <c r="N1475" i="3" s="1"/>
  <c r="P1474" i="3"/>
  <c r="K1474" i="3"/>
  <c r="H1474" i="3"/>
  <c r="F1474" i="3"/>
  <c r="D1474" i="3"/>
  <c r="N1474" i="3" s="1"/>
  <c r="P1473" i="3"/>
  <c r="K1473" i="3"/>
  <c r="H1473" i="3"/>
  <c r="F1473" i="3"/>
  <c r="D1473" i="3"/>
  <c r="N1473" i="3" s="1"/>
  <c r="P1472" i="3"/>
  <c r="K1472" i="3"/>
  <c r="H1472" i="3"/>
  <c r="F1472" i="3"/>
  <c r="D1472" i="3"/>
  <c r="P1471" i="3"/>
  <c r="K1471" i="3"/>
  <c r="H1471" i="3"/>
  <c r="F1471" i="3"/>
  <c r="D1471" i="3"/>
  <c r="N1471" i="3" s="1"/>
  <c r="P1470" i="3"/>
  <c r="K1470" i="3"/>
  <c r="H1470" i="3"/>
  <c r="F1470" i="3"/>
  <c r="D1470" i="3"/>
  <c r="N1470" i="3" s="1"/>
  <c r="P1469" i="3"/>
  <c r="K1469" i="3"/>
  <c r="H1469" i="3"/>
  <c r="F1469" i="3"/>
  <c r="D1469" i="3"/>
  <c r="N1469" i="3" s="1"/>
  <c r="P1468" i="3"/>
  <c r="K1468" i="3"/>
  <c r="H1468" i="3"/>
  <c r="F1468" i="3"/>
  <c r="D1468" i="3"/>
  <c r="P1467" i="3"/>
  <c r="K1467" i="3"/>
  <c r="H1467" i="3"/>
  <c r="F1467" i="3"/>
  <c r="D1467" i="3"/>
  <c r="N1467" i="3" s="1"/>
  <c r="P1466" i="3"/>
  <c r="K1466" i="3"/>
  <c r="H1466" i="3"/>
  <c r="F1466" i="3"/>
  <c r="D1466" i="3"/>
  <c r="N1466" i="3" s="1"/>
  <c r="P1465" i="3"/>
  <c r="K1465" i="3"/>
  <c r="H1465" i="3"/>
  <c r="F1465" i="3"/>
  <c r="D1465" i="3"/>
  <c r="N1465" i="3" s="1"/>
  <c r="P1464" i="3"/>
  <c r="K1464" i="3"/>
  <c r="H1464" i="3"/>
  <c r="F1464" i="3"/>
  <c r="D1464" i="3"/>
  <c r="P1463" i="3"/>
  <c r="K1463" i="3"/>
  <c r="H1463" i="3"/>
  <c r="F1463" i="3"/>
  <c r="D1463" i="3"/>
  <c r="N1463" i="3" s="1"/>
  <c r="P1462" i="3"/>
  <c r="K1462" i="3"/>
  <c r="H1462" i="3"/>
  <c r="F1462" i="3"/>
  <c r="D1462" i="3"/>
  <c r="N1462" i="3" s="1"/>
  <c r="P1461" i="3"/>
  <c r="K1461" i="3"/>
  <c r="H1461" i="3"/>
  <c r="F1461" i="3"/>
  <c r="D1461" i="3"/>
  <c r="N1461" i="3" s="1"/>
  <c r="P1460" i="3"/>
  <c r="K1460" i="3"/>
  <c r="H1460" i="3"/>
  <c r="F1460" i="3"/>
  <c r="D1460" i="3"/>
  <c r="P1459" i="3"/>
  <c r="K1459" i="3"/>
  <c r="H1459" i="3"/>
  <c r="F1459" i="3"/>
  <c r="D1459" i="3"/>
  <c r="N1459" i="3" s="1"/>
  <c r="P1458" i="3"/>
  <c r="K1458" i="3"/>
  <c r="H1458" i="3"/>
  <c r="F1458" i="3"/>
  <c r="D1458" i="3"/>
  <c r="N1458" i="3" s="1"/>
  <c r="P1457" i="3"/>
  <c r="K1457" i="3"/>
  <c r="H1457" i="3"/>
  <c r="F1457" i="3"/>
  <c r="D1457" i="3"/>
  <c r="N1457" i="3" s="1"/>
  <c r="P1456" i="3"/>
  <c r="K1456" i="3"/>
  <c r="H1456" i="3"/>
  <c r="F1456" i="3"/>
  <c r="D1456" i="3"/>
  <c r="P1455" i="3"/>
  <c r="K1455" i="3"/>
  <c r="H1455" i="3"/>
  <c r="F1455" i="3"/>
  <c r="D1455" i="3"/>
  <c r="N1455" i="3" s="1"/>
  <c r="P1454" i="3"/>
  <c r="K1454" i="3"/>
  <c r="H1454" i="3"/>
  <c r="F1454" i="3"/>
  <c r="D1454" i="3"/>
  <c r="N1454" i="3" s="1"/>
  <c r="P1453" i="3"/>
  <c r="K1453" i="3"/>
  <c r="H1453" i="3"/>
  <c r="F1453" i="3"/>
  <c r="D1453" i="3"/>
  <c r="N1453" i="3" s="1"/>
  <c r="P1452" i="3"/>
  <c r="K1452" i="3"/>
  <c r="H1452" i="3"/>
  <c r="F1452" i="3"/>
  <c r="D1452" i="3"/>
  <c r="P1451" i="3"/>
  <c r="K1451" i="3"/>
  <c r="H1451" i="3"/>
  <c r="F1451" i="3"/>
  <c r="D1451" i="3"/>
  <c r="N1451" i="3" s="1"/>
  <c r="P1450" i="3"/>
  <c r="K1450" i="3"/>
  <c r="H1450" i="3"/>
  <c r="F1450" i="3"/>
  <c r="D1450" i="3"/>
  <c r="N1450" i="3" s="1"/>
  <c r="P1449" i="3"/>
  <c r="K1449" i="3"/>
  <c r="H1449" i="3"/>
  <c r="F1449" i="3"/>
  <c r="D1449" i="3"/>
  <c r="N1449" i="3" s="1"/>
  <c r="P1448" i="3"/>
  <c r="K1448" i="3"/>
  <c r="H1448" i="3"/>
  <c r="F1448" i="3"/>
  <c r="D1448" i="3"/>
  <c r="P1447" i="3"/>
  <c r="K1447" i="3"/>
  <c r="H1447" i="3"/>
  <c r="F1447" i="3"/>
  <c r="D1447" i="3"/>
  <c r="N1447" i="3" s="1"/>
  <c r="P1446" i="3"/>
  <c r="K1446" i="3"/>
  <c r="H1446" i="3"/>
  <c r="F1446" i="3"/>
  <c r="D1446" i="3"/>
  <c r="N1446" i="3" s="1"/>
  <c r="P1445" i="3"/>
  <c r="K1445" i="3"/>
  <c r="H1445" i="3"/>
  <c r="F1445" i="3"/>
  <c r="D1445" i="3"/>
  <c r="N1445" i="3" s="1"/>
  <c r="P1444" i="3"/>
  <c r="K1444" i="3"/>
  <c r="H1444" i="3"/>
  <c r="F1444" i="3"/>
  <c r="D1444" i="3"/>
  <c r="P1443" i="3"/>
  <c r="K1443" i="3"/>
  <c r="H1443" i="3"/>
  <c r="F1443" i="3"/>
  <c r="D1443" i="3"/>
  <c r="N1443" i="3" s="1"/>
  <c r="P1442" i="3"/>
  <c r="K1442" i="3"/>
  <c r="H1442" i="3"/>
  <c r="F1442" i="3"/>
  <c r="D1442" i="3"/>
  <c r="N1442" i="3" s="1"/>
  <c r="P1441" i="3"/>
  <c r="K1441" i="3"/>
  <c r="H1441" i="3"/>
  <c r="F1441" i="3"/>
  <c r="D1441" i="3"/>
  <c r="N1441" i="3" s="1"/>
  <c r="P1440" i="3"/>
  <c r="K1440" i="3"/>
  <c r="H1440" i="3"/>
  <c r="F1440" i="3"/>
  <c r="D1440" i="3"/>
  <c r="P1439" i="3"/>
  <c r="K1439" i="3"/>
  <c r="H1439" i="3"/>
  <c r="F1439" i="3"/>
  <c r="D1439" i="3"/>
  <c r="N1439" i="3" s="1"/>
  <c r="P1438" i="3"/>
  <c r="K1438" i="3"/>
  <c r="H1438" i="3"/>
  <c r="F1438" i="3"/>
  <c r="D1438" i="3"/>
  <c r="N1438" i="3" s="1"/>
  <c r="P1437" i="3"/>
  <c r="K1437" i="3"/>
  <c r="H1437" i="3"/>
  <c r="F1437" i="3"/>
  <c r="D1437" i="3"/>
  <c r="N1437" i="3" s="1"/>
  <c r="P1436" i="3"/>
  <c r="K1436" i="3"/>
  <c r="H1436" i="3"/>
  <c r="F1436" i="3"/>
  <c r="D1436" i="3"/>
  <c r="P1435" i="3"/>
  <c r="K1435" i="3"/>
  <c r="H1435" i="3"/>
  <c r="F1435" i="3"/>
  <c r="D1435" i="3"/>
  <c r="N1435" i="3" s="1"/>
  <c r="P1434" i="3"/>
  <c r="K1434" i="3"/>
  <c r="H1434" i="3"/>
  <c r="F1434" i="3"/>
  <c r="D1434" i="3"/>
  <c r="N1434" i="3" s="1"/>
  <c r="P1433" i="3"/>
  <c r="K1433" i="3"/>
  <c r="H1433" i="3"/>
  <c r="F1433" i="3"/>
  <c r="D1433" i="3"/>
  <c r="N1433" i="3" s="1"/>
  <c r="P1432" i="3"/>
  <c r="K1432" i="3"/>
  <c r="H1432" i="3"/>
  <c r="F1432" i="3"/>
  <c r="D1432" i="3"/>
  <c r="P1431" i="3"/>
  <c r="K1431" i="3"/>
  <c r="H1431" i="3"/>
  <c r="F1431" i="3"/>
  <c r="D1431" i="3"/>
  <c r="N1431" i="3" s="1"/>
  <c r="P1430" i="3"/>
  <c r="K1430" i="3"/>
  <c r="H1430" i="3"/>
  <c r="F1430" i="3"/>
  <c r="D1430" i="3"/>
  <c r="N1430" i="3" s="1"/>
  <c r="P1429" i="3"/>
  <c r="K1429" i="3"/>
  <c r="H1429" i="3"/>
  <c r="F1429" i="3"/>
  <c r="D1429" i="3"/>
  <c r="N1429" i="3" s="1"/>
  <c r="P1428" i="3"/>
  <c r="K1428" i="3"/>
  <c r="H1428" i="3"/>
  <c r="F1428" i="3"/>
  <c r="D1428" i="3"/>
  <c r="P1427" i="3"/>
  <c r="K1427" i="3"/>
  <c r="H1427" i="3"/>
  <c r="F1427" i="3"/>
  <c r="D1427" i="3"/>
  <c r="N1427" i="3" s="1"/>
  <c r="P1426" i="3"/>
  <c r="K1426" i="3"/>
  <c r="H1426" i="3"/>
  <c r="F1426" i="3"/>
  <c r="D1426" i="3"/>
  <c r="N1426" i="3" s="1"/>
  <c r="P1425" i="3"/>
  <c r="K1425" i="3"/>
  <c r="H1425" i="3"/>
  <c r="F1425" i="3"/>
  <c r="D1425" i="3"/>
  <c r="N1425" i="3" s="1"/>
  <c r="P1424" i="3"/>
  <c r="K1424" i="3"/>
  <c r="H1424" i="3"/>
  <c r="F1424" i="3"/>
  <c r="D1424" i="3"/>
  <c r="P1423" i="3"/>
  <c r="K1423" i="3"/>
  <c r="H1423" i="3"/>
  <c r="F1423" i="3"/>
  <c r="D1423" i="3"/>
  <c r="N1423" i="3" s="1"/>
  <c r="P1422" i="3"/>
  <c r="K1422" i="3"/>
  <c r="H1422" i="3"/>
  <c r="F1422" i="3"/>
  <c r="D1422" i="3"/>
  <c r="N1422" i="3" s="1"/>
  <c r="P1421" i="3"/>
  <c r="K1421" i="3"/>
  <c r="H1421" i="3"/>
  <c r="F1421" i="3"/>
  <c r="D1421" i="3"/>
  <c r="N1421" i="3" s="1"/>
  <c r="P1420" i="3"/>
  <c r="K1420" i="3"/>
  <c r="H1420" i="3"/>
  <c r="F1420" i="3"/>
  <c r="D1420" i="3"/>
  <c r="P1419" i="3"/>
  <c r="K1419" i="3"/>
  <c r="H1419" i="3"/>
  <c r="F1419" i="3"/>
  <c r="D1419" i="3"/>
  <c r="N1419" i="3" s="1"/>
  <c r="P1418" i="3"/>
  <c r="K1418" i="3"/>
  <c r="H1418" i="3"/>
  <c r="F1418" i="3"/>
  <c r="D1418" i="3"/>
  <c r="N1418" i="3" s="1"/>
  <c r="P1417" i="3"/>
  <c r="K1417" i="3"/>
  <c r="H1417" i="3"/>
  <c r="F1417" i="3"/>
  <c r="D1417" i="3"/>
  <c r="N1417" i="3" s="1"/>
  <c r="P1416" i="3"/>
  <c r="K1416" i="3"/>
  <c r="H1416" i="3"/>
  <c r="F1416" i="3"/>
  <c r="D1416" i="3"/>
  <c r="P1415" i="3"/>
  <c r="K1415" i="3"/>
  <c r="H1415" i="3"/>
  <c r="F1415" i="3"/>
  <c r="D1415" i="3"/>
  <c r="N1415" i="3" s="1"/>
  <c r="P1414" i="3"/>
  <c r="K1414" i="3"/>
  <c r="H1414" i="3"/>
  <c r="F1414" i="3"/>
  <c r="D1414" i="3"/>
  <c r="N1414" i="3" s="1"/>
  <c r="P1413" i="3"/>
  <c r="K1413" i="3"/>
  <c r="H1413" i="3"/>
  <c r="F1413" i="3"/>
  <c r="D1413" i="3"/>
  <c r="N1413" i="3" s="1"/>
  <c r="P1412" i="3"/>
  <c r="K1412" i="3"/>
  <c r="H1412" i="3"/>
  <c r="F1412" i="3"/>
  <c r="D1412" i="3"/>
  <c r="P1411" i="3"/>
  <c r="K1411" i="3"/>
  <c r="H1411" i="3"/>
  <c r="F1411" i="3"/>
  <c r="D1411" i="3"/>
  <c r="N1411" i="3" s="1"/>
  <c r="P1410" i="3"/>
  <c r="K1410" i="3"/>
  <c r="H1410" i="3"/>
  <c r="F1410" i="3"/>
  <c r="D1410" i="3"/>
  <c r="N1410" i="3" s="1"/>
  <c r="P1409" i="3"/>
  <c r="K1409" i="3"/>
  <c r="H1409" i="3"/>
  <c r="F1409" i="3"/>
  <c r="D1409" i="3"/>
  <c r="N1409" i="3" s="1"/>
  <c r="P1408" i="3"/>
  <c r="K1408" i="3"/>
  <c r="H1408" i="3"/>
  <c r="F1408" i="3"/>
  <c r="D1408" i="3"/>
  <c r="P1407" i="3"/>
  <c r="K1407" i="3"/>
  <c r="H1407" i="3"/>
  <c r="F1407" i="3"/>
  <c r="D1407" i="3"/>
  <c r="N1407" i="3" s="1"/>
  <c r="P1406" i="3"/>
  <c r="K1406" i="3"/>
  <c r="H1406" i="3"/>
  <c r="F1406" i="3"/>
  <c r="D1406" i="3"/>
  <c r="N1406" i="3" s="1"/>
  <c r="P1405" i="3"/>
  <c r="K1405" i="3"/>
  <c r="H1405" i="3"/>
  <c r="F1405" i="3"/>
  <c r="D1405" i="3"/>
  <c r="N1405" i="3" s="1"/>
  <c r="P1404" i="3"/>
  <c r="K1404" i="3"/>
  <c r="H1404" i="3"/>
  <c r="F1404" i="3"/>
  <c r="D1404" i="3"/>
  <c r="P1403" i="3"/>
  <c r="K1403" i="3"/>
  <c r="H1403" i="3"/>
  <c r="F1403" i="3"/>
  <c r="D1403" i="3"/>
  <c r="N1403" i="3" s="1"/>
  <c r="P1402" i="3"/>
  <c r="K1402" i="3"/>
  <c r="H1402" i="3"/>
  <c r="F1402" i="3"/>
  <c r="D1402" i="3"/>
  <c r="N1402" i="3" s="1"/>
  <c r="P1401" i="3"/>
  <c r="K1401" i="3"/>
  <c r="H1401" i="3"/>
  <c r="F1401" i="3"/>
  <c r="D1401" i="3"/>
  <c r="N1401" i="3" s="1"/>
  <c r="P1400" i="3"/>
  <c r="K1400" i="3"/>
  <c r="H1400" i="3"/>
  <c r="F1400" i="3"/>
  <c r="D1400" i="3"/>
  <c r="P1399" i="3"/>
  <c r="K1399" i="3"/>
  <c r="H1399" i="3"/>
  <c r="F1399" i="3"/>
  <c r="D1399" i="3"/>
  <c r="N1399" i="3" s="1"/>
  <c r="P1398" i="3"/>
  <c r="K1398" i="3"/>
  <c r="H1398" i="3"/>
  <c r="F1398" i="3"/>
  <c r="D1398" i="3"/>
  <c r="N1398" i="3" s="1"/>
  <c r="P1397" i="3"/>
  <c r="K1397" i="3"/>
  <c r="H1397" i="3"/>
  <c r="F1397" i="3"/>
  <c r="D1397" i="3"/>
  <c r="N1397" i="3" s="1"/>
  <c r="P1396" i="3"/>
  <c r="K1396" i="3"/>
  <c r="H1396" i="3"/>
  <c r="F1396" i="3"/>
  <c r="D1396" i="3"/>
  <c r="P1395" i="3"/>
  <c r="K1395" i="3"/>
  <c r="H1395" i="3"/>
  <c r="F1395" i="3"/>
  <c r="D1395" i="3"/>
  <c r="N1395" i="3" s="1"/>
  <c r="P1394" i="3"/>
  <c r="K1394" i="3"/>
  <c r="H1394" i="3"/>
  <c r="F1394" i="3"/>
  <c r="D1394" i="3"/>
  <c r="N1394" i="3" s="1"/>
  <c r="P1393" i="3"/>
  <c r="K1393" i="3"/>
  <c r="H1393" i="3"/>
  <c r="F1393" i="3"/>
  <c r="D1393" i="3"/>
  <c r="N1393" i="3" s="1"/>
  <c r="P1392" i="3"/>
  <c r="K1392" i="3"/>
  <c r="H1392" i="3"/>
  <c r="F1392" i="3"/>
  <c r="D1392" i="3"/>
  <c r="P1391" i="3"/>
  <c r="K1391" i="3"/>
  <c r="H1391" i="3"/>
  <c r="F1391" i="3"/>
  <c r="D1391" i="3"/>
  <c r="N1391" i="3" s="1"/>
  <c r="P1390" i="3"/>
  <c r="K1390" i="3"/>
  <c r="H1390" i="3"/>
  <c r="F1390" i="3"/>
  <c r="D1390" i="3"/>
  <c r="N1390" i="3" s="1"/>
  <c r="P1389" i="3"/>
  <c r="K1389" i="3"/>
  <c r="H1389" i="3"/>
  <c r="F1389" i="3"/>
  <c r="D1389" i="3"/>
  <c r="N1389" i="3" s="1"/>
  <c r="P1388" i="3"/>
  <c r="K1388" i="3"/>
  <c r="H1388" i="3"/>
  <c r="F1388" i="3"/>
  <c r="D1388" i="3"/>
  <c r="P1387" i="3"/>
  <c r="K1387" i="3"/>
  <c r="H1387" i="3"/>
  <c r="F1387" i="3"/>
  <c r="D1387" i="3"/>
  <c r="N1387" i="3" s="1"/>
  <c r="P1386" i="3"/>
  <c r="K1386" i="3"/>
  <c r="H1386" i="3"/>
  <c r="F1386" i="3"/>
  <c r="D1386" i="3"/>
  <c r="N1386" i="3" s="1"/>
  <c r="P1385" i="3"/>
  <c r="K1385" i="3"/>
  <c r="H1385" i="3"/>
  <c r="F1385" i="3"/>
  <c r="D1385" i="3"/>
  <c r="N1385" i="3" s="1"/>
  <c r="P1384" i="3"/>
  <c r="K1384" i="3"/>
  <c r="H1384" i="3"/>
  <c r="F1384" i="3"/>
  <c r="D1384" i="3"/>
  <c r="P1383" i="3"/>
  <c r="K1383" i="3"/>
  <c r="H1383" i="3"/>
  <c r="F1383" i="3"/>
  <c r="D1383" i="3"/>
  <c r="N1383" i="3" s="1"/>
  <c r="P1382" i="3"/>
  <c r="K1382" i="3"/>
  <c r="H1382" i="3"/>
  <c r="F1382" i="3"/>
  <c r="D1382" i="3"/>
  <c r="N1382" i="3" s="1"/>
  <c r="P1381" i="3"/>
  <c r="K1381" i="3"/>
  <c r="H1381" i="3"/>
  <c r="F1381" i="3"/>
  <c r="D1381" i="3"/>
  <c r="N1381" i="3" s="1"/>
  <c r="P1380" i="3"/>
  <c r="K1380" i="3"/>
  <c r="H1380" i="3"/>
  <c r="F1380" i="3"/>
  <c r="D1380" i="3"/>
  <c r="P1379" i="3"/>
  <c r="K1379" i="3"/>
  <c r="H1379" i="3"/>
  <c r="F1379" i="3"/>
  <c r="D1379" i="3"/>
  <c r="N1379" i="3" s="1"/>
  <c r="P1378" i="3"/>
  <c r="K1378" i="3"/>
  <c r="H1378" i="3"/>
  <c r="F1378" i="3"/>
  <c r="D1378" i="3"/>
  <c r="N1378" i="3" s="1"/>
  <c r="P1377" i="3"/>
  <c r="K1377" i="3"/>
  <c r="H1377" i="3"/>
  <c r="F1377" i="3"/>
  <c r="D1377" i="3"/>
  <c r="N1377" i="3" s="1"/>
  <c r="P1376" i="3"/>
  <c r="K1376" i="3"/>
  <c r="H1376" i="3"/>
  <c r="F1376" i="3"/>
  <c r="D1376" i="3"/>
  <c r="P1375" i="3"/>
  <c r="K1375" i="3"/>
  <c r="H1375" i="3"/>
  <c r="F1375" i="3"/>
  <c r="D1375" i="3"/>
  <c r="N1375" i="3" s="1"/>
  <c r="P1374" i="3"/>
  <c r="K1374" i="3"/>
  <c r="H1374" i="3"/>
  <c r="F1374" i="3"/>
  <c r="D1374" i="3"/>
  <c r="N1374" i="3" s="1"/>
  <c r="P1373" i="3"/>
  <c r="K1373" i="3"/>
  <c r="H1373" i="3"/>
  <c r="F1373" i="3"/>
  <c r="D1373" i="3"/>
  <c r="N1373" i="3" s="1"/>
  <c r="P1372" i="3"/>
  <c r="K1372" i="3"/>
  <c r="H1372" i="3"/>
  <c r="F1372" i="3"/>
  <c r="D1372" i="3"/>
  <c r="P1371" i="3"/>
  <c r="K1371" i="3"/>
  <c r="H1371" i="3"/>
  <c r="F1371" i="3"/>
  <c r="D1371" i="3"/>
  <c r="N1371" i="3" s="1"/>
  <c r="P1370" i="3"/>
  <c r="K1370" i="3"/>
  <c r="H1370" i="3"/>
  <c r="F1370" i="3"/>
  <c r="D1370" i="3"/>
  <c r="N1370" i="3" s="1"/>
  <c r="P1369" i="3"/>
  <c r="K1369" i="3"/>
  <c r="H1369" i="3"/>
  <c r="F1369" i="3"/>
  <c r="D1369" i="3"/>
  <c r="N1369" i="3" s="1"/>
  <c r="P1368" i="3"/>
  <c r="K1368" i="3"/>
  <c r="H1368" i="3"/>
  <c r="F1368" i="3"/>
  <c r="D1368" i="3"/>
  <c r="P1367" i="3"/>
  <c r="K1367" i="3"/>
  <c r="H1367" i="3"/>
  <c r="F1367" i="3"/>
  <c r="D1367" i="3"/>
  <c r="N1367" i="3" s="1"/>
  <c r="P1366" i="3"/>
  <c r="K1366" i="3"/>
  <c r="H1366" i="3"/>
  <c r="F1366" i="3"/>
  <c r="D1366" i="3"/>
  <c r="N1366" i="3" s="1"/>
  <c r="P1365" i="3"/>
  <c r="K1365" i="3"/>
  <c r="H1365" i="3"/>
  <c r="F1365" i="3"/>
  <c r="D1365" i="3"/>
  <c r="N1365" i="3" s="1"/>
  <c r="P1364" i="3"/>
  <c r="K1364" i="3"/>
  <c r="H1364" i="3"/>
  <c r="F1364" i="3"/>
  <c r="D1364" i="3"/>
  <c r="P1363" i="3"/>
  <c r="K1363" i="3"/>
  <c r="H1363" i="3"/>
  <c r="F1363" i="3"/>
  <c r="D1363" i="3"/>
  <c r="N1363" i="3" s="1"/>
  <c r="P1362" i="3"/>
  <c r="K1362" i="3"/>
  <c r="H1362" i="3"/>
  <c r="F1362" i="3"/>
  <c r="D1362" i="3"/>
  <c r="N1362" i="3" s="1"/>
  <c r="P1361" i="3"/>
  <c r="K1361" i="3"/>
  <c r="H1361" i="3"/>
  <c r="F1361" i="3"/>
  <c r="D1361" i="3"/>
  <c r="N1361" i="3" s="1"/>
  <c r="P1360" i="3"/>
  <c r="K1360" i="3"/>
  <c r="H1360" i="3"/>
  <c r="F1360" i="3"/>
  <c r="D1360" i="3"/>
  <c r="P1359" i="3"/>
  <c r="K1359" i="3"/>
  <c r="H1359" i="3"/>
  <c r="F1359" i="3"/>
  <c r="D1359" i="3"/>
  <c r="N1359" i="3" s="1"/>
  <c r="P1358" i="3"/>
  <c r="K1358" i="3"/>
  <c r="H1358" i="3"/>
  <c r="F1358" i="3"/>
  <c r="D1358" i="3"/>
  <c r="P1357" i="3"/>
  <c r="K1357" i="3"/>
  <c r="H1357" i="3"/>
  <c r="F1357" i="3"/>
  <c r="D1357" i="3"/>
  <c r="N1357" i="3" s="1"/>
  <c r="P1356" i="3"/>
  <c r="K1356" i="3"/>
  <c r="H1356" i="3"/>
  <c r="F1356" i="3"/>
  <c r="D1356" i="3"/>
  <c r="P1355" i="3"/>
  <c r="K1355" i="3"/>
  <c r="H1355" i="3"/>
  <c r="F1355" i="3"/>
  <c r="D1355" i="3"/>
  <c r="N1355" i="3" s="1"/>
  <c r="P1354" i="3"/>
  <c r="K1354" i="3"/>
  <c r="H1354" i="3"/>
  <c r="F1354" i="3"/>
  <c r="D1354" i="3"/>
  <c r="P1353" i="3"/>
  <c r="K1353" i="3"/>
  <c r="H1353" i="3"/>
  <c r="F1353" i="3"/>
  <c r="D1353" i="3"/>
  <c r="N1353" i="3" s="1"/>
  <c r="P1352" i="3"/>
  <c r="K1352" i="3"/>
  <c r="H1352" i="3"/>
  <c r="F1352" i="3"/>
  <c r="D1352" i="3"/>
  <c r="N1352" i="3" s="1"/>
  <c r="P1351" i="3"/>
  <c r="K1351" i="3"/>
  <c r="H1351" i="3"/>
  <c r="F1351" i="3"/>
  <c r="D1351" i="3"/>
  <c r="N1351" i="3" s="1"/>
  <c r="P1350" i="3"/>
  <c r="K1350" i="3"/>
  <c r="H1350" i="3"/>
  <c r="F1350" i="3"/>
  <c r="D1350" i="3"/>
  <c r="N1350" i="3" s="1"/>
  <c r="P1349" i="3"/>
  <c r="K1349" i="3"/>
  <c r="H1349" i="3"/>
  <c r="F1349" i="3"/>
  <c r="D1349" i="3"/>
  <c r="N1349" i="3" s="1"/>
  <c r="P1348" i="3"/>
  <c r="K1348" i="3"/>
  <c r="H1348" i="3"/>
  <c r="F1348" i="3"/>
  <c r="D1348" i="3"/>
  <c r="N1348" i="3" s="1"/>
  <c r="P1347" i="3"/>
  <c r="K1347" i="3"/>
  <c r="H1347" i="3"/>
  <c r="F1347" i="3"/>
  <c r="D1347" i="3"/>
  <c r="N1347" i="3" s="1"/>
  <c r="P1346" i="3"/>
  <c r="K1346" i="3"/>
  <c r="H1346" i="3"/>
  <c r="F1346" i="3"/>
  <c r="D1346" i="3"/>
  <c r="N1346" i="3" s="1"/>
  <c r="P1345" i="3"/>
  <c r="K1345" i="3"/>
  <c r="H1345" i="3"/>
  <c r="F1345" i="3"/>
  <c r="D1345" i="3"/>
  <c r="P1344" i="3"/>
  <c r="K1344" i="3"/>
  <c r="H1344" i="3"/>
  <c r="F1344" i="3"/>
  <c r="D1344" i="3"/>
  <c r="N1344" i="3" s="1"/>
  <c r="P1343" i="3"/>
  <c r="K1343" i="3"/>
  <c r="H1343" i="3"/>
  <c r="F1343" i="3"/>
  <c r="D1343" i="3"/>
  <c r="N1343" i="3" s="1"/>
  <c r="P1342" i="3"/>
  <c r="K1342" i="3"/>
  <c r="H1342" i="3"/>
  <c r="F1342" i="3"/>
  <c r="D1342" i="3"/>
  <c r="P1341" i="3"/>
  <c r="K1341" i="3"/>
  <c r="H1341" i="3"/>
  <c r="F1341" i="3"/>
  <c r="D1341" i="3"/>
  <c r="P1340" i="3"/>
  <c r="K1340" i="3"/>
  <c r="H1340" i="3"/>
  <c r="F1340" i="3"/>
  <c r="D1340" i="3"/>
  <c r="N1340" i="3" s="1"/>
  <c r="P1339" i="3"/>
  <c r="K1339" i="3"/>
  <c r="H1339" i="3"/>
  <c r="F1339" i="3"/>
  <c r="D1339" i="3"/>
  <c r="N1339" i="3" s="1"/>
  <c r="P1338" i="3"/>
  <c r="K1338" i="3"/>
  <c r="H1338" i="3"/>
  <c r="F1338" i="3"/>
  <c r="D1338" i="3"/>
  <c r="N1338" i="3" s="1"/>
  <c r="P1337" i="3"/>
  <c r="K1337" i="3"/>
  <c r="H1337" i="3"/>
  <c r="F1337" i="3"/>
  <c r="D1337" i="3"/>
  <c r="P1336" i="3"/>
  <c r="K1336" i="3"/>
  <c r="H1336" i="3"/>
  <c r="F1336" i="3"/>
  <c r="D1336" i="3"/>
  <c r="N1336" i="3" s="1"/>
  <c r="P1335" i="3"/>
  <c r="K1335" i="3"/>
  <c r="H1335" i="3"/>
  <c r="F1335" i="3"/>
  <c r="D1335" i="3"/>
  <c r="N1335" i="3" s="1"/>
  <c r="P1334" i="3"/>
  <c r="K1334" i="3"/>
  <c r="H1334" i="3"/>
  <c r="F1334" i="3"/>
  <c r="D1334" i="3"/>
  <c r="P1333" i="3"/>
  <c r="K1333" i="3"/>
  <c r="H1333" i="3"/>
  <c r="F1333" i="3"/>
  <c r="D1333" i="3"/>
  <c r="P1332" i="3"/>
  <c r="K1332" i="3"/>
  <c r="H1332" i="3"/>
  <c r="F1332" i="3"/>
  <c r="D1332" i="3"/>
  <c r="N1332" i="3" s="1"/>
  <c r="P1331" i="3"/>
  <c r="K1331" i="3"/>
  <c r="H1331" i="3"/>
  <c r="F1331" i="3"/>
  <c r="D1331" i="3"/>
  <c r="N1331" i="3" s="1"/>
  <c r="P1330" i="3"/>
  <c r="K1330" i="3"/>
  <c r="H1330" i="3"/>
  <c r="F1330" i="3"/>
  <c r="D1330" i="3"/>
  <c r="N1330" i="3" s="1"/>
  <c r="P1329" i="3"/>
  <c r="K1329" i="3"/>
  <c r="H1329" i="3"/>
  <c r="F1329" i="3"/>
  <c r="D1329" i="3"/>
  <c r="P1328" i="3"/>
  <c r="K1328" i="3"/>
  <c r="H1328" i="3"/>
  <c r="F1328" i="3"/>
  <c r="D1328" i="3"/>
  <c r="N1328" i="3" s="1"/>
  <c r="P1327" i="3"/>
  <c r="K1327" i="3"/>
  <c r="H1327" i="3"/>
  <c r="F1327" i="3"/>
  <c r="D1327" i="3"/>
  <c r="N1327" i="3" s="1"/>
  <c r="P1326" i="3"/>
  <c r="K1326" i="3"/>
  <c r="H1326" i="3"/>
  <c r="F1326" i="3"/>
  <c r="D1326" i="3"/>
  <c r="P1325" i="3"/>
  <c r="K1325" i="3"/>
  <c r="H1325" i="3"/>
  <c r="F1325" i="3"/>
  <c r="D1325" i="3"/>
  <c r="P1324" i="3"/>
  <c r="K1324" i="3"/>
  <c r="H1324" i="3"/>
  <c r="F1324" i="3"/>
  <c r="D1324" i="3"/>
  <c r="P1323" i="3"/>
  <c r="K1323" i="3"/>
  <c r="H1323" i="3"/>
  <c r="F1323" i="3"/>
  <c r="D1323" i="3"/>
  <c r="N1323" i="3" s="1"/>
  <c r="P1322" i="3"/>
  <c r="K1322" i="3"/>
  <c r="H1322" i="3"/>
  <c r="F1322" i="3"/>
  <c r="D1322" i="3"/>
  <c r="N1322" i="3" s="1"/>
  <c r="P1321" i="3"/>
  <c r="K1321" i="3"/>
  <c r="H1321" i="3"/>
  <c r="F1321" i="3"/>
  <c r="D1321" i="3"/>
  <c r="P1320" i="3"/>
  <c r="K1320" i="3"/>
  <c r="H1320" i="3"/>
  <c r="F1320" i="3"/>
  <c r="D1320" i="3"/>
  <c r="N1320" i="3" s="1"/>
  <c r="P1319" i="3"/>
  <c r="K1319" i="3"/>
  <c r="H1319" i="3"/>
  <c r="F1319" i="3"/>
  <c r="D1319" i="3"/>
  <c r="N1319" i="3" s="1"/>
  <c r="P1318" i="3"/>
  <c r="K1318" i="3"/>
  <c r="H1318" i="3"/>
  <c r="F1318" i="3"/>
  <c r="D1318" i="3"/>
  <c r="P1317" i="3"/>
  <c r="K1317" i="3"/>
  <c r="H1317" i="3"/>
  <c r="F1317" i="3"/>
  <c r="D1317" i="3"/>
  <c r="P1316" i="3"/>
  <c r="K1316" i="3"/>
  <c r="H1316" i="3"/>
  <c r="F1316" i="3"/>
  <c r="D1316" i="3"/>
  <c r="P1315" i="3"/>
  <c r="K1315" i="3"/>
  <c r="H1315" i="3"/>
  <c r="F1315" i="3"/>
  <c r="D1315" i="3"/>
  <c r="N1315" i="3" s="1"/>
  <c r="P1314" i="3"/>
  <c r="K1314" i="3"/>
  <c r="H1314" i="3"/>
  <c r="F1314" i="3"/>
  <c r="D1314" i="3"/>
  <c r="N1314" i="3" s="1"/>
  <c r="P1313" i="3"/>
  <c r="K1313" i="3"/>
  <c r="H1313" i="3"/>
  <c r="F1313" i="3"/>
  <c r="D1313" i="3"/>
  <c r="P1312" i="3"/>
  <c r="K1312" i="3"/>
  <c r="H1312" i="3"/>
  <c r="F1312" i="3"/>
  <c r="D1312" i="3"/>
  <c r="N1312" i="3" s="1"/>
  <c r="P1311" i="3"/>
  <c r="K1311" i="3"/>
  <c r="H1311" i="3"/>
  <c r="F1311" i="3"/>
  <c r="D1311" i="3"/>
  <c r="N1311" i="3" s="1"/>
  <c r="P1310" i="3"/>
  <c r="K1310" i="3"/>
  <c r="H1310" i="3"/>
  <c r="F1310" i="3"/>
  <c r="D1310" i="3"/>
  <c r="P1309" i="3"/>
  <c r="K1309" i="3"/>
  <c r="H1309" i="3"/>
  <c r="F1309" i="3"/>
  <c r="D1309" i="3"/>
  <c r="P1308" i="3"/>
  <c r="K1308" i="3"/>
  <c r="H1308" i="3"/>
  <c r="F1308" i="3"/>
  <c r="D1308" i="3"/>
  <c r="P1307" i="3"/>
  <c r="K1307" i="3"/>
  <c r="H1307" i="3"/>
  <c r="F1307" i="3"/>
  <c r="D1307" i="3"/>
  <c r="N1307" i="3" s="1"/>
  <c r="P1306" i="3"/>
  <c r="K1306" i="3"/>
  <c r="H1306" i="3"/>
  <c r="F1306" i="3"/>
  <c r="D1306" i="3"/>
  <c r="N1306" i="3" s="1"/>
  <c r="P1305" i="3"/>
  <c r="K1305" i="3"/>
  <c r="H1305" i="3"/>
  <c r="F1305" i="3"/>
  <c r="D1305" i="3"/>
  <c r="P1304" i="3"/>
  <c r="K1304" i="3"/>
  <c r="H1304" i="3"/>
  <c r="F1304" i="3"/>
  <c r="D1304" i="3"/>
  <c r="N1304" i="3" s="1"/>
  <c r="P1303" i="3"/>
  <c r="K1303" i="3"/>
  <c r="H1303" i="3"/>
  <c r="F1303" i="3"/>
  <c r="D1303" i="3"/>
  <c r="N1303" i="3" s="1"/>
  <c r="P1302" i="3"/>
  <c r="K1302" i="3"/>
  <c r="H1302" i="3"/>
  <c r="F1302" i="3"/>
  <c r="D1302" i="3"/>
  <c r="P1301" i="3"/>
  <c r="K1301" i="3"/>
  <c r="H1301" i="3"/>
  <c r="F1301" i="3"/>
  <c r="D1301" i="3"/>
  <c r="P1300" i="3"/>
  <c r="K1300" i="3"/>
  <c r="H1300" i="3"/>
  <c r="F1300" i="3"/>
  <c r="D1300" i="3"/>
  <c r="P1299" i="3"/>
  <c r="K1299" i="3"/>
  <c r="H1299" i="3"/>
  <c r="F1299" i="3"/>
  <c r="D1299" i="3"/>
  <c r="P1298" i="3"/>
  <c r="K1298" i="3"/>
  <c r="H1298" i="3"/>
  <c r="F1298" i="3"/>
  <c r="D1298" i="3"/>
  <c r="N1298" i="3" s="1"/>
  <c r="P1297" i="3"/>
  <c r="K1297" i="3"/>
  <c r="H1297" i="3"/>
  <c r="F1297" i="3"/>
  <c r="D1297" i="3"/>
  <c r="N1297" i="3" s="1"/>
  <c r="P1296" i="3"/>
  <c r="K1296" i="3"/>
  <c r="H1296" i="3"/>
  <c r="F1296" i="3"/>
  <c r="D1296" i="3"/>
  <c r="P1295" i="3"/>
  <c r="K1295" i="3"/>
  <c r="H1295" i="3"/>
  <c r="F1295" i="3"/>
  <c r="D1295" i="3"/>
  <c r="P1294" i="3"/>
  <c r="K1294" i="3"/>
  <c r="H1294" i="3"/>
  <c r="F1294" i="3"/>
  <c r="D1294" i="3"/>
  <c r="N1294" i="3" s="1"/>
  <c r="P1293" i="3"/>
  <c r="K1293" i="3"/>
  <c r="H1293" i="3"/>
  <c r="F1293" i="3"/>
  <c r="D1293" i="3"/>
  <c r="N1293" i="3" s="1"/>
  <c r="P1292" i="3"/>
  <c r="K1292" i="3"/>
  <c r="H1292" i="3"/>
  <c r="F1292" i="3"/>
  <c r="D1292" i="3"/>
  <c r="P1291" i="3"/>
  <c r="K1291" i="3"/>
  <c r="H1291" i="3"/>
  <c r="F1291" i="3"/>
  <c r="D1291" i="3"/>
  <c r="P1290" i="3"/>
  <c r="K1290" i="3"/>
  <c r="H1290" i="3"/>
  <c r="F1290" i="3"/>
  <c r="D1290" i="3"/>
  <c r="N1290" i="3" s="1"/>
  <c r="P1289" i="3"/>
  <c r="K1289" i="3"/>
  <c r="H1289" i="3"/>
  <c r="F1289" i="3"/>
  <c r="D1289" i="3"/>
  <c r="N1289" i="3" s="1"/>
  <c r="P1288" i="3"/>
  <c r="K1288" i="3"/>
  <c r="H1288" i="3"/>
  <c r="F1288" i="3"/>
  <c r="D1288" i="3"/>
  <c r="P1287" i="3"/>
  <c r="K1287" i="3"/>
  <c r="H1287" i="3"/>
  <c r="F1287" i="3"/>
  <c r="D1287" i="3"/>
  <c r="P1286" i="3"/>
  <c r="K1286" i="3"/>
  <c r="H1286" i="3"/>
  <c r="F1286" i="3"/>
  <c r="D1286" i="3"/>
  <c r="N1286" i="3" s="1"/>
  <c r="P1285" i="3"/>
  <c r="K1285" i="3"/>
  <c r="H1285" i="3"/>
  <c r="F1285" i="3"/>
  <c r="D1285" i="3"/>
  <c r="N1285" i="3" s="1"/>
  <c r="P1284" i="3"/>
  <c r="K1284" i="3"/>
  <c r="H1284" i="3"/>
  <c r="F1284" i="3"/>
  <c r="D1284" i="3"/>
  <c r="N1284" i="3" s="1"/>
  <c r="P1283" i="3"/>
  <c r="K1283" i="3"/>
  <c r="H1283" i="3"/>
  <c r="F1283" i="3"/>
  <c r="D1283" i="3"/>
  <c r="P1282" i="3"/>
  <c r="K1282" i="3"/>
  <c r="H1282" i="3"/>
  <c r="F1282" i="3"/>
  <c r="D1282" i="3"/>
  <c r="N1282" i="3" s="1"/>
  <c r="P1281" i="3"/>
  <c r="K1281" i="3"/>
  <c r="H1281" i="3"/>
  <c r="F1281" i="3"/>
  <c r="D1281" i="3"/>
  <c r="N1281" i="3" s="1"/>
  <c r="P1280" i="3"/>
  <c r="K1280" i="3"/>
  <c r="H1280" i="3"/>
  <c r="F1280" i="3"/>
  <c r="D1280" i="3"/>
  <c r="N1280" i="3" s="1"/>
  <c r="P1279" i="3"/>
  <c r="K1279" i="3"/>
  <c r="H1279" i="3"/>
  <c r="F1279" i="3"/>
  <c r="D1279" i="3"/>
  <c r="P1278" i="3"/>
  <c r="K1278" i="3"/>
  <c r="H1278" i="3"/>
  <c r="F1278" i="3"/>
  <c r="D1278" i="3"/>
  <c r="N1278" i="3" s="1"/>
  <c r="P1277" i="3"/>
  <c r="K1277" i="3"/>
  <c r="H1277" i="3"/>
  <c r="F1277" i="3"/>
  <c r="D1277" i="3"/>
  <c r="N1277" i="3" s="1"/>
  <c r="P1276" i="3"/>
  <c r="K1276" i="3"/>
  <c r="H1276" i="3"/>
  <c r="F1276" i="3"/>
  <c r="D1276" i="3"/>
  <c r="N1276" i="3" s="1"/>
  <c r="P1275" i="3"/>
  <c r="K1275" i="3"/>
  <c r="H1275" i="3"/>
  <c r="F1275" i="3"/>
  <c r="D1275" i="3"/>
  <c r="P1274" i="3"/>
  <c r="K1274" i="3"/>
  <c r="H1274" i="3"/>
  <c r="F1274" i="3"/>
  <c r="D1274" i="3"/>
  <c r="N1274" i="3" s="1"/>
  <c r="P1273" i="3"/>
  <c r="K1273" i="3"/>
  <c r="H1273" i="3"/>
  <c r="F1273" i="3"/>
  <c r="D1273" i="3"/>
  <c r="N1273" i="3" s="1"/>
  <c r="P1272" i="3"/>
  <c r="K1272" i="3"/>
  <c r="H1272" i="3"/>
  <c r="F1272" i="3"/>
  <c r="D1272" i="3"/>
  <c r="N1272" i="3" s="1"/>
  <c r="P1271" i="3"/>
  <c r="K1271" i="3"/>
  <c r="H1271" i="3"/>
  <c r="F1271" i="3"/>
  <c r="D1271" i="3"/>
  <c r="P1270" i="3"/>
  <c r="K1270" i="3"/>
  <c r="H1270" i="3"/>
  <c r="F1270" i="3"/>
  <c r="D1270" i="3"/>
  <c r="N1270" i="3" s="1"/>
  <c r="P1269" i="3"/>
  <c r="K1269" i="3"/>
  <c r="H1269" i="3"/>
  <c r="F1269" i="3"/>
  <c r="D1269" i="3"/>
  <c r="N1269" i="3" s="1"/>
  <c r="P1268" i="3"/>
  <c r="K1268" i="3"/>
  <c r="H1268" i="3"/>
  <c r="F1268" i="3"/>
  <c r="D1268" i="3"/>
  <c r="N1268" i="3" s="1"/>
  <c r="P1267" i="3"/>
  <c r="K1267" i="3"/>
  <c r="H1267" i="3"/>
  <c r="F1267" i="3"/>
  <c r="D1267" i="3"/>
  <c r="P1266" i="3"/>
  <c r="K1266" i="3"/>
  <c r="H1266" i="3"/>
  <c r="F1266" i="3"/>
  <c r="D1266" i="3"/>
  <c r="N1266" i="3" s="1"/>
  <c r="P1265" i="3"/>
  <c r="K1265" i="3"/>
  <c r="H1265" i="3"/>
  <c r="F1265" i="3"/>
  <c r="D1265" i="3"/>
  <c r="P1264" i="3"/>
  <c r="K1264" i="3"/>
  <c r="H1264" i="3"/>
  <c r="F1264" i="3"/>
  <c r="D1264" i="3"/>
  <c r="N1264" i="3" s="1"/>
  <c r="P1263" i="3"/>
  <c r="K1263" i="3"/>
  <c r="H1263" i="3"/>
  <c r="F1263" i="3"/>
  <c r="D1263" i="3"/>
  <c r="P1262" i="3"/>
  <c r="K1262" i="3"/>
  <c r="H1262" i="3"/>
  <c r="F1262" i="3"/>
  <c r="D1262" i="3"/>
  <c r="N1262" i="3" s="1"/>
  <c r="P1261" i="3"/>
  <c r="K1261" i="3"/>
  <c r="H1261" i="3"/>
  <c r="F1261" i="3"/>
  <c r="D1261" i="3"/>
  <c r="N1261" i="3" s="1"/>
  <c r="P1260" i="3"/>
  <c r="K1260" i="3"/>
  <c r="H1260" i="3"/>
  <c r="F1260" i="3"/>
  <c r="D1260" i="3"/>
  <c r="N1260" i="3" s="1"/>
  <c r="P1259" i="3"/>
  <c r="K1259" i="3"/>
  <c r="H1259" i="3"/>
  <c r="F1259" i="3"/>
  <c r="D1259" i="3"/>
  <c r="P1258" i="3"/>
  <c r="K1258" i="3"/>
  <c r="H1258" i="3"/>
  <c r="F1258" i="3"/>
  <c r="D1258" i="3"/>
  <c r="N1258" i="3" s="1"/>
  <c r="P1257" i="3"/>
  <c r="K1257" i="3"/>
  <c r="H1257" i="3"/>
  <c r="F1257" i="3"/>
  <c r="D1257" i="3"/>
  <c r="N1257" i="3" s="1"/>
  <c r="P1256" i="3"/>
  <c r="K1256" i="3"/>
  <c r="H1256" i="3"/>
  <c r="F1256" i="3"/>
  <c r="D1256" i="3"/>
  <c r="N1256" i="3" s="1"/>
  <c r="P1255" i="3"/>
  <c r="K1255" i="3"/>
  <c r="H1255" i="3"/>
  <c r="F1255" i="3"/>
  <c r="D1255" i="3"/>
  <c r="P1254" i="3"/>
  <c r="K1254" i="3"/>
  <c r="H1254" i="3"/>
  <c r="F1254" i="3"/>
  <c r="D1254" i="3"/>
  <c r="N1254" i="3" s="1"/>
  <c r="P1253" i="3"/>
  <c r="K1253" i="3"/>
  <c r="H1253" i="3"/>
  <c r="F1253" i="3"/>
  <c r="D1253" i="3"/>
  <c r="N1253" i="3" s="1"/>
  <c r="P1252" i="3"/>
  <c r="K1252" i="3"/>
  <c r="H1252" i="3"/>
  <c r="F1252" i="3"/>
  <c r="D1252" i="3"/>
  <c r="N1252" i="3" s="1"/>
  <c r="P1251" i="3"/>
  <c r="K1251" i="3"/>
  <c r="H1251" i="3"/>
  <c r="F1251" i="3"/>
  <c r="D1251" i="3"/>
  <c r="P1250" i="3"/>
  <c r="K1250" i="3"/>
  <c r="H1250" i="3"/>
  <c r="F1250" i="3"/>
  <c r="D1250" i="3"/>
  <c r="N1250" i="3" s="1"/>
  <c r="P1249" i="3"/>
  <c r="K1249" i="3"/>
  <c r="H1249" i="3"/>
  <c r="F1249" i="3"/>
  <c r="D1249" i="3"/>
  <c r="P1248" i="3"/>
  <c r="K1248" i="3"/>
  <c r="H1248" i="3"/>
  <c r="F1248" i="3"/>
  <c r="D1248" i="3"/>
  <c r="N1248" i="3" s="1"/>
  <c r="P1247" i="3"/>
  <c r="K1247" i="3"/>
  <c r="H1247" i="3"/>
  <c r="F1247" i="3"/>
  <c r="D1247" i="3"/>
  <c r="P1246" i="3"/>
  <c r="K1246" i="3"/>
  <c r="H1246" i="3"/>
  <c r="F1246" i="3"/>
  <c r="D1246" i="3"/>
  <c r="N1246" i="3" s="1"/>
  <c r="P1245" i="3"/>
  <c r="K1245" i="3"/>
  <c r="H1245" i="3"/>
  <c r="F1245" i="3"/>
  <c r="D1245" i="3"/>
  <c r="N1245" i="3" s="1"/>
  <c r="P1244" i="3"/>
  <c r="K1244" i="3"/>
  <c r="H1244" i="3"/>
  <c r="F1244" i="3"/>
  <c r="D1244" i="3"/>
  <c r="N1244" i="3" s="1"/>
  <c r="P1243" i="3"/>
  <c r="K1243" i="3"/>
  <c r="H1243" i="3"/>
  <c r="F1243" i="3"/>
  <c r="D1243" i="3"/>
  <c r="P1242" i="3"/>
  <c r="K1242" i="3"/>
  <c r="H1242" i="3"/>
  <c r="F1242" i="3"/>
  <c r="D1242" i="3"/>
  <c r="N1242" i="3" s="1"/>
  <c r="P1241" i="3"/>
  <c r="K1241" i="3"/>
  <c r="H1241" i="3"/>
  <c r="F1241" i="3"/>
  <c r="D1241" i="3"/>
  <c r="N1241" i="3" s="1"/>
  <c r="P1240" i="3"/>
  <c r="K1240" i="3"/>
  <c r="H1240" i="3"/>
  <c r="F1240" i="3"/>
  <c r="D1240" i="3"/>
  <c r="N1240" i="3" s="1"/>
  <c r="P1239" i="3"/>
  <c r="K1239" i="3"/>
  <c r="H1239" i="3"/>
  <c r="F1239" i="3"/>
  <c r="D1239" i="3"/>
  <c r="P1238" i="3"/>
  <c r="K1238" i="3"/>
  <c r="H1238" i="3"/>
  <c r="F1238" i="3"/>
  <c r="D1238" i="3"/>
  <c r="N1238" i="3" s="1"/>
  <c r="P1237" i="3"/>
  <c r="K1237" i="3"/>
  <c r="H1237" i="3"/>
  <c r="F1237" i="3"/>
  <c r="D1237" i="3"/>
  <c r="N1237" i="3" s="1"/>
  <c r="P1236" i="3"/>
  <c r="K1236" i="3"/>
  <c r="H1236" i="3"/>
  <c r="F1236" i="3"/>
  <c r="D1236" i="3"/>
  <c r="N1236" i="3" s="1"/>
  <c r="P1235" i="3"/>
  <c r="K1235" i="3"/>
  <c r="H1235" i="3"/>
  <c r="F1235" i="3"/>
  <c r="D1235" i="3"/>
  <c r="P1234" i="3"/>
  <c r="K1234" i="3"/>
  <c r="H1234" i="3"/>
  <c r="F1234" i="3"/>
  <c r="D1234" i="3"/>
  <c r="N1234" i="3" s="1"/>
  <c r="P1233" i="3"/>
  <c r="K1233" i="3"/>
  <c r="H1233" i="3"/>
  <c r="F1233" i="3"/>
  <c r="D1233" i="3"/>
  <c r="P1232" i="3"/>
  <c r="K1232" i="3"/>
  <c r="H1232" i="3"/>
  <c r="F1232" i="3"/>
  <c r="D1232" i="3"/>
  <c r="N1232" i="3" s="1"/>
  <c r="P1231" i="3"/>
  <c r="K1231" i="3"/>
  <c r="H1231" i="3"/>
  <c r="F1231" i="3"/>
  <c r="D1231" i="3"/>
  <c r="P1230" i="3"/>
  <c r="K1230" i="3"/>
  <c r="H1230" i="3"/>
  <c r="F1230" i="3"/>
  <c r="D1230" i="3"/>
  <c r="N1230" i="3" s="1"/>
  <c r="P1229" i="3"/>
  <c r="K1229" i="3"/>
  <c r="H1229" i="3"/>
  <c r="F1229" i="3"/>
  <c r="D1229" i="3"/>
  <c r="N1229" i="3" s="1"/>
  <c r="P1228" i="3"/>
  <c r="K1228" i="3"/>
  <c r="H1228" i="3"/>
  <c r="F1228" i="3"/>
  <c r="D1228" i="3"/>
  <c r="N1228" i="3" s="1"/>
  <c r="P1227" i="3"/>
  <c r="K1227" i="3"/>
  <c r="H1227" i="3"/>
  <c r="F1227" i="3"/>
  <c r="D1227" i="3"/>
  <c r="P1226" i="3"/>
  <c r="K1226" i="3"/>
  <c r="H1226" i="3"/>
  <c r="F1226" i="3"/>
  <c r="D1226" i="3"/>
  <c r="N1226" i="3" s="1"/>
  <c r="P1225" i="3"/>
  <c r="K1225" i="3"/>
  <c r="H1225" i="3"/>
  <c r="F1225" i="3"/>
  <c r="D1225" i="3"/>
  <c r="N1225" i="3" s="1"/>
  <c r="P1224" i="3"/>
  <c r="K1224" i="3"/>
  <c r="H1224" i="3"/>
  <c r="F1224" i="3"/>
  <c r="D1224" i="3"/>
  <c r="N1224" i="3" s="1"/>
  <c r="P1223" i="3"/>
  <c r="K1223" i="3"/>
  <c r="H1223" i="3"/>
  <c r="F1223" i="3"/>
  <c r="D1223" i="3"/>
  <c r="P1222" i="3"/>
  <c r="K1222" i="3"/>
  <c r="H1222" i="3"/>
  <c r="F1222" i="3"/>
  <c r="D1222" i="3"/>
  <c r="N1222" i="3" s="1"/>
  <c r="P1221" i="3"/>
  <c r="K1221" i="3"/>
  <c r="H1221" i="3"/>
  <c r="F1221" i="3"/>
  <c r="D1221" i="3"/>
  <c r="N1221" i="3" s="1"/>
  <c r="P1220" i="3"/>
  <c r="K1220" i="3"/>
  <c r="H1220" i="3"/>
  <c r="F1220" i="3"/>
  <c r="D1220" i="3"/>
  <c r="N1220" i="3" s="1"/>
  <c r="P1219" i="3"/>
  <c r="K1219" i="3"/>
  <c r="H1219" i="3"/>
  <c r="F1219" i="3"/>
  <c r="D1219" i="3"/>
  <c r="P1218" i="3"/>
  <c r="K1218" i="3"/>
  <c r="H1218" i="3"/>
  <c r="F1218" i="3"/>
  <c r="D1218" i="3"/>
  <c r="N1218" i="3" s="1"/>
  <c r="P1217" i="3"/>
  <c r="K1217" i="3"/>
  <c r="H1217" i="3"/>
  <c r="F1217" i="3"/>
  <c r="D1217" i="3"/>
  <c r="P1216" i="3"/>
  <c r="K1216" i="3"/>
  <c r="H1216" i="3"/>
  <c r="F1216" i="3"/>
  <c r="D1216" i="3"/>
  <c r="N1216" i="3" s="1"/>
  <c r="P1215" i="3"/>
  <c r="K1215" i="3"/>
  <c r="H1215" i="3"/>
  <c r="F1215" i="3"/>
  <c r="D1215" i="3"/>
  <c r="P1214" i="3"/>
  <c r="K1214" i="3"/>
  <c r="H1214" i="3"/>
  <c r="F1214" i="3"/>
  <c r="D1214" i="3"/>
  <c r="N1214" i="3" s="1"/>
  <c r="P1213" i="3"/>
  <c r="K1213" i="3"/>
  <c r="H1213" i="3"/>
  <c r="F1213" i="3"/>
  <c r="D1213" i="3"/>
  <c r="N1213" i="3" s="1"/>
  <c r="P1212" i="3"/>
  <c r="K1212" i="3"/>
  <c r="H1212" i="3"/>
  <c r="F1212" i="3"/>
  <c r="D1212" i="3"/>
  <c r="N1212" i="3" s="1"/>
  <c r="P1211" i="3"/>
  <c r="K1211" i="3"/>
  <c r="H1211" i="3"/>
  <c r="F1211" i="3"/>
  <c r="D1211" i="3"/>
  <c r="P1210" i="3"/>
  <c r="K1210" i="3"/>
  <c r="H1210" i="3"/>
  <c r="F1210" i="3"/>
  <c r="D1210" i="3"/>
  <c r="N1210" i="3" s="1"/>
  <c r="P1209" i="3"/>
  <c r="K1209" i="3"/>
  <c r="H1209" i="3"/>
  <c r="F1209" i="3"/>
  <c r="D1209" i="3"/>
  <c r="N1209" i="3" s="1"/>
  <c r="P1208" i="3"/>
  <c r="K1208" i="3"/>
  <c r="H1208" i="3"/>
  <c r="F1208" i="3"/>
  <c r="D1208" i="3"/>
  <c r="N1208" i="3" s="1"/>
  <c r="P1207" i="3"/>
  <c r="K1207" i="3"/>
  <c r="H1207" i="3"/>
  <c r="F1207" i="3"/>
  <c r="D1207" i="3"/>
  <c r="P1206" i="3"/>
  <c r="K1206" i="3"/>
  <c r="H1206" i="3"/>
  <c r="F1206" i="3"/>
  <c r="D1206" i="3"/>
  <c r="N1206" i="3" s="1"/>
  <c r="P1205" i="3"/>
  <c r="K1205" i="3"/>
  <c r="H1205" i="3"/>
  <c r="F1205" i="3"/>
  <c r="D1205" i="3"/>
  <c r="N1205" i="3" s="1"/>
  <c r="P1204" i="3"/>
  <c r="K1204" i="3"/>
  <c r="H1204" i="3"/>
  <c r="F1204" i="3"/>
  <c r="D1204" i="3"/>
  <c r="N1204" i="3" s="1"/>
  <c r="P1203" i="3"/>
  <c r="K1203" i="3"/>
  <c r="H1203" i="3"/>
  <c r="F1203" i="3"/>
  <c r="D1203" i="3"/>
  <c r="P1202" i="3"/>
  <c r="K1202" i="3"/>
  <c r="H1202" i="3"/>
  <c r="F1202" i="3"/>
  <c r="D1202" i="3"/>
  <c r="N1202" i="3" s="1"/>
  <c r="P1201" i="3"/>
  <c r="K1201" i="3"/>
  <c r="H1201" i="3"/>
  <c r="F1201" i="3"/>
  <c r="D1201" i="3"/>
  <c r="P1200" i="3"/>
  <c r="K1200" i="3"/>
  <c r="H1200" i="3"/>
  <c r="F1200" i="3"/>
  <c r="D1200" i="3"/>
  <c r="N1200" i="3" s="1"/>
  <c r="P1199" i="3"/>
  <c r="K1199" i="3"/>
  <c r="H1199" i="3"/>
  <c r="F1199" i="3"/>
  <c r="D1199" i="3"/>
  <c r="P1198" i="3"/>
  <c r="K1198" i="3"/>
  <c r="H1198" i="3"/>
  <c r="F1198" i="3"/>
  <c r="D1198" i="3"/>
  <c r="N1198" i="3" s="1"/>
  <c r="P1197" i="3"/>
  <c r="K1197" i="3"/>
  <c r="H1197" i="3"/>
  <c r="F1197" i="3"/>
  <c r="D1197" i="3"/>
  <c r="N1197" i="3" s="1"/>
  <c r="P1196" i="3"/>
  <c r="K1196" i="3"/>
  <c r="H1196" i="3"/>
  <c r="F1196" i="3"/>
  <c r="D1196" i="3"/>
  <c r="N1196" i="3" s="1"/>
  <c r="P1195" i="3"/>
  <c r="K1195" i="3"/>
  <c r="H1195" i="3"/>
  <c r="F1195" i="3"/>
  <c r="D1195" i="3"/>
  <c r="P1194" i="3"/>
  <c r="K1194" i="3"/>
  <c r="H1194" i="3"/>
  <c r="F1194" i="3"/>
  <c r="D1194" i="3"/>
  <c r="N1194" i="3" s="1"/>
  <c r="P1193" i="3"/>
  <c r="K1193" i="3"/>
  <c r="H1193" i="3"/>
  <c r="F1193" i="3"/>
  <c r="D1193" i="3"/>
  <c r="N1193" i="3" s="1"/>
  <c r="P1192" i="3"/>
  <c r="K1192" i="3"/>
  <c r="H1192" i="3"/>
  <c r="F1192" i="3"/>
  <c r="D1192" i="3"/>
  <c r="N1192" i="3" s="1"/>
  <c r="P1191" i="3"/>
  <c r="K1191" i="3"/>
  <c r="H1191" i="3"/>
  <c r="F1191" i="3"/>
  <c r="D1191" i="3"/>
  <c r="P1190" i="3"/>
  <c r="K1190" i="3"/>
  <c r="H1190" i="3"/>
  <c r="F1190" i="3"/>
  <c r="D1190" i="3"/>
  <c r="N1190" i="3" s="1"/>
  <c r="P1189" i="3"/>
  <c r="K1189" i="3"/>
  <c r="H1189" i="3"/>
  <c r="F1189" i="3"/>
  <c r="D1189" i="3"/>
  <c r="N1189" i="3" s="1"/>
  <c r="P1188" i="3"/>
  <c r="K1188" i="3"/>
  <c r="H1188" i="3"/>
  <c r="F1188" i="3"/>
  <c r="D1188" i="3"/>
  <c r="N1188" i="3" s="1"/>
  <c r="P1187" i="3"/>
  <c r="K1187" i="3"/>
  <c r="H1187" i="3"/>
  <c r="F1187" i="3"/>
  <c r="D1187" i="3"/>
  <c r="P1186" i="3"/>
  <c r="K1186" i="3"/>
  <c r="H1186" i="3"/>
  <c r="F1186" i="3"/>
  <c r="D1186" i="3"/>
  <c r="N1186" i="3" s="1"/>
  <c r="P1185" i="3"/>
  <c r="K1185" i="3"/>
  <c r="H1185" i="3"/>
  <c r="F1185" i="3"/>
  <c r="D1185" i="3"/>
  <c r="P1184" i="3"/>
  <c r="K1184" i="3"/>
  <c r="H1184" i="3"/>
  <c r="F1184" i="3"/>
  <c r="D1184" i="3"/>
  <c r="N1184" i="3" s="1"/>
  <c r="P1183" i="3"/>
  <c r="K1183" i="3"/>
  <c r="H1183" i="3"/>
  <c r="F1183" i="3"/>
  <c r="D1183" i="3"/>
  <c r="P1182" i="3"/>
  <c r="K1182" i="3"/>
  <c r="H1182" i="3"/>
  <c r="F1182" i="3"/>
  <c r="D1182" i="3"/>
  <c r="N1182" i="3" s="1"/>
  <c r="P1181" i="3"/>
  <c r="K1181" i="3"/>
  <c r="H1181" i="3"/>
  <c r="F1181" i="3"/>
  <c r="D1181" i="3"/>
  <c r="N1181" i="3" s="1"/>
  <c r="P1180" i="3"/>
  <c r="K1180" i="3"/>
  <c r="H1180" i="3"/>
  <c r="F1180" i="3"/>
  <c r="D1180" i="3"/>
  <c r="N1180" i="3" s="1"/>
  <c r="P1179" i="3"/>
  <c r="K1179" i="3"/>
  <c r="H1179" i="3"/>
  <c r="F1179" i="3"/>
  <c r="D1179" i="3"/>
  <c r="P1178" i="3"/>
  <c r="K1178" i="3"/>
  <c r="H1178" i="3"/>
  <c r="F1178" i="3"/>
  <c r="D1178" i="3"/>
  <c r="N1178" i="3" s="1"/>
  <c r="P1177" i="3"/>
  <c r="K1177" i="3"/>
  <c r="H1177" i="3"/>
  <c r="F1177" i="3"/>
  <c r="D1177" i="3"/>
  <c r="N1177" i="3" s="1"/>
  <c r="P1176" i="3"/>
  <c r="K1176" i="3"/>
  <c r="H1176" i="3"/>
  <c r="F1176" i="3"/>
  <c r="D1176" i="3"/>
  <c r="N1176" i="3" s="1"/>
  <c r="P1175" i="3"/>
  <c r="K1175" i="3"/>
  <c r="H1175" i="3"/>
  <c r="F1175" i="3"/>
  <c r="D1175" i="3"/>
  <c r="P1174" i="3"/>
  <c r="K1174" i="3"/>
  <c r="H1174" i="3"/>
  <c r="F1174" i="3"/>
  <c r="D1174" i="3"/>
  <c r="N1174" i="3" s="1"/>
  <c r="P1173" i="3"/>
  <c r="K1173" i="3"/>
  <c r="H1173" i="3"/>
  <c r="F1173" i="3"/>
  <c r="D1173" i="3"/>
  <c r="N1173" i="3" s="1"/>
  <c r="P1172" i="3"/>
  <c r="K1172" i="3"/>
  <c r="H1172" i="3"/>
  <c r="F1172" i="3"/>
  <c r="D1172" i="3"/>
  <c r="N1172" i="3" s="1"/>
  <c r="P1171" i="3"/>
  <c r="K1171" i="3"/>
  <c r="H1171" i="3"/>
  <c r="F1171" i="3"/>
  <c r="D1171" i="3"/>
  <c r="P1170" i="3"/>
  <c r="K1170" i="3"/>
  <c r="H1170" i="3"/>
  <c r="F1170" i="3"/>
  <c r="D1170" i="3"/>
  <c r="N1170" i="3" s="1"/>
  <c r="P1169" i="3"/>
  <c r="K1169" i="3"/>
  <c r="H1169" i="3"/>
  <c r="F1169" i="3"/>
  <c r="D1169" i="3"/>
  <c r="P1168" i="3"/>
  <c r="K1168" i="3"/>
  <c r="H1168" i="3"/>
  <c r="F1168" i="3"/>
  <c r="D1168" i="3"/>
  <c r="N1168" i="3" s="1"/>
  <c r="P1167" i="3"/>
  <c r="K1167" i="3"/>
  <c r="H1167" i="3"/>
  <c r="F1167" i="3"/>
  <c r="D1167" i="3"/>
  <c r="P1166" i="3"/>
  <c r="K1166" i="3"/>
  <c r="H1166" i="3"/>
  <c r="F1166" i="3"/>
  <c r="D1166" i="3"/>
  <c r="N1166" i="3" s="1"/>
  <c r="P1165" i="3"/>
  <c r="K1165" i="3"/>
  <c r="H1165" i="3"/>
  <c r="F1165" i="3"/>
  <c r="D1165" i="3"/>
  <c r="N1165" i="3" s="1"/>
  <c r="P1164" i="3"/>
  <c r="K1164" i="3"/>
  <c r="H1164" i="3"/>
  <c r="F1164" i="3"/>
  <c r="D1164" i="3"/>
  <c r="N1164" i="3" s="1"/>
  <c r="P1163" i="3"/>
  <c r="K1163" i="3"/>
  <c r="H1163" i="3"/>
  <c r="F1163" i="3"/>
  <c r="D1163" i="3"/>
  <c r="P1162" i="3"/>
  <c r="K1162" i="3"/>
  <c r="H1162" i="3"/>
  <c r="F1162" i="3"/>
  <c r="D1162" i="3"/>
  <c r="N1162" i="3" s="1"/>
  <c r="P1161" i="3"/>
  <c r="K1161" i="3"/>
  <c r="H1161" i="3"/>
  <c r="F1161" i="3"/>
  <c r="D1161" i="3"/>
  <c r="N1161" i="3" s="1"/>
  <c r="P1160" i="3"/>
  <c r="K1160" i="3"/>
  <c r="H1160" i="3"/>
  <c r="F1160" i="3"/>
  <c r="D1160" i="3"/>
  <c r="N1160" i="3" s="1"/>
  <c r="P1159" i="3"/>
  <c r="K1159" i="3"/>
  <c r="H1159" i="3"/>
  <c r="F1159" i="3"/>
  <c r="D1159" i="3"/>
  <c r="P1158" i="3"/>
  <c r="K1158" i="3"/>
  <c r="H1158" i="3"/>
  <c r="F1158" i="3"/>
  <c r="D1158" i="3"/>
  <c r="N1158" i="3" s="1"/>
  <c r="P1157" i="3"/>
  <c r="K1157" i="3"/>
  <c r="H1157" i="3"/>
  <c r="F1157" i="3"/>
  <c r="D1157" i="3"/>
  <c r="N1157" i="3" s="1"/>
  <c r="P1156" i="3"/>
  <c r="K1156" i="3"/>
  <c r="H1156" i="3"/>
  <c r="F1156" i="3"/>
  <c r="D1156" i="3"/>
  <c r="N1156" i="3" s="1"/>
  <c r="P1155" i="3"/>
  <c r="K1155" i="3"/>
  <c r="H1155" i="3"/>
  <c r="F1155" i="3"/>
  <c r="D1155" i="3"/>
  <c r="P1154" i="3"/>
  <c r="K1154" i="3"/>
  <c r="H1154" i="3"/>
  <c r="F1154" i="3"/>
  <c r="D1154" i="3"/>
  <c r="N1154" i="3" s="1"/>
  <c r="P1153" i="3"/>
  <c r="K1153" i="3"/>
  <c r="H1153" i="3"/>
  <c r="F1153" i="3"/>
  <c r="D1153" i="3"/>
  <c r="P1152" i="3"/>
  <c r="K1152" i="3"/>
  <c r="H1152" i="3"/>
  <c r="F1152" i="3"/>
  <c r="D1152" i="3"/>
  <c r="N1152" i="3" s="1"/>
  <c r="P1151" i="3"/>
  <c r="K1151" i="3"/>
  <c r="H1151" i="3"/>
  <c r="F1151" i="3"/>
  <c r="D1151" i="3"/>
  <c r="P1150" i="3"/>
  <c r="K1150" i="3"/>
  <c r="H1150" i="3"/>
  <c r="F1150" i="3"/>
  <c r="D1150" i="3"/>
  <c r="N1150" i="3" s="1"/>
  <c r="P1149" i="3"/>
  <c r="K1149" i="3"/>
  <c r="H1149" i="3"/>
  <c r="F1149" i="3"/>
  <c r="D1149" i="3"/>
  <c r="N1149" i="3" s="1"/>
  <c r="P1148" i="3"/>
  <c r="K1148" i="3"/>
  <c r="H1148" i="3"/>
  <c r="F1148" i="3"/>
  <c r="D1148" i="3"/>
  <c r="N1148" i="3" s="1"/>
  <c r="P1147" i="3"/>
  <c r="K1147" i="3"/>
  <c r="H1147" i="3"/>
  <c r="F1147" i="3"/>
  <c r="D1147" i="3"/>
  <c r="P1146" i="3"/>
  <c r="K1146" i="3"/>
  <c r="H1146" i="3"/>
  <c r="F1146" i="3"/>
  <c r="D1146" i="3"/>
  <c r="N1146" i="3" s="1"/>
  <c r="P1145" i="3"/>
  <c r="K1145" i="3"/>
  <c r="H1145" i="3"/>
  <c r="F1145" i="3"/>
  <c r="D1145" i="3"/>
  <c r="N1145" i="3" s="1"/>
  <c r="P1144" i="3"/>
  <c r="K1144" i="3"/>
  <c r="H1144" i="3"/>
  <c r="F1144" i="3"/>
  <c r="D1144" i="3"/>
  <c r="N1144" i="3" s="1"/>
  <c r="P1143" i="3"/>
  <c r="K1143" i="3"/>
  <c r="H1143" i="3"/>
  <c r="F1143" i="3"/>
  <c r="D1143" i="3"/>
  <c r="P1142" i="3"/>
  <c r="K1142" i="3"/>
  <c r="H1142" i="3"/>
  <c r="F1142" i="3"/>
  <c r="D1142" i="3"/>
  <c r="N1142" i="3" s="1"/>
  <c r="P1141" i="3"/>
  <c r="K1141" i="3"/>
  <c r="H1141" i="3"/>
  <c r="F1141" i="3"/>
  <c r="D1141" i="3"/>
  <c r="N1141" i="3" s="1"/>
  <c r="P1140" i="3"/>
  <c r="K1140" i="3"/>
  <c r="H1140" i="3"/>
  <c r="F1140" i="3"/>
  <c r="D1140" i="3"/>
  <c r="N1140" i="3" s="1"/>
  <c r="P1139" i="3"/>
  <c r="K1139" i="3"/>
  <c r="H1139" i="3"/>
  <c r="F1139" i="3"/>
  <c r="D1139" i="3"/>
  <c r="P1138" i="3"/>
  <c r="K1138" i="3"/>
  <c r="H1138" i="3"/>
  <c r="F1138" i="3"/>
  <c r="D1138" i="3"/>
  <c r="N1138" i="3" s="1"/>
  <c r="P1137" i="3"/>
  <c r="K1137" i="3"/>
  <c r="H1137" i="3"/>
  <c r="F1137" i="3"/>
  <c r="D1137" i="3"/>
  <c r="P1136" i="3"/>
  <c r="K1136" i="3"/>
  <c r="H1136" i="3"/>
  <c r="F1136" i="3"/>
  <c r="D1136" i="3"/>
  <c r="N1136" i="3" s="1"/>
  <c r="P1135" i="3"/>
  <c r="K1135" i="3"/>
  <c r="H1135" i="3"/>
  <c r="F1135" i="3"/>
  <c r="D1135" i="3"/>
  <c r="P1134" i="3"/>
  <c r="K1134" i="3"/>
  <c r="H1134" i="3"/>
  <c r="F1134" i="3"/>
  <c r="D1134" i="3"/>
  <c r="N1134" i="3" s="1"/>
  <c r="P1133" i="3"/>
  <c r="K1133" i="3"/>
  <c r="H1133" i="3"/>
  <c r="F1133" i="3"/>
  <c r="D1133" i="3"/>
  <c r="N1133" i="3" s="1"/>
  <c r="P1132" i="3"/>
  <c r="K1132" i="3"/>
  <c r="H1132" i="3"/>
  <c r="F1132" i="3"/>
  <c r="D1132" i="3"/>
  <c r="N1132" i="3" s="1"/>
  <c r="P1131" i="3"/>
  <c r="K1131" i="3"/>
  <c r="H1131" i="3"/>
  <c r="F1131" i="3"/>
  <c r="D1131" i="3"/>
  <c r="P1130" i="3"/>
  <c r="K1130" i="3"/>
  <c r="H1130" i="3"/>
  <c r="F1130" i="3"/>
  <c r="D1130" i="3"/>
  <c r="N1130" i="3" s="1"/>
  <c r="P1129" i="3"/>
  <c r="K1129" i="3"/>
  <c r="H1129" i="3"/>
  <c r="F1129" i="3"/>
  <c r="D1129" i="3"/>
  <c r="N1129" i="3" s="1"/>
  <c r="P1128" i="3"/>
  <c r="K1128" i="3"/>
  <c r="H1128" i="3"/>
  <c r="F1128" i="3"/>
  <c r="D1128" i="3"/>
  <c r="N1128" i="3" s="1"/>
  <c r="P1127" i="3"/>
  <c r="K1127" i="3"/>
  <c r="H1127" i="3"/>
  <c r="F1127" i="3"/>
  <c r="D1127" i="3"/>
  <c r="P1126" i="3"/>
  <c r="K1126" i="3"/>
  <c r="H1126" i="3"/>
  <c r="F1126" i="3"/>
  <c r="D1126" i="3"/>
  <c r="N1126" i="3" s="1"/>
  <c r="P1125" i="3"/>
  <c r="K1125" i="3"/>
  <c r="H1125" i="3"/>
  <c r="F1125" i="3"/>
  <c r="D1125" i="3"/>
  <c r="N1125" i="3" s="1"/>
  <c r="P1124" i="3"/>
  <c r="K1124" i="3"/>
  <c r="H1124" i="3"/>
  <c r="F1124" i="3"/>
  <c r="D1124" i="3"/>
  <c r="N1124" i="3" s="1"/>
  <c r="P1123" i="3"/>
  <c r="K1123" i="3"/>
  <c r="H1123" i="3"/>
  <c r="F1123" i="3"/>
  <c r="D1123" i="3"/>
  <c r="P1122" i="3"/>
  <c r="K1122" i="3"/>
  <c r="H1122" i="3"/>
  <c r="F1122" i="3"/>
  <c r="D1122" i="3"/>
  <c r="N1122" i="3" s="1"/>
  <c r="P1121" i="3"/>
  <c r="K1121" i="3"/>
  <c r="H1121" i="3"/>
  <c r="F1121" i="3"/>
  <c r="D1121" i="3"/>
  <c r="P1120" i="3"/>
  <c r="K1120" i="3"/>
  <c r="H1120" i="3"/>
  <c r="F1120" i="3"/>
  <c r="D1120" i="3"/>
  <c r="N1120" i="3" s="1"/>
  <c r="P1119" i="3"/>
  <c r="K1119" i="3"/>
  <c r="H1119" i="3"/>
  <c r="F1119" i="3"/>
  <c r="D1119" i="3"/>
  <c r="P1118" i="3"/>
  <c r="K1118" i="3"/>
  <c r="H1118" i="3"/>
  <c r="F1118" i="3"/>
  <c r="D1118" i="3"/>
  <c r="N1118" i="3" s="1"/>
  <c r="P1117" i="3"/>
  <c r="K1117" i="3"/>
  <c r="H1117" i="3"/>
  <c r="F1117" i="3"/>
  <c r="D1117" i="3"/>
  <c r="N1117" i="3" s="1"/>
  <c r="P1116" i="3"/>
  <c r="K1116" i="3"/>
  <c r="H1116" i="3"/>
  <c r="F1116" i="3"/>
  <c r="D1116" i="3"/>
  <c r="N1116" i="3" s="1"/>
  <c r="P1115" i="3"/>
  <c r="K1115" i="3"/>
  <c r="H1115" i="3"/>
  <c r="F1115" i="3"/>
  <c r="D1115" i="3"/>
  <c r="P1114" i="3"/>
  <c r="K1114" i="3"/>
  <c r="H1114" i="3"/>
  <c r="F1114" i="3"/>
  <c r="D1114" i="3"/>
  <c r="N1114" i="3" s="1"/>
  <c r="P1113" i="3"/>
  <c r="K1113" i="3"/>
  <c r="H1113" i="3"/>
  <c r="F1113" i="3"/>
  <c r="D1113" i="3"/>
  <c r="N1113" i="3" s="1"/>
  <c r="P1112" i="3"/>
  <c r="K1112" i="3"/>
  <c r="H1112" i="3"/>
  <c r="F1112" i="3"/>
  <c r="D1112" i="3"/>
  <c r="N1112" i="3" s="1"/>
  <c r="P1111" i="3"/>
  <c r="K1111" i="3"/>
  <c r="H1111" i="3"/>
  <c r="F1111" i="3"/>
  <c r="D1111" i="3"/>
  <c r="P1110" i="3"/>
  <c r="K1110" i="3"/>
  <c r="H1110" i="3"/>
  <c r="F1110" i="3"/>
  <c r="D1110" i="3"/>
  <c r="N1110" i="3" s="1"/>
  <c r="P1109" i="3"/>
  <c r="K1109" i="3"/>
  <c r="H1109" i="3"/>
  <c r="F1109" i="3"/>
  <c r="D1109" i="3"/>
  <c r="N1109" i="3" s="1"/>
  <c r="P1108" i="3"/>
  <c r="K1108" i="3"/>
  <c r="H1108" i="3"/>
  <c r="F1108" i="3"/>
  <c r="D1108" i="3"/>
  <c r="N1108" i="3" s="1"/>
  <c r="P1107" i="3"/>
  <c r="K1107" i="3"/>
  <c r="H1107" i="3"/>
  <c r="F1107" i="3"/>
  <c r="D1107" i="3"/>
  <c r="P1106" i="3"/>
  <c r="K1106" i="3"/>
  <c r="H1106" i="3"/>
  <c r="F1106" i="3"/>
  <c r="D1106" i="3"/>
  <c r="N1106" i="3" s="1"/>
  <c r="P1105" i="3"/>
  <c r="K1105" i="3"/>
  <c r="H1105" i="3"/>
  <c r="F1105" i="3"/>
  <c r="D1105" i="3"/>
  <c r="P1104" i="3"/>
  <c r="K1104" i="3"/>
  <c r="H1104" i="3"/>
  <c r="F1104" i="3"/>
  <c r="D1104" i="3"/>
  <c r="N1104" i="3" s="1"/>
  <c r="P1103" i="3"/>
  <c r="K1103" i="3"/>
  <c r="H1103" i="3"/>
  <c r="F1103" i="3"/>
  <c r="D1103" i="3"/>
  <c r="P1102" i="3"/>
  <c r="K1102" i="3"/>
  <c r="H1102" i="3"/>
  <c r="F1102" i="3"/>
  <c r="D1102" i="3"/>
  <c r="N1102" i="3" s="1"/>
  <c r="P1101" i="3"/>
  <c r="K1101" i="3"/>
  <c r="H1101" i="3"/>
  <c r="F1101" i="3"/>
  <c r="D1101" i="3"/>
  <c r="N1101" i="3" s="1"/>
  <c r="P1100" i="3"/>
  <c r="K1100" i="3"/>
  <c r="H1100" i="3"/>
  <c r="F1100" i="3"/>
  <c r="D1100" i="3"/>
  <c r="N1100" i="3" s="1"/>
  <c r="P1099" i="3"/>
  <c r="K1099" i="3"/>
  <c r="H1099" i="3"/>
  <c r="F1099" i="3"/>
  <c r="D1099" i="3"/>
  <c r="P1098" i="3"/>
  <c r="K1098" i="3"/>
  <c r="H1098" i="3"/>
  <c r="F1098" i="3"/>
  <c r="D1098" i="3"/>
  <c r="N1098" i="3" s="1"/>
  <c r="P1097" i="3"/>
  <c r="K1097" i="3"/>
  <c r="H1097" i="3"/>
  <c r="F1097" i="3"/>
  <c r="D1097" i="3"/>
  <c r="N1097" i="3" s="1"/>
  <c r="P1096" i="3"/>
  <c r="K1096" i="3"/>
  <c r="H1096" i="3"/>
  <c r="F1096" i="3"/>
  <c r="D1096" i="3"/>
  <c r="N1096" i="3" s="1"/>
  <c r="P1095" i="3"/>
  <c r="K1095" i="3"/>
  <c r="H1095" i="3"/>
  <c r="F1095" i="3"/>
  <c r="D1095" i="3"/>
  <c r="P1094" i="3"/>
  <c r="K1094" i="3"/>
  <c r="H1094" i="3"/>
  <c r="F1094" i="3"/>
  <c r="D1094" i="3"/>
  <c r="N1094" i="3" s="1"/>
  <c r="P1093" i="3"/>
  <c r="K1093" i="3"/>
  <c r="H1093" i="3"/>
  <c r="F1093" i="3"/>
  <c r="D1093" i="3"/>
  <c r="N1093" i="3" s="1"/>
  <c r="P1092" i="3"/>
  <c r="K1092" i="3"/>
  <c r="H1092" i="3"/>
  <c r="F1092" i="3"/>
  <c r="D1092" i="3"/>
  <c r="N1092" i="3" s="1"/>
  <c r="P1091" i="3"/>
  <c r="K1091" i="3"/>
  <c r="H1091" i="3"/>
  <c r="F1091" i="3"/>
  <c r="D1091" i="3"/>
  <c r="P1090" i="3"/>
  <c r="K1090" i="3"/>
  <c r="H1090" i="3"/>
  <c r="F1090" i="3"/>
  <c r="D1090" i="3"/>
  <c r="N1090" i="3" s="1"/>
  <c r="P1089" i="3"/>
  <c r="K1089" i="3"/>
  <c r="H1089" i="3"/>
  <c r="F1089" i="3"/>
  <c r="D1089" i="3"/>
  <c r="P1088" i="3"/>
  <c r="K1088" i="3"/>
  <c r="H1088" i="3"/>
  <c r="F1088" i="3"/>
  <c r="D1088" i="3"/>
  <c r="N1088" i="3" s="1"/>
  <c r="P1087" i="3"/>
  <c r="K1087" i="3"/>
  <c r="H1087" i="3"/>
  <c r="F1087" i="3"/>
  <c r="D1087" i="3"/>
  <c r="P1086" i="3"/>
  <c r="K1086" i="3"/>
  <c r="H1086" i="3"/>
  <c r="F1086" i="3"/>
  <c r="D1086" i="3"/>
  <c r="N1086" i="3" s="1"/>
  <c r="P1085" i="3"/>
  <c r="K1085" i="3"/>
  <c r="H1085" i="3"/>
  <c r="F1085" i="3"/>
  <c r="D1085" i="3"/>
  <c r="N1085" i="3" s="1"/>
  <c r="P1084" i="3"/>
  <c r="K1084" i="3"/>
  <c r="H1084" i="3"/>
  <c r="F1084" i="3"/>
  <c r="D1084" i="3"/>
  <c r="N1084" i="3" s="1"/>
  <c r="P1083" i="3"/>
  <c r="K1083" i="3"/>
  <c r="H1083" i="3"/>
  <c r="F1083" i="3"/>
  <c r="D1083" i="3"/>
  <c r="P1082" i="3"/>
  <c r="K1082" i="3"/>
  <c r="H1082" i="3"/>
  <c r="F1082" i="3"/>
  <c r="D1082" i="3"/>
  <c r="N1082" i="3" s="1"/>
  <c r="P1081" i="3"/>
  <c r="K1081" i="3"/>
  <c r="H1081" i="3"/>
  <c r="F1081" i="3"/>
  <c r="D1081" i="3"/>
  <c r="N1081" i="3" s="1"/>
  <c r="P1080" i="3"/>
  <c r="K1080" i="3"/>
  <c r="H1080" i="3"/>
  <c r="F1080" i="3"/>
  <c r="D1080" i="3"/>
  <c r="N1080" i="3" s="1"/>
  <c r="P1079" i="3"/>
  <c r="K1079" i="3"/>
  <c r="H1079" i="3"/>
  <c r="F1079" i="3"/>
  <c r="D1079" i="3"/>
  <c r="P1078" i="3"/>
  <c r="K1078" i="3"/>
  <c r="H1078" i="3"/>
  <c r="F1078" i="3"/>
  <c r="D1078" i="3"/>
  <c r="N1078" i="3" s="1"/>
  <c r="P1077" i="3"/>
  <c r="K1077" i="3"/>
  <c r="H1077" i="3"/>
  <c r="F1077" i="3"/>
  <c r="D1077" i="3"/>
  <c r="N1077" i="3" s="1"/>
  <c r="P1076" i="3"/>
  <c r="K1076" i="3"/>
  <c r="H1076" i="3"/>
  <c r="F1076" i="3"/>
  <c r="D1076" i="3"/>
  <c r="N1076" i="3" s="1"/>
  <c r="P1075" i="3"/>
  <c r="K1075" i="3"/>
  <c r="H1075" i="3"/>
  <c r="F1075" i="3"/>
  <c r="D1075" i="3"/>
  <c r="P1074" i="3"/>
  <c r="K1074" i="3"/>
  <c r="H1074" i="3"/>
  <c r="F1074" i="3"/>
  <c r="D1074" i="3"/>
  <c r="N1074" i="3" s="1"/>
  <c r="P1073" i="3"/>
  <c r="K1073" i="3"/>
  <c r="H1073" i="3"/>
  <c r="F1073" i="3"/>
  <c r="D1073" i="3"/>
  <c r="P1072" i="3"/>
  <c r="K1072" i="3"/>
  <c r="H1072" i="3"/>
  <c r="F1072" i="3"/>
  <c r="D1072" i="3"/>
  <c r="N1072" i="3" s="1"/>
  <c r="P1071" i="3"/>
  <c r="K1071" i="3"/>
  <c r="H1071" i="3"/>
  <c r="F1071" i="3"/>
  <c r="D1071" i="3"/>
  <c r="P1070" i="3"/>
  <c r="K1070" i="3"/>
  <c r="H1070" i="3"/>
  <c r="F1070" i="3"/>
  <c r="D1070" i="3"/>
  <c r="N1070" i="3" s="1"/>
  <c r="P1069" i="3"/>
  <c r="K1069" i="3"/>
  <c r="H1069" i="3"/>
  <c r="F1069" i="3"/>
  <c r="D1069" i="3"/>
  <c r="N1069" i="3" s="1"/>
  <c r="P1068" i="3"/>
  <c r="K1068" i="3"/>
  <c r="H1068" i="3"/>
  <c r="F1068" i="3"/>
  <c r="D1068" i="3"/>
  <c r="N1068" i="3" s="1"/>
  <c r="P1067" i="3"/>
  <c r="K1067" i="3"/>
  <c r="H1067" i="3"/>
  <c r="F1067" i="3"/>
  <c r="D1067" i="3"/>
  <c r="P1066" i="3"/>
  <c r="K1066" i="3"/>
  <c r="H1066" i="3"/>
  <c r="F1066" i="3"/>
  <c r="D1066" i="3"/>
  <c r="N1066" i="3" s="1"/>
  <c r="P1065" i="3"/>
  <c r="K1065" i="3"/>
  <c r="H1065" i="3"/>
  <c r="F1065" i="3"/>
  <c r="D1065" i="3"/>
  <c r="N1065" i="3" s="1"/>
  <c r="P1064" i="3"/>
  <c r="K1064" i="3"/>
  <c r="H1064" i="3"/>
  <c r="F1064" i="3"/>
  <c r="D1064" i="3"/>
  <c r="N1064" i="3" s="1"/>
  <c r="P1063" i="3"/>
  <c r="K1063" i="3"/>
  <c r="H1063" i="3"/>
  <c r="F1063" i="3"/>
  <c r="D1063" i="3"/>
  <c r="P1062" i="3"/>
  <c r="K1062" i="3"/>
  <c r="H1062" i="3"/>
  <c r="F1062" i="3"/>
  <c r="D1062" i="3"/>
  <c r="N1062" i="3" s="1"/>
  <c r="P1061" i="3"/>
  <c r="K1061" i="3"/>
  <c r="H1061" i="3"/>
  <c r="F1061" i="3"/>
  <c r="D1061" i="3"/>
  <c r="N1061" i="3" s="1"/>
  <c r="P1060" i="3"/>
  <c r="K1060" i="3"/>
  <c r="H1060" i="3"/>
  <c r="F1060" i="3"/>
  <c r="D1060" i="3"/>
  <c r="N1060" i="3" s="1"/>
  <c r="P1059" i="3"/>
  <c r="K1059" i="3"/>
  <c r="H1059" i="3"/>
  <c r="F1059" i="3"/>
  <c r="D1059" i="3"/>
  <c r="P1058" i="3"/>
  <c r="K1058" i="3"/>
  <c r="H1058" i="3"/>
  <c r="F1058" i="3"/>
  <c r="D1058" i="3"/>
  <c r="P1057" i="3"/>
  <c r="K1057" i="3"/>
  <c r="H1057" i="3"/>
  <c r="F1057" i="3"/>
  <c r="D1057" i="3"/>
  <c r="N1057" i="3" s="1"/>
  <c r="P1056" i="3"/>
  <c r="K1056" i="3"/>
  <c r="H1056" i="3"/>
  <c r="F1056" i="3"/>
  <c r="D1056" i="3"/>
  <c r="N1056" i="3" s="1"/>
  <c r="P1055" i="3"/>
  <c r="K1055" i="3"/>
  <c r="H1055" i="3"/>
  <c r="F1055" i="3"/>
  <c r="D1055" i="3"/>
  <c r="P1054" i="3"/>
  <c r="K1054" i="3"/>
  <c r="H1054" i="3"/>
  <c r="F1054" i="3"/>
  <c r="D1054" i="3"/>
  <c r="P1053" i="3"/>
  <c r="K1053" i="3"/>
  <c r="H1053" i="3"/>
  <c r="F1053" i="3"/>
  <c r="D1053" i="3"/>
  <c r="N1053" i="3" s="1"/>
  <c r="P1052" i="3"/>
  <c r="K1052" i="3"/>
  <c r="H1052" i="3"/>
  <c r="F1052" i="3"/>
  <c r="D1052" i="3"/>
  <c r="N1052" i="3" s="1"/>
  <c r="P1051" i="3"/>
  <c r="K1051" i="3"/>
  <c r="H1051" i="3"/>
  <c r="F1051" i="3"/>
  <c r="D1051" i="3"/>
  <c r="P1050" i="3"/>
  <c r="K1050" i="3"/>
  <c r="H1050" i="3"/>
  <c r="F1050" i="3"/>
  <c r="D1050" i="3"/>
  <c r="P1049" i="3"/>
  <c r="K1049" i="3"/>
  <c r="H1049" i="3"/>
  <c r="F1049" i="3"/>
  <c r="D1049" i="3"/>
  <c r="P1048" i="3"/>
  <c r="K1048" i="3"/>
  <c r="H1048" i="3"/>
  <c r="F1048" i="3"/>
  <c r="D1048" i="3"/>
  <c r="P1047" i="3"/>
  <c r="K1047" i="3"/>
  <c r="H1047" i="3"/>
  <c r="F1047" i="3"/>
  <c r="D1047" i="3"/>
  <c r="N1047" i="3" s="1"/>
  <c r="P1046" i="3"/>
  <c r="K1046" i="3"/>
  <c r="H1046" i="3"/>
  <c r="F1046" i="3"/>
  <c r="D1046" i="3"/>
  <c r="N1046" i="3" s="1"/>
  <c r="P1045" i="3"/>
  <c r="K1045" i="3"/>
  <c r="H1045" i="3"/>
  <c r="F1045" i="3"/>
  <c r="D1045" i="3"/>
  <c r="P1044" i="3"/>
  <c r="K1044" i="3"/>
  <c r="H1044" i="3"/>
  <c r="F1044" i="3"/>
  <c r="D1044" i="3"/>
  <c r="P1043" i="3"/>
  <c r="K1043" i="3"/>
  <c r="H1043" i="3"/>
  <c r="F1043" i="3"/>
  <c r="D1043" i="3"/>
  <c r="N1043" i="3" s="1"/>
  <c r="P1042" i="3"/>
  <c r="K1042" i="3"/>
  <c r="H1042" i="3"/>
  <c r="F1042" i="3"/>
  <c r="D1042" i="3"/>
  <c r="N1042" i="3" s="1"/>
  <c r="P1041" i="3"/>
  <c r="K1041" i="3"/>
  <c r="H1041" i="3"/>
  <c r="F1041" i="3"/>
  <c r="D1041" i="3"/>
  <c r="P1040" i="3"/>
  <c r="K1040" i="3"/>
  <c r="H1040" i="3"/>
  <c r="F1040" i="3"/>
  <c r="D1040" i="3"/>
  <c r="P1039" i="3"/>
  <c r="K1039" i="3"/>
  <c r="H1039" i="3"/>
  <c r="F1039" i="3"/>
  <c r="D1039" i="3"/>
  <c r="N1039" i="3" s="1"/>
  <c r="P1038" i="3"/>
  <c r="K1038" i="3"/>
  <c r="H1038" i="3"/>
  <c r="F1038" i="3"/>
  <c r="D1038" i="3"/>
  <c r="N1038" i="3" s="1"/>
  <c r="P1037" i="3"/>
  <c r="K1037" i="3"/>
  <c r="H1037" i="3"/>
  <c r="F1037" i="3"/>
  <c r="D1037" i="3"/>
  <c r="P1036" i="3"/>
  <c r="K1036" i="3"/>
  <c r="H1036" i="3"/>
  <c r="F1036" i="3"/>
  <c r="D1036" i="3"/>
  <c r="P1035" i="3"/>
  <c r="K1035" i="3"/>
  <c r="H1035" i="3"/>
  <c r="F1035" i="3"/>
  <c r="D1035" i="3"/>
  <c r="N1035" i="3" s="1"/>
  <c r="P1034" i="3"/>
  <c r="K1034" i="3"/>
  <c r="H1034" i="3"/>
  <c r="F1034" i="3"/>
  <c r="D1034" i="3"/>
  <c r="N1034" i="3" s="1"/>
  <c r="P1033" i="3"/>
  <c r="K1033" i="3"/>
  <c r="H1033" i="3"/>
  <c r="F1033" i="3"/>
  <c r="D1033" i="3"/>
  <c r="P1032" i="3"/>
  <c r="K1032" i="3"/>
  <c r="H1032" i="3"/>
  <c r="F1032" i="3"/>
  <c r="D1032" i="3"/>
  <c r="P1031" i="3"/>
  <c r="K1031" i="3"/>
  <c r="H1031" i="3"/>
  <c r="F1031" i="3"/>
  <c r="D1031" i="3"/>
  <c r="N1031" i="3" s="1"/>
  <c r="P1030" i="3"/>
  <c r="K1030" i="3"/>
  <c r="H1030" i="3"/>
  <c r="F1030" i="3"/>
  <c r="D1030" i="3"/>
  <c r="N1030" i="3" s="1"/>
  <c r="P1029" i="3"/>
  <c r="K1029" i="3"/>
  <c r="H1029" i="3"/>
  <c r="F1029" i="3"/>
  <c r="D1029" i="3"/>
  <c r="P1028" i="3"/>
  <c r="K1028" i="3"/>
  <c r="H1028" i="3"/>
  <c r="F1028" i="3"/>
  <c r="D1028" i="3"/>
  <c r="P1027" i="3"/>
  <c r="K1027" i="3"/>
  <c r="H1027" i="3"/>
  <c r="F1027" i="3"/>
  <c r="D1027" i="3"/>
  <c r="N1027" i="3" s="1"/>
  <c r="P1026" i="3"/>
  <c r="K1026" i="3"/>
  <c r="H1026" i="3"/>
  <c r="F1026" i="3"/>
  <c r="D1026" i="3"/>
  <c r="N1026" i="3" s="1"/>
  <c r="P1025" i="3"/>
  <c r="K1025" i="3"/>
  <c r="H1025" i="3"/>
  <c r="F1025" i="3"/>
  <c r="D1025" i="3"/>
  <c r="P1024" i="3"/>
  <c r="K1024" i="3"/>
  <c r="H1024" i="3"/>
  <c r="F1024" i="3"/>
  <c r="D1024" i="3"/>
  <c r="P1023" i="3"/>
  <c r="K1023" i="3"/>
  <c r="H1023" i="3"/>
  <c r="F1023" i="3"/>
  <c r="D1023" i="3"/>
  <c r="N1023" i="3" s="1"/>
  <c r="P1022" i="3"/>
  <c r="K1022" i="3"/>
  <c r="H1022" i="3"/>
  <c r="F1022" i="3"/>
  <c r="D1022" i="3"/>
  <c r="N1022" i="3" s="1"/>
  <c r="P1021" i="3"/>
  <c r="K1021" i="3"/>
  <c r="H1021" i="3"/>
  <c r="F1021" i="3"/>
  <c r="D1021" i="3"/>
  <c r="P1020" i="3"/>
  <c r="K1020" i="3"/>
  <c r="H1020" i="3"/>
  <c r="F1020" i="3"/>
  <c r="D1020" i="3"/>
  <c r="P1019" i="3"/>
  <c r="K1019" i="3"/>
  <c r="H1019" i="3"/>
  <c r="F1019" i="3"/>
  <c r="D1019" i="3"/>
  <c r="N1019" i="3" s="1"/>
  <c r="P1018" i="3"/>
  <c r="K1018" i="3"/>
  <c r="H1018" i="3"/>
  <c r="F1018" i="3"/>
  <c r="D1018" i="3"/>
  <c r="N1018" i="3" s="1"/>
  <c r="P1017" i="3"/>
  <c r="K1017" i="3"/>
  <c r="H1017" i="3"/>
  <c r="F1017" i="3"/>
  <c r="D1017" i="3"/>
  <c r="P1016" i="3"/>
  <c r="K1016" i="3"/>
  <c r="H1016" i="3"/>
  <c r="F1016" i="3"/>
  <c r="D1016" i="3"/>
  <c r="P1015" i="3"/>
  <c r="K1015" i="3"/>
  <c r="H1015" i="3"/>
  <c r="F1015" i="3"/>
  <c r="D1015" i="3"/>
  <c r="N1015" i="3" s="1"/>
  <c r="P1014" i="3"/>
  <c r="K1014" i="3"/>
  <c r="H1014" i="3"/>
  <c r="F1014" i="3"/>
  <c r="D1014" i="3"/>
  <c r="N1014" i="3" s="1"/>
  <c r="P1013" i="3"/>
  <c r="K1013" i="3"/>
  <c r="H1013" i="3"/>
  <c r="F1013" i="3"/>
  <c r="D1013" i="3"/>
  <c r="P1012" i="3"/>
  <c r="K1012" i="3"/>
  <c r="H1012" i="3"/>
  <c r="F1012" i="3"/>
  <c r="D1012" i="3"/>
  <c r="P1011" i="3"/>
  <c r="K1011" i="3"/>
  <c r="H1011" i="3"/>
  <c r="F1011" i="3"/>
  <c r="D1011" i="3"/>
  <c r="N1011" i="3" s="1"/>
  <c r="P1010" i="3"/>
  <c r="K1010" i="3"/>
  <c r="H1010" i="3"/>
  <c r="F1010" i="3"/>
  <c r="D1010" i="3"/>
  <c r="N1010" i="3" s="1"/>
  <c r="P1009" i="3"/>
  <c r="K1009" i="3"/>
  <c r="H1009" i="3"/>
  <c r="F1009" i="3"/>
  <c r="D1009" i="3"/>
  <c r="P1008" i="3"/>
  <c r="K1008" i="3"/>
  <c r="H1008" i="3"/>
  <c r="F1008" i="3"/>
  <c r="D1008" i="3"/>
  <c r="P1007" i="3"/>
  <c r="K1007" i="3"/>
  <c r="H1007" i="3"/>
  <c r="F1007" i="3"/>
  <c r="D1007" i="3"/>
  <c r="N1007" i="3" s="1"/>
  <c r="P1006" i="3"/>
  <c r="K1006" i="3"/>
  <c r="H1006" i="3"/>
  <c r="F1006" i="3"/>
  <c r="D1006" i="3"/>
  <c r="N1006" i="3" s="1"/>
  <c r="P1005" i="3"/>
  <c r="K1005" i="3"/>
  <c r="H1005" i="3"/>
  <c r="F1005" i="3"/>
  <c r="D1005" i="3"/>
  <c r="P1004" i="3"/>
  <c r="K1004" i="3"/>
  <c r="H1004" i="3"/>
  <c r="F1004" i="3"/>
  <c r="D1004" i="3"/>
  <c r="P1003" i="3"/>
  <c r="K1003" i="3"/>
  <c r="H1003" i="3"/>
  <c r="F1003" i="3"/>
  <c r="D1003" i="3"/>
  <c r="N1003" i="3" s="1"/>
  <c r="P1002" i="3"/>
  <c r="K1002" i="3"/>
  <c r="H1002" i="3"/>
  <c r="F1002" i="3"/>
  <c r="D1002" i="3"/>
  <c r="N1002" i="3" s="1"/>
  <c r="P1001" i="3"/>
  <c r="K1001" i="3"/>
  <c r="H1001" i="3"/>
  <c r="F1001" i="3"/>
  <c r="D1001" i="3"/>
  <c r="P1000" i="3"/>
  <c r="K1000" i="3"/>
  <c r="H1000" i="3"/>
  <c r="F1000" i="3"/>
  <c r="D1000" i="3"/>
  <c r="P999" i="3"/>
  <c r="K999" i="3"/>
  <c r="H999" i="3"/>
  <c r="F999" i="3"/>
  <c r="D999" i="3"/>
  <c r="N999" i="3" s="1"/>
  <c r="P998" i="3"/>
  <c r="K998" i="3"/>
  <c r="H998" i="3"/>
  <c r="F998" i="3"/>
  <c r="D998" i="3"/>
  <c r="N998" i="3" s="1"/>
  <c r="P997" i="3"/>
  <c r="K997" i="3"/>
  <c r="H997" i="3"/>
  <c r="F997" i="3"/>
  <c r="D997" i="3"/>
  <c r="P996" i="3"/>
  <c r="K996" i="3"/>
  <c r="H996" i="3"/>
  <c r="F996" i="3"/>
  <c r="D996" i="3"/>
  <c r="P995" i="3"/>
  <c r="K995" i="3"/>
  <c r="H995" i="3"/>
  <c r="F995" i="3"/>
  <c r="D995" i="3"/>
  <c r="N995" i="3" s="1"/>
  <c r="P994" i="3"/>
  <c r="K994" i="3"/>
  <c r="H994" i="3"/>
  <c r="F994" i="3"/>
  <c r="D994" i="3"/>
  <c r="N994" i="3" s="1"/>
  <c r="P993" i="3"/>
  <c r="K993" i="3"/>
  <c r="H993" i="3"/>
  <c r="F993" i="3"/>
  <c r="D993" i="3"/>
  <c r="P992" i="3"/>
  <c r="K992" i="3"/>
  <c r="H992" i="3"/>
  <c r="F992" i="3"/>
  <c r="D992" i="3"/>
  <c r="P991" i="3"/>
  <c r="K991" i="3"/>
  <c r="H991" i="3"/>
  <c r="F991" i="3"/>
  <c r="D991" i="3"/>
  <c r="N991" i="3" s="1"/>
  <c r="P990" i="3"/>
  <c r="K990" i="3"/>
  <c r="H990" i="3"/>
  <c r="F990" i="3"/>
  <c r="D990" i="3"/>
  <c r="N990" i="3" s="1"/>
  <c r="P989" i="3"/>
  <c r="K989" i="3"/>
  <c r="H989" i="3"/>
  <c r="F989" i="3"/>
  <c r="D989" i="3"/>
  <c r="P988" i="3"/>
  <c r="K988" i="3"/>
  <c r="H988" i="3"/>
  <c r="F988" i="3"/>
  <c r="D988" i="3"/>
  <c r="P987" i="3"/>
  <c r="K987" i="3"/>
  <c r="H987" i="3"/>
  <c r="F987" i="3"/>
  <c r="D987" i="3"/>
  <c r="N987" i="3" s="1"/>
  <c r="P986" i="3"/>
  <c r="K986" i="3"/>
  <c r="H986" i="3"/>
  <c r="F986" i="3"/>
  <c r="D986" i="3"/>
  <c r="N986" i="3" s="1"/>
  <c r="P985" i="3"/>
  <c r="K985" i="3"/>
  <c r="H985" i="3"/>
  <c r="F985" i="3"/>
  <c r="D985" i="3"/>
  <c r="P984" i="3"/>
  <c r="K984" i="3"/>
  <c r="H984" i="3"/>
  <c r="F984" i="3"/>
  <c r="D984" i="3"/>
  <c r="P983" i="3"/>
  <c r="K983" i="3"/>
  <c r="H983" i="3"/>
  <c r="F983" i="3"/>
  <c r="D983" i="3"/>
  <c r="N983" i="3" s="1"/>
  <c r="P982" i="3"/>
  <c r="K982" i="3"/>
  <c r="H982" i="3"/>
  <c r="F982" i="3"/>
  <c r="D982" i="3"/>
  <c r="N982" i="3" s="1"/>
  <c r="P981" i="3"/>
  <c r="K981" i="3"/>
  <c r="H981" i="3"/>
  <c r="F981" i="3"/>
  <c r="D981" i="3"/>
  <c r="P980" i="3"/>
  <c r="K980" i="3"/>
  <c r="H980" i="3"/>
  <c r="F980" i="3"/>
  <c r="D980" i="3"/>
  <c r="P979" i="3"/>
  <c r="K979" i="3"/>
  <c r="H979" i="3"/>
  <c r="F979" i="3"/>
  <c r="D979" i="3"/>
  <c r="N979" i="3" s="1"/>
  <c r="P978" i="3"/>
  <c r="K978" i="3"/>
  <c r="H978" i="3"/>
  <c r="F978" i="3"/>
  <c r="D978" i="3"/>
  <c r="N978" i="3" s="1"/>
  <c r="P977" i="3"/>
  <c r="K977" i="3"/>
  <c r="H977" i="3"/>
  <c r="F977" i="3"/>
  <c r="D977" i="3"/>
  <c r="P976" i="3"/>
  <c r="K976" i="3"/>
  <c r="H976" i="3"/>
  <c r="F976" i="3"/>
  <c r="D976" i="3"/>
  <c r="P975" i="3"/>
  <c r="K975" i="3"/>
  <c r="H975" i="3"/>
  <c r="F975" i="3"/>
  <c r="D975" i="3"/>
  <c r="N975" i="3" s="1"/>
  <c r="P974" i="3"/>
  <c r="K974" i="3"/>
  <c r="H974" i="3"/>
  <c r="F974" i="3"/>
  <c r="D974" i="3"/>
  <c r="N974" i="3" s="1"/>
  <c r="P973" i="3"/>
  <c r="K973" i="3"/>
  <c r="H973" i="3"/>
  <c r="F973" i="3"/>
  <c r="D973" i="3"/>
  <c r="P972" i="3"/>
  <c r="K972" i="3"/>
  <c r="H972" i="3"/>
  <c r="F972" i="3"/>
  <c r="D972" i="3"/>
  <c r="P971" i="3"/>
  <c r="K971" i="3"/>
  <c r="H971" i="3"/>
  <c r="F971" i="3"/>
  <c r="D971" i="3"/>
  <c r="N971" i="3" s="1"/>
  <c r="P970" i="3"/>
  <c r="K970" i="3"/>
  <c r="H970" i="3"/>
  <c r="F970" i="3"/>
  <c r="D970" i="3"/>
  <c r="N970" i="3" s="1"/>
  <c r="P969" i="3"/>
  <c r="K969" i="3"/>
  <c r="H969" i="3"/>
  <c r="F969" i="3"/>
  <c r="D969" i="3"/>
  <c r="P968" i="3"/>
  <c r="K968" i="3"/>
  <c r="H968" i="3"/>
  <c r="F968" i="3"/>
  <c r="D968" i="3"/>
  <c r="P967" i="3"/>
  <c r="K967" i="3"/>
  <c r="H967" i="3"/>
  <c r="F967" i="3"/>
  <c r="D967" i="3"/>
  <c r="N967" i="3" s="1"/>
  <c r="P966" i="3"/>
  <c r="K966" i="3"/>
  <c r="H966" i="3"/>
  <c r="F966" i="3"/>
  <c r="D966" i="3"/>
  <c r="N966" i="3" s="1"/>
  <c r="P965" i="3"/>
  <c r="K965" i="3"/>
  <c r="H965" i="3"/>
  <c r="F965" i="3"/>
  <c r="D965" i="3"/>
  <c r="P964" i="3"/>
  <c r="K964" i="3"/>
  <c r="H964" i="3"/>
  <c r="F964" i="3"/>
  <c r="D964" i="3"/>
  <c r="P963" i="3"/>
  <c r="K963" i="3"/>
  <c r="H963" i="3"/>
  <c r="F963" i="3"/>
  <c r="D963" i="3"/>
  <c r="N963" i="3" s="1"/>
  <c r="P962" i="3"/>
  <c r="K962" i="3"/>
  <c r="H962" i="3"/>
  <c r="F962" i="3"/>
  <c r="D962" i="3"/>
  <c r="N962" i="3" s="1"/>
  <c r="P961" i="3"/>
  <c r="K961" i="3"/>
  <c r="H961" i="3"/>
  <c r="F961" i="3"/>
  <c r="D961" i="3"/>
  <c r="P960" i="3"/>
  <c r="K960" i="3"/>
  <c r="H960" i="3"/>
  <c r="F960" i="3"/>
  <c r="D960" i="3"/>
  <c r="P959" i="3"/>
  <c r="K959" i="3"/>
  <c r="H959" i="3"/>
  <c r="F959" i="3"/>
  <c r="D959" i="3"/>
  <c r="N959" i="3" s="1"/>
  <c r="P958" i="3"/>
  <c r="K958" i="3"/>
  <c r="H958" i="3"/>
  <c r="F958" i="3"/>
  <c r="D958" i="3"/>
  <c r="N958" i="3" s="1"/>
  <c r="P957" i="3"/>
  <c r="K957" i="3"/>
  <c r="H957" i="3"/>
  <c r="F957" i="3"/>
  <c r="D957" i="3"/>
  <c r="P956" i="3"/>
  <c r="K956" i="3"/>
  <c r="H956" i="3"/>
  <c r="F956" i="3"/>
  <c r="D956" i="3"/>
  <c r="P955" i="3"/>
  <c r="K955" i="3"/>
  <c r="H955" i="3"/>
  <c r="F955" i="3"/>
  <c r="D955" i="3"/>
  <c r="N955" i="3" s="1"/>
  <c r="P954" i="3"/>
  <c r="K954" i="3"/>
  <c r="H954" i="3"/>
  <c r="F954" i="3"/>
  <c r="D954" i="3"/>
  <c r="N954" i="3" s="1"/>
  <c r="P953" i="3"/>
  <c r="K953" i="3"/>
  <c r="H953" i="3"/>
  <c r="F953" i="3"/>
  <c r="D953" i="3"/>
  <c r="P952" i="3"/>
  <c r="K952" i="3"/>
  <c r="H952" i="3"/>
  <c r="F952" i="3"/>
  <c r="D952" i="3"/>
  <c r="P951" i="3"/>
  <c r="K951" i="3"/>
  <c r="H951" i="3"/>
  <c r="F951" i="3"/>
  <c r="D951" i="3"/>
  <c r="N951" i="3" s="1"/>
  <c r="P950" i="3"/>
  <c r="K950" i="3"/>
  <c r="H950" i="3"/>
  <c r="F950" i="3"/>
  <c r="D950" i="3"/>
  <c r="N950" i="3" s="1"/>
  <c r="P949" i="3"/>
  <c r="K949" i="3"/>
  <c r="H949" i="3"/>
  <c r="F949" i="3"/>
  <c r="D949" i="3"/>
  <c r="P948" i="3"/>
  <c r="K948" i="3"/>
  <c r="H948" i="3"/>
  <c r="F948" i="3"/>
  <c r="D948" i="3"/>
  <c r="P947" i="3"/>
  <c r="K947" i="3"/>
  <c r="H947" i="3"/>
  <c r="F947" i="3"/>
  <c r="D947" i="3"/>
  <c r="N947" i="3" s="1"/>
  <c r="P946" i="3"/>
  <c r="K946" i="3"/>
  <c r="H946" i="3"/>
  <c r="F946" i="3"/>
  <c r="D946" i="3"/>
  <c r="P945" i="3"/>
  <c r="K945" i="3"/>
  <c r="H945" i="3"/>
  <c r="F945" i="3"/>
  <c r="D945" i="3"/>
  <c r="P944" i="3"/>
  <c r="K944" i="3"/>
  <c r="H944" i="3"/>
  <c r="F944" i="3"/>
  <c r="D944" i="3"/>
  <c r="P943" i="3"/>
  <c r="K943" i="3"/>
  <c r="H943" i="3"/>
  <c r="F943" i="3"/>
  <c r="D943" i="3"/>
  <c r="N943" i="3" s="1"/>
  <c r="P942" i="3"/>
  <c r="K942" i="3"/>
  <c r="H942" i="3"/>
  <c r="F942" i="3"/>
  <c r="D942" i="3"/>
  <c r="N942" i="3" s="1"/>
  <c r="P941" i="3"/>
  <c r="K941" i="3"/>
  <c r="H941" i="3"/>
  <c r="F941" i="3"/>
  <c r="D941" i="3"/>
  <c r="P940" i="3"/>
  <c r="K940" i="3"/>
  <c r="H940" i="3"/>
  <c r="F940" i="3"/>
  <c r="D940" i="3"/>
  <c r="P939" i="3"/>
  <c r="K939" i="3"/>
  <c r="H939" i="3"/>
  <c r="F939" i="3"/>
  <c r="D939" i="3"/>
  <c r="N939" i="3" s="1"/>
  <c r="P938" i="3"/>
  <c r="K938" i="3"/>
  <c r="H938" i="3"/>
  <c r="F938" i="3"/>
  <c r="D938" i="3"/>
  <c r="N938" i="3" s="1"/>
  <c r="P937" i="3"/>
  <c r="K937" i="3"/>
  <c r="H937" i="3"/>
  <c r="F937" i="3"/>
  <c r="D937" i="3"/>
  <c r="P936" i="3"/>
  <c r="K936" i="3"/>
  <c r="H936" i="3"/>
  <c r="F936" i="3"/>
  <c r="D936" i="3"/>
  <c r="P935" i="3"/>
  <c r="K935" i="3"/>
  <c r="H935" i="3"/>
  <c r="F935" i="3"/>
  <c r="D935" i="3"/>
  <c r="N935" i="3" s="1"/>
  <c r="P934" i="3"/>
  <c r="K934" i="3"/>
  <c r="H934" i="3"/>
  <c r="F934" i="3"/>
  <c r="D934" i="3"/>
  <c r="N934" i="3" s="1"/>
  <c r="P933" i="3"/>
  <c r="K933" i="3"/>
  <c r="H933" i="3"/>
  <c r="F933" i="3"/>
  <c r="D933" i="3"/>
  <c r="P932" i="3"/>
  <c r="K932" i="3"/>
  <c r="H932" i="3"/>
  <c r="F932" i="3"/>
  <c r="D932" i="3"/>
  <c r="P931" i="3"/>
  <c r="K931" i="3"/>
  <c r="H931" i="3"/>
  <c r="F931" i="3"/>
  <c r="D931" i="3"/>
  <c r="N931" i="3" s="1"/>
  <c r="P930" i="3"/>
  <c r="K930" i="3"/>
  <c r="H930" i="3"/>
  <c r="F930" i="3"/>
  <c r="D930" i="3"/>
  <c r="N930" i="3" s="1"/>
  <c r="P929" i="3"/>
  <c r="K929" i="3"/>
  <c r="H929" i="3"/>
  <c r="F929" i="3"/>
  <c r="D929" i="3"/>
  <c r="P928" i="3"/>
  <c r="K928" i="3"/>
  <c r="H928" i="3"/>
  <c r="F928" i="3"/>
  <c r="D928" i="3"/>
  <c r="P927" i="3"/>
  <c r="K927" i="3"/>
  <c r="H927" i="3"/>
  <c r="F927" i="3"/>
  <c r="D927" i="3"/>
  <c r="N927" i="3" s="1"/>
  <c r="P926" i="3"/>
  <c r="K926" i="3"/>
  <c r="H926" i="3"/>
  <c r="F926" i="3"/>
  <c r="D926" i="3"/>
  <c r="N926" i="3" s="1"/>
  <c r="P925" i="3"/>
  <c r="K925" i="3"/>
  <c r="H925" i="3"/>
  <c r="F925" i="3"/>
  <c r="D925" i="3"/>
  <c r="P924" i="3"/>
  <c r="K924" i="3"/>
  <c r="H924" i="3"/>
  <c r="F924" i="3"/>
  <c r="D924" i="3"/>
  <c r="P923" i="3"/>
  <c r="K923" i="3"/>
  <c r="H923" i="3"/>
  <c r="F923" i="3"/>
  <c r="D923" i="3"/>
  <c r="N923" i="3" s="1"/>
  <c r="P922" i="3"/>
  <c r="K922" i="3"/>
  <c r="H922" i="3"/>
  <c r="F922" i="3"/>
  <c r="D922" i="3"/>
  <c r="N922" i="3" s="1"/>
  <c r="P921" i="3"/>
  <c r="K921" i="3"/>
  <c r="H921" i="3"/>
  <c r="F921" i="3"/>
  <c r="D921" i="3"/>
  <c r="P920" i="3"/>
  <c r="K920" i="3"/>
  <c r="H920" i="3"/>
  <c r="F920" i="3"/>
  <c r="D920" i="3"/>
  <c r="P919" i="3"/>
  <c r="K919" i="3"/>
  <c r="H919" i="3"/>
  <c r="F919" i="3"/>
  <c r="D919" i="3"/>
  <c r="N919" i="3" s="1"/>
  <c r="P918" i="3"/>
  <c r="K918" i="3"/>
  <c r="H918" i="3"/>
  <c r="F918" i="3"/>
  <c r="D918" i="3"/>
  <c r="N918" i="3" s="1"/>
  <c r="P917" i="3"/>
  <c r="K917" i="3"/>
  <c r="H917" i="3"/>
  <c r="F917" i="3"/>
  <c r="D917" i="3"/>
  <c r="P916" i="3"/>
  <c r="K916" i="3"/>
  <c r="H916" i="3"/>
  <c r="F916" i="3"/>
  <c r="D916" i="3"/>
  <c r="P915" i="3"/>
  <c r="K915" i="3"/>
  <c r="H915" i="3"/>
  <c r="F915" i="3"/>
  <c r="D915" i="3"/>
  <c r="N915" i="3" s="1"/>
  <c r="P914" i="3"/>
  <c r="K914" i="3"/>
  <c r="H914" i="3"/>
  <c r="F914" i="3"/>
  <c r="D914" i="3"/>
  <c r="P913" i="3"/>
  <c r="K913" i="3"/>
  <c r="H913" i="3"/>
  <c r="F913" i="3"/>
  <c r="D913" i="3"/>
  <c r="P912" i="3"/>
  <c r="K912" i="3"/>
  <c r="H912" i="3"/>
  <c r="F912" i="3"/>
  <c r="D912" i="3"/>
  <c r="P911" i="3"/>
  <c r="K911" i="3"/>
  <c r="H911" i="3"/>
  <c r="F911" i="3"/>
  <c r="D911" i="3"/>
  <c r="N911" i="3" s="1"/>
  <c r="P910" i="3"/>
  <c r="K910" i="3"/>
  <c r="H910" i="3"/>
  <c r="F910" i="3"/>
  <c r="D910" i="3"/>
  <c r="N910" i="3" s="1"/>
  <c r="P909" i="3"/>
  <c r="K909" i="3"/>
  <c r="H909" i="3"/>
  <c r="F909" i="3"/>
  <c r="D909" i="3"/>
  <c r="P908" i="3"/>
  <c r="K908" i="3"/>
  <c r="H908" i="3"/>
  <c r="F908" i="3"/>
  <c r="D908" i="3"/>
  <c r="P907" i="3"/>
  <c r="K907" i="3"/>
  <c r="H907" i="3"/>
  <c r="F907" i="3"/>
  <c r="D907" i="3"/>
  <c r="N907" i="3" s="1"/>
  <c r="P906" i="3"/>
  <c r="K906" i="3"/>
  <c r="H906" i="3"/>
  <c r="F906" i="3"/>
  <c r="D906" i="3"/>
  <c r="N906" i="3" s="1"/>
  <c r="P905" i="3"/>
  <c r="K905" i="3"/>
  <c r="H905" i="3"/>
  <c r="F905" i="3"/>
  <c r="D905" i="3"/>
  <c r="P904" i="3"/>
  <c r="K904" i="3"/>
  <c r="H904" i="3"/>
  <c r="F904" i="3"/>
  <c r="D904" i="3"/>
  <c r="N904" i="3" s="1"/>
  <c r="P903" i="3"/>
  <c r="K903" i="3"/>
  <c r="H903" i="3"/>
  <c r="F903" i="3"/>
  <c r="D903" i="3"/>
  <c r="N903" i="3" s="1"/>
  <c r="P902" i="3"/>
  <c r="K902" i="3"/>
  <c r="H902" i="3"/>
  <c r="F902" i="3"/>
  <c r="D902" i="3"/>
  <c r="N902" i="3" s="1"/>
  <c r="P901" i="3"/>
  <c r="K901" i="3"/>
  <c r="H901" i="3"/>
  <c r="F901" i="3"/>
  <c r="D901" i="3"/>
  <c r="P900" i="3"/>
  <c r="K900" i="3"/>
  <c r="H900" i="3"/>
  <c r="F900" i="3"/>
  <c r="D900" i="3"/>
  <c r="N900" i="3" s="1"/>
  <c r="P899" i="3"/>
  <c r="K899" i="3"/>
  <c r="H899" i="3"/>
  <c r="F899" i="3"/>
  <c r="D899" i="3"/>
  <c r="N899" i="3" s="1"/>
  <c r="P898" i="3"/>
  <c r="K898" i="3"/>
  <c r="H898" i="3"/>
  <c r="F898" i="3"/>
  <c r="D898" i="3"/>
  <c r="N898" i="3" s="1"/>
  <c r="P897" i="3"/>
  <c r="K897" i="3"/>
  <c r="H897" i="3"/>
  <c r="F897" i="3"/>
  <c r="D897" i="3"/>
  <c r="P896" i="3"/>
  <c r="K896" i="3"/>
  <c r="H896" i="3"/>
  <c r="F896" i="3"/>
  <c r="D896" i="3"/>
  <c r="N896" i="3" s="1"/>
  <c r="P895" i="3"/>
  <c r="K895" i="3"/>
  <c r="H895" i="3"/>
  <c r="F895" i="3"/>
  <c r="D895" i="3"/>
  <c r="N895" i="3" s="1"/>
  <c r="P894" i="3"/>
  <c r="K894" i="3"/>
  <c r="H894" i="3"/>
  <c r="F894" i="3"/>
  <c r="D894" i="3"/>
  <c r="N894" i="3" s="1"/>
  <c r="P893" i="3"/>
  <c r="K893" i="3"/>
  <c r="H893" i="3"/>
  <c r="F893" i="3"/>
  <c r="D893" i="3"/>
  <c r="P892" i="3"/>
  <c r="K892" i="3"/>
  <c r="H892" i="3"/>
  <c r="F892" i="3"/>
  <c r="D892" i="3"/>
  <c r="N892" i="3" s="1"/>
  <c r="P891" i="3"/>
  <c r="K891" i="3"/>
  <c r="H891" i="3"/>
  <c r="F891" i="3"/>
  <c r="D891" i="3"/>
  <c r="N891" i="3" s="1"/>
  <c r="P890" i="3"/>
  <c r="K890" i="3"/>
  <c r="H890" i="3"/>
  <c r="F890" i="3"/>
  <c r="D890" i="3"/>
  <c r="N890" i="3" s="1"/>
  <c r="P889" i="3"/>
  <c r="K889" i="3"/>
  <c r="H889" i="3"/>
  <c r="F889" i="3"/>
  <c r="D889" i="3"/>
  <c r="P888" i="3"/>
  <c r="K888" i="3"/>
  <c r="H888" i="3"/>
  <c r="F888" i="3"/>
  <c r="D888" i="3"/>
  <c r="N888" i="3" s="1"/>
  <c r="P887" i="3"/>
  <c r="K887" i="3"/>
  <c r="H887" i="3"/>
  <c r="F887" i="3"/>
  <c r="D887" i="3"/>
  <c r="N887" i="3" s="1"/>
  <c r="P886" i="3"/>
  <c r="K886" i="3"/>
  <c r="H886" i="3"/>
  <c r="F886" i="3"/>
  <c r="D886" i="3"/>
  <c r="N886" i="3" s="1"/>
  <c r="P885" i="3"/>
  <c r="K885" i="3"/>
  <c r="H885" i="3"/>
  <c r="F885" i="3"/>
  <c r="D885" i="3"/>
  <c r="P884" i="3"/>
  <c r="K884" i="3"/>
  <c r="H884" i="3"/>
  <c r="F884" i="3"/>
  <c r="D884" i="3"/>
  <c r="N884" i="3" s="1"/>
  <c r="P883" i="3"/>
  <c r="K883" i="3"/>
  <c r="H883" i="3"/>
  <c r="F883" i="3"/>
  <c r="D883" i="3"/>
  <c r="N883" i="3" s="1"/>
  <c r="P882" i="3"/>
  <c r="K882" i="3"/>
  <c r="H882" i="3"/>
  <c r="F882" i="3"/>
  <c r="D882" i="3"/>
  <c r="N882" i="3" s="1"/>
  <c r="P881" i="3"/>
  <c r="K881" i="3"/>
  <c r="H881" i="3"/>
  <c r="F881" i="3"/>
  <c r="D881" i="3"/>
  <c r="P880" i="3"/>
  <c r="K880" i="3"/>
  <c r="H880" i="3"/>
  <c r="F880" i="3"/>
  <c r="D880" i="3"/>
  <c r="N880" i="3" s="1"/>
  <c r="P879" i="3"/>
  <c r="K879" i="3"/>
  <c r="H879" i="3"/>
  <c r="F879" i="3"/>
  <c r="D879" i="3"/>
  <c r="N879" i="3" s="1"/>
  <c r="P878" i="3"/>
  <c r="K878" i="3"/>
  <c r="H878" i="3"/>
  <c r="F878" i="3"/>
  <c r="D878" i="3"/>
  <c r="N878" i="3" s="1"/>
  <c r="P877" i="3"/>
  <c r="K877" i="3"/>
  <c r="H877" i="3"/>
  <c r="F877" i="3"/>
  <c r="D877" i="3"/>
  <c r="P876" i="3"/>
  <c r="K876" i="3"/>
  <c r="H876" i="3"/>
  <c r="F876" i="3"/>
  <c r="D876" i="3"/>
  <c r="N876" i="3" s="1"/>
  <c r="P875" i="3"/>
  <c r="K875" i="3"/>
  <c r="H875" i="3"/>
  <c r="F875" i="3"/>
  <c r="D875" i="3"/>
  <c r="N875" i="3" s="1"/>
  <c r="P874" i="3"/>
  <c r="K874" i="3"/>
  <c r="H874" i="3"/>
  <c r="F874" i="3"/>
  <c r="D874" i="3"/>
  <c r="N874" i="3" s="1"/>
  <c r="P873" i="3"/>
  <c r="K873" i="3"/>
  <c r="H873" i="3"/>
  <c r="F873" i="3"/>
  <c r="D873" i="3"/>
  <c r="P872" i="3"/>
  <c r="K872" i="3"/>
  <c r="H872" i="3"/>
  <c r="F872" i="3"/>
  <c r="D872" i="3"/>
  <c r="N872" i="3" s="1"/>
  <c r="P871" i="3"/>
  <c r="K871" i="3"/>
  <c r="H871" i="3"/>
  <c r="F871" i="3"/>
  <c r="D871" i="3"/>
  <c r="N871" i="3" s="1"/>
  <c r="P870" i="3"/>
  <c r="K870" i="3"/>
  <c r="H870" i="3"/>
  <c r="F870" i="3"/>
  <c r="D870" i="3"/>
  <c r="N870" i="3" s="1"/>
  <c r="P869" i="3"/>
  <c r="K869" i="3"/>
  <c r="H869" i="3"/>
  <c r="F869" i="3"/>
  <c r="D869" i="3"/>
  <c r="P868" i="3"/>
  <c r="K868" i="3"/>
  <c r="H868" i="3"/>
  <c r="F868" i="3"/>
  <c r="D868" i="3"/>
  <c r="N868" i="3" s="1"/>
  <c r="P867" i="3"/>
  <c r="K867" i="3"/>
  <c r="H867" i="3"/>
  <c r="F867" i="3"/>
  <c r="D867" i="3"/>
  <c r="N867" i="3" s="1"/>
  <c r="P866" i="3"/>
  <c r="K866" i="3"/>
  <c r="H866" i="3"/>
  <c r="F866" i="3"/>
  <c r="D866" i="3"/>
  <c r="N866" i="3" s="1"/>
  <c r="P865" i="3"/>
  <c r="K865" i="3"/>
  <c r="H865" i="3"/>
  <c r="F865" i="3"/>
  <c r="D865" i="3"/>
  <c r="P864" i="3"/>
  <c r="K864" i="3"/>
  <c r="H864" i="3"/>
  <c r="F864" i="3"/>
  <c r="D864" i="3"/>
  <c r="N864" i="3" s="1"/>
  <c r="P863" i="3"/>
  <c r="K863" i="3"/>
  <c r="H863" i="3"/>
  <c r="F863" i="3"/>
  <c r="D863" i="3"/>
  <c r="N863" i="3" s="1"/>
  <c r="P862" i="3"/>
  <c r="K862" i="3"/>
  <c r="H862" i="3"/>
  <c r="F862" i="3"/>
  <c r="D862" i="3"/>
  <c r="N862" i="3" s="1"/>
  <c r="P861" i="3"/>
  <c r="K861" i="3"/>
  <c r="H861" i="3"/>
  <c r="F861" i="3"/>
  <c r="D861" i="3"/>
  <c r="P860" i="3"/>
  <c r="K860" i="3"/>
  <c r="H860" i="3"/>
  <c r="F860" i="3"/>
  <c r="D860" i="3"/>
  <c r="N860" i="3" s="1"/>
  <c r="P859" i="3"/>
  <c r="K859" i="3"/>
  <c r="H859" i="3"/>
  <c r="F859" i="3"/>
  <c r="D859" i="3"/>
  <c r="N859" i="3" s="1"/>
  <c r="P858" i="3"/>
  <c r="K858" i="3"/>
  <c r="H858" i="3"/>
  <c r="F858" i="3"/>
  <c r="D858" i="3"/>
  <c r="N858" i="3" s="1"/>
  <c r="P857" i="3"/>
  <c r="K857" i="3"/>
  <c r="H857" i="3"/>
  <c r="F857" i="3"/>
  <c r="D857" i="3"/>
  <c r="P856" i="3"/>
  <c r="K856" i="3"/>
  <c r="H856" i="3"/>
  <c r="F856" i="3"/>
  <c r="D856" i="3"/>
  <c r="N856" i="3" s="1"/>
  <c r="P855" i="3"/>
  <c r="K855" i="3"/>
  <c r="H855" i="3"/>
  <c r="F855" i="3"/>
  <c r="D855" i="3"/>
  <c r="N855" i="3" s="1"/>
  <c r="P854" i="3"/>
  <c r="K854" i="3"/>
  <c r="H854" i="3"/>
  <c r="F854" i="3"/>
  <c r="D854" i="3"/>
  <c r="N854" i="3" s="1"/>
  <c r="P853" i="3"/>
  <c r="K853" i="3"/>
  <c r="H853" i="3"/>
  <c r="F853" i="3"/>
  <c r="D853" i="3"/>
  <c r="P852" i="3"/>
  <c r="K852" i="3"/>
  <c r="H852" i="3"/>
  <c r="F852" i="3"/>
  <c r="D852" i="3"/>
  <c r="N852" i="3" s="1"/>
  <c r="P851" i="3"/>
  <c r="K851" i="3"/>
  <c r="H851" i="3"/>
  <c r="F851" i="3"/>
  <c r="D851" i="3"/>
  <c r="N851" i="3" s="1"/>
  <c r="P850" i="3"/>
  <c r="K850" i="3"/>
  <c r="H850" i="3"/>
  <c r="F850" i="3"/>
  <c r="D850" i="3"/>
  <c r="N850" i="3" s="1"/>
  <c r="P849" i="3"/>
  <c r="K849" i="3"/>
  <c r="H849" i="3"/>
  <c r="F849" i="3"/>
  <c r="D849" i="3"/>
  <c r="P848" i="3"/>
  <c r="K848" i="3"/>
  <c r="H848" i="3"/>
  <c r="F848" i="3"/>
  <c r="D848" i="3"/>
  <c r="N848" i="3" s="1"/>
  <c r="P847" i="3"/>
  <c r="K847" i="3"/>
  <c r="H847" i="3"/>
  <c r="F847" i="3"/>
  <c r="D847" i="3"/>
  <c r="N847" i="3" s="1"/>
  <c r="P846" i="3"/>
  <c r="K846" i="3"/>
  <c r="H846" i="3"/>
  <c r="F846" i="3"/>
  <c r="D846" i="3"/>
  <c r="N846" i="3" s="1"/>
  <c r="P845" i="3"/>
  <c r="K845" i="3"/>
  <c r="H845" i="3"/>
  <c r="F845" i="3"/>
  <c r="D845" i="3"/>
  <c r="P844" i="3"/>
  <c r="K844" i="3"/>
  <c r="H844" i="3"/>
  <c r="F844" i="3"/>
  <c r="D844" i="3"/>
  <c r="N844" i="3" s="1"/>
  <c r="P843" i="3"/>
  <c r="K843" i="3"/>
  <c r="H843" i="3"/>
  <c r="F843" i="3"/>
  <c r="D843" i="3"/>
  <c r="N843" i="3" s="1"/>
  <c r="P842" i="3"/>
  <c r="K842" i="3"/>
  <c r="H842" i="3"/>
  <c r="F842" i="3"/>
  <c r="D842" i="3"/>
  <c r="N842" i="3" s="1"/>
  <c r="P841" i="3"/>
  <c r="K841" i="3"/>
  <c r="H841" i="3"/>
  <c r="F841" i="3"/>
  <c r="D841" i="3"/>
  <c r="P840" i="3"/>
  <c r="K840" i="3"/>
  <c r="H840" i="3"/>
  <c r="F840" i="3"/>
  <c r="D840" i="3"/>
  <c r="N840" i="3" s="1"/>
  <c r="P839" i="3"/>
  <c r="K839" i="3"/>
  <c r="H839" i="3"/>
  <c r="F839" i="3"/>
  <c r="D839" i="3"/>
  <c r="N839" i="3" s="1"/>
  <c r="P838" i="3"/>
  <c r="K838" i="3"/>
  <c r="H838" i="3"/>
  <c r="F838" i="3"/>
  <c r="D838" i="3"/>
  <c r="N838" i="3" s="1"/>
  <c r="P837" i="3"/>
  <c r="K837" i="3"/>
  <c r="H837" i="3"/>
  <c r="F837" i="3"/>
  <c r="D837" i="3"/>
  <c r="P836" i="3"/>
  <c r="K836" i="3"/>
  <c r="H836" i="3"/>
  <c r="F836" i="3"/>
  <c r="D836" i="3"/>
  <c r="N836" i="3" s="1"/>
  <c r="P835" i="3"/>
  <c r="K835" i="3"/>
  <c r="H835" i="3"/>
  <c r="F835" i="3"/>
  <c r="D835" i="3"/>
  <c r="N835" i="3" s="1"/>
  <c r="P834" i="3"/>
  <c r="K834" i="3"/>
  <c r="H834" i="3"/>
  <c r="F834" i="3"/>
  <c r="D834" i="3"/>
  <c r="N834" i="3" s="1"/>
  <c r="P833" i="3"/>
  <c r="K833" i="3"/>
  <c r="H833" i="3"/>
  <c r="F833" i="3"/>
  <c r="D833" i="3"/>
  <c r="P832" i="3"/>
  <c r="K832" i="3"/>
  <c r="H832" i="3"/>
  <c r="F832" i="3"/>
  <c r="D832" i="3"/>
  <c r="N832" i="3" s="1"/>
  <c r="P831" i="3"/>
  <c r="K831" i="3"/>
  <c r="H831" i="3"/>
  <c r="F831" i="3"/>
  <c r="D831" i="3"/>
  <c r="N831" i="3" s="1"/>
  <c r="P830" i="3"/>
  <c r="K830" i="3"/>
  <c r="H830" i="3"/>
  <c r="F830" i="3"/>
  <c r="D830" i="3"/>
  <c r="N830" i="3" s="1"/>
  <c r="P829" i="3"/>
  <c r="K829" i="3"/>
  <c r="H829" i="3"/>
  <c r="F829" i="3"/>
  <c r="D829" i="3"/>
  <c r="P828" i="3"/>
  <c r="K828" i="3"/>
  <c r="H828" i="3"/>
  <c r="F828" i="3"/>
  <c r="D828" i="3"/>
  <c r="N828" i="3" s="1"/>
  <c r="P827" i="3"/>
  <c r="K827" i="3"/>
  <c r="H827" i="3"/>
  <c r="F827" i="3"/>
  <c r="D827" i="3"/>
  <c r="N827" i="3" s="1"/>
  <c r="P826" i="3"/>
  <c r="K826" i="3"/>
  <c r="H826" i="3"/>
  <c r="F826" i="3"/>
  <c r="D826" i="3"/>
  <c r="N826" i="3" s="1"/>
  <c r="P825" i="3"/>
  <c r="K825" i="3"/>
  <c r="H825" i="3"/>
  <c r="F825" i="3"/>
  <c r="D825" i="3"/>
  <c r="P824" i="3"/>
  <c r="K824" i="3"/>
  <c r="H824" i="3"/>
  <c r="F824" i="3"/>
  <c r="D824" i="3"/>
  <c r="N824" i="3" s="1"/>
  <c r="P823" i="3"/>
  <c r="K823" i="3"/>
  <c r="H823" i="3"/>
  <c r="F823" i="3"/>
  <c r="D823" i="3"/>
  <c r="N823" i="3" s="1"/>
  <c r="P822" i="3"/>
  <c r="K822" i="3"/>
  <c r="H822" i="3"/>
  <c r="F822" i="3"/>
  <c r="D822" i="3"/>
  <c r="N822" i="3" s="1"/>
  <c r="P821" i="3"/>
  <c r="K821" i="3"/>
  <c r="H821" i="3"/>
  <c r="F821" i="3"/>
  <c r="D821" i="3"/>
  <c r="P820" i="3"/>
  <c r="K820" i="3"/>
  <c r="H820" i="3"/>
  <c r="F820" i="3"/>
  <c r="D820" i="3"/>
  <c r="N820" i="3" s="1"/>
  <c r="P819" i="3"/>
  <c r="K819" i="3"/>
  <c r="H819" i="3"/>
  <c r="F819" i="3"/>
  <c r="D819" i="3"/>
  <c r="N819" i="3" s="1"/>
  <c r="P818" i="3"/>
  <c r="K818" i="3"/>
  <c r="H818" i="3"/>
  <c r="F818" i="3"/>
  <c r="D818" i="3"/>
  <c r="N818" i="3" s="1"/>
  <c r="P817" i="3"/>
  <c r="K817" i="3"/>
  <c r="H817" i="3"/>
  <c r="F817" i="3"/>
  <c r="D817" i="3"/>
  <c r="P816" i="3"/>
  <c r="K816" i="3"/>
  <c r="H816" i="3"/>
  <c r="F816" i="3"/>
  <c r="D816" i="3"/>
  <c r="N816" i="3" s="1"/>
  <c r="P815" i="3"/>
  <c r="K815" i="3"/>
  <c r="H815" i="3"/>
  <c r="F815" i="3"/>
  <c r="D815" i="3"/>
  <c r="N815" i="3" s="1"/>
  <c r="P814" i="3"/>
  <c r="K814" i="3"/>
  <c r="H814" i="3"/>
  <c r="F814" i="3"/>
  <c r="D814" i="3"/>
  <c r="N814" i="3" s="1"/>
  <c r="P813" i="3"/>
  <c r="K813" i="3"/>
  <c r="H813" i="3"/>
  <c r="F813" i="3"/>
  <c r="D813" i="3"/>
  <c r="P812" i="3"/>
  <c r="K812" i="3"/>
  <c r="H812" i="3"/>
  <c r="F812" i="3"/>
  <c r="D812" i="3"/>
  <c r="N812" i="3" s="1"/>
  <c r="P811" i="3"/>
  <c r="K811" i="3"/>
  <c r="H811" i="3"/>
  <c r="F811" i="3"/>
  <c r="D811" i="3"/>
  <c r="N811" i="3" s="1"/>
  <c r="P810" i="3"/>
  <c r="K810" i="3"/>
  <c r="H810" i="3"/>
  <c r="F810" i="3"/>
  <c r="D810" i="3"/>
  <c r="N810" i="3" s="1"/>
  <c r="P809" i="3"/>
  <c r="K809" i="3"/>
  <c r="H809" i="3"/>
  <c r="F809" i="3"/>
  <c r="D809" i="3"/>
  <c r="P808" i="3"/>
  <c r="K808" i="3"/>
  <c r="H808" i="3"/>
  <c r="F808" i="3"/>
  <c r="D808" i="3"/>
  <c r="N808" i="3" s="1"/>
  <c r="P807" i="3"/>
  <c r="K807" i="3"/>
  <c r="H807" i="3"/>
  <c r="F807" i="3"/>
  <c r="D807" i="3"/>
  <c r="N807" i="3" s="1"/>
  <c r="P806" i="3"/>
  <c r="K806" i="3"/>
  <c r="H806" i="3"/>
  <c r="F806" i="3"/>
  <c r="D806" i="3"/>
  <c r="N806" i="3" s="1"/>
  <c r="P805" i="3"/>
  <c r="K805" i="3"/>
  <c r="H805" i="3"/>
  <c r="F805" i="3"/>
  <c r="D805" i="3"/>
  <c r="P804" i="3"/>
  <c r="K804" i="3"/>
  <c r="H804" i="3"/>
  <c r="F804" i="3"/>
  <c r="D804" i="3"/>
  <c r="N804" i="3" s="1"/>
  <c r="P803" i="3"/>
  <c r="K803" i="3"/>
  <c r="H803" i="3"/>
  <c r="F803" i="3"/>
  <c r="D803" i="3"/>
  <c r="N803" i="3" s="1"/>
  <c r="P802" i="3"/>
  <c r="K802" i="3"/>
  <c r="H802" i="3"/>
  <c r="F802" i="3"/>
  <c r="D802" i="3"/>
  <c r="N802" i="3" s="1"/>
  <c r="P801" i="3"/>
  <c r="K801" i="3"/>
  <c r="H801" i="3"/>
  <c r="F801" i="3"/>
  <c r="D801" i="3"/>
  <c r="P800" i="3"/>
  <c r="K800" i="3"/>
  <c r="H800" i="3"/>
  <c r="F800" i="3"/>
  <c r="D800" i="3"/>
  <c r="N800" i="3" s="1"/>
  <c r="P799" i="3"/>
  <c r="K799" i="3"/>
  <c r="H799" i="3"/>
  <c r="F799" i="3"/>
  <c r="D799" i="3"/>
  <c r="N799" i="3" s="1"/>
  <c r="P798" i="3"/>
  <c r="K798" i="3"/>
  <c r="H798" i="3"/>
  <c r="F798" i="3"/>
  <c r="D798" i="3"/>
  <c r="N798" i="3" s="1"/>
  <c r="P797" i="3"/>
  <c r="K797" i="3"/>
  <c r="H797" i="3"/>
  <c r="F797" i="3"/>
  <c r="D797" i="3"/>
  <c r="P796" i="3"/>
  <c r="K796" i="3"/>
  <c r="H796" i="3"/>
  <c r="F796" i="3"/>
  <c r="D796" i="3"/>
  <c r="N796" i="3" s="1"/>
  <c r="P795" i="3"/>
  <c r="K795" i="3"/>
  <c r="H795" i="3"/>
  <c r="F795" i="3"/>
  <c r="D795" i="3"/>
  <c r="N795" i="3" s="1"/>
  <c r="P794" i="3"/>
  <c r="K794" i="3"/>
  <c r="H794" i="3"/>
  <c r="F794" i="3"/>
  <c r="D794" i="3"/>
  <c r="N794" i="3" s="1"/>
  <c r="P793" i="3"/>
  <c r="K793" i="3"/>
  <c r="H793" i="3"/>
  <c r="F793" i="3"/>
  <c r="D793" i="3"/>
  <c r="P792" i="3"/>
  <c r="K792" i="3"/>
  <c r="H792" i="3"/>
  <c r="F792" i="3"/>
  <c r="D792" i="3"/>
  <c r="N792" i="3" s="1"/>
  <c r="P791" i="3"/>
  <c r="K791" i="3"/>
  <c r="H791" i="3"/>
  <c r="F791" i="3"/>
  <c r="D791" i="3"/>
  <c r="N791" i="3" s="1"/>
  <c r="P790" i="3"/>
  <c r="K790" i="3"/>
  <c r="H790" i="3"/>
  <c r="F790" i="3"/>
  <c r="D790" i="3"/>
  <c r="N790" i="3" s="1"/>
  <c r="P789" i="3"/>
  <c r="K789" i="3"/>
  <c r="H789" i="3"/>
  <c r="F789" i="3"/>
  <c r="D789" i="3"/>
  <c r="P788" i="3"/>
  <c r="K788" i="3"/>
  <c r="H788" i="3"/>
  <c r="F788" i="3"/>
  <c r="D788" i="3"/>
  <c r="N788" i="3" s="1"/>
  <c r="P787" i="3"/>
  <c r="K787" i="3"/>
  <c r="H787" i="3"/>
  <c r="F787" i="3"/>
  <c r="D787" i="3"/>
  <c r="N787" i="3" s="1"/>
  <c r="P786" i="3"/>
  <c r="K786" i="3"/>
  <c r="H786" i="3"/>
  <c r="F786" i="3"/>
  <c r="D786" i="3"/>
  <c r="P785" i="3"/>
  <c r="K785" i="3"/>
  <c r="H785" i="3"/>
  <c r="F785" i="3"/>
  <c r="D785" i="3"/>
  <c r="P784" i="3"/>
  <c r="K784" i="3"/>
  <c r="H784" i="3"/>
  <c r="F784" i="3"/>
  <c r="D784" i="3"/>
  <c r="N784" i="3" s="1"/>
  <c r="P783" i="3"/>
  <c r="K783" i="3"/>
  <c r="H783" i="3"/>
  <c r="F783" i="3"/>
  <c r="D783" i="3"/>
  <c r="N783" i="3" s="1"/>
  <c r="P782" i="3"/>
  <c r="K782" i="3"/>
  <c r="H782" i="3"/>
  <c r="F782" i="3"/>
  <c r="D782" i="3"/>
  <c r="N782" i="3" s="1"/>
  <c r="P781" i="3"/>
  <c r="K781" i="3"/>
  <c r="H781" i="3"/>
  <c r="F781" i="3"/>
  <c r="D781" i="3"/>
  <c r="P780" i="3"/>
  <c r="K780" i="3"/>
  <c r="H780" i="3"/>
  <c r="F780" i="3"/>
  <c r="D780" i="3"/>
  <c r="N780" i="3" s="1"/>
  <c r="P779" i="3"/>
  <c r="K779" i="3"/>
  <c r="H779" i="3"/>
  <c r="F779" i="3"/>
  <c r="D779" i="3"/>
  <c r="N779" i="3" s="1"/>
  <c r="P778" i="3"/>
  <c r="K778" i="3"/>
  <c r="H778" i="3"/>
  <c r="F778" i="3"/>
  <c r="D778" i="3"/>
  <c r="P777" i="3"/>
  <c r="K777" i="3"/>
  <c r="H777" i="3"/>
  <c r="F777" i="3"/>
  <c r="D777" i="3"/>
  <c r="P776" i="3"/>
  <c r="K776" i="3"/>
  <c r="H776" i="3"/>
  <c r="F776" i="3"/>
  <c r="D776" i="3"/>
  <c r="N776" i="3" s="1"/>
  <c r="P775" i="3"/>
  <c r="K775" i="3"/>
  <c r="H775" i="3"/>
  <c r="F775" i="3"/>
  <c r="D775" i="3"/>
  <c r="N775" i="3" s="1"/>
  <c r="P774" i="3"/>
  <c r="K774" i="3"/>
  <c r="H774" i="3"/>
  <c r="F774" i="3"/>
  <c r="D774" i="3"/>
  <c r="N774" i="3" s="1"/>
  <c r="P773" i="3"/>
  <c r="K773" i="3"/>
  <c r="H773" i="3"/>
  <c r="F773" i="3"/>
  <c r="D773" i="3"/>
  <c r="N773" i="3" s="1"/>
  <c r="P772" i="3"/>
  <c r="K772" i="3"/>
  <c r="H772" i="3"/>
  <c r="F772" i="3"/>
  <c r="D772" i="3"/>
  <c r="P771" i="3"/>
  <c r="K771" i="3"/>
  <c r="H771" i="3"/>
  <c r="F771" i="3"/>
  <c r="D771" i="3"/>
  <c r="N771" i="3" s="1"/>
  <c r="P770" i="3"/>
  <c r="K770" i="3"/>
  <c r="H770" i="3"/>
  <c r="F770" i="3"/>
  <c r="D770" i="3"/>
  <c r="N770" i="3" s="1"/>
  <c r="P769" i="3"/>
  <c r="K769" i="3"/>
  <c r="H769" i="3"/>
  <c r="F769" i="3"/>
  <c r="D769" i="3"/>
  <c r="N769" i="3" s="1"/>
  <c r="P768" i="3"/>
  <c r="K768" i="3"/>
  <c r="H768" i="3"/>
  <c r="F768" i="3"/>
  <c r="D768" i="3"/>
  <c r="P767" i="3"/>
  <c r="K767" i="3"/>
  <c r="H767" i="3"/>
  <c r="F767" i="3"/>
  <c r="D767" i="3"/>
  <c r="N767" i="3" s="1"/>
  <c r="P766" i="3"/>
  <c r="K766" i="3"/>
  <c r="H766" i="3"/>
  <c r="F766" i="3"/>
  <c r="D766" i="3"/>
  <c r="N766" i="3" s="1"/>
  <c r="P765" i="3"/>
  <c r="K765" i="3"/>
  <c r="H765" i="3"/>
  <c r="F765" i="3"/>
  <c r="D765" i="3"/>
  <c r="N765" i="3" s="1"/>
  <c r="P764" i="3"/>
  <c r="K764" i="3"/>
  <c r="H764" i="3"/>
  <c r="F764" i="3"/>
  <c r="D764" i="3"/>
  <c r="P763" i="3"/>
  <c r="K763" i="3"/>
  <c r="H763" i="3"/>
  <c r="F763" i="3"/>
  <c r="D763" i="3"/>
  <c r="N763" i="3" s="1"/>
  <c r="P762" i="3"/>
  <c r="K762" i="3"/>
  <c r="H762" i="3"/>
  <c r="F762" i="3"/>
  <c r="D762" i="3"/>
  <c r="N762" i="3" s="1"/>
  <c r="P761" i="3"/>
  <c r="K761" i="3"/>
  <c r="H761" i="3"/>
  <c r="F761" i="3"/>
  <c r="D761" i="3"/>
  <c r="N761" i="3" s="1"/>
  <c r="P760" i="3"/>
  <c r="K760" i="3"/>
  <c r="H760" i="3"/>
  <c r="F760" i="3"/>
  <c r="D760" i="3"/>
  <c r="P759" i="3"/>
  <c r="K759" i="3"/>
  <c r="H759" i="3"/>
  <c r="F759" i="3"/>
  <c r="D759" i="3"/>
  <c r="N759" i="3" s="1"/>
  <c r="P758" i="3"/>
  <c r="K758" i="3"/>
  <c r="H758" i="3"/>
  <c r="F758" i="3"/>
  <c r="D758" i="3"/>
  <c r="N758" i="3" s="1"/>
  <c r="P757" i="3"/>
  <c r="K757" i="3"/>
  <c r="H757" i="3"/>
  <c r="F757" i="3"/>
  <c r="D757" i="3"/>
  <c r="N757" i="3" s="1"/>
  <c r="P756" i="3"/>
  <c r="K756" i="3"/>
  <c r="H756" i="3"/>
  <c r="F756" i="3"/>
  <c r="D756" i="3"/>
  <c r="P755" i="3"/>
  <c r="K755" i="3"/>
  <c r="H755" i="3"/>
  <c r="F755" i="3"/>
  <c r="D755" i="3"/>
  <c r="N755" i="3" s="1"/>
  <c r="P754" i="3"/>
  <c r="K754" i="3"/>
  <c r="H754" i="3"/>
  <c r="F754" i="3"/>
  <c r="D754" i="3"/>
  <c r="N754" i="3" s="1"/>
  <c r="P753" i="3"/>
  <c r="K753" i="3"/>
  <c r="H753" i="3"/>
  <c r="F753" i="3"/>
  <c r="D753" i="3"/>
  <c r="N753" i="3" s="1"/>
  <c r="P752" i="3"/>
  <c r="K752" i="3"/>
  <c r="H752" i="3"/>
  <c r="F752" i="3"/>
  <c r="D752" i="3"/>
  <c r="P751" i="3"/>
  <c r="K751" i="3"/>
  <c r="H751" i="3"/>
  <c r="F751" i="3"/>
  <c r="D751" i="3"/>
  <c r="N751" i="3" s="1"/>
  <c r="P750" i="3"/>
  <c r="K750" i="3"/>
  <c r="H750" i="3"/>
  <c r="F750" i="3"/>
  <c r="D750" i="3"/>
  <c r="N750" i="3" s="1"/>
  <c r="P749" i="3"/>
  <c r="K749" i="3"/>
  <c r="H749" i="3"/>
  <c r="F749" i="3"/>
  <c r="D749" i="3"/>
  <c r="N749" i="3" s="1"/>
  <c r="P748" i="3"/>
  <c r="K748" i="3"/>
  <c r="H748" i="3"/>
  <c r="F748" i="3"/>
  <c r="D748" i="3"/>
  <c r="P747" i="3"/>
  <c r="K747" i="3"/>
  <c r="H747" i="3"/>
  <c r="F747" i="3"/>
  <c r="D747" i="3"/>
  <c r="N747" i="3" s="1"/>
  <c r="P746" i="3"/>
  <c r="K746" i="3"/>
  <c r="H746" i="3"/>
  <c r="F746" i="3"/>
  <c r="D746" i="3"/>
  <c r="N746" i="3" s="1"/>
  <c r="P745" i="3"/>
  <c r="K745" i="3"/>
  <c r="H745" i="3"/>
  <c r="F745" i="3"/>
  <c r="D745" i="3"/>
  <c r="N745" i="3" s="1"/>
  <c r="P744" i="3"/>
  <c r="K744" i="3"/>
  <c r="H744" i="3"/>
  <c r="F744" i="3"/>
  <c r="D744" i="3"/>
  <c r="P743" i="3"/>
  <c r="K743" i="3"/>
  <c r="H743" i="3"/>
  <c r="F743" i="3"/>
  <c r="D743" i="3"/>
  <c r="N743" i="3" s="1"/>
  <c r="P742" i="3"/>
  <c r="K742" i="3"/>
  <c r="H742" i="3"/>
  <c r="F742" i="3"/>
  <c r="D742" i="3"/>
  <c r="N742" i="3" s="1"/>
  <c r="P741" i="3"/>
  <c r="K741" i="3"/>
  <c r="H741" i="3"/>
  <c r="F741" i="3"/>
  <c r="D741" i="3"/>
  <c r="N741" i="3" s="1"/>
  <c r="P740" i="3"/>
  <c r="K740" i="3"/>
  <c r="H740" i="3"/>
  <c r="F740" i="3"/>
  <c r="D740" i="3"/>
  <c r="P739" i="3"/>
  <c r="K739" i="3"/>
  <c r="H739" i="3"/>
  <c r="F739" i="3"/>
  <c r="D739" i="3"/>
  <c r="N739" i="3" s="1"/>
  <c r="P738" i="3"/>
  <c r="K738" i="3"/>
  <c r="H738" i="3"/>
  <c r="F738" i="3"/>
  <c r="D738" i="3"/>
  <c r="N738" i="3" s="1"/>
  <c r="P737" i="3"/>
  <c r="K737" i="3"/>
  <c r="H737" i="3"/>
  <c r="F737" i="3"/>
  <c r="D737" i="3"/>
  <c r="N737" i="3" s="1"/>
  <c r="P736" i="3"/>
  <c r="K736" i="3"/>
  <c r="H736" i="3"/>
  <c r="F736" i="3"/>
  <c r="D736" i="3"/>
  <c r="P735" i="3"/>
  <c r="K735" i="3"/>
  <c r="H735" i="3"/>
  <c r="F735" i="3"/>
  <c r="D735" i="3"/>
  <c r="N735" i="3" s="1"/>
  <c r="P734" i="3"/>
  <c r="K734" i="3"/>
  <c r="H734" i="3"/>
  <c r="F734" i="3"/>
  <c r="D734" i="3"/>
  <c r="N734" i="3" s="1"/>
  <c r="P733" i="3"/>
  <c r="K733" i="3"/>
  <c r="H733" i="3"/>
  <c r="F733" i="3"/>
  <c r="D733" i="3"/>
  <c r="N733" i="3" s="1"/>
  <c r="P732" i="3"/>
  <c r="K732" i="3"/>
  <c r="H732" i="3"/>
  <c r="F732" i="3"/>
  <c r="D732" i="3"/>
  <c r="P731" i="3"/>
  <c r="K731" i="3"/>
  <c r="H731" i="3"/>
  <c r="F731" i="3"/>
  <c r="D731" i="3"/>
  <c r="N731" i="3" s="1"/>
  <c r="P730" i="3"/>
  <c r="K730" i="3"/>
  <c r="H730" i="3"/>
  <c r="F730" i="3"/>
  <c r="D730" i="3"/>
  <c r="N730" i="3" s="1"/>
  <c r="P729" i="3"/>
  <c r="K729" i="3"/>
  <c r="H729" i="3"/>
  <c r="F729" i="3"/>
  <c r="D729" i="3"/>
  <c r="N729" i="3" s="1"/>
  <c r="P728" i="3"/>
  <c r="K728" i="3"/>
  <c r="H728" i="3"/>
  <c r="F728" i="3"/>
  <c r="D728" i="3"/>
  <c r="P727" i="3"/>
  <c r="K727" i="3"/>
  <c r="H727" i="3"/>
  <c r="F727" i="3"/>
  <c r="D727" i="3"/>
  <c r="N727" i="3" s="1"/>
  <c r="P726" i="3"/>
  <c r="K726" i="3"/>
  <c r="H726" i="3"/>
  <c r="F726" i="3"/>
  <c r="D726" i="3"/>
  <c r="N726" i="3" s="1"/>
  <c r="P725" i="3"/>
  <c r="K725" i="3"/>
  <c r="H725" i="3"/>
  <c r="F725" i="3"/>
  <c r="D725" i="3"/>
  <c r="N725" i="3" s="1"/>
  <c r="P724" i="3"/>
  <c r="K724" i="3"/>
  <c r="H724" i="3"/>
  <c r="F724" i="3"/>
  <c r="D724" i="3"/>
  <c r="P723" i="3"/>
  <c r="K723" i="3"/>
  <c r="H723" i="3"/>
  <c r="F723" i="3"/>
  <c r="D723" i="3"/>
  <c r="N723" i="3" s="1"/>
  <c r="P722" i="3"/>
  <c r="K722" i="3"/>
  <c r="H722" i="3"/>
  <c r="F722" i="3"/>
  <c r="D722" i="3"/>
  <c r="N722" i="3" s="1"/>
  <c r="P721" i="3"/>
  <c r="K721" i="3"/>
  <c r="H721" i="3"/>
  <c r="F721" i="3"/>
  <c r="D721" i="3"/>
  <c r="N721" i="3" s="1"/>
  <c r="P720" i="3"/>
  <c r="K720" i="3"/>
  <c r="H720" i="3"/>
  <c r="F720" i="3"/>
  <c r="D720" i="3"/>
  <c r="P719" i="3"/>
  <c r="K719" i="3"/>
  <c r="H719" i="3"/>
  <c r="F719" i="3"/>
  <c r="D719" i="3"/>
  <c r="N719" i="3" s="1"/>
  <c r="P718" i="3"/>
  <c r="K718" i="3"/>
  <c r="H718" i="3"/>
  <c r="F718" i="3"/>
  <c r="D718" i="3"/>
  <c r="N718" i="3" s="1"/>
  <c r="P717" i="3"/>
  <c r="K717" i="3"/>
  <c r="H717" i="3"/>
  <c r="F717" i="3"/>
  <c r="D717" i="3"/>
  <c r="N717" i="3" s="1"/>
  <c r="P716" i="3"/>
  <c r="K716" i="3"/>
  <c r="H716" i="3"/>
  <c r="F716" i="3"/>
  <c r="D716" i="3"/>
  <c r="P715" i="3"/>
  <c r="K715" i="3"/>
  <c r="H715" i="3"/>
  <c r="F715" i="3"/>
  <c r="D715" i="3"/>
  <c r="N715" i="3" s="1"/>
  <c r="P714" i="3"/>
  <c r="K714" i="3"/>
  <c r="H714" i="3"/>
  <c r="F714" i="3"/>
  <c r="D714" i="3"/>
  <c r="N714" i="3" s="1"/>
  <c r="P713" i="3"/>
  <c r="K713" i="3"/>
  <c r="H713" i="3"/>
  <c r="F713" i="3"/>
  <c r="D713" i="3"/>
  <c r="N713" i="3" s="1"/>
  <c r="P712" i="3"/>
  <c r="K712" i="3"/>
  <c r="H712" i="3"/>
  <c r="F712" i="3"/>
  <c r="D712" i="3"/>
  <c r="P711" i="3"/>
  <c r="K711" i="3"/>
  <c r="H711" i="3"/>
  <c r="F711" i="3"/>
  <c r="D711" i="3"/>
  <c r="N711" i="3" s="1"/>
  <c r="P710" i="3"/>
  <c r="K710" i="3"/>
  <c r="H710" i="3"/>
  <c r="F710" i="3"/>
  <c r="D710" i="3"/>
  <c r="N710" i="3" s="1"/>
  <c r="P709" i="3"/>
  <c r="K709" i="3"/>
  <c r="H709" i="3"/>
  <c r="F709" i="3"/>
  <c r="D709" i="3"/>
  <c r="N709" i="3" s="1"/>
  <c r="P708" i="3"/>
  <c r="K708" i="3"/>
  <c r="H708" i="3"/>
  <c r="F708" i="3"/>
  <c r="D708" i="3"/>
  <c r="P707" i="3"/>
  <c r="K707" i="3"/>
  <c r="H707" i="3"/>
  <c r="F707" i="3"/>
  <c r="D707" i="3"/>
  <c r="N707" i="3" s="1"/>
  <c r="P706" i="3"/>
  <c r="K706" i="3"/>
  <c r="H706" i="3"/>
  <c r="F706" i="3"/>
  <c r="D706" i="3"/>
  <c r="N706" i="3" s="1"/>
  <c r="P705" i="3"/>
  <c r="K705" i="3"/>
  <c r="H705" i="3"/>
  <c r="F705" i="3"/>
  <c r="D705" i="3"/>
  <c r="N705" i="3" s="1"/>
  <c r="P704" i="3"/>
  <c r="K704" i="3"/>
  <c r="H704" i="3"/>
  <c r="F704" i="3"/>
  <c r="D704" i="3"/>
  <c r="P703" i="3"/>
  <c r="K703" i="3"/>
  <c r="H703" i="3"/>
  <c r="F703" i="3"/>
  <c r="D703" i="3"/>
  <c r="N703" i="3" s="1"/>
  <c r="P702" i="3"/>
  <c r="K702" i="3"/>
  <c r="H702" i="3"/>
  <c r="F702" i="3"/>
  <c r="D702" i="3"/>
  <c r="N702" i="3" s="1"/>
  <c r="P701" i="3"/>
  <c r="K701" i="3"/>
  <c r="H701" i="3"/>
  <c r="F701" i="3"/>
  <c r="D701" i="3"/>
  <c r="N701" i="3" s="1"/>
  <c r="P700" i="3"/>
  <c r="K700" i="3"/>
  <c r="H700" i="3"/>
  <c r="F700" i="3"/>
  <c r="D700" i="3"/>
  <c r="P699" i="3"/>
  <c r="K699" i="3"/>
  <c r="H699" i="3"/>
  <c r="F699" i="3"/>
  <c r="D699" i="3"/>
  <c r="N699" i="3" s="1"/>
  <c r="P698" i="3"/>
  <c r="K698" i="3"/>
  <c r="H698" i="3"/>
  <c r="F698" i="3"/>
  <c r="D698" i="3"/>
  <c r="N698" i="3" s="1"/>
  <c r="P697" i="3"/>
  <c r="K697" i="3"/>
  <c r="H697" i="3"/>
  <c r="F697" i="3"/>
  <c r="D697" i="3"/>
  <c r="N697" i="3" s="1"/>
  <c r="P696" i="3"/>
  <c r="K696" i="3"/>
  <c r="H696" i="3"/>
  <c r="F696" i="3"/>
  <c r="D696" i="3"/>
  <c r="P695" i="3"/>
  <c r="K695" i="3"/>
  <c r="H695" i="3"/>
  <c r="F695" i="3"/>
  <c r="D695" i="3"/>
  <c r="N695" i="3" s="1"/>
  <c r="P694" i="3"/>
  <c r="K694" i="3"/>
  <c r="H694" i="3"/>
  <c r="F694" i="3"/>
  <c r="D694" i="3"/>
  <c r="N694" i="3" s="1"/>
  <c r="P693" i="3"/>
  <c r="K693" i="3"/>
  <c r="H693" i="3"/>
  <c r="F693" i="3"/>
  <c r="D693" i="3"/>
  <c r="N693" i="3" s="1"/>
  <c r="P692" i="3"/>
  <c r="K692" i="3"/>
  <c r="H692" i="3"/>
  <c r="F692" i="3"/>
  <c r="D692" i="3"/>
  <c r="P691" i="3"/>
  <c r="K691" i="3"/>
  <c r="H691" i="3"/>
  <c r="F691" i="3"/>
  <c r="D691" i="3"/>
  <c r="N691" i="3" s="1"/>
  <c r="P690" i="3"/>
  <c r="K690" i="3"/>
  <c r="H690" i="3"/>
  <c r="F690" i="3"/>
  <c r="D690" i="3"/>
  <c r="N690" i="3" s="1"/>
  <c r="P689" i="3"/>
  <c r="K689" i="3"/>
  <c r="H689" i="3"/>
  <c r="F689" i="3"/>
  <c r="D689" i="3"/>
  <c r="N689" i="3" s="1"/>
  <c r="P688" i="3"/>
  <c r="K688" i="3"/>
  <c r="H688" i="3"/>
  <c r="F688" i="3"/>
  <c r="D688" i="3"/>
  <c r="P687" i="3"/>
  <c r="K687" i="3"/>
  <c r="H687" i="3"/>
  <c r="F687" i="3"/>
  <c r="D687" i="3"/>
  <c r="N687" i="3" s="1"/>
  <c r="P686" i="3"/>
  <c r="K686" i="3"/>
  <c r="H686" i="3"/>
  <c r="F686" i="3"/>
  <c r="D686" i="3"/>
  <c r="N686" i="3" s="1"/>
  <c r="P685" i="3"/>
  <c r="K685" i="3"/>
  <c r="H685" i="3"/>
  <c r="F685" i="3"/>
  <c r="D685" i="3"/>
  <c r="N685" i="3" s="1"/>
  <c r="P684" i="3"/>
  <c r="K684" i="3"/>
  <c r="H684" i="3"/>
  <c r="F684" i="3"/>
  <c r="D684" i="3"/>
  <c r="P683" i="3"/>
  <c r="K683" i="3"/>
  <c r="H683" i="3"/>
  <c r="F683" i="3"/>
  <c r="D683" i="3"/>
  <c r="N683" i="3" s="1"/>
  <c r="P682" i="3"/>
  <c r="K682" i="3"/>
  <c r="H682" i="3"/>
  <c r="F682" i="3"/>
  <c r="D682" i="3"/>
  <c r="N682" i="3" s="1"/>
  <c r="P681" i="3"/>
  <c r="K681" i="3"/>
  <c r="H681" i="3"/>
  <c r="F681" i="3"/>
  <c r="D681" i="3"/>
  <c r="N681" i="3" s="1"/>
  <c r="P680" i="3"/>
  <c r="K680" i="3"/>
  <c r="H680" i="3"/>
  <c r="F680" i="3"/>
  <c r="D680" i="3"/>
  <c r="P679" i="3"/>
  <c r="K679" i="3"/>
  <c r="H679" i="3"/>
  <c r="F679" i="3"/>
  <c r="D679" i="3"/>
  <c r="N679" i="3" s="1"/>
  <c r="P678" i="3"/>
  <c r="K678" i="3"/>
  <c r="H678" i="3"/>
  <c r="F678" i="3"/>
  <c r="D678" i="3"/>
  <c r="N678" i="3" s="1"/>
  <c r="P677" i="3"/>
  <c r="K677" i="3"/>
  <c r="H677" i="3"/>
  <c r="F677" i="3"/>
  <c r="D677" i="3"/>
  <c r="N677" i="3" s="1"/>
  <c r="P676" i="3"/>
  <c r="K676" i="3"/>
  <c r="H676" i="3"/>
  <c r="F676" i="3"/>
  <c r="D676" i="3"/>
  <c r="P675" i="3"/>
  <c r="K675" i="3"/>
  <c r="H675" i="3"/>
  <c r="F675" i="3"/>
  <c r="D675" i="3"/>
  <c r="N675" i="3" s="1"/>
  <c r="P674" i="3"/>
  <c r="K674" i="3"/>
  <c r="H674" i="3"/>
  <c r="F674" i="3"/>
  <c r="D674" i="3"/>
  <c r="N674" i="3" s="1"/>
  <c r="P673" i="3"/>
  <c r="K673" i="3"/>
  <c r="H673" i="3"/>
  <c r="F673" i="3"/>
  <c r="D673" i="3"/>
  <c r="N673" i="3" s="1"/>
  <c r="P672" i="3"/>
  <c r="K672" i="3"/>
  <c r="H672" i="3"/>
  <c r="F672" i="3"/>
  <c r="D672" i="3"/>
  <c r="P671" i="3"/>
  <c r="K671" i="3"/>
  <c r="H671" i="3"/>
  <c r="F671" i="3"/>
  <c r="D671" i="3"/>
  <c r="N671" i="3" s="1"/>
  <c r="P670" i="3"/>
  <c r="K670" i="3"/>
  <c r="H670" i="3"/>
  <c r="F670" i="3"/>
  <c r="D670" i="3"/>
  <c r="N670" i="3" s="1"/>
  <c r="P669" i="3"/>
  <c r="K669" i="3"/>
  <c r="H669" i="3"/>
  <c r="F669" i="3"/>
  <c r="D669" i="3"/>
  <c r="N669" i="3" s="1"/>
  <c r="P668" i="3"/>
  <c r="K668" i="3"/>
  <c r="H668" i="3"/>
  <c r="F668" i="3"/>
  <c r="D668" i="3"/>
  <c r="P667" i="3"/>
  <c r="K667" i="3"/>
  <c r="H667" i="3"/>
  <c r="F667" i="3"/>
  <c r="D667" i="3"/>
  <c r="N667" i="3" s="1"/>
  <c r="P666" i="3"/>
  <c r="K666" i="3"/>
  <c r="H666" i="3"/>
  <c r="F666" i="3"/>
  <c r="D666" i="3"/>
  <c r="N666" i="3" s="1"/>
  <c r="P665" i="3"/>
  <c r="K665" i="3"/>
  <c r="H665" i="3"/>
  <c r="F665" i="3"/>
  <c r="D665" i="3"/>
  <c r="N665" i="3" s="1"/>
  <c r="P664" i="3"/>
  <c r="K664" i="3"/>
  <c r="H664" i="3"/>
  <c r="F664" i="3"/>
  <c r="D664" i="3"/>
  <c r="P663" i="3"/>
  <c r="K663" i="3"/>
  <c r="H663" i="3"/>
  <c r="F663" i="3"/>
  <c r="D663" i="3"/>
  <c r="N663" i="3" s="1"/>
  <c r="P662" i="3"/>
  <c r="K662" i="3"/>
  <c r="H662" i="3"/>
  <c r="F662" i="3"/>
  <c r="D662" i="3"/>
  <c r="N662" i="3" s="1"/>
  <c r="P661" i="3"/>
  <c r="K661" i="3"/>
  <c r="H661" i="3"/>
  <c r="F661" i="3"/>
  <c r="D661" i="3"/>
  <c r="N661" i="3" s="1"/>
  <c r="P660" i="3"/>
  <c r="K660" i="3"/>
  <c r="H660" i="3"/>
  <c r="F660" i="3"/>
  <c r="D660" i="3"/>
  <c r="P659" i="3"/>
  <c r="K659" i="3"/>
  <c r="H659" i="3"/>
  <c r="F659" i="3"/>
  <c r="D659" i="3"/>
  <c r="N659" i="3" s="1"/>
  <c r="P658" i="3"/>
  <c r="K658" i="3"/>
  <c r="H658" i="3"/>
  <c r="F658" i="3"/>
  <c r="D658" i="3"/>
  <c r="N658" i="3" s="1"/>
  <c r="P657" i="3"/>
  <c r="K657" i="3"/>
  <c r="H657" i="3"/>
  <c r="F657" i="3"/>
  <c r="D657" i="3"/>
  <c r="N657" i="3" s="1"/>
  <c r="P656" i="3"/>
  <c r="K656" i="3"/>
  <c r="H656" i="3"/>
  <c r="F656" i="3"/>
  <c r="D656" i="3"/>
  <c r="P655" i="3"/>
  <c r="K655" i="3"/>
  <c r="H655" i="3"/>
  <c r="F655" i="3"/>
  <c r="D655" i="3"/>
  <c r="N655" i="3" s="1"/>
  <c r="P654" i="3"/>
  <c r="K654" i="3"/>
  <c r="H654" i="3"/>
  <c r="F654" i="3"/>
  <c r="D654" i="3"/>
  <c r="N654" i="3" s="1"/>
  <c r="P653" i="3"/>
  <c r="K653" i="3"/>
  <c r="H653" i="3"/>
  <c r="F653" i="3"/>
  <c r="D653" i="3"/>
  <c r="N653" i="3" s="1"/>
  <c r="P652" i="3"/>
  <c r="K652" i="3"/>
  <c r="H652" i="3"/>
  <c r="F652" i="3"/>
  <c r="D652" i="3"/>
  <c r="P651" i="3"/>
  <c r="K651" i="3"/>
  <c r="H651" i="3"/>
  <c r="F651" i="3"/>
  <c r="D651" i="3"/>
  <c r="N651" i="3" s="1"/>
  <c r="P650" i="3"/>
  <c r="K650" i="3"/>
  <c r="H650" i="3"/>
  <c r="F650" i="3"/>
  <c r="D650" i="3"/>
  <c r="N650" i="3" s="1"/>
  <c r="P649" i="3"/>
  <c r="K649" i="3"/>
  <c r="H649" i="3"/>
  <c r="F649" i="3"/>
  <c r="D649" i="3"/>
  <c r="N649" i="3" s="1"/>
  <c r="P648" i="3"/>
  <c r="K648" i="3"/>
  <c r="H648" i="3"/>
  <c r="F648" i="3"/>
  <c r="D648" i="3"/>
  <c r="P647" i="3"/>
  <c r="K647" i="3"/>
  <c r="H647" i="3"/>
  <c r="F647" i="3"/>
  <c r="D647" i="3"/>
  <c r="N647" i="3" s="1"/>
  <c r="P646" i="3"/>
  <c r="K646" i="3"/>
  <c r="H646" i="3"/>
  <c r="F646" i="3"/>
  <c r="D646" i="3"/>
  <c r="N646" i="3" s="1"/>
  <c r="P645" i="3"/>
  <c r="K645" i="3"/>
  <c r="H645" i="3"/>
  <c r="F645" i="3"/>
  <c r="D645" i="3"/>
  <c r="N645" i="3" s="1"/>
  <c r="P644" i="3"/>
  <c r="K644" i="3"/>
  <c r="H644" i="3"/>
  <c r="F644" i="3"/>
  <c r="D644" i="3"/>
  <c r="P643" i="3"/>
  <c r="K643" i="3"/>
  <c r="H643" i="3"/>
  <c r="F643" i="3"/>
  <c r="D643" i="3"/>
  <c r="N643" i="3" s="1"/>
  <c r="P642" i="3"/>
  <c r="K642" i="3"/>
  <c r="H642" i="3"/>
  <c r="F642" i="3"/>
  <c r="D642" i="3"/>
  <c r="N642" i="3" s="1"/>
  <c r="P641" i="3"/>
  <c r="K641" i="3"/>
  <c r="H641" i="3"/>
  <c r="F641" i="3"/>
  <c r="D641" i="3"/>
  <c r="N641" i="3" s="1"/>
  <c r="P640" i="3"/>
  <c r="K640" i="3"/>
  <c r="H640" i="3"/>
  <c r="F640" i="3"/>
  <c r="D640" i="3"/>
  <c r="P639" i="3"/>
  <c r="K639" i="3"/>
  <c r="H639" i="3"/>
  <c r="F639" i="3"/>
  <c r="D639" i="3"/>
  <c r="N639" i="3" s="1"/>
  <c r="P638" i="3"/>
  <c r="K638" i="3"/>
  <c r="H638" i="3"/>
  <c r="F638" i="3"/>
  <c r="D638" i="3"/>
  <c r="N638" i="3" s="1"/>
  <c r="P637" i="3"/>
  <c r="K637" i="3"/>
  <c r="H637" i="3"/>
  <c r="F637" i="3"/>
  <c r="D637" i="3"/>
  <c r="N637" i="3" s="1"/>
  <c r="P636" i="3"/>
  <c r="K636" i="3"/>
  <c r="H636" i="3"/>
  <c r="F636" i="3"/>
  <c r="D636" i="3"/>
  <c r="P635" i="3"/>
  <c r="K635" i="3"/>
  <c r="H635" i="3"/>
  <c r="F635" i="3"/>
  <c r="D635" i="3"/>
  <c r="N635" i="3" s="1"/>
  <c r="P634" i="3"/>
  <c r="K634" i="3"/>
  <c r="H634" i="3"/>
  <c r="F634" i="3"/>
  <c r="D634" i="3"/>
  <c r="N634" i="3" s="1"/>
  <c r="P633" i="3"/>
  <c r="K633" i="3"/>
  <c r="H633" i="3"/>
  <c r="F633" i="3"/>
  <c r="D633" i="3"/>
  <c r="N633" i="3" s="1"/>
  <c r="P632" i="3"/>
  <c r="K632" i="3"/>
  <c r="H632" i="3"/>
  <c r="F632" i="3"/>
  <c r="D632" i="3"/>
  <c r="P631" i="3"/>
  <c r="K631" i="3"/>
  <c r="H631" i="3"/>
  <c r="F631" i="3"/>
  <c r="D631" i="3"/>
  <c r="N631" i="3" s="1"/>
  <c r="P630" i="3"/>
  <c r="K630" i="3"/>
  <c r="H630" i="3"/>
  <c r="F630" i="3"/>
  <c r="D630" i="3"/>
  <c r="N630" i="3" s="1"/>
  <c r="P629" i="3"/>
  <c r="K629" i="3"/>
  <c r="H629" i="3"/>
  <c r="F629" i="3"/>
  <c r="D629" i="3"/>
  <c r="N629" i="3" s="1"/>
  <c r="P628" i="3"/>
  <c r="K628" i="3"/>
  <c r="H628" i="3"/>
  <c r="F628" i="3"/>
  <c r="D628" i="3"/>
  <c r="P627" i="3"/>
  <c r="K627" i="3"/>
  <c r="H627" i="3"/>
  <c r="F627" i="3"/>
  <c r="D627" i="3"/>
  <c r="N627" i="3" s="1"/>
  <c r="P626" i="3"/>
  <c r="K626" i="3"/>
  <c r="H626" i="3"/>
  <c r="F626" i="3"/>
  <c r="D626" i="3"/>
  <c r="N626" i="3" s="1"/>
  <c r="P625" i="3"/>
  <c r="K625" i="3"/>
  <c r="H625" i="3"/>
  <c r="F625" i="3"/>
  <c r="D625" i="3"/>
  <c r="N625" i="3" s="1"/>
  <c r="P624" i="3"/>
  <c r="K624" i="3"/>
  <c r="H624" i="3"/>
  <c r="F624" i="3"/>
  <c r="D624" i="3"/>
  <c r="P623" i="3"/>
  <c r="K623" i="3"/>
  <c r="H623" i="3"/>
  <c r="F623" i="3"/>
  <c r="D623" i="3"/>
  <c r="N623" i="3" s="1"/>
  <c r="P622" i="3"/>
  <c r="K622" i="3"/>
  <c r="H622" i="3"/>
  <c r="F622" i="3"/>
  <c r="D622" i="3"/>
  <c r="N622" i="3" s="1"/>
  <c r="P621" i="3"/>
  <c r="K621" i="3"/>
  <c r="H621" i="3"/>
  <c r="F621" i="3"/>
  <c r="D621" i="3"/>
  <c r="N621" i="3" s="1"/>
  <c r="P620" i="3"/>
  <c r="K620" i="3"/>
  <c r="H620" i="3"/>
  <c r="F620" i="3"/>
  <c r="D620" i="3"/>
  <c r="P619" i="3"/>
  <c r="K619" i="3"/>
  <c r="H619" i="3"/>
  <c r="F619" i="3"/>
  <c r="D619" i="3"/>
  <c r="N619" i="3" s="1"/>
  <c r="P618" i="3"/>
  <c r="K618" i="3"/>
  <c r="H618" i="3"/>
  <c r="F618" i="3"/>
  <c r="D618" i="3"/>
  <c r="N618" i="3" s="1"/>
  <c r="P617" i="3"/>
  <c r="K617" i="3"/>
  <c r="H617" i="3"/>
  <c r="F617" i="3"/>
  <c r="D617" i="3"/>
  <c r="N617" i="3" s="1"/>
  <c r="P616" i="3"/>
  <c r="K616" i="3"/>
  <c r="H616" i="3"/>
  <c r="F616" i="3"/>
  <c r="D616" i="3"/>
  <c r="P615" i="3"/>
  <c r="K615" i="3"/>
  <c r="H615" i="3"/>
  <c r="F615" i="3"/>
  <c r="D615" i="3"/>
  <c r="N615" i="3" s="1"/>
  <c r="P614" i="3"/>
  <c r="K614" i="3"/>
  <c r="H614" i="3"/>
  <c r="F614" i="3"/>
  <c r="D614" i="3"/>
  <c r="N614" i="3" s="1"/>
  <c r="P613" i="3"/>
  <c r="K613" i="3"/>
  <c r="H613" i="3"/>
  <c r="F613" i="3"/>
  <c r="D613" i="3"/>
  <c r="N613" i="3" s="1"/>
  <c r="P612" i="3"/>
  <c r="K612" i="3"/>
  <c r="H612" i="3"/>
  <c r="F612" i="3"/>
  <c r="D612" i="3"/>
  <c r="P611" i="3"/>
  <c r="K611" i="3"/>
  <c r="H611" i="3"/>
  <c r="F611" i="3"/>
  <c r="D611" i="3"/>
  <c r="N611" i="3" s="1"/>
  <c r="P610" i="3"/>
  <c r="K610" i="3"/>
  <c r="H610" i="3"/>
  <c r="F610" i="3"/>
  <c r="D610" i="3"/>
  <c r="N610" i="3" s="1"/>
  <c r="P609" i="3"/>
  <c r="K609" i="3"/>
  <c r="H609" i="3"/>
  <c r="F609" i="3"/>
  <c r="D609" i="3"/>
  <c r="N609" i="3" s="1"/>
  <c r="P608" i="3"/>
  <c r="K608" i="3"/>
  <c r="H608" i="3"/>
  <c r="F608" i="3"/>
  <c r="D608" i="3"/>
  <c r="P607" i="3"/>
  <c r="K607" i="3"/>
  <c r="H607" i="3"/>
  <c r="F607" i="3"/>
  <c r="D607" i="3"/>
  <c r="N607" i="3" s="1"/>
  <c r="P606" i="3"/>
  <c r="K606" i="3"/>
  <c r="H606" i="3"/>
  <c r="F606" i="3"/>
  <c r="D606" i="3"/>
  <c r="N606" i="3" s="1"/>
  <c r="P605" i="3"/>
  <c r="K605" i="3"/>
  <c r="H605" i="3"/>
  <c r="F605" i="3"/>
  <c r="D605" i="3"/>
  <c r="N605" i="3" s="1"/>
  <c r="P604" i="3"/>
  <c r="K604" i="3"/>
  <c r="H604" i="3"/>
  <c r="F604" i="3"/>
  <c r="D604" i="3"/>
  <c r="P603" i="3"/>
  <c r="K603" i="3"/>
  <c r="H603" i="3"/>
  <c r="F603" i="3"/>
  <c r="D603" i="3"/>
  <c r="N603" i="3" s="1"/>
  <c r="P602" i="3"/>
  <c r="K602" i="3"/>
  <c r="H602" i="3"/>
  <c r="F602" i="3"/>
  <c r="D602" i="3"/>
  <c r="N602" i="3" s="1"/>
  <c r="P601" i="3"/>
  <c r="K601" i="3"/>
  <c r="H601" i="3"/>
  <c r="F601" i="3"/>
  <c r="D601" i="3"/>
  <c r="N601" i="3" s="1"/>
  <c r="P600" i="3"/>
  <c r="K600" i="3"/>
  <c r="H600" i="3"/>
  <c r="F600" i="3"/>
  <c r="D600" i="3"/>
  <c r="P599" i="3"/>
  <c r="K599" i="3"/>
  <c r="H599" i="3"/>
  <c r="F599" i="3"/>
  <c r="D599" i="3"/>
  <c r="N599" i="3" s="1"/>
  <c r="P598" i="3"/>
  <c r="K598" i="3"/>
  <c r="H598" i="3"/>
  <c r="F598" i="3"/>
  <c r="D598" i="3"/>
  <c r="N598" i="3" s="1"/>
  <c r="P597" i="3"/>
  <c r="K597" i="3"/>
  <c r="H597" i="3"/>
  <c r="F597" i="3"/>
  <c r="D597" i="3"/>
  <c r="N597" i="3" s="1"/>
  <c r="P596" i="3"/>
  <c r="K596" i="3"/>
  <c r="H596" i="3"/>
  <c r="F596" i="3"/>
  <c r="D596" i="3"/>
  <c r="P595" i="3"/>
  <c r="K595" i="3"/>
  <c r="H595" i="3"/>
  <c r="F595" i="3"/>
  <c r="D595" i="3"/>
  <c r="N595" i="3" s="1"/>
  <c r="P594" i="3"/>
  <c r="K594" i="3"/>
  <c r="H594" i="3"/>
  <c r="F594" i="3"/>
  <c r="D594" i="3"/>
  <c r="N594" i="3" s="1"/>
  <c r="P593" i="3"/>
  <c r="K593" i="3"/>
  <c r="H593" i="3"/>
  <c r="F593" i="3"/>
  <c r="D593" i="3"/>
  <c r="N593" i="3" s="1"/>
  <c r="P592" i="3"/>
  <c r="K592" i="3"/>
  <c r="H592" i="3"/>
  <c r="F592" i="3"/>
  <c r="D592" i="3"/>
  <c r="P591" i="3"/>
  <c r="K591" i="3"/>
  <c r="H591" i="3"/>
  <c r="F591" i="3"/>
  <c r="D591" i="3"/>
  <c r="N591" i="3" s="1"/>
  <c r="P590" i="3"/>
  <c r="K590" i="3"/>
  <c r="H590" i="3"/>
  <c r="F590" i="3"/>
  <c r="D590" i="3"/>
  <c r="N590" i="3" s="1"/>
  <c r="P589" i="3"/>
  <c r="K589" i="3"/>
  <c r="H589" i="3"/>
  <c r="F589" i="3"/>
  <c r="D589" i="3"/>
  <c r="N589" i="3" s="1"/>
  <c r="P588" i="3"/>
  <c r="K588" i="3"/>
  <c r="H588" i="3"/>
  <c r="F588" i="3"/>
  <c r="D588" i="3"/>
  <c r="P587" i="3"/>
  <c r="K587" i="3"/>
  <c r="H587" i="3"/>
  <c r="F587" i="3"/>
  <c r="D587" i="3"/>
  <c r="N587" i="3" s="1"/>
  <c r="P586" i="3"/>
  <c r="K586" i="3"/>
  <c r="H586" i="3"/>
  <c r="F586" i="3"/>
  <c r="D586" i="3"/>
  <c r="N586" i="3" s="1"/>
  <c r="P585" i="3"/>
  <c r="K585" i="3"/>
  <c r="H585" i="3"/>
  <c r="F585" i="3"/>
  <c r="D585" i="3"/>
  <c r="N585" i="3" s="1"/>
  <c r="P584" i="3"/>
  <c r="K584" i="3"/>
  <c r="H584" i="3"/>
  <c r="F584" i="3"/>
  <c r="D584" i="3"/>
  <c r="P583" i="3"/>
  <c r="K583" i="3"/>
  <c r="H583" i="3"/>
  <c r="F583" i="3"/>
  <c r="D583" i="3"/>
  <c r="N583" i="3" s="1"/>
  <c r="P582" i="3"/>
  <c r="K582" i="3"/>
  <c r="H582" i="3"/>
  <c r="F582" i="3"/>
  <c r="D582" i="3"/>
  <c r="N582" i="3" s="1"/>
  <c r="P581" i="3"/>
  <c r="K581" i="3"/>
  <c r="H581" i="3"/>
  <c r="F581" i="3"/>
  <c r="D581" i="3"/>
  <c r="N581" i="3" s="1"/>
  <c r="P580" i="3"/>
  <c r="K580" i="3"/>
  <c r="H580" i="3"/>
  <c r="F580" i="3"/>
  <c r="D580" i="3"/>
  <c r="P579" i="3"/>
  <c r="K579" i="3"/>
  <c r="H579" i="3"/>
  <c r="F579" i="3"/>
  <c r="D579" i="3"/>
  <c r="N579" i="3" s="1"/>
  <c r="P578" i="3"/>
  <c r="K578" i="3"/>
  <c r="H578" i="3"/>
  <c r="F578" i="3"/>
  <c r="D578" i="3"/>
  <c r="N578" i="3" s="1"/>
  <c r="P577" i="3"/>
  <c r="K577" i="3"/>
  <c r="H577" i="3"/>
  <c r="F577" i="3"/>
  <c r="D577" i="3"/>
  <c r="N577" i="3" s="1"/>
  <c r="P576" i="3"/>
  <c r="K576" i="3"/>
  <c r="H576" i="3"/>
  <c r="F576" i="3"/>
  <c r="D576" i="3"/>
  <c r="P575" i="3"/>
  <c r="K575" i="3"/>
  <c r="H575" i="3"/>
  <c r="F575" i="3"/>
  <c r="D575" i="3"/>
  <c r="N575" i="3" s="1"/>
  <c r="P574" i="3"/>
  <c r="K574" i="3"/>
  <c r="H574" i="3"/>
  <c r="F574" i="3"/>
  <c r="D574" i="3"/>
  <c r="N574" i="3" s="1"/>
  <c r="P573" i="3"/>
  <c r="K573" i="3"/>
  <c r="H573" i="3"/>
  <c r="F573" i="3"/>
  <c r="D573" i="3"/>
  <c r="N573" i="3" s="1"/>
  <c r="P572" i="3"/>
  <c r="K572" i="3"/>
  <c r="H572" i="3"/>
  <c r="F572" i="3"/>
  <c r="D572" i="3"/>
  <c r="P571" i="3"/>
  <c r="K571" i="3"/>
  <c r="H571" i="3"/>
  <c r="F571" i="3"/>
  <c r="D571" i="3"/>
  <c r="N571" i="3" s="1"/>
  <c r="P570" i="3"/>
  <c r="K570" i="3"/>
  <c r="H570" i="3"/>
  <c r="F570" i="3"/>
  <c r="D570" i="3"/>
  <c r="N570" i="3" s="1"/>
  <c r="P569" i="3"/>
  <c r="K569" i="3"/>
  <c r="H569" i="3"/>
  <c r="F569" i="3"/>
  <c r="D569" i="3"/>
  <c r="N569" i="3" s="1"/>
  <c r="P568" i="3"/>
  <c r="K568" i="3"/>
  <c r="H568" i="3"/>
  <c r="F568" i="3"/>
  <c r="D568" i="3"/>
  <c r="P567" i="3"/>
  <c r="K567" i="3"/>
  <c r="H567" i="3"/>
  <c r="F567" i="3"/>
  <c r="D567" i="3"/>
  <c r="N567" i="3" s="1"/>
  <c r="P566" i="3"/>
  <c r="K566" i="3"/>
  <c r="H566" i="3"/>
  <c r="F566" i="3"/>
  <c r="D566" i="3"/>
  <c r="N566" i="3" s="1"/>
  <c r="P565" i="3"/>
  <c r="K565" i="3"/>
  <c r="H565" i="3"/>
  <c r="F565" i="3"/>
  <c r="D565" i="3"/>
  <c r="N565" i="3" s="1"/>
  <c r="P564" i="3"/>
  <c r="K564" i="3"/>
  <c r="H564" i="3"/>
  <c r="F564" i="3"/>
  <c r="D564" i="3"/>
  <c r="P563" i="3"/>
  <c r="K563" i="3"/>
  <c r="H563" i="3"/>
  <c r="F563" i="3"/>
  <c r="D563" i="3"/>
  <c r="N563" i="3" s="1"/>
  <c r="P562" i="3"/>
  <c r="K562" i="3"/>
  <c r="H562" i="3"/>
  <c r="F562" i="3"/>
  <c r="D562" i="3"/>
  <c r="N562" i="3" s="1"/>
  <c r="P561" i="3"/>
  <c r="K561" i="3"/>
  <c r="H561" i="3"/>
  <c r="F561" i="3"/>
  <c r="D561" i="3"/>
  <c r="P560" i="3"/>
  <c r="K560" i="3"/>
  <c r="H560" i="3"/>
  <c r="F560" i="3"/>
  <c r="D560" i="3"/>
  <c r="P559" i="3"/>
  <c r="K559" i="3"/>
  <c r="H559" i="3"/>
  <c r="F559" i="3"/>
  <c r="D559" i="3"/>
  <c r="N559" i="3" s="1"/>
  <c r="P558" i="3"/>
  <c r="K558" i="3"/>
  <c r="H558" i="3"/>
  <c r="F558" i="3"/>
  <c r="D558" i="3"/>
  <c r="N558" i="3" s="1"/>
  <c r="P557" i="3"/>
  <c r="K557" i="3"/>
  <c r="H557" i="3"/>
  <c r="F557" i="3"/>
  <c r="D557" i="3"/>
  <c r="P556" i="3"/>
  <c r="K556" i="3"/>
  <c r="H556" i="3"/>
  <c r="F556" i="3"/>
  <c r="D556" i="3"/>
  <c r="P555" i="3"/>
  <c r="K555" i="3"/>
  <c r="H555" i="3"/>
  <c r="F555" i="3"/>
  <c r="D555" i="3"/>
  <c r="N555" i="3" s="1"/>
  <c r="P554" i="3"/>
  <c r="K554" i="3"/>
  <c r="H554" i="3"/>
  <c r="F554" i="3"/>
  <c r="D554" i="3"/>
  <c r="N554" i="3" s="1"/>
  <c r="P553" i="3"/>
  <c r="K553" i="3"/>
  <c r="H553" i="3"/>
  <c r="F553" i="3"/>
  <c r="D553" i="3"/>
  <c r="P552" i="3"/>
  <c r="K552" i="3"/>
  <c r="H552" i="3"/>
  <c r="F552" i="3"/>
  <c r="D552" i="3"/>
  <c r="P551" i="3"/>
  <c r="K551" i="3"/>
  <c r="H551" i="3"/>
  <c r="F551" i="3"/>
  <c r="D551" i="3"/>
  <c r="N551" i="3" s="1"/>
  <c r="P550" i="3"/>
  <c r="K550" i="3"/>
  <c r="H550" i="3"/>
  <c r="F550" i="3"/>
  <c r="D550" i="3"/>
  <c r="N550" i="3" s="1"/>
  <c r="P549" i="3"/>
  <c r="K549" i="3"/>
  <c r="H549" i="3"/>
  <c r="F549" i="3"/>
  <c r="D549" i="3"/>
  <c r="P548" i="3"/>
  <c r="K548" i="3"/>
  <c r="H548" i="3"/>
  <c r="F548" i="3"/>
  <c r="D548" i="3"/>
  <c r="P547" i="3"/>
  <c r="K547" i="3"/>
  <c r="H547" i="3"/>
  <c r="F547" i="3"/>
  <c r="D547" i="3"/>
  <c r="N547" i="3" s="1"/>
  <c r="P546" i="3"/>
  <c r="K546" i="3"/>
  <c r="H546" i="3"/>
  <c r="F546" i="3"/>
  <c r="D546" i="3"/>
  <c r="N546" i="3" s="1"/>
  <c r="P545" i="3"/>
  <c r="K545" i="3"/>
  <c r="H545" i="3"/>
  <c r="F545" i="3"/>
  <c r="D545" i="3"/>
  <c r="P544" i="3"/>
  <c r="K544" i="3"/>
  <c r="H544" i="3"/>
  <c r="F544" i="3"/>
  <c r="D544" i="3"/>
  <c r="P543" i="3"/>
  <c r="K543" i="3"/>
  <c r="H543" i="3"/>
  <c r="F543" i="3"/>
  <c r="D543" i="3"/>
  <c r="N543" i="3" s="1"/>
  <c r="P542" i="3"/>
  <c r="K542" i="3"/>
  <c r="H542" i="3"/>
  <c r="F542" i="3"/>
  <c r="D542" i="3"/>
  <c r="N542" i="3" s="1"/>
  <c r="P541" i="3"/>
  <c r="K541" i="3"/>
  <c r="H541" i="3"/>
  <c r="F541" i="3"/>
  <c r="D541" i="3"/>
  <c r="P540" i="3"/>
  <c r="K540" i="3"/>
  <c r="H540" i="3"/>
  <c r="F540" i="3"/>
  <c r="D540" i="3"/>
  <c r="P539" i="3"/>
  <c r="K539" i="3"/>
  <c r="H539" i="3"/>
  <c r="F539" i="3"/>
  <c r="D539" i="3"/>
  <c r="N539" i="3" s="1"/>
  <c r="P538" i="3"/>
  <c r="K538" i="3"/>
  <c r="H538" i="3"/>
  <c r="F538" i="3"/>
  <c r="D538" i="3"/>
  <c r="N538" i="3" s="1"/>
  <c r="P537" i="3"/>
  <c r="K537" i="3"/>
  <c r="H537" i="3"/>
  <c r="F537" i="3"/>
  <c r="D537" i="3"/>
  <c r="P536" i="3"/>
  <c r="K536" i="3"/>
  <c r="H536" i="3"/>
  <c r="F536" i="3"/>
  <c r="D536" i="3"/>
  <c r="P535" i="3"/>
  <c r="K535" i="3"/>
  <c r="H535" i="3"/>
  <c r="F535" i="3"/>
  <c r="D535" i="3"/>
  <c r="N535" i="3" s="1"/>
  <c r="P534" i="3"/>
  <c r="K534" i="3"/>
  <c r="H534" i="3"/>
  <c r="F534" i="3"/>
  <c r="D534" i="3"/>
  <c r="N534" i="3" s="1"/>
  <c r="P533" i="3"/>
  <c r="K533" i="3"/>
  <c r="H533" i="3"/>
  <c r="F533" i="3"/>
  <c r="D533" i="3"/>
  <c r="P532" i="3"/>
  <c r="K532" i="3"/>
  <c r="H532" i="3"/>
  <c r="F532" i="3"/>
  <c r="D532" i="3"/>
  <c r="P531" i="3"/>
  <c r="K531" i="3"/>
  <c r="H531" i="3"/>
  <c r="F531" i="3"/>
  <c r="D531" i="3"/>
  <c r="N531" i="3" s="1"/>
  <c r="P530" i="3"/>
  <c r="K530" i="3"/>
  <c r="H530" i="3"/>
  <c r="F530" i="3"/>
  <c r="D530" i="3"/>
  <c r="N530" i="3" s="1"/>
  <c r="P529" i="3"/>
  <c r="K529" i="3"/>
  <c r="H529" i="3"/>
  <c r="F529" i="3"/>
  <c r="D529" i="3"/>
  <c r="P528" i="3"/>
  <c r="K528" i="3"/>
  <c r="H528" i="3"/>
  <c r="F528" i="3"/>
  <c r="D528" i="3"/>
  <c r="P527" i="3"/>
  <c r="K527" i="3"/>
  <c r="H527" i="3"/>
  <c r="F527" i="3"/>
  <c r="D527" i="3"/>
  <c r="N527" i="3" s="1"/>
  <c r="P526" i="3"/>
  <c r="K526" i="3"/>
  <c r="H526" i="3"/>
  <c r="F526" i="3"/>
  <c r="D526" i="3"/>
  <c r="N526" i="3" s="1"/>
  <c r="P525" i="3"/>
  <c r="K525" i="3"/>
  <c r="H525" i="3"/>
  <c r="F525" i="3"/>
  <c r="D525" i="3"/>
  <c r="P524" i="3"/>
  <c r="K524" i="3"/>
  <c r="H524" i="3"/>
  <c r="F524" i="3"/>
  <c r="D524" i="3"/>
  <c r="P523" i="3"/>
  <c r="K523" i="3"/>
  <c r="H523" i="3"/>
  <c r="F523" i="3"/>
  <c r="D523" i="3"/>
  <c r="N523" i="3" s="1"/>
  <c r="P522" i="3"/>
  <c r="K522" i="3"/>
  <c r="H522" i="3"/>
  <c r="F522" i="3"/>
  <c r="D522" i="3"/>
  <c r="N522" i="3" s="1"/>
  <c r="P521" i="3"/>
  <c r="K521" i="3"/>
  <c r="H521" i="3"/>
  <c r="F521" i="3"/>
  <c r="D521" i="3"/>
  <c r="P520" i="3"/>
  <c r="K520" i="3"/>
  <c r="H520" i="3"/>
  <c r="F520" i="3"/>
  <c r="D520" i="3"/>
  <c r="P519" i="3"/>
  <c r="K519" i="3"/>
  <c r="H519" i="3"/>
  <c r="F519" i="3"/>
  <c r="D519" i="3"/>
  <c r="N519" i="3" s="1"/>
  <c r="P518" i="3"/>
  <c r="K518" i="3"/>
  <c r="H518" i="3"/>
  <c r="F518" i="3"/>
  <c r="D518" i="3"/>
  <c r="N518" i="3" s="1"/>
  <c r="P517" i="3"/>
  <c r="K517" i="3"/>
  <c r="H517" i="3"/>
  <c r="F517" i="3"/>
  <c r="D517" i="3"/>
  <c r="P516" i="3"/>
  <c r="K516" i="3"/>
  <c r="H516" i="3"/>
  <c r="F516" i="3"/>
  <c r="D516" i="3"/>
  <c r="P515" i="3"/>
  <c r="K515" i="3"/>
  <c r="H515" i="3"/>
  <c r="F515" i="3"/>
  <c r="D515" i="3"/>
  <c r="N515" i="3" s="1"/>
  <c r="P514" i="3"/>
  <c r="K514" i="3"/>
  <c r="H514" i="3"/>
  <c r="F514" i="3"/>
  <c r="D514" i="3"/>
  <c r="N514" i="3" s="1"/>
  <c r="P513" i="3"/>
  <c r="K513" i="3"/>
  <c r="H513" i="3"/>
  <c r="F513" i="3"/>
  <c r="D513" i="3"/>
  <c r="P512" i="3"/>
  <c r="K512" i="3"/>
  <c r="H512" i="3"/>
  <c r="F512" i="3"/>
  <c r="D512" i="3"/>
  <c r="P511" i="3"/>
  <c r="K511" i="3"/>
  <c r="H511" i="3"/>
  <c r="F511" i="3"/>
  <c r="D511" i="3"/>
  <c r="N511" i="3" s="1"/>
  <c r="P510" i="3"/>
  <c r="K510" i="3"/>
  <c r="H510" i="3"/>
  <c r="F510" i="3"/>
  <c r="D510" i="3"/>
  <c r="N510" i="3" s="1"/>
  <c r="P509" i="3"/>
  <c r="K509" i="3"/>
  <c r="H509" i="3"/>
  <c r="F509" i="3"/>
  <c r="D509" i="3"/>
  <c r="P508" i="3"/>
  <c r="K508" i="3"/>
  <c r="H508" i="3"/>
  <c r="F508" i="3"/>
  <c r="D508" i="3"/>
  <c r="P507" i="3"/>
  <c r="K507" i="3"/>
  <c r="H507" i="3"/>
  <c r="F507" i="3"/>
  <c r="D507" i="3"/>
  <c r="N507" i="3" s="1"/>
  <c r="P506" i="3"/>
  <c r="K506" i="3"/>
  <c r="H506" i="3"/>
  <c r="F506" i="3"/>
  <c r="D506" i="3"/>
  <c r="N506" i="3" s="1"/>
  <c r="P505" i="3"/>
  <c r="K505" i="3"/>
  <c r="H505" i="3"/>
  <c r="F505" i="3"/>
  <c r="D505" i="3"/>
  <c r="P504" i="3"/>
  <c r="K504" i="3"/>
  <c r="H504" i="3"/>
  <c r="F504" i="3"/>
  <c r="D504" i="3"/>
  <c r="P503" i="3"/>
  <c r="K503" i="3"/>
  <c r="H503" i="3"/>
  <c r="F503" i="3"/>
  <c r="D503" i="3"/>
  <c r="N503" i="3" s="1"/>
  <c r="P502" i="3"/>
  <c r="K502" i="3"/>
  <c r="H502" i="3"/>
  <c r="F502" i="3"/>
  <c r="D502" i="3"/>
  <c r="N502" i="3" s="1"/>
  <c r="P501" i="3"/>
  <c r="K501" i="3"/>
  <c r="H501" i="3"/>
  <c r="F501" i="3"/>
  <c r="D501" i="3"/>
  <c r="N501" i="3" s="1"/>
  <c r="P500" i="3"/>
  <c r="K500" i="3"/>
  <c r="H500" i="3"/>
  <c r="F500" i="3"/>
  <c r="D500" i="3"/>
  <c r="P499" i="3"/>
  <c r="K499" i="3"/>
  <c r="H499" i="3"/>
  <c r="F499" i="3"/>
  <c r="D499" i="3"/>
  <c r="N499" i="3" s="1"/>
  <c r="P498" i="3"/>
  <c r="K498" i="3"/>
  <c r="H498" i="3"/>
  <c r="F498" i="3"/>
  <c r="D498" i="3"/>
  <c r="N498" i="3" s="1"/>
  <c r="P497" i="3"/>
  <c r="K497" i="3"/>
  <c r="H497" i="3"/>
  <c r="F497" i="3"/>
  <c r="D497" i="3"/>
  <c r="P496" i="3"/>
  <c r="K496" i="3"/>
  <c r="H496" i="3"/>
  <c r="F496" i="3"/>
  <c r="D496" i="3"/>
  <c r="P495" i="3"/>
  <c r="K495" i="3"/>
  <c r="H495" i="3"/>
  <c r="F495" i="3"/>
  <c r="D495" i="3"/>
  <c r="N495" i="3" s="1"/>
  <c r="P494" i="3"/>
  <c r="K494" i="3"/>
  <c r="H494" i="3"/>
  <c r="F494" i="3"/>
  <c r="D494" i="3"/>
  <c r="N494" i="3" s="1"/>
  <c r="P493" i="3"/>
  <c r="K493" i="3"/>
  <c r="H493" i="3"/>
  <c r="F493" i="3"/>
  <c r="D493" i="3"/>
  <c r="N493" i="3" s="1"/>
  <c r="P492" i="3"/>
  <c r="K492" i="3"/>
  <c r="H492" i="3"/>
  <c r="F492" i="3"/>
  <c r="D492" i="3"/>
  <c r="P491" i="3"/>
  <c r="K491" i="3"/>
  <c r="H491" i="3"/>
  <c r="F491" i="3"/>
  <c r="D491" i="3"/>
  <c r="N491" i="3" s="1"/>
  <c r="P490" i="3"/>
  <c r="K490" i="3"/>
  <c r="H490" i="3"/>
  <c r="F490" i="3"/>
  <c r="D490" i="3"/>
  <c r="N490" i="3" s="1"/>
  <c r="P489" i="3"/>
  <c r="K489" i="3"/>
  <c r="H489" i="3"/>
  <c r="F489" i="3"/>
  <c r="D489" i="3"/>
  <c r="P488" i="3"/>
  <c r="K488" i="3"/>
  <c r="H488" i="3"/>
  <c r="F488" i="3"/>
  <c r="D488" i="3"/>
  <c r="P487" i="3"/>
  <c r="K487" i="3"/>
  <c r="H487" i="3"/>
  <c r="F487" i="3"/>
  <c r="D487" i="3"/>
  <c r="N487" i="3" s="1"/>
  <c r="P486" i="3"/>
  <c r="K486" i="3"/>
  <c r="H486" i="3"/>
  <c r="F486" i="3"/>
  <c r="D486" i="3"/>
  <c r="N486" i="3" s="1"/>
  <c r="P485" i="3"/>
  <c r="K485" i="3"/>
  <c r="H485" i="3"/>
  <c r="F485" i="3"/>
  <c r="D485" i="3"/>
  <c r="N485" i="3" s="1"/>
  <c r="P484" i="3"/>
  <c r="K484" i="3"/>
  <c r="H484" i="3"/>
  <c r="F484" i="3"/>
  <c r="D484" i="3"/>
  <c r="P483" i="3"/>
  <c r="K483" i="3"/>
  <c r="H483" i="3"/>
  <c r="F483" i="3"/>
  <c r="D483" i="3"/>
  <c r="N483" i="3" s="1"/>
  <c r="P482" i="3"/>
  <c r="K482" i="3"/>
  <c r="H482" i="3"/>
  <c r="F482" i="3"/>
  <c r="D482" i="3"/>
  <c r="N482" i="3" s="1"/>
  <c r="P481" i="3"/>
  <c r="K481" i="3"/>
  <c r="H481" i="3"/>
  <c r="F481" i="3"/>
  <c r="D481" i="3"/>
  <c r="P480" i="3"/>
  <c r="K480" i="3"/>
  <c r="H480" i="3"/>
  <c r="F480" i="3"/>
  <c r="D480" i="3"/>
  <c r="P479" i="3"/>
  <c r="K479" i="3"/>
  <c r="H479" i="3"/>
  <c r="F479" i="3"/>
  <c r="D479" i="3"/>
  <c r="N479" i="3" s="1"/>
  <c r="P478" i="3"/>
  <c r="K478" i="3"/>
  <c r="H478" i="3"/>
  <c r="F478" i="3"/>
  <c r="D478" i="3"/>
  <c r="N478" i="3" s="1"/>
  <c r="P477" i="3"/>
  <c r="K477" i="3"/>
  <c r="H477" i="3"/>
  <c r="F477" i="3"/>
  <c r="D477" i="3"/>
  <c r="N477" i="3" s="1"/>
  <c r="P476" i="3"/>
  <c r="K476" i="3"/>
  <c r="H476" i="3"/>
  <c r="F476" i="3"/>
  <c r="D476" i="3"/>
  <c r="P475" i="3"/>
  <c r="K475" i="3"/>
  <c r="H475" i="3"/>
  <c r="F475" i="3"/>
  <c r="D475" i="3"/>
  <c r="N475" i="3" s="1"/>
  <c r="P474" i="3"/>
  <c r="K474" i="3"/>
  <c r="H474" i="3"/>
  <c r="F474" i="3"/>
  <c r="D474" i="3"/>
  <c r="N474" i="3" s="1"/>
  <c r="P473" i="3"/>
  <c r="K473" i="3"/>
  <c r="H473" i="3"/>
  <c r="F473" i="3"/>
  <c r="D473" i="3"/>
  <c r="P472" i="3"/>
  <c r="K472" i="3"/>
  <c r="H472" i="3"/>
  <c r="F472" i="3"/>
  <c r="D472" i="3"/>
  <c r="P471" i="3"/>
  <c r="K471" i="3"/>
  <c r="H471" i="3"/>
  <c r="F471" i="3"/>
  <c r="D471" i="3"/>
  <c r="N471" i="3" s="1"/>
  <c r="P470" i="3"/>
  <c r="K470" i="3"/>
  <c r="H470" i="3"/>
  <c r="F470" i="3"/>
  <c r="D470" i="3"/>
  <c r="N470" i="3" s="1"/>
  <c r="P469" i="3"/>
  <c r="K469" i="3"/>
  <c r="H469" i="3"/>
  <c r="F469" i="3"/>
  <c r="D469" i="3"/>
  <c r="N469" i="3" s="1"/>
  <c r="P468" i="3"/>
  <c r="K468" i="3"/>
  <c r="H468" i="3"/>
  <c r="F468" i="3"/>
  <c r="D468" i="3"/>
  <c r="P467" i="3"/>
  <c r="K467" i="3"/>
  <c r="H467" i="3"/>
  <c r="F467" i="3"/>
  <c r="D467" i="3"/>
  <c r="N467" i="3" s="1"/>
  <c r="P466" i="3"/>
  <c r="K466" i="3"/>
  <c r="H466" i="3"/>
  <c r="F466" i="3"/>
  <c r="D466" i="3"/>
  <c r="N466" i="3" s="1"/>
  <c r="P465" i="3"/>
  <c r="K465" i="3"/>
  <c r="H465" i="3"/>
  <c r="F465" i="3"/>
  <c r="D465" i="3"/>
  <c r="P464" i="3"/>
  <c r="K464" i="3"/>
  <c r="H464" i="3"/>
  <c r="F464" i="3"/>
  <c r="D464" i="3"/>
  <c r="P463" i="3"/>
  <c r="K463" i="3"/>
  <c r="H463" i="3"/>
  <c r="F463" i="3"/>
  <c r="D463" i="3"/>
  <c r="N463" i="3" s="1"/>
  <c r="P462" i="3"/>
  <c r="K462" i="3"/>
  <c r="H462" i="3"/>
  <c r="F462" i="3"/>
  <c r="D462" i="3"/>
  <c r="N462" i="3" s="1"/>
  <c r="P461" i="3"/>
  <c r="K461" i="3"/>
  <c r="H461" i="3"/>
  <c r="F461" i="3"/>
  <c r="D461" i="3"/>
  <c r="N461" i="3" s="1"/>
  <c r="P460" i="3"/>
  <c r="K460" i="3"/>
  <c r="H460" i="3"/>
  <c r="F460" i="3"/>
  <c r="D460" i="3"/>
  <c r="P459" i="3"/>
  <c r="K459" i="3"/>
  <c r="H459" i="3"/>
  <c r="F459" i="3"/>
  <c r="D459" i="3"/>
  <c r="N459" i="3" s="1"/>
  <c r="P458" i="3"/>
  <c r="K458" i="3"/>
  <c r="H458" i="3"/>
  <c r="F458" i="3"/>
  <c r="D458" i="3"/>
  <c r="N458" i="3" s="1"/>
  <c r="P457" i="3"/>
  <c r="K457" i="3"/>
  <c r="H457" i="3"/>
  <c r="F457" i="3"/>
  <c r="D457" i="3"/>
  <c r="P456" i="3"/>
  <c r="K456" i="3"/>
  <c r="H456" i="3"/>
  <c r="F456" i="3"/>
  <c r="D456" i="3"/>
  <c r="P455" i="3"/>
  <c r="K455" i="3"/>
  <c r="H455" i="3"/>
  <c r="F455" i="3"/>
  <c r="D455" i="3"/>
  <c r="N455" i="3" s="1"/>
  <c r="P454" i="3"/>
  <c r="K454" i="3"/>
  <c r="H454" i="3"/>
  <c r="F454" i="3"/>
  <c r="D454" i="3"/>
  <c r="N454" i="3" s="1"/>
  <c r="P453" i="3"/>
  <c r="K453" i="3"/>
  <c r="H453" i="3"/>
  <c r="F453" i="3"/>
  <c r="D453" i="3"/>
  <c r="N453" i="3" s="1"/>
  <c r="P452" i="3"/>
  <c r="K452" i="3"/>
  <c r="H452" i="3"/>
  <c r="F452" i="3"/>
  <c r="D452" i="3"/>
  <c r="P451" i="3"/>
  <c r="K451" i="3"/>
  <c r="H451" i="3"/>
  <c r="F451" i="3"/>
  <c r="D451" i="3"/>
  <c r="N451" i="3" s="1"/>
  <c r="P450" i="3"/>
  <c r="K450" i="3"/>
  <c r="H450" i="3"/>
  <c r="F450" i="3"/>
  <c r="D450" i="3"/>
  <c r="N450" i="3" s="1"/>
  <c r="P449" i="3"/>
  <c r="K449" i="3"/>
  <c r="H449" i="3"/>
  <c r="F449" i="3"/>
  <c r="D449" i="3"/>
  <c r="P448" i="3"/>
  <c r="K448" i="3"/>
  <c r="H448" i="3"/>
  <c r="F448" i="3"/>
  <c r="D448" i="3"/>
  <c r="P447" i="3"/>
  <c r="K447" i="3"/>
  <c r="H447" i="3"/>
  <c r="F447" i="3"/>
  <c r="D447" i="3"/>
  <c r="N447" i="3" s="1"/>
  <c r="P446" i="3"/>
  <c r="K446" i="3"/>
  <c r="H446" i="3"/>
  <c r="F446" i="3"/>
  <c r="D446" i="3"/>
  <c r="N446" i="3" s="1"/>
  <c r="P445" i="3"/>
  <c r="K445" i="3"/>
  <c r="H445" i="3"/>
  <c r="F445" i="3"/>
  <c r="D445" i="3"/>
  <c r="N445" i="3" s="1"/>
  <c r="P444" i="3"/>
  <c r="K444" i="3"/>
  <c r="H444" i="3"/>
  <c r="F444" i="3"/>
  <c r="D444" i="3"/>
  <c r="P443" i="3"/>
  <c r="K443" i="3"/>
  <c r="H443" i="3"/>
  <c r="F443" i="3"/>
  <c r="D443" i="3"/>
  <c r="N443" i="3" s="1"/>
  <c r="P442" i="3"/>
  <c r="K442" i="3"/>
  <c r="H442" i="3"/>
  <c r="F442" i="3"/>
  <c r="D442" i="3"/>
  <c r="N442" i="3" s="1"/>
  <c r="P441" i="3"/>
  <c r="K441" i="3"/>
  <c r="H441" i="3"/>
  <c r="F441" i="3"/>
  <c r="D441" i="3"/>
  <c r="N441" i="3" s="1"/>
  <c r="P440" i="3"/>
  <c r="K440" i="3"/>
  <c r="H440" i="3"/>
  <c r="F440" i="3"/>
  <c r="D440" i="3"/>
  <c r="P439" i="3"/>
  <c r="K439" i="3"/>
  <c r="H439" i="3"/>
  <c r="F439" i="3"/>
  <c r="D439" i="3"/>
  <c r="N439" i="3" s="1"/>
  <c r="P438" i="3"/>
  <c r="K438" i="3"/>
  <c r="H438" i="3"/>
  <c r="F438" i="3"/>
  <c r="D438" i="3"/>
  <c r="N438" i="3" s="1"/>
  <c r="P437" i="3"/>
  <c r="K437" i="3"/>
  <c r="H437" i="3"/>
  <c r="F437" i="3"/>
  <c r="D437" i="3"/>
  <c r="N437" i="3" s="1"/>
  <c r="P436" i="3"/>
  <c r="K436" i="3"/>
  <c r="H436" i="3"/>
  <c r="F436" i="3"/>
  <c r="D436" i="3"/>
  <c r="P435" i="3"/>
  <c r="K435" i="3"/>
  <c r="H435" i="3"/>
  <c r="F435" i="3"/>
  <c r="D435" i="3"/>
  <c r="N435" i="3" s="1"/>
  <c r="P434" i="3"/>
  <c r="K434" i="3"/>
  <c r="H434" i="3"/>
  <c r="F434" i="3"/>
  <c r="D434" i="3"/>
  <c r="N434" i="3" s="1"/>
  <c r="P433" i="3"/>
  <c r="K433" i="3"/>
  <c r="H433" i="3"/>
  <c r="F433" i="3"/>
  <c r="D433" i="3"/>
  <c r="N433" i="3" s="1"/>
  <c r="P432" i="3"/>
  <c r="K432" i="3"/>
  <c r="H432" i="3"/>
  <c r="F432" i="3"/>
  <c r="D432" i="3"/>
  <c r="P431" i="3"/>
  <c r="K431" i="3"/>
  <c r="H431" i="3"/>
  <c r="F431" i="3"/>
  <c r="D431" i="3"/>
  <c r="N431" i="3" s="1"/>
  <c r="P430" i="3"/>
  <c r="K430" i="3"/>
  <c r="H430" i="3"/>
  <c r="F430" i="3"/>
  <c r="D430" i="3"/>
  <c r="N430" i="3" s="1"/>
  <c r="P429" i="3"/>
  <c r="K429" i="3"/>
  <c r="H429" i="3"/>
  <c r="F429" i="3"/>
  <c r="D429" i="3"/>
  <c r="N429" i="3" s="1"/>
  <c r="P428" i="3"/>
  <c r="K428" i="3"/>
  <c r="H428" i="3"/>
  <c r="F428" i="3"/>
  <c r="D428" i="3"/>
  <c r="P427" i="3"/>
  <c r="K427" i="3"/>
  <c r="H427" i="3"/>
  <c r="F427" i="3"/>
  <c r="D427" i="3"/>
  <c r="N427" i="3" s="1"/>
  <c r="P426" i="3"/>
  <c r="K426" i="3"/>
  <c r="H426" i="3"/>
  <c r="F426" i="3"/>
  <c r="D426" i="3"/>
  <c r="N426" i="3" s="1"/>
  <c r="P425" i="3"/>
  <c r="K425" i="3"/>
  <c r="H425" i="3"/>
  <c r="F425" i="3"/>
  <c r="D425" i="3"/>
  <c r="N425" i="3" s="1"/>
  <c r="P424" i="3"/>
  <c r="K424" i="3"/>
  <c r="H424" i="3"/>
  <c r="F424" i="3"/>
  <c r="D424" i="3"/>
  <c r="P423" i="3"/>
  <c r="K423" i="3"/>
  <c r="H423" i="3"/>
  <c r="F423" i="3"/>
  <c r="D423" i="3"/>
  <c r="N423" i="3" s="1"/>
  <c r="P422" i="3"/>
  <c r="K422" i="3"/>
  <c r="H422" i="3"/>
  <c r="F422" i="3"/>
  <c r="D422" i="3"/>
  <c r="N422" i="3" s="1"/>
  <c r="P421" i="3"/>
  <c r="K421" i="3"/>
  <c r="H421" i="3"/>
  <c r="F421" i="3"/>
  <c r="D421" i="3"/>
  <c r="N421" i="3" s="1"/>
  <c r="P420" i="3"/>
  <c r="K420" i="3"/>
  <c r="H420" i="3"/>
  <c r="F420" i="3"/>
  <c r="D420" i="3"/>
  <c r="P419" i="3"/>
  <c r="K419" i="3"/>
  <c r="H419" i="3"/>
  <c r="F419" i="3"/>
  <c r="D419" i="3"/>
  <c r="N419" i="3" s="1"/>
  <c r="P418" i="3"/>
  <c r="K418" i="3"/>
  <c r="H418" i="3"/>
  <c r="F418" i="3"/>
  <c r="D418" i="3"/>
  <c r="N418" i="3" s="1"/>
  <c r="P417" i="3"/>
  <c r="K417" i="3"/>
  <c r="H417" i="3"/>
  <c r="F417" i="3"/>
  <c r="D417" i="3"/>
  <c r="N417" i="3" s="1"/>
  <c r="P416" i="3"/>
  <c r="K416" i="3"/>
  <c r="H416" i="3"/>
  <c r="F416" i="3"/>
  <c r="D416" i="3"/>
  <c r="P415" i="3"/>
  <c r="K415" i="3"/>
  <c r="H415" i="3"/>
  <c r="F415" i="3"/>
  <c r="D415" i="3"/>
  <c r="N415" i="3" s="1"/>
  <c r="P414" i="3"/>
  <c r="K414" i="3"/>
  <c r="H414" i="3"/>
  <c r="F414" i="3"/>
  <c r="D414" i="3"/>
  <c r="N414" i="3" s="1"/>
  <c r="P413" i="3"/>
  <c r="K413" i="3"/>
  <c r="H413" i="3"/>
  <c r="F413" i="3"/>
  <c r="D413" i="3"/>
  <c r="N413" i="3" s="1"/>
  <c r="P412" i="3"/>
  <c r="K412" i="3"/>
  <c r="H412" i="3"/>
  <c r="F412" i="3"/>
  <c r="D412" i="3"/>
  <c r="P411" i="3"/>
  <c r="K411" i="3"/>
  <c r="H411" i="3"/>
  <c r="F411" i="3"/>
  <c r="D411" i="3"/>
  <c r="N411" i="3" s="1"/>
  <c r="P410" i="3"/>
  <c r="K410" i="3"/>
  <c r="H410" i="3"/>
  <c r="F410" i="3"/>
  <c r="D410" i="3"/>
  <c r="N410" i="3" s="1"/>
  <c r="P409" i="3"/>
  <c r="K409" i="3"/>
  <c r="H409" i="3"/>
  <c r="F409" i="3"/>
  <c r="D409" i="3"/>
  <c r="N409" i="3" s="1"/>
  <c r="P408" i="3"/>
  <c r="K408" i="3"/>
  <c r="H408" i="3"/>
  <c r="F408" i="3"/>
  <c r="D408" i="3"/>
  <c r="P407" i="3"/>
  <c r="K407" i="3"/>
  <c r="H407" i="3"/>
  <c r="F407" i="3"/>
  <c r="D407" i="3"/>
  <c r="N407" i="3" s="1"/>
  <c r="P406" i="3"/>
  <c r="K406" i="3"/>
  <c r="H406" i="3"/>
  <c r="F406" i="3"/>
  <c r="D406" i="3"/>
  <c r="N406" i="3" s="1"/>
  <c r="P405" i="3"/>
  <c r="K405" i="3"/>
  <c r="H405" i="3"/>
  <c r="F405" i="3"/>
  <c r="D405" i="3"/>
  <c r="N405" i="3" s="1"/>
  <c r="P404" i="3"/>
  <c r="K404" i="3"/>
  <c r="H404" i="3"/>
  <c r="F404" i="3"/>
  <c r="D404" i="3"/>
  <c r="P403" i="3"/>
  <c r="K403" i="3"/>
  <c r="H403" i="3"/>
  <c r="F403" i="3"/>
  <c r="D403" i="3"/>
  <c r="N403" i="3" s="1"/>
  <c r="P402" i="3"/>
  <c r="K402" i="3"/>
  <c r="H402" i="3"/>
  <c r="F402" i="3"/>
  <c r="D402" i="3"/>
  <c r="N402" i="3" s="1"/>
  <c r="P401" i="3"/>
  <c r="K401" i="3"/>
  <c r="H401" i="3"/>
  <c r="F401" i="3"/>
  <c r="D401" i="3"/>
  <c r="N401" i="3" s="1"/>
  <c r="P400" i="3"/>
  <c r="K400" i="3"/>
  <c r="H400" i="3"/>
  <c r="F400" i="3"/>
  <c r="D400" i="3"/>
  <c r="P399" i="3"/>
  <c r="K399" i="3"/>
  <c r="H399" i="3"/>
  <c r="F399" i="3"/>
  <c r="D399" i="3"/>
  <c r="N399" i="3" s="1"/>
  <c r="P398" i="3"/>
  <c r="K398" i="3"/>
  <c r="H398" i="3"/>
  <c r="F398" i="3"/>
  <c r="D398" i="3"/>
  <c r="N398" i="3" s="1"/>
  <c r="P397" i="3"/>
  <c r="K397" i="3"/>
  <c r="H397" i="3"/>
  <c r="F397" i="3"/>
  <c r="D397" i="3"/>
  <c r="N397" i="3" s="1"/>
  <c r="P396" i="3"/>
  <c r="K396" i="3"/>
  <c r="H396" i="3"/>
  <c r="F396" i="3"/>
  <c r="D396" i="3"/>
  <c r="P395" i="3"/>
  <c r="K395" i="3"/>
  <c r="H395" i="3"/>
  <c r="F395" i="3"/>
  <c r="D395" i="3"/>
  <c r="N395" i="3" s="1"/>
  <c r="P394" i="3"/>
  <c r="K394" i="3"/>
  <c r="H394" i="3"/>
  <c r="F394" i="3"/>
  <c r="D394" i="3"/>
  <c r="N394" i="3" s="1"/>
  <c r="P393" i="3"/>
  <c r="K393" i="3"/>
  <c r="H393" i="3"/>
  <c r="F393" i="3"/>
  <c r="D393" i="3"/>
  <c r="N393" i="3" s="1"/>
  <c r="P392" i="3"/>
  <c r="K392" i="3"/>
  <c r="H392" i="3"/>
  <c r="F392" i="3"/>
  <c r="D392" i="3"/>
  <c r="P391" i="3"/>
  <c r="K391" i="3"/>
  <c r="H391" i="3"/>
  <c r="F391" i="3"/>
  <c r="D391" i="3"/>
  <c r="N391" i="3" s="1"/>
  <c r="P390" i="3"/>
  <c r="K390" i="3"/>
  <c r="H390" i="3"/>
  <c r="F390" i="3"/>
  <c r="D390" i="3"/>
  <c r="N390" i="3" s="1"/>
  <c r="P389" i="3"/>
  <c r="K389" i="3"/>
  <c r="H389" i="3"/>
  <c r="F389" i="3"/>
  <c r="D389" i="3"/>
  <c r="N389" i="3" s="1"/>
  <c r="P388" i="3"/>
  <c r="K388" i="3"/>
  <c r="H388" i="3"/>
  <c r="F388" i="3"/>
  <c r="D388" i="3"/>
  <c r="P387" i="3"/>
  <c r="K387" i="3"/>
  <c r="H387" i="3"/>
  <c r="F387" i="3"/>
  <c r="D387" i="3"/>
  <c r="N387" i="3" s="1"/>
  <c r="P386" i="3"/>
  <c r="K386" i="3"/>
  <c r="H386" i="3"/>
  <c r="F386" i="3"/>
  <c r="D386" i="3"/>
  <c r="N386" i="3" s="1"/>
  <c r="P385" i="3"/>
  <c r="K385" i="3"/>
  <c r="H385" i="3"/>
  <c r="F385" i="3"/>
  <c r="D385" i="3"/>
  <c r="N385" i="3" s="1"/>
  <c r="P384" i="3"/>
  <c r="K384" i="3"/>
  <c r="H384" i="3"/>
  <c r="F384" i="3"/>
  <c r="D384" i="3"/>
  <c r="P383" i="3"/>
  <c r="K383" i="3"/>
  <c r="H383" i="3"/>
  <c r="F383" i="3"/>
  <c r="D383" i="3"/>
  <c r="N383" i="3" s="1"/>
  <c r="P382" i="3"/>
  <c r="K382" i="3"/>
  <c r="H382" i="3"/>
  <c r="F382" i="3"/>
  <c r="D382" i="3"/>
  <c r="N382" i="3" s="1"/>
  <c r="P381" i="3"/>
  <c r="K381" i="3"/>
  <c r="H381" i="3"/>
  <c r="F381" i="3"/>
  <c r="D381" i="3"/>
  <c r="N381" i="3" s="1"/>
  <c r="P380" i="3"/>
  <c r="K380" i="3"/>
  <c r="H380" i="3"/>
  <c r="F380" i="3"/>
  <c r="D380" i="3"/>
  <c r="P379" i="3"/>
  <c r="K379" i="3"/>
  <c r="H379" i="3"/>
  <c r="F379" i="3"/>
  <c r="D379" i="3"/>
  <c r="N379" i="3" s="1"/>
  <c r="P378" i="3"/>
  <c r="K378" i="3"/>
  <c r="H378" i="3"/>
  <c r="F378" i="3"/>
  <c r="D378" i="3"/>
  <c r="N378" i="3" s="1"/>
  <c r="P377" i="3"/>
  <c r="K377" i="3"/>
  <c r="H377" i="3"/>
  <c r="F377" i="3"/>
  <c r="D377" i="3"/>
  <c r="N377" i="3" s="1"/>
  <c r="P376" i="3"/>
  <c r="K376" i="3"/>
  <c r="H376" i="3"/>
  <c r="F376" i="3"/>
  <c r="D376" i="3"/>
  <c r="P375" i="3"/>
  <c r="K375" i="3"/>
  <c r="H375" i="3"/>
  <c r="F375" i="3"/>
  <c r="D375" i="3"/>
  <c r="N375" i="3" s="1"/>
  <c r="P374" i="3"/>
  <c r="K374" i="3"/>
  <c r="H374" i="3"/>
  <c r="F374" i="3"/>
  <c r="D374" i="3"/>
  <c r="N374" i="3" s="1"/>
  <c r="P373" i="3"/>
  <c r="K373" i="3"/>
  <c r="H373" i="3"/>
  <c r="F373" i="3"/>
  <c r="D373" i="3"/>
  <c r="N373" i="3" s="1"/>
  <c r="P372" i="3"/>
  <c r="K372" i="3"/>
  <c r="H372" i="3"/>
  <c r="F372" i="3"/>
  <c r="D372" i="3"/>
  <c r="P371" i="3"/>
  <c r="K371" i="3"/>
  <c r="H371" i="3"/>
  <c r="F371" i="3"/>
  <c r="D371" i="3"/>
  <c r="N371" i="3" s="1"/>
  <c r="P370" i="3"/>
  <c r="K370" i="3"/>
  <c r="H370" i="3"/>
  <c r="F370" i="3"/>
  <c r="D370" i="3"/>
  <c r="N370" i="3" s="1"/>
  <c r="P369" i="3"/>
  <c r="K369" i="3"/>
  <c r="H369" i="3"/>
  <c r="F369" i="3"/>
  <c r="D369" i="3"/>
  <c r="N369" i="3" s="1"/>
  <c r="P368" i="3"/>
  <c r="K368" i="3"/>
  <c r="H368" i="3"/>
  <c r="F368" i="3"/>
  <c r="D368" i="3"/>
  <c r="P367" i="3"/>
  <c r="K367" i="3"/>
  <c r="H367" i="3"/>
  <c r="F367" i="3"/>
  <c r="D367" i="3"/>
  <c r="N367" i="3" s="1"/>
  <c r="P366" i="3"/>
  <c r="K366" i="3"/>
  <c r="H366" i="3"/>
  <c r="F366" i="3"/>
  <c r="D366" i="3"/>
  <c r="N366" i="3" s="1"/>
  <c r="P365" i="3"/>
  <c r="K365" i="3"/>
  <c r="H365" i="3"/>
  <c r="F365" i="3"/>
  <c r="D365" i="3"/>
  <c r="N365" i="3" s="1"/>
  <c r="P364" i="3"/>
  <c r="K364" i="3"/>
  <c r="H364" i="3"/>
  <c r="F364" i="3"/>
  <c r="D364" i="3"/>
  <c r="P363" i="3"/>
  <c r="K363" i="3"/>
  <c r="H363" i="3"/>
  <c r="F363" i="3"/>
  <c r="D363" i="3"/>
  <c r="N363" i="3" s="1"/>
  <c r="P362" i="3"/>
  <c r="K362" i="3"/>
  <c r="H362" i="3"/>
  <c r="F362" i="3"/>
  <c r="D362" i="3"/>
  <c r="N362" i="3" s="1"/>
  <c r="P361" i="3"/>
  <c r="K361" i="3"/>
  <c r="H361" i="3"/>
  <c r="F361" i="3"/>
  <c r="D361" i="3"/>
  <c r="N361" i="3" s="1"/>
  <c r="P360" i="3"/>
  <c r="K360" i="3"/>
  <c r="H360" i="3"/>
  <c r="F360" i="3"/>
  <c r="D360" i="3"/>
  <c r="P359" i="3"/>
  <c r="K359" i="3"/>
  <c r="H359" i="3"/>
  <c r="F359" i="3"/>
  <c r="D359" i="3"/>
  <c r="N359" i="3" s="1"/>
  <c r="P358" i="3"/>
  <c r="K358" i="3"/>
  <c r="H358" i="3"/>
  <c r="F358" i="3"/>
  <c r="D358" i="3"/>
  <c r="N358" i="3" s="1"/>
  <c r="P357" i="3"/>
  <c r="K357" i="3"/>
  <c r="H357" i="3"/>
  <c r="F357" i="3"/>
  <c r="D357" i="3"/>
  <c r="N357" i="3" s="1"/>
  <c r="P356" i="3"/>
  <c r="K356" i="3"/>
  <c r="H356" i="3"/>
  <c r="F356" i="3"/>
  <c r="D356" i="3"/>
  <c r="P355" i="3"/>
  <c r="K355" i="3"/>
  <c r="H355" i="3"/>
  <c r="F355" i="3"/>
  <c r="D355" i="3"/>
  <c r="N355" i="3" s="1"/>
  <c r="P354" i="3"/>
  <c r="K354" i="3"/>
  <c r="H354" i="3"/>
  <c r="F354" i="3"/>
  <c r="D354" i="3"/>
  <c r="N354" i="3" s="1"/>
  <c r="P353" i="3"/>
  <c r="K353" i="3"/>
  <c r="H353" i="3"/>
  <c r="F353" i="3"/>
  <c r="D353" i="3"/>
  <c r="N353" i="3" s="1"/>
  <c r="P352" i="3"/>
  <c r="K352" i="3"/>
  <c r="H352" i="3"/>
  <c r="F352" i="3"/>
  <c r="D352" i="3"/>
  <c r="P351" i="3"/>
  <c r="K351" i="3"/>
  <c r="H351" i="3"/>
  <c r="F351" i="3"/>
  <c r="D351" i="3"/>
  <c r="N351" i="3" s="1"/>
  <c r="P350" i="3"/>
  <c r="K350" i="3"/>
  <c r="H350" i="3"/>
  <c r="F350" i="3"/>
  <c r="D350" i="3"/>
  <c r="N350" i="3" s="1"/>
  <c r="P349" i="3"/>
  <c r="K349" i="3"/>
  <c r="H349" i="3"/>
  <c r="F349" i="3"/>
  <c r="D349" i="3"/>
  <c r="N349" i="3" s="1"/>
  <c r="P348" i="3"/>
  <c r="K348" i="3"/>
  <c r="H348" i="3"/>
  <c r="F348" i="3"/>
  <c r="D348" i="3"/>
  <c r="P347" i="3"/>
  <c r="K347" i="3"/>
  <c r="H347" i="3"/>
  <c r="F347" i="3"/>
  <c r="D347" i="3"/>
  <c r="N347" i="3" s="1"/>
  <c r="P346" i="3"/>
  <c r="K346" i="3"/>
  <c r="H346" i="3"/>
  <c r="F346" i="3"/>
  <c r="D346" i="3"/>
  <c r="N346" i="3" s="1"/>
  <c r="P345" i="3"/>
  <c r="K345" i="3"/>
  <c r="H345" i="3"/>
  <c r="F345" i="3"/>
  <c r="D345" i="3"/>
  <c r="N345" i="3" s="1"/>
  <c r="P344" i="3"/>
  <c r="K344" i="3"/>
  <c r="H344" i="3"/>
  <c r="F344" i="3"/>
  <c r="D344" i="3"/>
  <c r="P343" i="3"/>
  <c r="K343" i="3"/>
  <c r="H343" i="3"/>
  <c r="F343" i="3"/>
  <c r="D343" i="3"/>
  <c r="N343" i="3" s="1"/>
  <c r="P342" i="3"/>
  <c r="K342" i="3"/>
  <c r="H342" i="3"/>
  <c r="F342" i="3"/>
  <c r="D342" i="3"/>
  <c r="N342" i="3" s="1"/>
  <c r="P341" i="3"/>
  <c r="K341" i="3"/>
  <c r="H341" i="3"/>
  <c r="F341" i="3"/>
  <c r="D341" i="3"/>
  <c r="N341" i="3" s="1"/>
  <c r="P340" i="3"/>
  <c r="K340" i="3"/>
  <c r="H340" i="3"/>
  <c r="F340" i="3"/>
  <c r="D340" i="3"/>
  <c r="P339" i="3"/>
  <c r="K339" i="3"/>
  <c r="H339" i="3"/>
  <c r="F339" i="3"/>
  <c r="D339" i="3"/>
  <c r="N339" i="3" s="1"/>
  <c r="P338" i="3"/>
  <c r="K338" i="3"/>
  <c r="H338" i="3"/>
  <c r="F338" i="3"/>
  <c r="D338" i="3"/>
  <c r="N338" i="3" s="1"/>
  <c r="P337" i="3"/>
  <c r="K337" i="3"/>
  <c r="H337" i="3"/>
  <c r="F337" i="3"/>
  <c r="D337" i="3"/>
  <c r="N337" i="3" s="1"/>
  <c r="P336" i="3"/>
  <c r="K336" i="3"/>
  <c r="H336" i="3"/>
  <c r="F336" i="3"/>
  <c r="D336" i="3"/>
  <c r="P335" i="3"/>
  <c r="K335" i="3"/>
  <c r="H335" i="3"/>
  <c r="F335" i="3"/>
  <c r="D335" i="3"/>
  <c r="N335" i="3" s="1"/>
  <c r="P334" i="3"/>
  <c r="K334" i="3"/>
  <c r="H334" i="3"/>
  <c r="F334" i="3"/>
  <c r="D334" i="3"/>
  <c r="N334" i="3" s="1"/>
  <c r="P333" i="3"/>
  <c r="K333" i="3"/>
  <c r="H333" i="3"/>
  <c r="F333" i="3"/>
  <c r="D333" i="3"/>
  <c r="N333" i="3" s="1"/>
  <c r="P332" i="3"/>
  <c r="K332" i="3"/>
  <c r="H332" i="3"/>
  <c r="F332" i="3"/>
  <c r="D332" i="3"/>
  <c r="P331" i="3"/>
  <c r="K331" i="3"/>
  <c r="H331" i="3"/>
  <c r="F331" i="3"/>
  <c r="D331" i="3"/>
  <c r="N331" i="3" s="1"/>
  <c r="P330" i="3"/>
  <c r="K330" i="3"/>
  <c r="H330" i="3"/>
  <c r="F330" i="3"/>
  <c r="D330" i="3"/>
  <c r="N330" i="3" s="1"/>
  <c r="P329" i="3"/>
  <c r="K329" i="3"/>
  <c r="H329" i="3"/>
  <c r="F329" i="3"/>
  <c r="D329" i="3"/>
  <c r="N329" i="3" s="1"/>
  <c r="P328" i="3"/>
  <c r="K328" i="3"/>
  <c r="H328" i="3"/>
  <c r="F328" i="3"/>
  <c r="D328" i="3"/>
  <c r="P327" i="3"/>
  <c r="K327" i="3"/>
  <c r="H327" i="3"/>
  <c r="F327" i="3"/>
  <c r="D327" i="3"/>
  <c r="N327" i="3" s="1"/>
  <c r="P326" i="3"/>
  <c r="K326" i="3"/>
  <c r="H326" i="3"/>
  <c r="F326" i="3"/>
  <c r="D326" i="3"/>
  <c r="N326" i="3" s="1"/>
  <c r="P325" i="3"/>
  <c r="K325" i="3"/>
  <c r="H325" i="3"/>
  <c r="F325" i="3"/>
  <c r="D325" i="3"/>
  <c r="N325" i="3" s="1"/>
  <c r="P324" i="3"/>
  <c r="K324" i="3"/>
  <c r="H324" i="3"/>
  <c r="F324" i="3"/>
  <c r="D324" i="3"/>
  <c r="P323" i="3"/>
  <c r="K323" i="3"/>
  <c r="H323" i="3"/>
  <c r="F323" i="3"/>
  <c r="D323" i="3"/>
  <c r="N323" i="3" s="1"/>
  <c r="P322" i="3"/>
  <c r="K322" i="3"/>
  <c r="H322" i="3"/>
  <c r="F322" i="3"/>
  <c r="D322" i="3"/>
  <c r="N322" i="3" s="1"/>
  <c r="P321" i="3"/>
  <c r="K321" i="3"/>
  <c r="H321" i="3"/>
  <c r="F321" i="3"/>
  <c r="D321" i="3"/>
  <c r="N321" i="3" s="1"/>
  <c r="P320" i="3"/>
  <c r="K320" i="3"/>
  <c r="H320" i="3"/>
  <c r="F320" i="3"/>
  <c r="D320" i="3"/>
  <c r="P319" i="3"/>
  <c r="K319" i="3"/>
  <c r="H319" i="3"/>
  <c r="F319" i="3"/>
  <c r="D319" i="3"/>
  <c r="N319" i="3" s="1"/>
  <c r="P318" i="3"/>
  <c r="K318" i="3"/>
  <c r="H318" i="3"/>
  <c r="F318" i="3"/>
  <c r="D318" i="3"/>
  <c r="N318" i="3" s="1"/>
  <c r="P317" i="3"/>
  <c r="K317" i="3"/>
  <c r="H317" i="3"/>
  <c r="F317" i="3"/>
  <c r="D317" i="3"/>
  <c r="N317" i="3" s="1"/>
  <c r="P316" i="3"/>
  <c r="K316" i="3"/>
  <c r="H316" i="3"/>
  <c r="F316" i="3"/>
  <c r="D316" i="3"/>
  <c r="P315" i="3"/>
  <c r="K315" i="3"/>
  <c r="H315" i="3"/>
  <c r="F315" i="3"/>
  <c r="D315" i="3"/>
  <c r="N315" i="3" s="1"/>
  <c r="P314" i="3"/>
  <c r="K314" i="3"/>
  <c r="H314" i="3"/>
  <c r="F314" i="3"/>
  <c r="D314" i="3"/>
  <c r="N314" i="3" s="1"/>
  <c r="P313" i="3"/>
  <c r="K313" i="3"/>
  <c r="H313" i="3"/>
  <c r="F313" i="3"/>
  <c r="D313" i="3"/>
  <c r="N313" i="3" s="1"/>
  <c r="P312" i="3"/>
  <c r="K312" i="3"/>
  <c r="H312" i="3"/>
  <c r="F312" i="3"/>
  <c r="D312" i="3"/>
  <c r="P311" i="3"/>
  <c r="K311" i="3"/>
  <c r="H311" i="3"/>
  <c r="F311" i="3"/>
  <c r="D311" i="3"/>
  <c r="N311" i="3" s="1"/>
  <c r="P310" i="3"/>
  <c r="K310" i="3"/>
  <c r="H310" i="3"/>
  <c r="F310" i="3"/>
  <c r="D310" i="3"/>
  <c r="N310" i="3" s="1"/>
  <c r="P309" i="3"/>
  <c r="K309" i="3"/>
  <c r="H309" i="3"/>
  <c r="F309" i="3"/>
  <c r="D309" i="3"/>
  <c r="N309" i="3" s="1"/>
  <c r="P308" i="3"/>
  <c r="K308" i="3"/>
  <c r="H308" i="3"/>
  <c r="F308" i="3"/>
  <c r="D308" i="3"/>
  <c r="P307" i="3"/>
  <c r="K307" i="3"/>
  <c r="H307" i="3"/>
  <c r="F307" i="3"/>
  <c r="D307" i="3"/>
  <c r="N307" i="3" s="1"/>
  <c r="P306" i="3"/>
  <c r="K306" i="3"/>
  <c r="H306" i="3"/>
  <c r="F306" i="3"/>
  <c r="D306" i="3"/>
  <c r="N306" i="3" s="1"/>
  <c r="P305" i="3"/>
  <c r="K305" i="3"/>
  <c r="H305" i="3"/>
  <c r="F305" i="3"/>
  <c r="D305" i="3"/>
  <c r="N305" i="3" s="1"/>
  <c r="P304" i="3"/>
  <c r="K304" i="3"/>
  <c r="H304" i="3"/>
  <c r="F304" i="3"/>
  <c r="D304" i="3"/>
  <c r="P303" i="3"/>
  <c r="K303" i="3"/>
  <c r="H303" i="3"/>
  <c r="F303" i="3"/>
  <c r="D303" i="3"/>
  <c r="N303" i="3" s="1"/>
  <c r="P302" i="3"/>
  <c r="K302" i="3"/>
  <c r="H302" i="3"/>
  <c r="F302" i="3"/>
  <c r="D302" i="3"/>
  <c r="N302" i="3" s="1"/>
  <c r="P301" i="3"/>
  <c r="K301" i="3"/>
  <c r="H301" i="3"/>
  <c r="F301" i="3"/>
  <c r="D301" i="3"/>
  <c r="N301" i="3" s="1"/>
  <c r="P300" i="3"/>
  <c r="K300" i="3"/>
  <c r="H300" i="3"/>
  <c r="F300" i="3"/>
  <c r="D300" i="3"/>
  <c r="P299" i="3"/>
  <c r="K299" i="3"/>
  <c r="H299" i="3"/>
  <c r="F299" i="3"/>
  <c r="D299" i="3"/>
  <c r="N299" i="3" s="1"/>
  <c r="P298" i="3"/>
  <c r="K298" i="3"/>
  <c r="H298" i="3"/>
  <c r="F298" i="3"/>
  <c r="D298" i="3"/>
  <c r="N298" i="3" s="1"/>
  <c r="P297" i="3"/>
  <c r="K297" i="3"/>
  <c r="H297" i="3"/>
  <c r="F297" i="3"/>
  <c r="D297" i="3"/>
  <c r="N297" i="3" s="1"/>
  <c r="P296" i="3"/>
  <c r="K296" i="3"/>
  <c r="H296" i="3"/>
  <c r="F296" i="3"/>
  <c r="D296" i="3"/>
  <c r="P295" i="3"/>
  <c r="K295" i="3"/>
  <c r="H295" i="3"/>
  <c r="F295" i="3"/>
  <c r="D295" i="3"/>
  <c r="N295" i="3" s="1"/>
  <c r="P294" i="3"/>
  <c r="K294" i="3"/>
  <c r="H294" i="3"/>
  <c r="F294" i="3"/>
  <c r="D294" i="3"/>
  <c r="N294" i="3" s="1"/>
  <c r="P293" i="3"/>
  <c r="K293" i="3"/>
  <c r="H293" i="3"/>
  <c r="F293" i="3"/>
  <c r="D293" i="3"/>
  <c r="N293" i="3" s="1"/>
  <c r="P292" i="3"/>
  <c r="K292" i="3"/>
  <c r="H292" i="3"/>
  <c r="F292" i="3"/>
  <c r="D292" i="3"/>
  <c r="P291" i="3"/>
  <c r="K291" i="3"/>
  <c r="H291" i="3"/>
  <c r="F291" i="3"/>
  <c r="D291" i="3"/>
  <c r="N291" i="3" s="1"/>
  <c r="P290" i="3"/>
  <c r="K290" i="3"/>
  <c r="H290" i="3"/>
  <c r="F290" i="3"/>
  <c r="D290" i="3"/>
  <c r="N290" i="3" s="1"/>
  <c r="P289" i="3"/>
  <c r="K289" i="3"/>
  <c r="H289" i="3"/>
  <c r="F289" i="3"/>
  <c r="D289" i="3"/>
  <c r="N289" i="3" s="1"/>
  <c r="P288" i="3"/>
  <c r="K288" i="3"/>
  <c r="H288" i="3"/>
  <c r="F288" i="3"/>
  <c r="D288" i="3"/>
  <c r="P287" i="3"/>
  <c r="K287" i="3"/>
  <c r="H287" i="3"/>
  <c r="F287" i="3"/>
  <c r="D287" i="3"/>
  <c r="N287" i="3" s="1"/>
  <c r="P286" i="3"/>
  <c r="K286" i="3"/>
  <c r="H286" i="3"/>
  <c r="F286" i="3"/>
  <c r="D286" i="3"/>
  <c r="N286" i="3" s="1"/>
  <c r="P285" i="3"/>
  <c r="K285" i="3"/>
  <c r="H285" i="3"/>
  <c r="F285" i="3"/>
  <c r="D285" i="3"/>
  <c r="N285" i="3" s="1"/>
  <c r="P284" i="3"/>
  <c r="K284" i="3"/>
  <c r="H284" i="3"/>
  <c r="F284" i="3"/>
  <c r="D284" i="3"/>
  <c r="P283" i="3"/>
  <c r="K283" i="3"/>
  <c r="H283" i="3"/>
  <c r="F283" i="3"/>
  <c r="D283" i="3"/>
  <c r="N283" i="3" s="1"/>
  <c r="P282" i="3"/>
  <c r="K282" i="3"/>
  <c r="H282" i="3"/>
  <c r="F282" i="3"/>
  <c r="D282" i="3"/>
  <c r="N282" i="3" s="1"/>
  <c r="P281" i="3"/>
  <c r="K281" i="3"/>
  <c r="H281" i="3"/>
  <c r="F281" i="3"/>
  <c r="D281" i="3"/>
  <c r="N281" i="3" s="1"/>
  <c r="P280" i="3"/>
  <c r="K280" i="3"/>
  <c r="H280" i="3"/>
  <c r="F280" i="3"/>
  <c r="D280" i="3"/>
  <c r="P279" i="3"/>
  <c r="K279" i="3"/>
  <c r="H279" i="3"/>
  <c r="F279" i="3"/>
  <c r="D279" i="3"/>
  <c r="N279" i="3" s="1"/>
  <c r="P278" i="3"/>
  <c r="K278" i="3"/>
  <c r="H278" i="3"/>
  <c r="F278" i="3"/>
  <c r="D278" i="3"/>
  <c r="N278" i="3" s="1"/>
  <c r="P277" i="3"/>
  <c r="K277" i="3"/>
  <c r="H277" i="3"/>
  <c r="F277" i="3"/>
  <c r="D277" i="3"/>
  <c r="N277" i="3" s="1"/>
  <c r="P276" i="3"/>
  <c r="K276" i="3"/>
  <c r="H276" i="3"/>
  <c r="F276" i="3"/>
  <c r="D276" i="3"/>
  <c r="P275" i="3"/>
  <c r="K275" i="3"/>
  <c r="H275" i="3"/>
  <c r="F275" i="3"/>
  <c r="D275" i="3"/>
  <c r="N275" i="3" s="1"/>
  <c r="P274" i="3"/>
  <c r="K274" i="3"/>
  <c r="H274" i="3"/>
  <c r="F274" i="3"/>
  <c r="D274" i="3"/>
  <c r="N274" i="3" s="1"/>
  <c r="P273" i="3"/>
  <c r="K273" i="3"/>
  <c r="H273" i="3"/>
  <c r="F273" i="3"/>
  <c r="D273" i="3"/>
  <c r="N273" i="3" s="1"/>
  <c r="P272" i="3"/>
  <c r="K272" i="3"/>
  <c r="H272" i="3"/>
  <c r="F272" i="3"/>
  <c r="D272" i="3"/>
  <c r="P271" i="3"/>
  <c r="K271" i="3"/>
  <c r="H271" i="3"/>
  <c r="F271" i="3"/>
  <c r="D271" i="3"/>
  <c r="N271" i="3" s="1"/>
  <c r="P270" i="3"/>
  <c r="K270" i="3"/>
  <c r="H270" i="3"/>
  <c r="F270" i="3"/>
  <c r="D270" i="3"/>
  <c r="N270" i="3" s="1"/>
  <c r="P269" i="3"/>
  <c r="K269" i="3"/>
  <c r="H269" i="3"/>
  <c r="F269" i="3"/>
  <c r="D269" i="3"/>
  <c r="N269" i="3" s="1"/>
  <c r="P268" i="3"/>
  <c r="K268" i="3"/>
  <c r="H268" i="3"/>
  <c r="F268" i="3"/>
  <c r="D268" i="3"/>
  <c r="P267" i="3"/>
  <c r="K267" i="3"/>
  <c r="H267" i="3"/>
  <c r="F267" i="3"/>
  <c r="D267" i="3"/>
  <c r="N267" i="3" s="1"/>
  <c r="P266" i="3"/>
  <c r="K266" i="3"/>
  <c r="H266" i="3"/>
  <c r="F266" i="3"/>
  <c r="D266" i="3"/>
  <c r="N266" i="3" s="1"/>
  <c r="P265" i="3"/>
  <c r="K265" i="3"/>
  <c r="H265" i="3"/>
  <c r="F265" i="3"/>
  <c r="D265" i="3"/>
  <c r="N265" i="3" s="1"/>
  <c r="P264" i="3"/>
  <c r="K264" i="3"/>
  <c r="H264" i="3"/>
  <c r="F264" i="3"/>
  <c r="D264" i="3"/>
  <c r="P263" i="3"/>
  <c r="K263" i="3"/>
  <c r="H263" i="3"/>
  <c r="F263" i="3"/>
  <c r="D263" i="3"/>
  <c r="N263" i="3" s="1"/>
  <c r="P262" i="3"/>
  <c r="K262" i="3"/>
  <c r="H262" i="3"/>
  <c r="F262" i="3"/>
  <c r="D262" i="3"/>
  <c r="N262" i="3" s="1"/>
  <c r="P261" i="3"/>
  <c r="K261" i="3"/>
  <c r="H261" i="3"/>
  <c r="F261" i="3"/>
  <c r="D261" i="3"/>
  <c r="N261" i="3" s="1"/>
  <c r="P260" i="3"/>
  <c r="K260" i="3"/>
  <c r="H260" i="3"/>
  <c r="F260" i="3"/>
  <c r="D260" i="3"/>
  <c r="P259" i="3"/>
  <c r="K259" i="3"/>
  <c r="H259" i="3"/>
  <c r="F259" i="3"/>
  <c r="D259" i="3"/>
  <c r="N259" i="3" s="1"/>
  <c r="P258" i="3"/>
  <c r="K258" i="3"/>
  <c r="H258" i="3"/>
  <c r="F258" i="3"/>
  <c r="D258" i="3"/>
  <c r="N258" i="3" s="1"/>
  <c r="P257" i="3"/>
  <c r="K257" i="3"/>
  <c r="H257" i="3"/>
  <c r="F257" i="3"/>
  <c r="D257" i="3"/>
  <c r="N257" i="3" s="1"/>
  <c r="P256" i="3"/>
  <c r="K256" i="3"/>
  <c r="H256" i="3"/>
  <c r="F256" i="3"/>
  <c r="D256" i="3"/>
  <c r="P255" i="3"/>
  <c r="K255" i="3"/>
  <c r="H255" i="3"/>
  <c r="F255" i="3"/>
  <c r="D255" i="3"/>
  <c r="N255" i="3" s="1"/>
  <c r="P254" i="3"/>
  <c r="K254" i="3"/>
  <c r="H254" i="3"/>
  <c r="F254" i="3"/>
  <c r="D254" i="3"/>
  <c r="N254" i="3" s="1"/>
  <c r="P253" i="3"/>
  <c r="K253" i="3"/>
  <c r="H253" i="3"/>
  <c r="F253" i="3"/>
  <c r="D253" i="3"/>
  <c r="N253" i="3" s="1"/>
  <c r="P252" i="3"/>
  <c r="K252" i="3"/>
  <c r="H252" i="3"/>
  <c r="F252" i="3"/>
  <c r="D252" i="3"/>
  <c r="P251" i="3"/>
  <c r="K251" i="3"/>
  <c r="H251" i="3"/>
  <c r="F251" i="3"/>
  <c r="D251" i="3"/>
  <c r="N251" i="3" s="1"/>
  <c r="P250" i="3"/>
  <c r="K250" i="3"/>
  <c r="H250" i="3"/>
  <c r="F250" i="3"/>
  <c r="D250" i="3"/>
  <c r="N250" i="3" s="1"/>
  <c r="P249" i="3"/>
  <c r="K249" i="3"/>
  <c r="H249" i="3"/>
  <c r="F249" i="3"/>
  <c r="D249" i="3"/>
  <c r="N249" i="3" s="1"/>
  <c r="P248" i="3"/>
  <c r="K248" i="3"/>
  <c r="H248" i="3"/>
  <c r="F248" i="3"/>
  <c r="D248" i="3"/>
  <c r="P247" i="3"/>
  <c r="K247" i="3"/>
  <c r="H247" i="3"/>
  <c r="F247" i="3"/>
  <c r="D247" i="3"/>
  <c r="N247" i="3" s="1"/>
  <c r="P246" i="3"/>
  <c r="K246" i="3"/>
  <c r="H246" i="3"/>
  <c r="F246" i="3"/>
  <c r="D246" i="3"/>
  <c r="N246" i="3" s="1"/>
  <c r="P245" i="3"/>
  <c r="K245" i="3"/>
  <c r="H245" i="3"/>
  <c r="F245" i="3"/>
  <c r="D245" i="3"/>
  <c r="N245" i="3" s="1"/>
  <c r="P244" i="3"/>
  <c r="K244" i="3"/>
  <c r="H244" i="3"/>
  <c r="F244" i="3"/>
  <c r="D244" i="3"/>
  <c r="P243" i="3"/>
  <c r="K243" i="3"/>
  <c r="H243" i="3"/>
  <c r="F243" i="3"/>
  <c r="D243" i="3"/>
  <c r="N243" i="3" s="1"/>
  <c r="P242" i="3"/>
  <c r="K242" i="3"/>
  <c r="H242" i="3"/>
  <c r="F242" i="3"/>
  <c r="D242" i="3"/>
  <c r="N242" i="3" s="1"/>
  <c r="P241" i="3"/>
  <c r="K241" i="3"/>
  <c r="H241" i="3"/>
  <c r="F241" i="3"/>
  <c r="D241" i="3"/>
  <c r="N241" i="3" s="1"/>
  <c r="P240" i="3"/>
  <c r="K240" i="3"/>
  <c r="H240" i="3"/>
  <c r="F240" i="3"/>
  <c r="D240" i="3"/>
  <c r="P239" i="3"/>
  <c r="K239" i="3"/>
  <c r="H239" i="3"/>
  <c r="F239" i="3"/>
  <c r="D239" i="3"/>
  <c r="N239" i="3" s="1"/>
  <c r="P238" i="3"/>
  <c r="K238" i="3"/>
  <c r="H238" i="3"/>
  <c r="F238" i="3"/>
  <c r="D238" i="3"/>
  <c r="N238" i="3" s="1"/>
  <c r="P237" i="3"/>
  <c r="K237" i="3"/>
  <c r="H237" i="3"/>
  <c r="F237" i="3"/>
  <c r="D237" i="3"/>
  <c r="N237" i="3" s="1"/>
  <c r="P236" i="3"/>
  <c r="K236" i="3"/>
  <c r="H236" i="3"/>
  <c r="F236" i="3"/>
  <c r="D236" i="3"/>
  <c r="P235" i="3"/>
  <c r="K235" i="3"/>
  <c r="H235" i="3"/>
  <c r="F235" i="3"/>
  <c r="D235" i="3"/>
  <c r="N235" i="3" s="1"/>
  <c r="P234" i="3"/>
  <c r="K234" i="3"/>
  <c r="H234" i="3"/>
  <c r="F234" i="3"/>
  <c r="D234" i="3"/>
  <c r="N234" i="3" s="1"/>
  <c r="P233" i="3"/>
  <c r="K233" i="3"/>
  <c r="H233" i="3"/>
  <c r="F233" i="3"/>
  <c r="D233" i="3"/>
  <c r="N233" i="3" s="1"/>
  <c r="P232" i="3"/>
  <c r="K232" i="3"/>
  <c r="H232" i="3"/>
  <c r="F232" i="3"/>
  <c r="D232" i="3"/>
  <c r="P231" i="3"/>
  <c r="K231" i="3"/>
  <c r="H231" i="3"/>
  <c r="F231" i="3"/>
  <c r="D231" i="3"/>
  <c r="N231" i="3" s="1"/>
  <c r="P230" i="3"/>
  <c r="K230" i="3"/>
  <c r="H230" i="3"/>
  <c r="F230" i="3"/>
  <c r="D230" i="3"/>
  <c r="N230" i="3" s="1"/>
  <c r="P229" i="3"/>
  <c r="K229" i="3"/>
  <c r="H229" i="3"/>
  <c r="F229" i="3"/>
  <c r="D229" i="3"/>
  <c r="N229" i="3" s="1"/>
  <c r="P228" i="3"/>
  <c r="K228" i="3"/>
  <c r="H228" i="3"/>
  <c r="F228" i="3"/>
  <c r="D228" i="3"/>
  <c r="P227" i="3"/>
  <c r="K227" i="3"/>
  <c r="H227" i="3"/>
  <c r="F227" i="3"/>
  <c r="D227" i="3"/>
  <c r="N227" i="3" s="1"/>
  <c r="P226" i="3"/>
  <c r="K226" i="3"/>
  <c r="H226" i="3"/>
  <c r="F226" i="3"/>
  <c r="D226" i="3"/>
  <c r="N226" i="3" s="1"/>
  <c r="P225" i="3"/>
  <c r="K225" i="3"/>
  <c r="H225" i="3"/>
  <c r="F225" i="3"/>
  <c r="D225" i="3"/>
  <c r="N225" i="3" s="1"/>
  <c r="P224" i="3"/>
  <c r="K224" i="3"/>
  <c r="H224" i="3"/>
  <c r="F224" i="3"/>
  <c r="D224" i="3"/>
  <c r="P223" i="3"/>
  <c r="K223" i="3"/>
  <c r="H223" i="3"/>
  <c r="F223" i="3"/>
  <c r="D223" i="3"/>
  <c r="N223" i="3" s="1"/>
  <c r="P222" i="3"/>
  <c r="K222" i="3"/>
  <c r="H222" i="3"/>
  <c r="F222" i="3"/>
  <c r="D222" i="3"/>
  <c r="N222" i="3" s="1"/>
  <c r="P221" i="3"/>
  <c r="K221" i="3"/>
  <c r="H221" i="3"/>
  <c r="F221" i="3"/>
  <c r="D221" i="3"/>
  <c r="N221" i="3" s="1"/>
  <c r="P220" i="3"/>
  <c r="K220" i="3"/>
  <c r="H220" i="3"/>
  <c r="F220" i="3"/>
  <c r="D220" i="3"/>
  <c r="P219" i="3"/>
  <c r="K219" i="3"/>
  <c r="H219" i="3"/>
  <c r="F219" i="3"/>
  <c r="D219" i="3"/>
  <c r="N219" i="3" s="1"/>
  <c r="P218" i="3"/>
  <c r="K218" i="3"/>
  <c r="H218" i="3"/>
  <c r="F218" i="3"/>
  <c r="D218" i="3"/>
  <c r="N218" i="3" s="1"/>
  <c r="P217" i="3"/>
  <c r="K217" i="3"/>
  <c r="H217" i="3"/>
  <c r="F217" i="3"/>
  <c r="D217" i="3"/>
  <c r="N217" i="3" s="1"/>
  <c r="P216" i="3"/>
  <c r="K216" i="3"/>
  <c r="H216" i="3"/>
  <c r="F216" i="3"/>
  <c r="D216" i="3"/>
  <c r="P215" i="3"/>
  <c r="K215" i="3"/>
  <c r="H215" i="3"/>
  <c r="F215" i="3"/>
  <c r="D215" i="3"/>
  <c r="N215" i="3" s="1"/>
  <c r="P214" i="3"/>
  <c r="K214" i="3"/>
  <c r="H214" i="3"/>
  <c r="F214" i="3"/>
  <c r="D214" i="3"/>
  <c r="N214" i="3" s="1"/>
  <c r="P213" i="3"/>
  <c r="K213" i="3"/>
  <c r="H213" i="3"/>
  <c r="F213" i="3"/>
  <c r="D213" i="3"/>
  <c r="N213" i="3" s="1"/>
  <c r="P212" i="3"/>
  <c r="K212" i="3"/>
  <c r="H212" i="3"/>
  <c r="F212" i="3"/>
  <c r="D212" i="3"/>
  <c r="P211" i="3"/>
  <c r="K211" i="3"/>
  <c r="H211" i="3"/>
  <c r="F211" i="3"/>
  <c r="D211" i="3"/>
  <c r="N211" i="3" s="1"/>
  <c r="P210" i="3"/>
  <c r="K210" i="3"/>
  <c r="H210" i="3"/>
  <c r="F210" i="3"/>
  <c r="D210" i="3"/>
  <c r="N210" i="3" s="1"/>
  <c r="P209" i="3"/>
  <c r="K209" i="3"/>
  <c r="H209" i="3"/>
  <c r="F209" i="3"/>
  <c r="D209" i="3"/>
  <c r="N209" i="3" s="1"/>
  <c r="P208" i="3"/>
  <c r="K208" i="3"/>
  <c r="H208" i="3"/>
  <c r="F208" i="3"/>
  <c r="D208" i="3"/>
  <c r="P207" i="3"/>
  <c r="K207" i="3"/>
  <c r="H207" i="3"/>
  <c r="F207" i="3"/>
  <c r="D207" i="3"/>
  <c r="N207" i="3" s="1"/>
  <c r="P206" i="3"/>
  <c r="K206" i="3"/>
  <c r="H206" i="3"/>
  <c r="F206" i="3"/>
  <c r="D206" i="3"/>
  <c r="N206" i="3" s="1"/>
  <c r="P205" i="3"/>
  <c r="K205" i="3"/>
  <c r="H205" i="3"/>
  <c r="F205" i="3"/>
  <c r="D205" i="3"/>
  <c r="N205" i="3" s="1"/>
  <c r="P204" i="3"/>
  <c r="K204" i="3"/>
  <c r="H204" i="3"/>
  <c r="F204" i="3"/>
  <c r="D204" i="3"/>
  <c r="P203" i="3"/>
  <c r="K203" i="3"/>
  <c r="H203" i="3"/>
  <c r="F203" i="3"/>
  <c r="D203" i="3"/>
  <c r="N203" i="3" s="1"/>
  <c r="P202" i="3"/>
  <c r="K202" i="3"/>
  <c r="H202" i="3"/>
  <c r="F202" i="3"/>
  <c r="D202" i="3"/>
  <c r="N202" i="3" s="1"/>
  <c r="P201" i="3"/>
  <c r="K201" i="3"/>
  <c r="H201" i="3"/>
  <c r="F201" i="3"/>
  <c r="D201" i="3"/>
  <c r="N201" i="3" s="1"/>
  <c r="P200" i="3"/>
  <c r="K200" i="3"/>
  <c r="H200" i="3"/>
  <c r="F200" i="3"/>
  <c r="D200" i="3"/>
  <c r="P199" i="3"/>
  <c r="K199" i="3"/>
  <c r="H199" i="3"/>
  <c r="F199" i="3"/>
  <c r="D199" i="3"/>
  <c r="N199" i="3" s="1"/>
  <c r="P198" i="3"/>
  <c r="K198" i="3"/>
  <c r="H198" i="3"/>
  <c r="F198" i="3"/>
  <c r="D198" i="3"/>
  <c r="N198" i="3" s="1"/>
  <c r="P197" i="3"/>
  <c r="K197" i="3"/>
  <c r="H197" i="3"/>
  <c r="F197" i="3"/>
  <c r="D197" i="3"/>
  <c r="N197" i="3" s="1"/>
  <c r="P196" i="3"/>
  <c r="K196" i="3"/>
  <c r="H196" i="3"/>
  <c r="F196" i="3"/>
  <c r="D196" i="3"/>
  <c r="P195" i="3"/>
  <c r="K195" i="3"/>
  <c r="H195" i="3"/>
  <c r="F195" i="3"/>
  <c r="D195" i="3"/>
  <c r="N195" i="3" s="1"/>
  <c r="P194" i="3"/>
  <c r="K194" i="3"/>
  <c r="H194" i="3"/>
  <c r="F194" i="3"/>
  <c r="D194" i="3"/>
  <c r="N194" i="3" s="1"/>
  <c r="P193" i="3"/>
  <c r="K193" i="3"/>
  <c r="H193" i="3"/>
  <c r="F193" i="3"/>
  <c r="D193" i="3"/>
  <c r="N193" i="3" s="1"/>
  <c r="P192" i="3"/>
  <c r="K192" i="3"/>
  <c r="H192" i="3"/>
  <c r="F192" i="3"/>
  <c r="D192" i="3"/>
  <c r="P191" i="3"/>
  <c r="K191" i="3"/>
  <c r="H191" i="3"/>
  <c r="F191" i="3"/>
  <c r="D191" i="3"/>
  <c r="N191" i="3" s="1"/>
  <c r="P190" i="3"/>
  <c r="K190" i="3"/>
  <c r="H190" i="3"/>
  <c r="F190" i="3"/>
  <c r="D190" i="3"/>
  <c r="N190" i="3" s="1"/>
  <c r="P189" i="3"/>
  <c r="K189" i="3"/>
  <c r="H189" i="3"/>
  <c r="F189" i="3"/>
  <c r="D189" i="3"/>
  <c r="N189" i="3" s="1"/>
  <c r="P188" i="3"/>
  <c r="K188" i="3"/>
  <c r="H188" i="3"/>
  <c r="F188" i="3"/>
  <c r="D188" i="3"/>
  <c r="P187" i="3"/>
  <c r="K187" i="3"/>
  <c r="H187" i="3"/>
  <c r="F187" i="3"/>
  <c r="D187" i="3"/>
  <c r="N187" i="3" s="1"/>
  <c r="P186" i="3"/>
  <c r="K186" i="3"/>
  <c r="H186" i="3"/>
  <c r="F186" i="3"/>
  <c r="D186" i="3"/>
  <c r="N186" i="3" s="1"/>
  <c r="P185" i="3"/>
  <c r="K185" i="3"/>
  <c r="H185" i="3"/>
  <c r="F185" i="3"/>
  <c r="D185" i="3"/>
  <c r="N185" i="3" s="1"/>
  <c r="P184" i="3"/>
  <c r="K184" i="3"/>
  <c r="H184" i="3"/>
  <c r="F184" i="3"/>
  <c r="D184" i="3"/>
  <c r="P183" i="3"/>
  <c r="K183" i="3"/>
  <c r="H183" i="3"/>
  <c r="F183" i="3"/>
  <c r="D183" i="3"/>
  <c r="N183" i="3" s="1"/>
  <c r="P182" i="3"/>
  <c r="K182" i="3"/>
  <c r="H182" i="3"/>
  <c r="F182" i="3"/>
  <c r="D182" i="3"/>
  <c r="N182" i="3" s="1"/>
  <c r="P181" i="3"/>
  <c r="K181" i="3"/>
  <c r="H181" i="3"/>
  <c r="F181" i="3"/>
  <c r="D181" i="3"/>
  <c r="N181" i="3" s="1"/>
  <c r="P180" i="3"/>
  <c r="K180" i="3"/>
  <c r="H180" i="3"/>
  <c r="F180" i="3"/>
  <c r="D180" i="3"/>
  <c r="P179" i="3"/>
  <c r="K179" i="3"/>
  <c r="H179" i="3"/>
  <c r="F179" i="3"/>
  <c r="D179" i="3"/>
  <c r="N179" i="3" s="1"/>
  <c r="P178" i="3"/>
  <c r="K178" i="3"/>
  <c r="H178" i="3"/>
  <c r="F178" i="3"/>
  <c r="D178" i="3"/>
  <c r="N178" i="3" s="1"/>
  <c r="P177" i="3"/>
  <c r="K177" i="3"/>
  <c r="H177" i="3"/>
  <c r="F177" i="3"/>
  <c r="D177" i="3"/>
  <c r="N177" i="3" s="1"/>
  <c r="P176" i="3"/>
  <c r="K176" i="3"/>
  <c r="H176" i="3"/>
  <c r="F176" i="3"/>
  <c r="D176" i="3"/>
  <c r="P175" i="3"/>
  <c r="K175" i="3"/>
  <c r="H175" i="3"/>
  <c r="F175" i="3"/>
  <c r="D175" i="3"/>
  <c r="N175" i="3" s="1"/>
  <c r="P174" i="3"/>
  <c r="K174" i="3"/>
  <c r="H174" i="3"/>
  <c r="F174" i="3"/>
  <c r="D174" i="3"/>
  <c r="N174" i="3" s="1"/>
  <c r="P173" i="3"/>
  <c r="K173" i="3"/>
  <c r="H173" i="3"/>
  <c r="F173" i="3"/>
  <c r="D173" i="3"/>
  <c r="N173" i="3" s="1"/>
  <c r="P172" i="3"/>
  <c r="K172" i="3"/>
  <c r="H172" i="3"/>
  <c r="F172" i="3"/>
  <c r="D172" i="3"/>
  <c r="P171" i="3"/>
  <c r="K171" i="3"/>
  <c r="H171" i="3"/>
  <c r="F171" i="3"/>
  <c r="D171" i="3"/>
  <c r="N171" i="3" s="1"/>
  <c r="P170" i="3"/>
  <c r="K170" i="3"/>
  <c r="H170" i="3"/>
  <c r="F170" i="3"/>
  <c r="D170" i="3"/>
  <c r="N170" i="3" s="1"/>
  <c r="P169" i="3"/>
  <c r="K169" i="3"/>
  <c r="H169" i="3"/>
  <c r="F169" i="3"/>
  <c r="D169" i="3"/>
  <c r="N169" i="3" s="1"/>
  <c r="P168" i="3"/>
  <c r="K168" i="3"/>
  <c r="H168" i="3"/>
  <c r="F168" i="3"/>
  <c r="D168" i="3"/>
  <c r="P167" i="3"/>
  <c r="K167" i="3"/>
  <c r="H167" i="3"/>
  <c r="F167" i="3"/>
  <c r="D167" i="3"/>
  <c r="N167" i="3" s="1"/>
  <c r="P166" i="3"/>
  <c r="K166" i="3"/>
  <c r="H166" i="3"/>
  <c r="F166" i="3"/>
  <c r="D166" i="3"/>
  <c r="N166" i="3" s="1"/>
  <c r="P165" i="3"/>
  <c r="K165" i="3"/>
  <c r="H165" i="3"/>
  <c r="F165" i="3"/>
  <c r="D165" i="3"/>
  <c r="N165" i="3" s="1"/>
  <c r="P164" i="3"/>
  <c r="K164" i="3"/>
  <c r="H164" i="3"/>
  <c r="F164" i="3"/>
  <c r="D164" i="3"/>
  <c r="P163" i="3"/>
  <c r="K163" i="3"/>
  <c r="H163" i="3"/>
  <c r="F163" i="3"/>
  <c r="D163" i="3"/>
  <c r="N163" i="3" s="1"/>
  <c r="P162" i="3"/>
  <c r="K162" i="3"/>
  <c r="H162" i="3"/>
  <c r="F162" i="3"/>
  <c r="D162" i="3"/>
  <c r="N162" i="3" s="1"/>
  <c r="P161" i="3"/>
  <c r="K161" i="3"/>
  <c r="H161" i="3"/>
  <c r="F161" i="3"/>
  <c r="D161" i="3"/>
  <c r="N161" i="3" s="1"/>
  <c r="P160" i="3"/>
  <c r="K160" i="3"/>
  <c r="H160" i="3"/>
  <c r="F160" i="3"/>
  <c r="D160" i="3"/>
  <c r="P159" i="3"/>
  <c r="K159" i="3"/>
  <c r="H159" i="3"/>
  <c r="F159" i="3"/>
  <c r="D159" i="3"/>
  <c r="N159" i="3" s="1"/>
  <c r="P158" i="3"/>
  <c r="K158" i="3"/>
  <c r="H158" i="3"/>
  <c r="F158" i="3"/>
  <c r="D158" i="3"/>
  <c r="N158" i="3" s="1"/>
  <c r="P157" i="3"/>
  <c r="K157" i="3"/>
  <c r="H157" i="3"/>
  <c r="F157" i="3"/>
  <c r="D157" i="3"/>
  <c r="N157" i="3" s="1"/>
  <c r="P156" i="3"/>
  <c r="K156" i="3"/>
  <c r="H156" i="3"/>
  <c r="F156" i="3"/>
  <c r="D156" i="3"/>
  <c r="P155" i="3"/>
  <c r="K155" i="3"/>
  <c r="H155" i="3"/>
  <c r="F155" i="3"/>
  <c r="D155" i="3"/>
  <c r="N155" i="3" s="1"/>
  <c r="P154" i="3"/>
  <c r="K154" i="3"/>
  <c r="H154" i="3"/>
  <c r="F154" i="3"/>
  <c r="D154" i="3"/>
  <c r="N154" i="3" s="1"/>
  <c r="P153" i="3"/>
  <c r="K153" i="3"/>
  <c r="H153" i="3"/>
  <c r="F153" i="3"/>
  <c r="D153" i="3"/>
  <c r="N153" i="3" s="1"/>
  <c r="P152" i="3"/>
  <c r="K152" i="3"/>
  <c r="H152" i="3"/>
  <c r="F152" i="3"/>
  <c r="D152" i="3"/>
  <c r="N152" i="3" s="1"/>
  <c r="P151" i="3"/>
  <c r="K151" i="3"/>
  <c r="H151" i="3"/>
  <c r="F151" i="3"/>
  <c r="D151" i="3"/>
  <c r="N151" i="3" s="1"/>
  <c r="P150" i="3"/>
  <c r="K150" i="3"/>
  <c r="H150" i="3"/>
  <c r="F150" i="3"/>
  <c r="D150" i="3"/>
  <c r="N150" i="3" s="1"/>
  <c r="P149" i="3"/>
  <c r="K149" i="3"/>
  <c r="H149" i="3"/>
  <c r="F149" i="3"/>
  <c r="D149" i="3"/>
  <c r="N149" i="3" s="1"/>
  <c r="P148" i="3"/>
  <c r="K148" i="3"/>
  <c r="H148" i="3"/>
  <c r="F148" i="3"/>
  <c r="D148" i="3"/>
  <c r="P147" i="3"/>
  <c r="K147" i="3"/>
  <c r="H147" i="3"/>
  <c r="F147" i="3"/>
  <c r="D147" i="3"/>
  <c r="N147" i="3" s="1"/>
  <c r="P146" i="3"/>
  <c r="K146" i="3"/>
  <c r="H146" i="3"/>
  <c r="F146" i="3"/>
  <c r="D146" i="3"/>
  <c r="N146" i="3" s="1"/>
  <c r="P145" i="3"/>
  <c r="K145" i="3"/>
  <c r="H145" i="3"/>
  <c r="F145" i="3"/>
  <c r="D145" i="3"/>
  <c r="N145" i="3" s="1"/>
  <c r="P144" i="3"/>
  <c r="K144" i="3"/>
  <c r="H144" i="3"/>
  <c r="F144" i="3"/>
  <c r="D144" i="3"/>
  <c r="P143" i="3"/>
  <c r="K143" i="3"/>
  <c r="H143" i="3"/>
  <c r="F143" i="3"/>
  <c r="D143" i="3"/>
  <c r="N143" i="3" s="1"/>
  <c r="P142" i="3"/>
  <c r="K142" i="3"/>
  <c r="H142" i="3"/>
  <c r="F142" i="3"/>
  <c r="D142" i="3"/>
  <c r="N142" i="3" s="1"/>
  <c r="P141" i="3"/>
  <c r="K141" i="3"/>
  <c r="H141" i="3"/>
  <c r="F141" i="3"/>
  <c r="D141" i="3"/>
  <c r="N141" i="3" s="1"/>
  <c r="P140" i="3"/>
  <c r="K140" i="3"/>
  <c r="H140" i="3"/>
  <c r="F140" i="3"/>
  <c r="D140" i="3"/>
  <c r="P139" i="3"/>
  <c r="K139" i="3"/>
  <c r="H139" i="3"/>
  <c r="F139" i="3"/>
  <c r="D139" i="3"/>
  <c r="N139" i="3" s="1"/>
  <c r="P138" i="3"/>
  <c r="K138" i="3"/>
  <c r="H138" i="3"/>
  <c r="F138" i="3"/>
  <c r="D138" i="3"/>
  <c r="N138" i="3" s="1"/>
  <c r="P137" i="3"/>
  <c r="K137" i="3"/>
  <c r="H137" i="3"/>
  <c r="F137" i="3"/>
  <c r="D137" i="3"/>
  <c r="N137" i="3" s="1"/>
  <c r="P136" i="3"/>
  <c r="K136" i="3"/>
  <c r="H136" i="3"/>
  <c r="F136" i="3"/>
  <c r="D136" i="3"/>
  <c r="P135" i="3"/>
  <c r="K135" i="3"/>
  <c r="H135" i="3"/>
  <c r="F135" i="3"/>
  <c r="D135" i="3"/>
  <c r="N135" i="3" s="1"/>
  <c r="P134" i="3"/>
  <c r="K134" i="3"/>
  <c r="H134" i="3"/>
  <c r="F134" i="3"/>
  <c r="D134" i="3"/>
  <c r="N134" i="3" s="1"/>
  <c r="P133" i="3"/>
  <c r="K133" i="3"/>
  <c r="H133" i="3"/>
  <c r="F133" i="3"/>
  <c r="D133" i="3"/>
  <c r="N133" i="3" s="1"/>
  <c r="P132" i="3"/>
  <c r="K132" i="3"/>
  <c r="H132" i="3"/>
  <c r="F132" i="3"/>
  <c r="D132" i="3"/>
  <c r="P131" i="3"/>
  <c r="K131" i="3"/>
  <c r="H131" i="3"/>
  <c r="F131" i="3"/>
  <c r="D131" i="3"/>
  <c r="N131" i="3" s="1"/>
  <c r="P130" i="3"/>
  <c r="K130" i="3"/>
  <c r="H130" i="3"/>
  <c r="F130" i="3"/>
  <c r="D130" i="3"/>
  <c r="N130" i="3" s="1"/>
  <c r="P129" i="3"/>
  <c r="K129" i="3"/>
  <c r="H129" i="3"/>
  <c r="F129" i="3"/>
  <c r="D129" i="3"/>
  <c r="N129" i="3" s="1"/>
  <c r="P128" i="3"/>
  <c r="K128" i="3"/>
  <c r="H128" i="3"/>
  <c r="F128" i="3"/>
  <c r="D128" i="3"/>
  <c r="P127" i="3"/>
  <c r="K127" i="3"/>
  <c r="H127" i="3"/>
  <c r="F127" i="3"/>
  <c r="D127" i="3"/>
  <c r="N127" i="3" s="1"/>
  <c r="P126" i="3"/>
  <c r="K126" i="3"/>
  <c r="H126" i="3"/>
  <c r="F126" i="3"/>
  <c r="D126" i="3"/>
  <c r="N126" i="3" s="1"/>
  <c r="P125" i="3"/>
  <c r="K125" i="3"/>
  <c r="H125" i="3"/>
  <c r="F125" i="3"/>
  <c r="D125" i="3"/>
  <c r="N125" i="3" s="1"/>
  <c r="P124" i="3"/>
  <c r="K124" i="3"/>
  <c r="H124" i="3"/>
  <c r="F124" i="3"/>
  <c r="D124" i="3"/>
  <c r="P123" i="3"/>
  <c r="K123" i="3"/>
  <c r="H123" i="3"/>
  <c r="F123" i="3"/>
  <c r="D123" i="3"/>
  <c r="N123" i="3" s="1"/>
  <c r="P122" i="3"/>
  <c r="K122" i="3"/>
  <c r="H122" i="3"/>
  <c r="F122" i="3"/>
  <c r="D122" i="3"/>
  <c r="N122" i="3" s="1"/>
  <c r="P121" i="3"/>
  <c r="K121" i="3"/>
  <c r="H121" i="3"/>
  <c r="F121" i="3"/>
  <c r="D121" i="3"/>
  <c r="N121" i="3" s="1"/>
  <c r="P120" i="3"/>
  <c r="K120" i="3"/>
  <c r="H120" i="3"/>
  <c r="F120" i="3"/>
  <c r="D120" i="3"/>
  <c r="P119" i="3"/>
  <c r="K119" i="3"/>
  <c r="H119" i="3"/>
  <c r="F119" i="3"/>
  <c r="D119" i="3"/>
  <c r="N119" i="3" s="1"/>
  <c r="P118" i="3"/>
  <c r="K118" i="3"/>
  <c r="H118" i="3"/>
  <c r="F118" i="3"/>
  <c r="D118" i="3"/>
  <c r="N118" i="3" s="1"/>
  <c r="P117" i="3"/>
  <c r="K117" i="3"/>
  <c r="H117" i="3"/>
  <c r="F117" i="3"/>
  <c r="D117" i="3"/>
  <c r="N117" i="3" s="1"/>
  <c r="P116" i="3"/>
  <c r="K116" i="3"/>
  <c r="H116" i="3"/>
  <c r="F116" i="3"/>
  <c r="D116" i="3"/>
  <c r="P115" i="3"/>
  <c r="K115" i="3"/>
  <c r="H115" i="3"/>
  <c r="F115" i="3"/>
  <c r="D115" i="3"/>
  <c r="N115" i="3" s="1"/>
  <c r="P114" i="3"/>
  <c r="K114" i="3"/>
  <c r="H114" i="3"/>
  <c r="F114" i="3"/>
  <c r="D114" i="3"/>
  <c r="N114" i="3" s="1"/>
  <c r="P113" i="3"/>
  <c r="K113" i="3"/>
  <c r="H113" i="3"/>
  <c r="F113" i="3"/>
  <c r="D113" i="3"/>
  <c r="N113" i="3" s="1"/>
  <c r="P112" i="3"/>
  <c r="K112" i="3"/>
  <c r="H112" i="3"/>
  <c r="F112" i="3"/>
  <c r="D112" i="3"/>
  <c r="P111" i="3"/>
  <c r="K111" i="3"/>
  <c r="H111" i="3"/>
  <c r="F111" i="3"/>
  <c r="D111" i="3"/>
  <c r="N111" i="3" s="1"/>
  <c r="P110" i="3"/>
  <c r="K110" i="3"/>
  <c r="H110" i="3"/>
  <c r="F110" i="3"/>
  <c r="D110" i="3"/>
  <c r="N110" i="3" s="1"/>
  <c r="P109" i="3"/>
  <c r="K109" i="3"/>
  <c r="H109" i="3"/>
  <c r="F109" i="3"/>
  <c r="D109" i="3"/>
  <c r="N109" i="3" s="1"/>
  <c r="P108" i="3"/>
  <c r="K108" i="3"/>
  <c r="H108" i="3"/>
  <c r="F108" i="3"/>
  <c r="D108" i="3"/>
  <c r="P107" i="3"/>
  <c r="K107" i="3"/>
  <c r="H107" i="3"/>
  <c r="F107" i="3"/>
  <c r="D107" i="3"/>
  <c r="N107" i="3" s="1"/>
  <c r="P106" i="3"/>
  <c r="K106" i="3"/>
  <c r="H106" i="3"/>
  <c r="F106" i="3"/>
  <c r="D106" i="3"/>
  <c r="N106" i="3" s="1"/>
  <c r="P105" i="3"/>
  <c r="K105" i="3"/>
  <c r="H105" i="3"/>
  <c r="F105" i="3"/>
  <c r="D105" i="3"/>
  <c r="N105" i="3" s="1"/>
  <c r="P104" i="3"/>
  <c r="K104" i="3"/>
  <c r="H104" i="3"/>
  <c r="F104" i="3"/>
  <c r="D104" i="3"/>
  <c r="P103" i="3"/>
  <c r="K103" i="3"/>
  <c r="H103" i="3"/>
  <c r="F103" i="3"/>
  <c r="D103" i="3"/>
  <c r="N103" i="3" s="1"/>
  <c r="P102" i="3"/>
  <c r="K102" i="3"/>
  <c r="H102" i="3"/>
  <c r="F102" i="3"/>
  <c r="D102" i="3"/>
  <c r="N102" i="3" s="1"/>
  <c r="P101" i="3"/>
  <c r="K101" i="3"/>
  <c r="H101" i="3"/>
  <c r="F101" i="3"/>
  <c r="D101" i="3"/>
  <c r="N101" i="3" s="1"/>
  <c r="P100" i="3"/>
  <c r="K100" i="3"/>
  <c r="H100" i="3"/>
  <c r="F100" i="3"/>
  <c r="D100" i="3"/>
  <c r="P99" i="3"/>
  <c r="K99" i="3"/>
  <c r="H99" i="3"/>
  <c r="F99" i="3"/>
  <c r="D99" i="3"/>
  <c r="N99" i="3" s="1"/>
  <c r="P98" i="3"/>
  <c r="K98" i="3"/>
  <c r="H98" i="3"/>
  <c r="F98" i="3"/>
  <c r="D98" i="3"/>
  <c r="N98" i="3" s="1"/>
  <c r="P97" i="3"/>
  <c r="K97" i="3"/>
  <c r="H97" i="3"/>
  <c r="F97" i="3"/>
  <c r="D97" i="3"/>
  <c r="N97" i="3" s="1"/>
  <c r="P96" i="3"/>
  <c r="K96" i="3"/>
  <c r="H96" i="3"/>
  <c r="F96" i="3"/>
  <c r="D96" i="3"/>
  <c r="N96" i="3" s="1"/>
  <c r="P95" i="3"/>
  <c r="K95" i="3"/>
  <c r="H95" i="3"/>
  <c r="F95" i="3"/>
  <c r="D95" i="3"/>
  <c r="N95" i="3" s="1"/>
  <c r="P94" i="3"/>
  <c r="K94" i="3"/>
  <c r="H94" i="3"/>
  <c r="F94" i="3"/>
  <c r="D94" i="3"/>
  <c r="N94" i="3" s="1"/>
  <c r="P93" i="3"/>
  <c r="K93" i="3"/>
  <c r="H93" i="3"/>
  <c r="F93" i="3"/>
  <c r="D93" i="3"/>
  <c r="N93" i="3" s="1"/>
  <c r="P92" i="3"/>
  <c r="K92" i="3"/>
  <c r="H92" i="3"/>
  <c r="F92" i="3"/>
  <c r="D92" i="3"/>
  <c r="P91" i="3"/>
  <c r="K91" i="3"/>
  <c r="H91" i="3"/>
  <c r="F91" i="3"/>
  <c r="D91" i="3"/>
  <c r="N91" i="3" s="1"/>
  <c r="P90" i="3"/>
  <c r="K90" i="3"/>
  <c r="H90" i="3"/>
  <c r="F90" i="3"/>
  <c r="D90" i="3"/>
  <c r="N90" i="3" s="1"/>
  <c r="P89" i="3"/>
  <c r="K89" i="3"/>
  <c r="H89" i="3"/>
  <c r="F89" i="3"/>
  <c r="D89" i="3"/>
  <c r="N89" i="3" s="1"/>
  <c r="P88" i="3"/>
  <c r="K88" i="3"/>
  <c r="H88" i="3"/>
  <c r="F88" i="3"/>
  <c r="D88" i="3"/>
  <c r="P87" i="3"/>
  <c r="K87" i="3"/>
  <c r="H87" i="3"/>
  <c r="F87" i="3"/>
  <c r="D87" i="3"/>
  <c r="N87" i="3" s="1"/>
  <c r="P86" i="3"/>
  <c r="K86" i="3"/>
  <c r="H86" i="3"/>
  <c r="F86" i="3"/>
  <c r="D86" i="3"/>
  <c r="N86" i="3" s="1"/>
  <c r="P85" i="3"/>
  <c r="K85" i="3"/>
  <c r="H85" i="3"/>
  <c r="F85" i="3"/>
  <c r="D85" i="3"/>
  <c r="N85" i="3" s="1"/>
  <c r="P84" i="3"/>
  <c r="K84" i="3"/>
  <c r="H84" i="3"/>
  <c r="F84" i="3"/>
  <c r="D84" i="3"/>
  <c r="P83" i="3"/>
  <c r="K83" i="3"/>
  <c r="H83" i="3"/>
  <c r="F83" i="3"/>
  <c r="D83" i="3"/>
  <c r="N83" i="3" s="1"/>
  <c r="P82" i="3"/>
  <c r="K82" i="3"/>
  <c r="H82" i="3"/>
  <c r="F82" i="3"/>
  <c r="D82" i="3"/>
  <c r="N82" i="3" s="1"/>
  <c r="P81" i="3"/>
  <c r="K81" i="3"/>
  <c r="H81" i="3"/>
  <c r="F81" i="3"/>
  <c r="D81" i="3"/>
  <c r="N81" i="3" s="1"/>
  <c r="P80" i="3"/>
  <c r="K80" i="3"/>
  <c r="H80" i="3"/>
  <c r="F80" i="3"/>
  <c r="D80" i="3"/>
  <c r="P79" i="3"/>
  <c r="K79" i="3"/>
  <c r="H79" i="3"/>
  <c r="F79" i="3"/>
  <c r="D79" i="3"/>
  <c r="N79" i="3" s="1"/>
  <c r="P78" i="3"/>
  <c r="K78" i="3"/>
  <c r="H78" i="3"/>
  <c r="F78" i="3"/>
  <c r="D78" i="3"/>
  <c r="N78" i="3" s="1"/>
  <c r="P77" i="3"/>
  <c r="K77" i="3"/>
  <c r="H77" i="3"/>
  <c r="F77" i="3"/>
  <c r="D77" i="3"/>
  <c r="N77" i="3" s="1"/>
  <c r="P76" i="3"/>
  <c r="K76" i="3"/>
  <c r="H76" i="3"/>
  <c r="F76" i="3"/>
  <c r="D76" i="3"/>
  <c r="P75" i="3"/>
  <c r="K75" i="3"/>
  <c r="H75" i="3"/>
  <c r="F75" i="3"/>
  <c r="D75" i="3"/>
  <c r="N75" i="3" s="1"/>
  <c r="P74" i="3"/>
  <c r="K74" i="3"/>
  <c r="H74" i="3"/>
  <c r="F74" i="3"/>
  <c r="D74" i="3"/>
  <c r="N74" i="3" s="1"/>
  <c r="P73" i="3"/>
  <c r="K73" i="3"/>
  <c r="H73" i="3"/>
  <c r="F73" i="3"/>
  <c r="D73" i="3"/>
  <c r="N73" i="3" s="1"/>
  <c r="P72" i="3"/>
  <c r="K72" i="3"/>
  <c r="H72" i="3"/>
  <c r="F72" i="3"/>
  <c r="D72" i="3"/>
  <c r="P71" i="3"/>
  <c r="K71" i="3"/>
  <c r="H71" i="3"/>
  <c r="F71" i="3"/>
  <c r="D71" i="3"/>
  <c r="N71" i="3" s="1"/>
  <c r="P70" i="3"/>
  <c r="K70" i="3"/>
  <c r="H70" i="3"/>
  <c r="F70" i="3"/>
  <c r="D70" i="3"/>
  <c r="N70" i="3" s="1"/>
  <c r="P69" i="3"/>
  <c r="K69" i="3"/>
  <c r="H69" i="3"/>
  <c r="F69" i="3"/>
  <c r="D69" i="3"/>
  <c r="N69" i="3" s="1"/>
  <c r="P68" i="3"/>
  <c r="K68" i="3"/>
  <c r="H68" i="3"/>
  <c r="F68" i="3"/>
  <c r="D68" i="3"/>
  <c r="N68" i="3" s="1"/>
  <c r="P67" i="3"/>
  <c r="K67" i="3"/>
  <c r="H67" i="3"/>
  <c r="F67" i="3"/>
  <c r="D67" i="3"/>
  <c r="N67" i="3" s="1"/>
  <c r="P66" i="3"/>
  <c r="K66" i="3"/>
  <c r="H66" i="3"/>
  <c r="F66" i="3"/>
  <c r="D66" i="3"/>
  <c r="N66" i="3" s="1"/>
  <c r="P65" i="3"/>
  <c r="K65" i="3"/>
  <c r="H65" i="3"/>
  <c r="F65" i="3"/>
  <c r="D65" i="3"/>
  <c r="N65" i="3" s="1"/>
  <c r="P64" i="3"/>
  <c r="K64" i="3"/>
  <c r="H64" i="3"/>
  <c r="F64" i="3"/>
  <c r="D64" i="3"/>
  <c r="N64" i="3" s="1"/>
  <c r="P63" i="3"/>
  <c r="K63" i="3"/>
  <c r="H63" i="3"/>
  <c r="F63" i="3"/>
  <c r="D63" i="3"/>
  <c r="N63" i="3" s="1"/>
  <c r="P62" i="3"/>
  <c r="K62" i="3"/>
  <c r="H62" i="3"/>
  <c r="F62" i="3"/>
  <c r="D62" i="3"/>
  <c r="N62" i="3" s="1"/>
  <c r="P61" i="3"/>
  <c r="K61" i="3"/>
  <c r="H61" i="3"/>
  <c r="F61" i="3"/>
  <c r="D61" i="3"/>
  <c r="N61" i="3" s="1"/>
  <c r="P60" i="3"/>
  <c r="K60" i="3"/>
  <c r="H60" i="3"/>
  <c r="F60" i="3"/>
  <c r="D60" i="3"/>
  <c r="P59" i="3"/>
  <c r="K59" i="3"/>
  <c r="H59" i="3"/>
  <c r="F59" i="3"/>
  <c r="D59" i="3"/>
  <c r="N59" i="3" s="1"/>
  <c r="P58" i="3"/>
  <c r="K58" i="3"/>
  <c r="H58" i="3"/>
  <c r="F58" i="3"/>
  <c r="D58" i="3"/>
  <c r="N58" i="3" s="1"/>
  <c r="P57" i="3"/>
  <c r="K57" i="3"/>
  <c r="H57" i="3"/>
  <c r="F57" i="3"/>
  <c r="D57" i="3"/>
  <c r="N57" i="3" s="1"/>
  <c r="P56" i="3"/>
  <c r="K56" i="3"/>
  <c r="H56" i="3"/>
  <c r="F56" i="3"/>
  <c r="D56" i="3"/>
  <c r="P55" i="3"/>
  <c r="K55" i="3"/>
  <c r="H55" i="3"/>
  <c r="F55" i="3"/>
  <c r="D55" i="3"/>
  <c r="N55" i="3" s="1"/>
  <c r="P54" i="3"/>
  <c r="K54" i="3"/>
  <c r="H54" i="3"/>
  <c r="F54" i="3"/>
  <c r="D54" i="3"/>
  <c r="N54" i="3" s="1"/>
  <c r="P53" i="3"/>
  <c r="K53" i="3"/>
  <c r="H53" i="3"/>
  <c r="F53" i="3"/>
  <c r="D53" i="3"/>
  <c r="N53" i="3" s="1"/>
  <c r="P52" i="3"/>
  <c r="K52" i="3"/>
  <c r="H52" i="3"/>
  <c r="F52" i="3"/>
  <c r="D52" i="3"/>
  <c r="N52" i="3" s="1"/>
  <c r="P51" i="3"/>
  <c r="K51" i="3"/>
  <c r="H51" i="3"/>
  <c r="F51" i="3"/>
  <c r="D51" i="3"/>
  <c r="N51" i="3" s="1"/>
  <c r="P50" i="3"/>
  <c r="K50" i="3"/>
  <c r="H50" i="3"/>
  <c r="F50" i="3"/>
  <c r="D50" i="3"/>
  <c r="N50" i="3" s="1"/>
  <c r="P49" i="3"/>
  <c r="K49" i="3"/>
  <c r="H49" i="3"/>
  <c r="F49" i="3"/>
  <c r="D49" i="3"/>
  <c r="N49" i="3" s="1"/>
  <c r="P48" i="3"/>
  <c r="K48" i="3"/>
  <c r="H48" i="3"/>
  <c r="F48" i="3"/>
  <c r="D48" i="3"/>
  <c r="N48" i="3" s="1"/>
  <c r="P47" i="3"/>
  <c r="K47" i="3"/>
  <c r="H47" i="3"/>
  <c r="F47" i="3"/>
  <c r="D47" i="3"/>
  <c r="N47" i="3" s="1"/>
  <c r="P46" i="3"/>
  <c r="K46" i="3"/>
  <c r="H46" i="3"/>
  <c r="F46" i="3"/>
  <c r="D46" i="3"/>
  <c r="N46" i="3" s="1"/>
  <c r="P45" i="3"/>
  <c r="K45" i="3"/>
  <c r="H45" i="3"/>
  <c r="F45" i="3"/>
  <c r="D45" i="3"/>
  <c r="N45" i="3" s="1"/>
  <c r="P44" i="3"/>
  <c r="K44" i="3"/>
  <c r="H44" i="3"/>
  <c r="F44" i="3"/>
  <c r="D44" i="3"/>
  <c r="P43" i="3"/>
  <c r="K43" i="3"/>
  <c r="H43" i="3"/>
  <c r="F43" i="3"/>
  <c r="D43" i="3"/>
  <c r="N43" i="3" s="1"/>
  <c r="P42" i="3"/>
  <c r="K42" i="3"/>
  <c r="H42" i="3"/>
  <c r="F42" i="3"/>
  <c r="D42" i="3"/>
  <c r="N42" i="3" s="1"/>
  <c r="P41" i="3"/>
  <c r="K41" i="3"/>
  <c r="H41" i="3"/>
  <c r="F41" i="3"/>
  <c r="D41" i="3"/>
  <c r="N41" i="3" s="1"/>
  <c r="P40" i="3"/>
  <c r="K40" i="3"/>
  <c r="H40" i="3"/>
  <c r="F40" i="3"/>
  <c r="D40" i="3"/>
  <c r="P39" i="3"/>
  <c r="K39" i="3"/>
  <c r="H39" i="3"/>
  <c r="F39" i="3"/>
  <c r="D39" i="3"/>
  <c r="N39" i="3" s="1"/>
  <c r="P38" i="3"/>
  <c r="K38" i="3"/>
  <c r="H38" i="3"/>
  <c r="F38" i="3"/>
  <c r="D38" i="3"/>
  <c r="N38" i="3" s="1"/>
  <c r="P37" i="3"/>
  <c r="K37" i="3"/>
  <c r="H37" i="3"/>
  <c r="F37" i="3"/>
  <c r="D37" i="3"/>
  <c r="N37" i="3" s="1"/>
  <c r="P36" i="3"/>
  <c r="K36" i="3"/>
  <c r="H36" i="3"/>
  <c r="F36" i="3"/>
  <c r="D36" i="3"/>
  <c r="P35" i="3"/>
  <c r="K35" i="3"/>
  <c r="H35" i="3"/>
  <c r="F35" i="3"/>
  <c r="D35" i="3"/>
  <c r="P34" i="3"/>
  <c r="K34" i="3"/>
  <c r="H34" i="3"/>
  <c r="F34" i="3"/>
  <c r="D34" i="3"/>
  <c r="N34" i="3" s="1"/>
  <c r="P33" i="3"/>
  <c r="K33" i="3"/>
  <c r="H33" i="3"/>
  <c r="F33" i="3"/>
  <c r="D33" i="3"/>
  <c r="N33" i="3" s="1"/>
  <c r="P32" i="3"/>
  <c r="K32" i="3"/>
  <c r="H32" i="3"/>
  <c r="F32" i="3"/>
  <c r="D32" i="3"/>
  <c r="N32" i="3" s="1"/>
  <c r="P31" i="3"/>
  <c r="K31" i="3"/>
  <c r="H31" i="3"/>
  <c r="F31" i="3"/>
  <c r="D31" i="3"/>
  <c r="N31" i="3" s="1"/>
  <c r="P30" i="3"/>
  <c r="K30" i="3"/>
  <c r="H30" i="3"/>
  <c r="F30" i="3"/>
  <c r="D30" i="3"/>
  <c r="N30" i="3" s="1"/>
  <c r="P29" i="3"/>
  <c r="K29" i="3"/>
  <c r="H29" i="3"/>
  <c r="F29" i="3"/>
  <c r="D29" i="3"/>
  <c r="N29" i="3" s="1"/>
  <c r="P28" i="3"/>
  <c r="K28" i="3"/>
  <c r="H28" i="3"/>
  <c r="F28" i="3"/>
  <c r="D28" i="3"/>
  <c r="N28" i="3" s="1"/>
  <c r="P27" i="3"/>
  <c r="K27" i="3"/>
  <c r="H27" i="3"/>
  <c r="F27" i="3"/>
  <c r="D27" i="3"/>
  <c r="N27" i="3" s="1"/>
  <c r="P26" i="3"/>
  <c r="K26" i="3"/>
  <c r="H26" i="3"/>
  <c r="F26" i="3"/>
  <c r="D26" i="3"/>
  <c r="N26" i="3" s="1"/>
  <c r="P25" i="3"/>
  <c r="K25" i="3"/>
  <c r="H25" i="3"/>
  <c r="F25" i="3"/>
  <c r="D25" i="3"/>
  <c r="N25" i="3" s="1"/>
  <c r="P24" i="3"/>
  <c r="K24" i="3"/>
  <c r="H24" i="3"/>
  <c r="F24" i="3"/>
  <c r="D24" i="3"/>
  <c r="P23" i="3"/>
  <c r="K23" i="3"/>
  <c r="H23" i="3"/>
  <c r="F23" i="3"/>
  <c r="D23" i="3"/>
  <c r="P22" i="3"/>
  <c r="K22" i="3"/>
  <c r="H22" i="3"/>
  <c r="F22" i="3"/>
  <c r="D22" i="3"/>
  <c r="N22" i="3" s="1"/>
  <c r="P21" i="3"/>
  <c r="K21" i="3"/>
  <c r="H21" i="3"/>
  <c r="F21" i="3"/>
  <c r="D21" i="3"/>
  <c r="N21" i="3" s="1"/>
  <c r="P20" i="3"/>
  <c r="K20" i="3"/>
  <c r="H20" i="3"/>
  <c r="F20" i="3"/>
  <c r="D20" i="3"/>
  <c r="P19" i="3"/>
  <c r="K19" i="3"/>
  <c r="H19" i="3"/>
  <c r="F19" i="3"/>
  <c r="D19" i="3"/>
  <c r="N19" i="3" s="1"/>
  <c r="P18" i="3"/>
  <c r="K18" i="3"/>
  <c r="H18" i="3"/>
  <c r="F18" i="3"/>
  <c r="D18" i="3"/>
  <c r="N18" i="3" s="1"/>
  <c r="P17" i="3"/>
  <c r="K17" i="3"/>
  <c r="H17" i="3"/>
  <c r="F17" i="3"/>
  <c r="D17" i="3"/>
  <c r="N17" i="3" s="1"/>
  <c r="P16" i="3"/>
  <c r="K16" i="3"/>
  <c r="H16" i="3"/>
  <c r="F16" i="3"/>
  <c r="D16" i="3"/>
  <c r="N16" i="3" s="1"/>
  <c r="P15" i="3"/>
  <c r="K15" i="3"/>
  <c r="H15" i="3"/>
  <c r="F15" i="3"/>
  <c r="D15" i="3"/>
  <c r="P14" i="3"/>
  <c r="K14" i="3"/>
  <c r="H14" i="3"/>
  <c r="F14" i="3"/>
  <c r="D14" i="3"/>
  <c r="N14" i="3" s="1"/>
  <c r="P13" i="3"/>
  <c r="K13" i="3"/>
  <c r="H13" i="3"/>
  <c r="F13" i="3"/>
  <c r="D13" i="3"/>
  <c r="N13" i="3" s="1"/>
  <c r="P12" i="3"/>
  <c r="K12" i="3"/>
  <c r="H12" i="3"/>
  <c r="F12" i="3"/>
  <c r="D12" i="3"/>
  <c r="P11" i="3"/>
  <c r="K11" i="3"/>
  <c r="H11" i="3"/>
  <c r="F11" i="3"/>
  <c r="D11" i="3"/>
  <c r="N11" i="3" s="1"/>
  <c r="P10" i="3"/>
  <c r="K10" i="3"/>
  <c r="H10" i="3"/>
  <c r="F10" i="3"/>
  <c r="D10" i="3"/>
  <c r="N10" i="3" s="1"/>
  <c r="P9" i="3"/>
  <c r="K9" i="3"/>
  <c r="H9" i="3"/>
  <c r="F9" i="3"/>
  <c r="D9" i="3"/>
  <c r="N9" i="3" s="1"/>
  <c r="P8" i="3"/>
  <c r="K8" i="3"/>
  <c r="H8" i="3"/>
  <c r="F8" i="3"/>
  <c r="D8" i="3"/>
  <c r="N8" i="3" s="1"/>
  <c r="P7" i="3"/>
  <c r="K7" i="3"/>
  <c r="H7" i="3"/>
  <c r="F7" i="3"/>
  <c r="D7" i="3"/>
  <c r="N7" i="3" s="1"/>
  <c r="P6" i="3"/>
  <c r="K6" i="3"/>
  <c r="H6" i="3"/>
  <c r="F6" i="3"/>
  <c r="D6" i="3"/>
  <c r="N6" i="3" s="1"/>
  <c r="P5" i="3"/>
  <c r="K5" i="3"/>
  <c r="H5" i="3"/>
  <c r="F5" i="3"/>
  <c r="D5" i="3"/>
  <c r="N5" i="3" s="1"/>
  <c r="P4" i="3"/>
  <c r="K4" i="3"/>
  <c r="H4" i="3"/>
  <c r="F4" i="3"/>
  <c r="D4" i="3"/>
  <c r="N4" i="3" s="1"/>
  <c r="P3" i="3"/>
  <c r="K3" i="3"/>
  <c r="H3" i="3"/>
  <c r="F3" i="3"/>
  <c r="D3" i="3"/>
  <c r="P2" i="3"/>
  <c r="K2" i="3"/>
  <c r="H2" i="3"/>
  <c r="F2" i="3"/>
  <c r="D2" i="3"/>
  <c r="N2" i="3" s="1"/>
  <c r="P1" i="3"/>
  <c r="K1" i="3"/>
  <c r="H1" i="3"/>
  <c r="D1" i="3"/>
  <c r="N1" i="3" s="1"/>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1" i="2"/>
  <c r="F1" i="3"/>
  <c r="N1233" i="3" l="1"/>
  <c r="N914" i="3"/>
  <c r="N1121" i="3"/>
  <c r="N1185" i="3"/>
  <c r="N1249" i="3"/>
  <c r="N1105" i="3"/>
  <c r="N1169" i="3"/>
  <c r="N946" i="3"/>
  <c r="N1073" i="3"/>
  <c r="N1137" i="3"/>
  <c r="N1201" i="3"/>
  <c r="N1265" i="3"/>
  <c r="N1089" i="3"/>
  <c r="N1153" i="3"/>
  <c r="N1217" i="3"/>
  <c r="N88" i="3"/>
  <c r="N20" i="3"/>
  <c r="N60" i="3"/>
  <c r="N56" i="3"/>
  <c r="N72" i="3"/>
  <c r="N12" i="3"/>
  <c r="N36" i="3"/>
  <c r="N44" i="3"/>
  <c r="N76" i="3"/>
  <c r="N84" i="3"/>
  <c r="N92" i="3"/>
  <c r="N24" i="3"/>
  <c r="N40" i="3"/>
  <c r="N80" i="3"/>
  <c r="N3" i="3"/>
  <c r="N15" i="3"/>
  <c r="N23" i="3"/>
  <c r="N35" i="3"/>
  <c r="N568" i="3"/>
  <c r="N576" i="3"/>
  <c r="N584" i="3"/>
  <c r="N592" i="3"/>
  <c r="N600" i="3"/>
  <c r="N608" i="3"/>
  <c r="N616" i="3"/>
  <c r="N624" i="3"/>
  <c r="N632" i="3"/>
  <c r="N640" i="3"/>
  <c r="N648" i="3"/>
  <c r="N100" i="3"/>
  <c r="N104" i="3"/>
  <c r="N108" i="3"/>
  <c r="N112" i="3"/>
  <c r="N124" i="3"/>
  <c r="N132" i="3"/>
  <c r="N136" i="3"/>
  <c r="N156" i="3"/>
  <c r="N160" i="3"/>
  <c r="N164" i="3"/>
  <c r="N168" i="3"/>
  <c r="N172" i="3"/>
  <c r="N176" i="3"/>
  <c r="N180" i="3"/>
  <c r="N184" i="3"/>
  <c r="N188" i="3"/>
  <c r="N192" i="3"/>
  <c r="N196" i="3"/>
  <c r="N200" i="3"/>
  <c r="N204" i="3"/>
  <c r="N208" i="3"/>
  <c r="N212" i="3"/>
  <c r="N216" i="3"/>
  <c r="N220" i="3"/>
  <c r="N224" i="3"/>
  <c r="N228" i="3"/>
  <c r="N232" i="3"/>
  <c r="N236" i="3"/>
  <c r="N240" i="3"/>
  <c r="N244" i="3"/>
  <c r="N248" i="3"/>
  <c r="N252" i="3"/>
  <c r="N256" i="3"/>
  <c r="N260" i="3"/>
  <c r="N264" i="3"/>
  <c r="N268" i="3"/>
  <c r="N272" i="3"/>
  <c r="N276" i="3"/>
  <c r="N280" i="3"/>
  <c r="N284" i="3"/>
  <c r="N288" i="3"/>
  <c r="N292" i="3"/>
  <c r="N296" i="3"/>
  <c r="N300" i="3"/>
  <c r="N304" i="3"/>
  <c r="N308" i="3"/>
  <c r="N312" i="3"/>
  <c r="N316" i="3"/>
  <c r="N320" i="3"/>
  <c r="N324" i="3"/>
  <c r="N328" i="3"/>
  <c r="N332" i="3"/>
  <c r="N336" i="3"/>
  <c r="N340" i="3"/>
  <c r="N344" i="3"/>
  <c r="N348" i="3"/>
  <c r="N352" i="3"/>
  <c r="N356" i="3"/>
  <c r="N360" i="3"/>
  <c r="N364" i="3"/>
  <c r="N368" i="3"/>
  <c r="N372" i="3"/>
  <c r="N376" i="3"/>
  <c r="N380" i="3"/>
  <c r="N384" i="3"/>
  <c r="N388" i="3"/>
  <c r="N392" i="3"/>
  <c r="N396" i="3"/>
  <c r="N400" i="3"/>
  <c r="N404" i="3"/>
  <c r="N408" i="3"/>
  <c r="N412" i="3"/>
  <c r="N416" i="3"/>
  <c r="N420" i="3"/>
  <c r="N424" i="3"/>
  <c r="N428" i="3"/>
  <c r="N432" i="3"/>
  <c r="N436" i="3"/>
  <c r="N440" i="3"/>
  <c r="N444" i="3"/>
  <c r="N449" i="3"/>
  <c r="N452" i="3"/>
  <c r="N457" i="3"/>
  <c r="N460" i="3"/>
  <c r="N465" i="3"/>
  <c r="N468" i="3"/>
  <c r="N473" i="3"/>
  <c r="N476" i="3"/>
  <c r="N481" i="3"/>
  <c r="N484" i="3"/>
  <c r="N489" i="3"/>
  <c r="N492" i="3"/>
  <c r="N497" i="3"/>
  <c r="N500" i="3"/>
  <c r="N505" i="3"/>
  <c r="N509" i="3"/>
  <c r="N513" i="3"/>
  <c r="N517" i="3"/>
  <c r="N521" i="3"/>
  <c r="N525" i="3"/>
  <c r="N529" i="3"/>
  <c r="N533" i="3"/>
  <c r="N537" i="3"/>
  <c r="N541" i="3"/>
  <c r="N545" i="3"/>
  <c r="N549" i="3"/>
  <c r="N553" i="3"/>
  <c r="N557" i="3"/>
  <c r="N561" i="3"/>
  <c r="N116" i="3"/>
  <c r="N120" i="3"/>
  <c r="N128" i="3"/>
  <c r="N564" i="3"/>
  <c r="N572" i="3"/>
  <c r="N580" i="3"/>
  <c r="N588" i="3"/>
  <c r="N596" i="3"/>
  <c r="N604" i="3"/>
  <c r="N612" i="3"/>
  <c r="N620" i="3"/>
  <c r="N628" i="3"/>
  <c r="N636" i="3"/>
  <c r="N644" i="3"/>
  <c r="N140" i="3"/>
  <c r="N144" i="3"/>
  <c r="N148" i="3"/>
  <c r="N448" i="3"/>
  <c r="N456" i="3"/>
  <c r="N464" i="3"/>
  <c r="N472" i="3"/>
  <c r="N480" i="3"/>
  <c r="N488" i="3"/>
  <c r="N496" i="3"/>
  <c r="N504" i="3"/>
  <c r="N508" i="3"/>
  <c r="N512" i="3"/>
  <c r="N516" i="3"/>
  <c r="N520" i="3"/>
  <c r="N524" i="3"/>
  <c r="N528" i="3"/>
  <c r="N532" i="3"/>
  <c r="N536" i="3"/>
  <c r="N540" i="3"/>
  <c r="N544" i="3"/>
  <c r="N548" i="3"/>
  <c r="N552" i="3"/>
  <c r="N556" i="3"/>
  <c r="N560" i="3"/>
  <c r="N652" i="3"/>
  <c r="N656" i="3"/>
  <c r="N660" i="3"/>
  <c r="N664" i="3"/>
  <c r="N668" i="3"/>
  <c r="N672" i="3"/>
  <c r="N676" i="3"/>
  <c r="N680" i="3"/>
  <c r="N684" i="3"/>
  <c r="N688" i="3"/>
  <c r="N692" i="3"/>
  <c r="N696" i="3"/>
  <c r="N700" i="3"/>
  <c r="N704" i="3"/>
  <c r="N708" i="3"/>
  <c r="N712" i="3"/>
  <c r="N716" i="3"/>
  <c r="N720" i="3"/>
  <c r="N724" i="3"/>
  <c r="N728" i="3"/>
  <c r="N732" i="3"/>
  <c r="N736" i="3"/>
  <c r="N740" i="3"/>
  <c r="N744" i="3"/>
  <c r="N748" i="3"/>
  <c r="N752" i="3"/>
  <c r="N756" i="3"/>
  <c r="N760" i="3"/>
  <c r="N764" i="3"/>
  <c r="N768" i="3"/>
  <c r="N772" i="3"/>
  <c r="N778" i="3"/>
  <c r="N781" i="3"/>
  <c r="N786" i="3"/>
  <c r="N912" i="3"/>
  <c r="N920" i="3"/>
  <c r="N928" i="3"/>
  <c r="N936" i="3"/>
  <c r="N944" i="3"/>
  <c r="N952" i="3"/>
  <c r="N908" i="3"/>
  <c r="N777" i="3"/>
  <c r="N785" i="3"/>
  <c r="N916" i="3"/>
  <c r="N924" i="3"/>
  <c r="N932" i="3"/>
  <c r="N940" i="3"/>
  <c r="N948" i="3"/>
  <c r="N956" i="3"/>
  <c r="N789" i="3"/>
  <c r="N793" i="3"/>
  <c r="N797" i="3"/>
  <c r="N801" i="3"/>
  <c r="N805" i="3"/>
  <c r="N809" i="3"/>
  <c r="N813" i="3"/>
  <c r="N817" i="3"/>
  <c r="N821" i="3"/>
  <c r="N825" i="3"/>
  <c r="N829" i="3"/>
  <c r="N833" i="3"/>
  <c r="N837" i="3"/>
  <c r="N841" i="3"/>
  <c r="N845" i="3"/>
  <c r="N849" i="3"/>
  <c r="N853" i="3"/>
  <c r="N857" i="3"/>
  <c r="N861" i="3"/>
  <c r="N865" i="3"/>
  <c r="N869" i="3"/>
  <c r="N873" i="3"/>
  <c r="N877" i="3"/>
  <c r="N881" i="3"/>
  <c r="N885" i="3"/>
  <c r="N889" i="3"/>
  <c r="N893" i="3"/>
  <c r="N897" i="3"/>
  <c r="N901" i="3"/>
  <c r="N905" i="3"/>
  <c r="N909" i="3"/>
  <c r="N913" i="3"/>
  <c r="N917" i="3"/>
  <c r="N921" i="3"/>
  <c r="N925" i="3"/>
  <c r="N929" i="3"/>
  <c r="N933" i="3"/>
  <c r="N937" i="3"/>
  <c r="N941" i="3"/>
  <c r="N945" i="3"/>
  <c r="N949" i="3"/>
  <c r="N953" i="3"/>
  <c r="N957" i="3"/>
  <c r="N961" i="3"/>
  <c r="N965" i="3"/>
  <c r="N969" i="3"/>
  <c r="N973" i="3"/>
  <c r="N977" i="3"/>
  <c r="N981" i="3"/>
  <c r="N985" i="3"/>
  <c r="N989" i="3"/>
  <c r="N993" i="3"/>
  <c r="N997" i="3"/>
  <c r="N1001" i="3"/>
  <c r="N1005" i="3"/>
  <c r="N1009" i="3"/>
  <c r="N1013" i="3"/>
  <c r="N1017" i="3"/>
  <c r="N1021" i="3"/>
  <c r="N1025" i="3"/>
  <c r="N1029" i="3"/>
  <c r="N1033" i="3"/>
  <c r="N1037" i="3"/>
  <c r="N1041" i="3"/>
  <c r="N1045" i="3"/>
  <c r="N1049" i="3"/>
  <c r="N960" i="3"/>
  <c r="N964" i="3"/>
  <c r="N968" i="3"/>
  <c r="N972" i="3"/>
  <c r="N976" i="3"/>
  <c r="N980" i="3"/>
  <c r="N984" i="3"/>
  <c r="N988" i="3"/>
  <c r="N992" i="3"/>
  <c r="N996" i="3"/>
  <c r="N1000" i="3"/>
  <c r="N1004" i="3"/>
  <c r="N1008" i="3"/>
  <c r="N1012" i="3"/>
  <c r="N1016" i="3"/>
  <c r="N1020" i="3"/>
  <c r="N1024" i="3"/>
  <c r="N1028" i="3"/>
  <c r="N1032" i="3"/>
  <c r="N1036" i="3"/>
  <c r="N1040" i="3"/>
  <c r="N1044" i="3"/>
  <c r="N1048" i="3"/>
  <c r="N1051" i="3"/>
  <c r="N1055" i="3"/>
  <c r="N1059" i="3"/>
  <c r="N1067" i="3"/>
  <c r="N1075" i="3"/>
  <c r="N1083" i="3"/>
  <c r="N1091" i="3"/>
  <c r="N1099" i="3"/>
  <c r="N1107" i="3"/>
  <c r="N1115" i="3"/>
  <c r="N1123" i="3"/>
  <c r="N1131" i="3"/>
  <c r="N1139" i="3"/>
  <c r="N1147" i="3"/>
  <c r="N1155" i="3"/>
  <c r="N1163" i="3"/>
  <c r="N1171" i="3"/>
  <c r="N1179" i="3"/>
  <c r="N1187" i="3"/>
  <c r="N1195" i="3"/>
  <c r="N1203" i="3"/>
  <c r="N1211" i="3"/>
  <c r="N1219" i="3"/>
  <c r="N1227" i="3"/>
  <c r="N1235" i="3"/>
  <c r="N1243" i="3"/>
  <c r="N1251" i="3"/>
  <c r="N1259" i="3"/>
  <c r="N1267" i="3"/>
  <c r="N1050" i="3"/>
  <c r="N1054" i="3"/>
  <c r="N1058" i="3"/>
  <c r="N1063" i="3"/>
  <c r="N1071" i="3"/>
  <c r="N1079" i="3"/>
  <c r="N1087" i="3"/>
  <c r="N1095" i="3"/>
  <c r="N1103" i="3"/>
  <c r="N1111" i="3"/>
  <c r="N1119" i="3"/>
  <c r="N1127" i="3"/>
  <c r="N1135" i="3"/>
  <c r="N1143" i="3"/>
  <c r="N1151" i="3"/>
  <c r="N1159" i="3"/>
  <c r="N1167" i="3"/>
  <c r="N1175" i="3"/>
  <c r="N1183" i="3"/>
  <c r="N1191" i="3"/>
  <c r="N1199" i="3"/>
  <c r="N1207" i="3"/>
  <c r="N1215" i="3"/>
  <c r="N1223" i="3"/>
  <c r="N1231" i="3"/>
  <c r="N1239" i="3"/>
  <c r="N1247" i="3"/>
  <c r="N1255" i="3"/>
  <c r="N1263" i="3"/>
  <c r="N1271" i="3"/>
  <c r="N1288" i="3"/>
  <c r="N1292" i="3"/>
  <c r="N1296" i="3"/>
  <c r="N1300" i="3"/>
  <c r="N1308" i="3"/>
  <c r="N1316" i="3"/>
  <c r="N1324" i="3"/>
  <c r="N1354" i="3"/>
  <c r="N1356" i="3"/>
  <c r="N1358" i="3"/>
  <c r="N1360" i="3"/>
  <c r="N1368" i="3"/>
  <c r="N1376" i="3"/>
  <c r="N1384" i="3"/>
  <c r="N1392" i="3"/>
  <c r="N1400" i="3"/>
  <c r="N1275" i="3"/>
  <c r="N1279" i="3"/>
  <c r="N1283" i="3"/>
  <c r="N1287" i="3"/>
  <c r="N1291" i="3"/>
  <c r="N1295" i="3"/>
  <c r="N1299" i="3"/>
  <c r="N1302" i="3"/>
  <c r="N1305" i="3"/>
  <c r="N1310" i="3"/>
  <c r="N1313" i="3"/>
  <c r="N1318" i="3"/>
  <c r="N1321" i="3"/>
  <c r="N1326" i="3"/>
  <c r="N1329" i="3"/>
  <c r="N1334" i="3"/>
  <c r="N1337" i="3"/>
  <c r="N1342" i="3"/>
  <c r="N1345" i="3"/>
  <c r="N1364" i="3"/>
  <c r="N1372" i="3"/>
  <c r="N1380" i="3"/>
  <c r="N1388" i="3"/>
  <c r="N1396" i="3"/>
  <c r="N1301" i="3"/>
  <c r="N1309" i="3"/>
  <c r="N1317" i="3"/>
  <c r="N1325" i="3"/>
  <c r="N1333" i="3"/>
  <c r="N1341" i="3"/>
  <c r="N1404" i="3"/>
  <c r="N1408" i="3"/>
  <c r="N1412" i="3"/>
  <c r="N1416" i="3"/>
  <c r="N1420" i="3"/>
  <c r="N1424" i="3"/>
  <c r="N1428" i="3"/>
  <c r="N1432" i="3"/>
  <c r="N1436" i="3"/>
  <c r="N1440" i="3"/>
  <c r="N1444" i="3"/>
  <c r="N1448" i="3"/>
  <c r="N1452" i="3"/>
  <c r="N1456" i="3"/>
  <c r="N1460" i="3"/>
  <c r="N1464" i="3"/>
  <c r="N1468" i="3"/>
  <c r="N1472" i="3"/>
  <c r="N1476" i="3"/>
  <c r="N1480" i="3"/>
  <c r="N1484" i="3"/>
  <c r="N1488" i="3"/>
  <c r="N1492" i="3"/>
  <c r="N1496" i="3"/>
  <c r="N1500" i="3"/>
  <c r="N1504" i="3"/>
  <c r="N1508" i="3"/>
  <c r="N1512" i="3"/>
  <c r="N1516" i="3"/>
  <c r="N1520" i="3"/>
  <c r="N1524" i="3"/>
  <c r="N1528" i="3"/>
  <c r="N1532" i="3"/>
  <c r="N1536" i="3"/>
  <c r="N1540" i="3"/>
  <c r="N1544" i="3"/>
  <c r="N1548" i="3"/>
  <c r="N1552" i="3"/>
  <c r="N1556" i="3"/>
  <c r="N1560" i="3"/>
  <c r="N1564" i="3"/>
  <c r="N1568" i="3"/>
  <c r="N1572" i="3"/>
  <c r="N1576" i="3"/>
  <c r="N1580" i="3"/>
  <c r="N1584" i="3"/>
  <c r="N1588" i="3"/>
  <c r="N1592" i="3"/>
  <c r="N1596" i="3"/>
  <c r="N1600" i="3"/>
  <c r="N1604" i="3"/>
  <c r="N1612" i="3"/>
  <c r="N1622" i="3"/>
  <c r="N1630" i="3"/>
  <c r="N1638" i="3"/>
  <c r="N1646" i="3"/>
  <c r="N1654" i="3"/>
  <c r="N1609" i="3"/>
  <c r="N1626" i="3"/>
  <c r="N1634" i="3"/>
  <c r="N1642" i="3"/>
  <c r="N1650" i="3"/>
  <c r="N1605" i="3"/>
  <c r="N1613" i="3"/>
  <c r="N1658" i="3"/>
  <c r="N1662" i="3"/>
  <c r="N1666" i="3"/>
  <c r="N1670" i="3"/>
  <c r="N1674" i="3"/>
  <c r="N1678" i="3"/>
  <c r="N1682" i="3"/>
  <c r="N1686" i="3"/>
  <c r="N1690" i="3"/>
  <c r="N1694" i="3"/>
  <c r="N1700" i="3"/>
  <c r="N1703" i="3"/>
  <c r="N1708" i="3"/>
  <c r="N1711" i="3"/>
  <c r="N1716" i="3"/>
  <c r="N1719" i="3"/>
  <c r="N1724" i="3"/>
  <c r="N1727" i="3"/>
  <c r="N1732" i="3"/>
  <c r="N1735" i="3"/>
  <c r="N1740" i="3"/>
  <c r="N1617" i="3"/>
  <c r="N1621" i="3"/>
  <c r="N1625" i="3"/>
  <c r="N1629" i="3"/>
  <c r="N1633" i="3"/>
  <c r="N1637" i="3"/>
  <c r="N1641" i="3"/>
  <c r="N1645" i="3"/>
  <c r="N1649" i="3"/>
  <c r="N1653" i="3"/>
  <c r="N1657" i="3"/>
  <c r="N1661" i="3"/>
  <c r="N1665" i="3"/>
  <c r="N1669" i="3"/>
  <c r="N1673" i="3"/>
  <c r="N1677" i="3"/>
  <c r="N1681" i="3"/>
  <c r="N1685" i="3"/>
  <c r="N1689" i="3"/>
  <c r="N1693" i="3"/>
  <c r="N1702" i="3"/>
  <c r="N1710" i="3"/>
  <c r="N1718" i="3"/>
  <c r="N1726" i="3"/>
  <c r="N1734" i="3"/>
  <c r="N1744" i="3"/>
  <c r="N1748" i="3"/>
  <c r="N1752" i="3"/>
  <c r="N1760" i="3"/>
  <c r="N1763" i="3"/>
  <c r="N1699" i="3"/>
  <c r="N1707" i="3"/>
  <c r="N1715" i="3"/>
  <c r="N1723" i="3"/>
  <c r="N1731" i="3"/>
  <c r="N1739" i="3"/>
  <c r="N1766" i="3"/>
  <c r="N1743" i="3"/>
  <c r="N1747" i="3"/>
  <c r="N1751" i="3"/>
  <c r="N1756" i="3"/>
  <c r="N1755" i="3"/>
  <c r="N1759" i="3"/>
  <c r="N1765" i="3"/>
  <c r="N1762" i="3"/>
  <c r="N1815" i="3"/>
  <c r="N1823" i="3"/>
  <c r="N1831" i="3"/>
  <c r="N1839" i="3"/>
  <c r="N1847" i="3"/>
  <c r="N1855" i="3"/>
  <c r="N1863" i="3"/>
  <c r="N1871" i="3"/>
  <c r="N1819" i="3"/>
  <c r="N1827" i="3"/>
  <c r="N1835" i="3"/>
  <c r="N1843" i="3"/>
  <c r="N1851" i="3"/>
  <c r="N1859" i="3"/>
  <c r="N1867" i="3"/>
  <c r="N1770" i="3"/>
  <c r="N1774" i="3"/>
  <c r="N1778" i="3"/>
  <c r="N1782" i="3"/>
  <c r="N1786" i="3"/>
  <c r="N1790" i="3"/>
  <c r="N1794" i="3"/>
  <c r="N1798" i="3"/>
  <c r="N1802" i="3"/>
  <c r="N1806" i="3"/>
  <c r="N1810" i="3"/>
  <c r="N1814" i="3"/>
  <c r="N1818" i="3"/>
  <c r="N1822" i="3"/>
  <c r="N1826" i="3"/>
  <c r="N1830" i="3"/>
  <c r="N1834" i="3"/>
  <c r="N1838" i="3"/>
  <c r="N1842" i="3"/>
  <c r="N1846" i="3"/>
  <c r="N1850" i="3"/>
  <c r="N1854" i="3"/>
  <c r="N1858" i="3"/>
  <c r="N1862" i="3"/>
  <c r="N1866" i="3"/>
  <c r="N1870" i="3"/>
  <c r="N1874" i="3"/>
  <c r="N1878" i="3"/>
  <c r="N1882" i="3"/>
  <c r="N1886" i="3"/>
  <c r="N1890" i="3"/>
  <c r="N1894" i="3"/>
  <c r="N1898" i="3"/>
  <c r="N1902" i="3"/>
  <c r="N1906" i="3"/>
  <c r="N1910" i="3"/>
  <c r="N1914" i="3"/>
  <c r="N1918" i="3"/>
  <c r="N1922" i="3"/>
  <c r="N1924" i="3"/>
  <c r="N1923" i="3"/>
  <c r="N2069" i="3"/>
  <c r="N2073" i="3"/>
  <c r="N2077" i="3"/>
  <c r="N2081" i="3"/>
  <c r="N2085" i="3"/>
  <c r="N2089" i="3"/>
  <c r="N1928" i="3"/>
  <c r="N1932" i="3"/>
  <c r="N1936" i="3"/>
  <c r="N1940" i="3"/>
  <c r="N1944" i="3"/>
  <c r="N1948" i="3"/>
  <c r="N1952" i="3"/>
  <c r="N1956" i="3"/>
  <c r="N1960" i="3"/>
  <c r="N1964" i="3"/>
  <c r="N1968" i="3"/>
  <c r="N1972" i="3"/>
  <c r="N1976" i="3"/>
  <c r="N1980" i="3"/>
  <c r="N1984" i="3"/>
  <c r="N1988" i="3"/>
  <c r="N1992" i="3"/>
  <c r="N1996" i="3"/>
  <c r="N2000" i="3"/>
  <c r="N2004" i="3"/>
  <c r="N2008" i="3"/>
  <c r="N2012" i="3"/>
  <c r="N2016" i="3"/>
  <c r="N2020" i="3"/>
  <c r="N2024" i="3"/>
  <c r="N2028" i="3"/>
  <c r="N2032" i="3"/>
  <c r="N2036" i="3"/>
  <c r="N2040" i="3"/>
  <c r="N2044" i="3"/>
  <c r="N2048" i="3"/>
  <c r="N2052" i="3"/>
  <c r="N2056" i="3"/>
  <c r="N2060" i="3"/>
  <c r="N2064" i="3"/>
  <c r="N2068" i="3"/>
  <c r="N2072" i="3"/>
  <c r="N2076" i="3"/>
  <c r="N2080" i="3"/>
  <c r="N2084" i="3"/>
  <c r="N2088" i="3"/>
  <c r="N2092" i="3"/>
</calcChain>
</file>

<file path=xl/sharedStrings.xml><?xml version="1.0" encoding="utf-8"?>
<sst xmlns="http://schemas.openxmlformats.org/spreadsheetml/2006/main" count="29230" uniqueCount="2716">
  <si>
    <t>JetRadar.com INT</t>
  </si>
  <si>
    <t>https://www.aviasales.com/</t>
  </si>
  <si>
    <t>active</t>
  </si>
  <si>
    <t>https://store.admitad.com/webmaster/websites/2166760/offers/13688-aviasales-ww/</t>
  </si>
  <si>
    <t>2015-03-13</t>
  </si>
  <si>
    <t>Travel &amp; Tourism,Travel &amp; Tourism &gt; Flights</t>
  </si>
  <si>
    <t>All</t>
  </si>
  <si>
    <t>Paid order (revshare): 53.80%</t>
  </si>
  <si>
    <t>0.02</t>
  </si>
  <si>
    <t>0.06</t>
  </si>
  <si>
    <t>6</t>
  </si>
  <si>
    <t>44.5</t>
  </si>
  <si>
    <t>45.1</t>
  </si>
  <si>
    <t>0.0</t>
  </si>
  <si>
    <t>Myrentacar WW</t>
  </si>
  <si>
    <t>https://myrentacar.com/</t>
  </si>
  <si>
    <t>https://store.admitad.com/webmaster/websites/2166760/offers/15387-myrentacar-ww/</t>
  </si>
  <si>
    <t>2017-10-25</t>
  </si>
  <si>
    <t>Car rental: 6.92%</t>
  </si>
  <si>
    <t>1.33</t>
  </si>
  <si>
    <t>0.14</t>
  </si>
  <si>
    <t>14</t>
  </si>
  <si>
    <t>39.0</t>
  </si>
  <si>
    <t>39.2</t>
  </si>
  <si>
    <t>Omio Many Geos</t>
  </si>
  <si>
    <t>https://www.omio.com/</t>
  </si>
  <si>
    <t>https://store.admitad.com/webmaster/websites/2166760/offers/16528-omio-many-geos/</t>
  </si>
  <si>
    <t>2017-02-07</t>
  </si>
  <si>
    <t>Travel &amp; Tourism,Travel &amp; Tourism &gt; Metasearch Engines</t>
  </si>
  <si>
    <t>Paid order: 4.00%</t>
  </si>
  <si>
    <t>1.52</t>
  </si>
  <si>
    <t>0.04</t>
  </si>
  <si>
    <t>4</t>
  </si>
  <si>
    <t>98.5</t>
  </si>
  <si>
    <t>98.9</t>
  </si>
  <si>
    <t>Sucuri INT</t>
  </si>
  <si>
    <t>https://sucuri.net/</t>
  </si>
  <si>
    <t>https://store.admitad.com/webmaster/websites/2166760/offers/17989-sucuri-int/</t>
  </si>
  <si>
    <t>2017-11-21</t>
  </si>
  <si>
    <t>Online Services &gt; Other Services,Online Services</t>
  </si>
  <si>
    <t>Paid order: 3.90-27.39EUR, 3.84%</t>
  </si>
  <si>
    <t>0.01</t>
  </si>
  <si>
    <t>1</t>
  </si>
  <si>
    <t>Liquid Web WW</t>
  </si>
  <si>
    <t>https://www.liquidweb.com/</t>
  </si>
  <si>
    <t>https://store.admitad.com/webmaster/websites/2166760/offers/18753-liquid-web-ww/</t>
  </si>
  <si>
    <t>2017-10-24</t>
  </si>
  <si>
    <t>Online Services &gt; Telecommunications,Online Services</t>
  </si>
  <si>
    <t>Paid order (Default): 150.00%, Paid order (Default Rate): 150.00%</t>
  </si>
  <si>
    <t>0.11</t>
  </si>
  <si>
    <t>0.12</t>
  </si>
  <si>
    <t>12</t>
  </si>
  <si>
    <t>86.1</t>
  </si>
  <si>
    <t>86.6</t>
  </si>
  <si>
    <t>RugsUSA WW</t>
  </si>
  <si>
    <t>https://www.rugsusa.com/</t>
  </si>
  <si>
    <t>https://store.admitad.com/webmaster/websites/2166760/offers/21162-rugsusa-ww/</t>
  </si>
  <si>
    <t>2019-05-15</t>
  </si>
  <si>
    <t>Online stores &gt; Furniture &amp; Homeware,Online stores</t>
  </si>
  <si>
    <t>Paid order: 10.00%</t>
  </si>
  <si>
    <t>1.53</t>
  </si>
  <si>
    <t>0.33</t>
  </si>
  <si>
    <t>33</t>
  </si>
  <si>
    <t>82.1</t>
  </si>
  <si>
    <t>82.4</t>
  </si>
  <si>
    <t>Watches2U WW</t>
  </si>
  <si>
    <t>https://www.watches2u.com/</t>
  </si>
  <si>
    <t>https://store.admitad.com/webmaster/websites/2166760/offers/21217-watches2u-ww/</t>
  </si>
  <si>
    <t>2019-02-12</t>
  </si>
  <si>
    <t>Valentine's Day,Online stores &gt; Apparel, Footwear, Accessories,Online stores</t>
  </si>
  <si>
    <t>Paid order : 1.75-4.20%</t>
  </si>
  <si>
    <t>0.00</t>
  </si>
  <si>
    <t>0</t>
  </si>
  <si>
    <t>102.6</t>
  </si>
  <si>
    <t>129.2</t>
  </si>
  <si>
    <t>Hostinger WW</t>
  </si>
  <si>
    <t>https://www.hostinger.com/</t>
  </si>
  <si>
    <t>https://store.admitad.com/webmaster/websites/2166760/offers/21361-hostinger-ww/</t>
  </si>
  <si>
    <t>2019-04-09</t>
  </si>
  <si>
    <t>Online Services &gt; IT Services &amp; Soft,Online Services</t>
  </si>
  <si>
    <t>Paid order: 0.00-57.50%, Paid order (coupon/cashback): 28.75%, Paid order (google chrome extension services): 9.58%</t>
  </si>
  <si>
    <t>0.08</t>
  </si>
  <si>
    <t>0.03</t>
  </si>
  <si>
    <t>3</t>
  </si>
  <si>
    <t>90.1</t>
  </si>
  <si>
    <t>90.7</t>
  </si>
  <si>
    <t>CCleaner WW</t>
  </si>
  <si>
    <t>https://www.ccleaner.com/</t>
  </si>
  <si>
    <t>https://store.admitad.com/webmaster/websites/2166760/offers/23137-ccleaner-ww/</t>
  </si>
  <si>
    <t>2020-08-14</t>
  </si>
  <si>
    <t>Online stores &gt; Household Appliances &amp; Electronics,Online stores</t>
  </si>
  <si>
    <t>Paid order: 20.00%</t>
  </si>
  <si>
    <t>0.19</t>
  </si>
  <si>
    <t>Tenorshare [CPS] WW</t>
  </si>
  <si>
    <t>https://www.tenorshare.com/</t>
  </si>
  <si>
    <t>https://store.admitad.com/webmaster/websites/2166760/offers/23191-tenorshare-cps-ww/</t>
  </si>
  <si>
    <t>2020-06-18</t>
  </si>
  <si>
    <t>Online Services,Online Services &gt; B2B Online Services,Online Services &gt; IT Services &amp; Soft</t>
  </si>
  <si>
    <t>Sale: 42.00%</t>
  </si>
  <si>
    <t>0.29</t>
  </si>
  <si>
    <t>78.4</t>
  </si>
  <si>
    <t>148.4</t>
  </si>
  <si>
    <t>Hidemyass WW</t>
  </si>
  <si>
    <t>https://www.hidemyass.com/</t>
  </si>
  <si>
    <t>https://store.admitad.com/webmaster/websites/2166760/offers/23352-hidemyass-ww/</t>
  </si>
  <si>
    <t>2020-08-25</t>
  </si>
  <si>
    <t>Online Services,Online Services &gt; IT Services &amp; Soft</t>
  </si>
  <si>
    <t>Sale (New customer): 36.00-80.00%</t>
  </si>
  <si>
    <t>0.09</t>
  </si>
  <si>
    <t>2</t>
  </si>
  <si>
    <t>79.8</t>
  </si>
  <si>
    <t>Skip Hop WW</t>
  </si>
  <si>
    <t>http://www.skiphop.com/</t>
  </si>
  <si>
    <t>https://store.admitad.com/webmaster/websites/2166760/offers/23439-skip-hop-ww/</t>
  </si>
  <si>
    <t>2020-08-12</t>
  </si>
  <si>
    <t>Online stores,Online stores &gt; Apparel, Footwear, Accessories</t>
  </si>
  <si>
    <t>Paid Order: 1.53%</t>
  </si>
  <si>
    <t>1.69</t>
  </si>
  <si>
    <t>78.2</t>
  </si>
  <si>
    <t>83.2</t>
  </si>
  <si>
    <t>Society6 WW</t>
  </si>
  <si>
    <t>https://society6.com/</t>
  </si>
  <si>
    <t>https://store.admitad.com/webmaster/websites/2166760/offers/23640-society6-ww/</t>
  </si>
  <si>
    <t>2020-09-29</t>
  </si>
  <si>
    <t>Paid order: 5.00%</t>
  </si>
  <si>
    <t>0.61</t>
  </si>
  <si>
    <t>108.9</t>
  </si>
  <si>
    <t>120.9</t>
  </si>
  <si>
    <t>Tech in Asia [CPS] WW</t>
  </si>
  <si>
    <t>https://www.techinasia.com/subscription/dollar-trial/payment</t>
  </si>
  <si>
    <t>https://store.admitad.com/webmaster/websites/2166760/offers/23691-tech-in-asia-cps-ww/</t>
  </si>
  <si>
    <t>2021-01-12</t>
  </si>
  <si>
    <t>Online Services &gt; Other Services,Online Services,Online Services &gt; B2B Online Services</t>
  </si>
  <si>
    <t>Subscription: 5.71-35.71USD</t>
  </si>
  <si>
    <t>Blinkist WW</t>
  </si>
  <si>
    <t>https://www.blinkist.com/en</t>
  </si>
  <si>
    <t>https://store.admitad.com/webmaster/websites/2166760/offers/23707-blinkist-ww/</t>
  </si>
  <si>
    <t>2020-10-12</t>
  </si>
  <si>
    <t>Online Services &gt; Event Tickets &amp; Entertainments,Online Services &gt; Other Services,Online Services,Online Services &gt; Online Education</t>
  </si>
  <si>
    <t>Account Creation: 0.00USD, Free Trial: 0.00USD, Subscription: 30.76%</t>
  </si>
  <si>
    <t>1.28</t>
  </si>
  <si>
    <t>83.8</t>
  </si>
  <si>
    <t>84.6</t>
  </si>
  <si>
    <t>FutureLearn WW</t>
  </si>
  <si>
    <t>https://www.futurelearn.com/</t>
  </si>
  <si>
    <t>https://store.admitad.com/webmaster/websites/2166760/offers/23801-futurelearn-ww/</t>
  </si>
  <si>
    <t>2020-10-08</t>
  </si>
  <si>
    <t>Online Services &gt; Online Education,Online Services</t>
  </si>
  <si>
    <t>Subscription (Expert Track): 33.30%, Sale: 15.00%</t>
  </si>
  <si>
    <t>70.9</t>
  </si>
  <si>
    <t>101.2</t>
  </si>
  <si>
    <t>InVideo WW</t>
  </si>
  <si>
    <t>https://invideo.io/</t>
  </si>
  <si>
    <t>https://store.admitad.com/webmaster/websites/2166760/offers/23841-invideo-ww/</t>
  </si>
  <si>
    <t>2020-10-28</t>
  </si>
  <si>
    <t>Online Services &gt; Other Services,Online Services,Online Services &gt; Event Tickets &amp; Entertainments</t>
  </si>
  <si>
    <t>Free Trial Start: 0.00USD, Paid Subscription: 25.00-50.00%</t>
  </si>
  <si>
    <t>0.13</t>
  </si>
  <si>
    <t>96.3</t>
  </si>
  <si>
    <t>96.5</t>
  </si>
  <si>
    <t>Surfshark WW</t>
  </si>
  <si>
    <t>https://surfshark.com/</t>
  </si>
  <si>
    <t>https://store.admitad.com/webmaster/websites/2166760/offers/24210-surfshark-ww/</t>
  </si>
  <si>
    <t>2021-01-11</t>
  </si>
  <si>
    <t>Sale: 40.00%</t>
  </si>
  <si>
    <t>0.37</t>
  </si>
  <si>
    <t>8</t>
  </si>
  <si>
    <t>72.5</t>
  </si>
  <si>
    <t>82.3</t>
  </si>
  <si>
    <t>William May WW</t>
  </si>
  <si>
    <t>https://www.william-may.co.uk/</t>
  </si>
  <si>
    <t>https://store.admitad.com/webmaster/websites/2166760/offers/24518-william-may-ww/</t>
  </si>
  <si>
    <t>2021-03-03</t>
  </si>
  <si>
    <t>Valentine's Day,Online stores &gt; Jewelry &amp; Luxury Goods,Online stores</t>
  </si>
  <si>
    <t>Sale: 2.50%</t>
  </si>
  <si>
    <t>85.2</t>
  </si>
  <si>
    <t>Clevguard WW</t>
  </si>
  <si>
    <t>https://www.clevguard.com/</t>
  </si>
  <si>
    <t>https://store.admitad.com/webmaster/websites/2166760/offers/24655-clevguard-ww/</t>
  </si>
  <si>
    <t>2021-03-23</t>
  </si>
  <si>
    <t>Online stores &gt; Marketplaces (including Chinese Stores),Online stores,Online Services &gt; IT Services &amp; Soft,Online Services</t>
  </si>
  <si>
    <t>Paid Order: 50.00%</t>
  </si>
  <si>
    <t>0.40</t>
  </si>
  <si>
    <t>9</t>
  </si>
  <si>
    <t>86.5</t>
  </si>
  <si>
    <t>87.1</t>
  </si>
  <si>
    <t>Azimo [CPA] Many GEO's</t>
  </si>
  <si>
    <t>https://azimo.com/es</t>
  </si>
  <si>
    <t>https://store.admitad.com/webmaster/websites/2166760/offers/24706-azimo-cpa-many-geos/</t>
  </si>
  <si>
    <t>2021-04-20</t>
  </si>
  <si>
    <t>Financial Programs,Financial Programs &gt; Deposits</t>
  </si>
  <si>
    <t>First approved transaction on the web site: 20.70EUR</t>
  </si>
  <si>
    <t>0.17</t>
  </si>
  <si>
    <t>caviar-phone.ru</t>
  </si>
  <si>
    <t>https://caviar-phone.ru/</t>
  </si>
  <si>
    <t>https://store.admitad.com/webmaster/websites/2166760/offers/24745-caviar-phoneru/</t>
  </si>
  <si>
    <t>2021-06-22</t>
  </si>
  <si>
    <t>Online stores &gt; Household Appliances &amp; Electronics,Online stores &gt; Gifts &amp; Flowers,Online stores &gt; Apparel, Footwear, Accessories,Online stores,Online stores &gt; Jewelry &amp; Luxury Goods</t>
  </si>
  <si>
    <t>Оплаченный заказ с купоном 5%: 5.80%, Оплаченный заказ: 8.75%</t>
  </si>
  <si>
    <t>0.10</t>
  </si>
  <si>
    <t>15.26</t>
  </si>
  <si>
    <t>1526</t>
  </si>
  <si>
    <t>17.4</t>
  </si>
  <si>
    <t>17.8</t>
  </si>
  <si>
    <t>Asterix &amp; Friends [CPS] Many GEOs</t>
  </si>
  <si>
    <t>https://www.asterix-friends.com/en/iframe-embed/</t>
  </si>
  <si>
    <t>https://store.admitad.com/webmaster/websites/2166760/offers/24937-asterix-friends-cps-many-geos/</t>
  </si>
  <si>
    <t>2021-05-11</t>
  </si>
  <si>
    <t>Online Games &gt; Console and PC Games,Online Games</t>
  </si>
  <si>
    <t>Game Purchase: 16.00%</t>
  </si>
  <si>
    <t>Monstrum 2 [CPS] Many GEOs</t>
  </si>
  <si>
    <t>https://pre-order.monstrumgame.com/</t>
  </si>
  <si>
    <t>https://store.admitad.com/webmaster/websites/2166760/offers/24939-monstrum-2-cps-many-geos/</t>
  </si>
  <si>
    <t>Online Games,Online Games &gt; Browser &amp; Client Games</t>
  </si>
  <si>
    <t>Game Purchase: 24.00%</t>
  </si>
  <si>
    <t>Turnbull &amp; Asser WW</t>
  </si>
  <si>
    <t>https://turnbullandasser.co.uk/</t>
  </si>
  <si>
    <t>https://store.admitad.com/webmaster/websites/2166760/offers/24981-turnbull-asser-ww/</t>
  </si>
  <si>
    <t>2021-05-17</t>
  </si>
  <si>
    <t>Online stores &gt; Apparel, Footwear, Accessories,Online stores</t>
  </si>
  <si>
    <t>Sale: 8.00%</t>
  </si>
  <si>
    <t>20.0</t>
  </si>
  <si>
    <t>123.6</t>
  </si>
  <si>
    <t>Stellar Data Recovery WW</t>
  </si>
  <si>
    <t>https://www.stellardatarecovery.com/</t>
  </si>
  <si>
    <t>https://store.admitad.com/webmaster/websites/2166760/offers/24988-stellar-data-recovery-ww/</t>
  </si>
  <si>
    <t>2021-05-21</t>
  </si>
  <si>
    <t>Sale: 7.50%</t>
  </si>
  <si>
    <t>29.6</t>
  </si>
  <si>
    <t>30.1</t>
  </si>
  <si>
    <t>Lattelierstore WW</t>
  </si>
  <si>
    <t>https://lattelierstore.com/</t>
  </si>
  <si>
    <t>https://store.admitad.com/webmaster/websites/2166760/offers/25238-lattelierstore-ww/</t>
  </si>
  <si>
    <t>2021-06-11</t>
  </si>
  <si>
    <t>Paid Order: 23.07%</t>
  </si>
  <si>
    <t>CJdropshipping INT</t>
  </si>
  <si>
    <t>https://cjdropshipping.com/</t>
  </si>
  <si>
    <t>https://store.admitad.com/webmaster/websites/2166760/offers/25295-cjdropshipping-int/</t>
  </si>
  <si>
    <t>2021-07-30</t>
  </si>
  <si>
    <t>Online Services &gt; B2B Online Services,Online Services &gt; Other Services,Online Services,Online Services &gt; Fitness</t>
  </si>
  <si>
    <t>Sale: 1.40%</t>
  </si>
  <si>
    <t>0.07</t>
  </si>
  <si>
    <t>81.9</t>
  </si>
  <si>
    <t>112.1</t>
  </si>
  <si>
    <t>Udacity Affiliate Program</t>
  </si>
  <si>
    <t>http://www.udacity.com/</t>
  </si>
  <si>
    <t>https://store.admitad.com/webmaster/websites/2166760/offers/25379-udacity-affiliate-program/</t>
  </si>
  <si>
    <t>2021-07-26</t>
  </si>
  <si>
    <t>Paid order: 1.12-13.40%</t>
  </si>
  <si>
    <t>79.4</t>
  </si>
  <si>
    <t>80.2</t>
  </si>
  <si>
    <t>Elfsight WW</t>
  </si>
  <si>
    <t>https://elfsight.com/</t>
  </si>
  <si>
    <t>https://store.admitad.com/webmaster/websites/2166760/offers/25874-elfsight-ww/</t>
  </si>
  <si>
    <t>2021-10-19</t>
  </si>
  <si>
    <t>Online Services &gt; Other Services,Online Services &gt; IT Services &amp; Soft,Online Services</t>
  </si>
  <si>
    <t>Recurring Subscription: 30.00%, Registration: 0.00USD, Subscription: 30.00%</t>
  </si>
  <si>
    <t>0.21</t>
  </si>
  <si>
    <t>EPROLO WW</t>
  </si>
  <si>
    <t>https://www.eprolo.com/</t>
  </si>
  <si>
    <t>https://store.admitad.com/webmaster/websites/2166760/offers/25879-eprolo-ww/</t>
  </si>
  <si>
    <t>2021-10-18</t>
  </si>
  <si>
    <t>Online Services,Online stores &gt; Pets,Online stores &gt; Apparel, Footwear, Accessories,Online stores &gt; Personal Care &amp; Pharmacy,Online stores &gt; Smart Home,Online stores &gt; Tobacco,Online stores &gt; Sports &amp; Outdoor,Online stores &gt; Car &amp; Bike Accessories,Online stores &gt; Gifts &amp; Flowers,Online stores &gt; Food &amp; Food delivery,Online stores &gt; Furniture &amp; Homeware,Online stores &gt; Toys, Kids &amp; Babies,Online stores &gt; Jewelry &amp; Luxury Goods,Online Services &gt; B2B Online Services,Online stores &gt; Hobby &amp; Stationery,Online stores &gt; Hand &amp; Power tools,Online stores &gt; Books,Online stores,Online stores &gt; Household Appliances &amp; Electronics,Online stores &gt; Cars &amp; Bikes,Online stores &gt; Liquors,Online stores &gt; eHealth,Online stores &gt; Adult,Online stores &gt; Marketplaces (including Chinese Stores)</t>
  </si>
  <si>
    <t>Sale: 2.00%</t>
  </si>
  <si>
    <t>LFG boost [CPS] WW</t>
  </si>
  <si>
    <t>https://lfgboost.com/</t>
  </si>
  <si>
    <t>https://store.admitad.com/webmaster/websites/2166760/offers/26018-lfg-boost-cps-ww/</t>
  </si>
  <si>
    <t>2021-09-01</t>
  </si>
  <si>
    <t>Online Games,Online Games &gt; Console and PC Games</t>
  </si>
  <si>
    <t>First paid order: 19.23%, Repeated paid order: 7.69%</t>
  </si>
  <si>
    <t>Serpstat [CPS] WW</t>
  </si>
  <si>
    <t>https://serpstat.com/</t>
  </si>
  <si>
    <t>https://store.admitad.com/webmaster/websites/2166760/offers/26114-serpstat-cps-ww/</t>
  </si>
  <si>
    <t>2022-02-01</t>
  </si>
  <si>
    <t>Оплаченный заказ пакет Standard: 15.73USD, Оплаченный заказ пакет Enterprise: 15.73USD, Оплаченный заказ пакет Lite: 15.73USD, Оплаченный заказ пакет Advanced: 15.73USD</t>
  </si>
  <si>
    <t>Ki Book Club WW</t>
  </si>
  <si>
    <t>https://meetiris.app/?ref=admitadaffiliatenetwork6</t>
  </si>
  <si>
    <t>https://store.admitad.com/webmaster/websites/2166760/offers/26120-ki-book-club-ww/</t>
  </si>
  <si>
    <t>2021-09-06</t>
  </si>
  <si>
    <t>Online Services,Online Services &gt; Other Services,Online Services &gt; Online Education</t>
  </si>
  <si>
    <t>payed action: 35.00%</t>
  </si>
  <si>
    <t>Price Backers WW</t>
  </si>
  <si>
    <t>https://app.pricebackers.com/?ref=admitadaffiliatenetwork9</t>
  </si>
  <si>
    <t>https://store.admitad.com/webmaster/websites/2166760/offers/26164-price-backers-ww/</t>
  </si>
  <si>
    <t>2021-11-08</t>
  </si>
  <si>
    <t>Online stores &gt; Marketplaces (including Chinese Stores),Online Services,Online Services &gt; Other Services,Online Services &gt; B2B Online Services,Online Services &gt; IT Services &amp; Soft,Online stores &gt; Hand &amp; Power tools,Online stores &gt; Sports &amp; Outdoor,Online stores</t>
  </si>
  <si>
    <t>payed action: 10.50%</t>
  </si>
  <si>
    <t>Silk Maison WW</t>
  </si>
  <si>
    <t>https://www.silkmaison.com/</t>
  </si>
  <si>
    <t>https://store.admitad.com/webmaster/websites/2166760/offers/26177-silk-maison-ww/</t>
  </si>
  <si>
    <t>2022-02-10</t>
  </si>
  <si>
    <t>Paid Order: 20.00%</t>
  </si>
  <si>
    <t>Plesk [CPS] WW</t>
  </si>
  <si>
    <t>https://www.plesk.com/</t>
  </si>
  <si>
    <t>https://store.admitad.com/webmaster/websites/2166760/offers/26225-plesk-cps-ww/</t>
  </si>
  <si>
    <t>2021-11-18</t>
  </si>
  <si>
    <t>Sales: 14.00%</t>
  </si>
  <si>
    <t>hotpizza.gg [CPS] WW</t>
  </si>
  <si>
    <t>https://hotpizza.gg/</t>
  </si>
  <si>
    <t>https://store.admitad.com/webmaster/websites/2166760/offers/26469-hotpizzagg-cps-ww/</t>
  </si>
  <si>
    <t>2021-10-27</t>
  </si>
  <si>
    <t>Deposit: 14.00%</t>
  </si>
  <si>
    <t>0.05</t>
  </si>
  <si>
    <t>Voogueme WW</t>
  </si>
  <si>
    <t>https://www.voogueme.com/</t>
  </si>
  <si>
    <t>https://store.admitad.com/webmaster/websites/2166760/offers/26479-voogueme-ww/</t>
  </si>
  <si>
    <t>2021-10-28</t>
  </si>
  <si>
    <t>Online stores &gt; Marketplaces (including Chinese Stores),Online stores &gt; Apparel, Footwear, Accessories,Online stores</t>
  </si>
  <si>
    <t>Paid Order: 8.00%</t>
  </si>
  <si>
    <t>68.8</t>
  </si>
  <si>
    <t>69.4</t>
  </si>
  <si>
    <t>Xterium: War of Alliances [CPS] Many GEOs</t>
  </si>
  <si>
    <t>https://xterium.com/?pp=xsolla</t>
  </si>
  <si>
    <t>https://store.admitad.com/webmaster/websites/2166760/offers/26480-xterium-war-of-alliances-cps-many-geos/</t>
  </si>
  <si>
    <t>2021-10-29</t>
  </si>
  <si>
    <t>Online Games &gt; Browser &amp; Client Games,Online Games</t>
  </si>
  <si>
    <t>Game Purchase: 28.00%</t>
  </si>
  <si>
    <t>Chernobylite [CPS] Many GEOs</t>
  </si>
  <si>
    <t>https://www.allingames.com/game/chernobylite-xsolla/</t>
  </si>
  <si>
    <t>https://store.admitad.com/webmaster/websites/2166760/offers/26483-chernobylite-cps-many-geos/</t>
  </si>
  <si>
    <t>Steelseries</t>
  </si>
  <si>
    <t>https://steelseries.com</t>
  </si>
  <si>
    <t>https://store.admitad.com/webmaster/websites/2166760/offers/26514-steelseries/</t>
  </si>
  <si>
    <t>2022-02-18</t>
  </si>
  <si>
    <t>Paid Order: 5.00%</t>
  </si>
  <si>
    <t>Hibobi WW Offline Codes</t>
  </si>
  <si>
    <t>https://www.hibobi.com</t>
  </si>
  <si>
    <t>https://store.admitad.com/webmaster/websites/2166760/offers/26894-hibobi-ww-offline-codes/</t>
  </si>
  <si>
    <t>2021-11-24</t>
  </si>
  <si>
    <t>Online stores &gt; Toys, Kids &amp; Babies,Online stores</t>
  </si>
  <si>
    <t>Paid Order WW: 8.40%</t>
  </si>
  <si>
    <t>2900.00</t>
  </si>
  <si>
    <t>216.91</t>
  </si>
  <si>
    <t>21691</t>
  </si>
  <si>
    <t>Pond5 WW</t>
  </si>
  <si>
    <t>https://www.pond5.com/</t>
  </si>
  <si>
    <t>https://store.admitad.com/webmaster/websites/2166760/offers/26906-pond5-ww/</t>
  </si>
  <si>
    <t>2021-12-07</t>
  </si>
  <si>
    <t>Online Services &gt; IT Services &amp; Soft,Online Services,Online Services &gt; Movies &amp; Music</t>
  </si>
  <si>
    <t>Paid order: 4.50%</t>
  </si>
  <si>
    <t>itgen.io</t>
  </si>
  <si>
    <t>https://itgen.io/</t>
  </si>
  <si>
    <t>https://store.admitad.com/webmaster/websites/2166760/offers/27381-itgenio/</t>
  </si>
  <si>
    <t>2022-01-21</t>
  </si>
  <si>
    <t>Online Services,Online Services &gt; Online Education</t>
  </si>
  <si>
    <t>Оплаченная покупка новым учеником: 25.00%, успешно пройденный вводный курс: 17.77BYN</t>
  </si>
  <si>
    <t>Honeylove US</t>
  </si>
  <si>
    <t>http://honeylove.com/</t>
  </si>
  <si>
    <t>https://store.admitad.com/webmaster/websites/2166760/offers/27434-honeylove-us/</t>
  </si>
  <si>
    <t>2022-02-09</t>
  </si>
  <si>
    <t>Paid Order: 10.00%</t>
  </si>
  <si>
    <t>Nadula WW</t>
  </si>
  <si>
    <t>https://www.nadula.com/</t>
  </si>
  <si>
    <t>https://store.admitad.com/webmaster/websites/2166760/offers/27495-nadula-ww/</t>
  </si>
  <si>
    <t>2022-02-11</t>
  </si>
  <si>
    <t>Online stores &gt; Marketplaces (including Chinese Stores),Online stores &gt; Apparel, Footwear, Accessories,Online stores,Online stores &gt; Personal Care &amp; Pharmacy</t>
  </si>
  <si>
    <t>Paid Order: 7.00%</t>
  </si>
  <si>
    <t>Wego Hotels [CPS] Many Geo's</t>
  </si>
  <si>
    <t>https://www.wego.co.in/</t>
  </si>
  <si>
    <t>https://store.admitad.com/webmaster/websites/2166760/offers/27500-wego-hotels-cps-many-geos/</t>
  </si>
  <si>
    <t>2022-02-28</t>
  </si>
  <si>
    <t>Travel &amp; Tourism,Travel &amp; Tourism &gt; Hotels</t>
  </si>
  <si>
    <t>Sale e-store: 1.40USD, 2.09%</t>
  </si>
  <si>
    <t>Litactivewear WW</t>
  </si>
  <si>
    <t>https://litactivewear.com/</t>
  </si>
  <si>
    <t>https://store.admitad.com/webmaster/websites/2166760/offers/27525-litactivewear-ww/</t>
  </si>
  <si>
    <t>2022-01-25</t>
  </si>
  <si>
    <t>Paid Order: 15.00%</t>
  </si>
  <si>
    <t>World of Tanks [SOI, Premium] WW</t>
  </si>
  <si>
    <t>https://worldoftanks.com/</t>
  </si>
  <si>
    <t>https://store.admitad.com/webmaster/websites/2166760/offers/27654-world-of-tanks-soi-premium-ww/</t>
  </si>
  <si>
    <t>Registration: 0.00-10.00USD</t>
  </si>
  <si>
    <t>World of Tanks [CPP, Active] WW</t>
  </si>
  <si>
    <t>https://store.admitad.com/webmaster/websites/2166760/offers/27655-world-of-tanks-cpp-active-ww/</t>
  </si>
  <si>
    <t>Registration: 0.00USD, Active Player: 0.00-12.50USD</t>
  </si>
  <si>
    <t>Alamy WW</t>
  </si>
  <si>
    <t>https://www.alamy.com</t>
  </si>
  <si>
    <t>https://store.admitad.com/webmaster/websites/2166760/offers/22921-alamy-ww/</t>
  </si>
  <si>
    <t>2020-04-17</t>
  </si>
  <si>
    <t>Online stores &gt; Hobby &amp; Stationery,Online stores &gt; Marketplaces (including Chinese Stores),Online stores</t>
  </si>
  <si>
    <t>Paid order: 11.53%</t>
  </si>
  <si>
    <t>1.75</t>
  </si>
  <si>
    <t>11</t>
  </si>
  <si>
    <t>100.5</t>
  </si>
  <si>
    <t>102.2</t>
  </si>
  <si>
    <t>0.2</t>
  </si>
  <si>
    <t>Kdan Mobile WW</t>
  </si>
  <si>
    <t>https://www.kdanmobile.com/</t>
  </si>
  <si>
    <t>https://store.admitad.com/webmaster/websites/2166760/offers/25338-kdan-mobile-ww/</t>
  </si>
  <si>
    <t>2021-11-09</t>
  </si>
  <si>
    <t>Blackshark WW</t>
  </si>
  <si>
    <t>http://global.blackshark.com/</t>
  </si>
  <si>
    <t>https://store.admitad.com/webmaster/websites/2166760/offers/20836-blackshark-ww/</t>
  </si>
  <si>
    <t>2018-12-14</t>
  </si>
  <si>
    <t>Online stores &gt; Marketplaces (including Chinese Stores),Online stores,Online stores &gt; Household Appliances &amp; Electronics</t>
  </si>
  <si>
    <t>Paid Order: 2.50%</t>
  </si>
  <si>
    <t>52.2</t>
  </si>
  <si>
    <t>53.0</t>
  </si>
  <si>
    <t>0.3</t>
  </si>
  <si>
    <t>Paradox WW</t>
  </si>
  <si>
    <t>https://www.paradoxplaza.com/</t>
  </si>
  <si>
    <t>https://store.admitad.com/webmaster/websites/2166760/offers/21708-paradox-ww/</t>
  </si>
  <si>
    <t>2019-07-25</t>
  </si>
  <si>
    <t>Paid order: 6.50%</t>
  </si>
  <si>
    <t>0.62</t>
  </si>
  <si>
    <t>30.5</t>
  </si>
  <si>
    <t>31.0</t>
  </si>
  <si>
    <t>PandaVPN WW</t>
  </si>
  <si>
    <t>https://pandavpnpro.com/</t>
  </si>
  <si>
    <t>https://store.admitad.com/webmaster/websites/2166760/offers/25999-pandavpn-ww/</t>
  </si>
  <si>
    <t>Paid Order: 20.00-40.00%</t>
  </si>
  <si>
    <t>40.0</t>
  </si>
  <si>
    <t>51.3</t>
  </si>
  <si>
    <t>Wavve.co WW</t>
  </si>
  <si>
    <t>https://wavve.co?ref=admitadaffiliatenetwork1</t>
  </si>
  <si>
    <t>https://store.admitad.com/webmaster/websites/2166760/offers/26119-wavveco-ww/</t>
  </si>
  <si>
    <t>Online Services &gt; IT Services &amp; Soft,Online Services &gt; B2B Online Services,Online Services,Online Services &gt; Other Services</t>
  </si>
  <si>
    <t>payed action: 17.50%</t>
  </si>
  <si>
    <t>28.7</t>
  </si>
  <si>
    <t>105.3</t>
  </si>
  <si>
    <t>PostScan Mail WW</t>
  </si>
  <si>
    <t>https://www.postscanmail.com/?ref=admitadaffiliatenetwork4&amp;utm_source=admitadaffiliatenetwork4&amp;utm_campaign=PostScan+Mail+Affiliates</t>
  </si>
  <si>
    <t>https://store.admitad.com/webmaster/websites/2166760/offers/26122-postscan-mail-ww/</t>
  </si>
  <si>
    <t>Online Services &gt; B2B Online Services,Online Services,Online Services &gt; Other Services,Online Services &gt; IT Services &amp; Soft</t>
  </si>
  <si>
    <t>payed action: 25.00USD</t>
  </si>
  <si>
    <t>0.23</t>
  </si>
  <si>
    <t>42.6</t>
  </si>
  <si>
    <t>52.9</t>
  </si>
  <si>
    <t>Space Engineers [CPS] Many GEOs</t>
  </si>
  <si>
    <t>https://www.spaceengineersgame.com/store/</t>
  </si>
  <si>
    <t>https://store.admitad.com/webmaster/websites/2166760/offers/26481-space-engineers-cps-many-geos/</t>
  </si>
  <si>
    <t>PeersTV WW</t>
  </si>
  <si>
    <t>http://peers.tv/</t>
  </si>
  <si>
    <t>https://store.admitad.com/webmaster/websites/2166760/offers/13005-peerstv-ww/</t>
  </si>
  <si>
    <t>2018-08-24</t>
  </si>
  <si>
    <t>Online Services,Online Services &gt; Movies &amp; Music</t>
  </si>
  <si>
    <t>Purchase of paid package: 100.00RUB</t>
  </si>
  <si>
    <t>13</t>
  </si>
  <si>
    <t>20.3</t>
  </si>
  <si>
    <t>0.4</t>
  </si>
  <si>
    <t>iMyFone [CPS] WW</t>
  </si>
  <si>
    <t>https://www.imyfone.com/</t>
  </si>
  <si>
    <t>https://store.admitad.com/webmaster/websites/2166760/offers/23156-imyfone-cps-ww/</t>
  </si>
  <si>
    <t>2020-06-17</t>
  </si>
  <si>
    <t>Online Services,Online Services &gt; IT Services &amp; Soft,Online Services &gt; B2B Online Services</t>
  </si>
  <si>
    <t>Sale: 45.00%</t>
  </si>
  <si>
    <t>0.35</t>
  </si>
  <si>
    <t>5</t>
  </si>
  <si>
    <t>84.2</t>
  </si>
  <si>
    <t>97.3</t>
  </si>
  <si>
    <t>Hetman Software</t>
  </si>
  <si>
    <t>https://hetmanrecovery.com/</t>
  </si>
  <si>
    <t>https://store.admitad.com/webmaster/websites/2166760/offers/24844-hetman-software/</t>
  </si>
  <si>
    <t>2021-06-08</t>
  </si>
  <si>
    <t>Оплаченный заказ: 30.00%</t>
  </si>
  <si>
    <t>17</t>
  </si>
  <si>
    <t>54.1</t>
  </si>
  <si>
    <t>Wayrates WW</t>
  </si>
  <si>
    <t>https://www.wayrates.com/</t>
  </si>
  <si>
    <t>https://store.admitad.com/webmaster/websites/2166760/offers/26846-wayrates-ww/</t>
  </si>
  <si>
    <t>2021-11-26</t>
  </si>
  <si>
    <t>Online stores &gt; Sports &amp; Outdoor,Online stores &gt; Marketplaces (including Chinese Stores),Online stores &gt; Apparel, Footwear, Accessories,Online stores</t>
  </si>
  <si>
    <t>43.8</t>
  </si>
  <si>
    <t>61.6</t>
  </si>
  <si>
    <t>MacXDVD WW</t>
  </si>
  <si>
    <t>https://www.macxdvd.com/</t>
  </si>
  <si>
    <t>https://store.admitad.com/webmaster/websites/2166760/offers/27485-macxdvd-ww/</t>
  </si>
  <si>
    <t>2021-12-30</t>
  </si>
  <si>
    <t>Paid Order: 44.60%</t>
  </si>
  <si>
    <t>Tidebuy WW</t>
  </si>
  <si>
    <t>https://www.tidebuy.com/</t>
  </si>
  <si>
    <t>https://store.admitad.com/webmaster/websites/2166760/offers/15352-tidebuy-ww/</t>
  </si>
  <si>
    <t>2016-08-23</t>
  </si>
  <si>
    <t>Online stores &gt; Apparel, Footwear, Accessories,Online stores,Online stores &gt; Marketplaces (including Chinese Stores),Online stores &gt; Household Appliances &amp; Electronics</t>
  </si>
  <si>
    <t>44.8</t>
  </si>
  <si>
    <t>50.5</t>
  </si>
  <si>
    <t>0.5</t>
  </si>
  <si>
    <t>Wigsbuy.com INT</t>
  </si>
  <si>
    <t>http://shop.wigsbuy.com/</t>
  </si>
  <si>
    <t>https://store.admitad.com/webmaster/websites/2166760/offers/16283-wigsbuy-ww/</t>
  </si>
  <si>
    <t>2016-11-14</t>
  </si>
  <si>
    <t>Online stores &gt; Apparel, Footwear, Accessories,Online stores,Online stores &gt; Marketplaces (including Chinese Stores),Online stores &gt; Personal Care &amp; Pharmacy</t>
  </si>
  <si>
    <t>Paid order: 13.00%</t>
  </si>
  <si>
    <t>31.9</t>
  </si>
  <si>
    <t>59.4</t>
  </si>
  <si>
    <t>Ssense WW</t>
  </si>
  <si>
    <t>https://www.ssense.com/</t>
  </si>
  <si>
    <t>https://store.admitad.com/webmaster/websites/2166760/offers/16891-ssense-ww/</t>
  </si>
  <si>
    <t>2017-10-12</t>
  </si>
  <si>
    <t>Online stores &gt; Pets,Online stores &gt; Furniture &amp; Homeware,Online stores,Online stores &gt; Apparel, Footwear, Accessories,Online stores &gt; Personal Care &amp; Pharmacy</t>
  </si>
  <si>
    <t>Paid order (ESSENTIALS brand items): 4.38%, Full-Price orders  (Discounted orders - 4.38% CPA): 7.00%, Sale orders: 4.38%</t>
  </si>
  <si>
    <t>1.19</t>
  </si>
  <si>
    <t>0.28</t>
  </si>
  <si>
    <t>28</t>
  </si>
  <si>
    <t>130.0</t>
  </si>
  <si>
    <t>131.5</t>
  </si>
  <si>
    <t>Glasseslit WW</t>
  </si>
  <si>
    <t>https://www.glasseslit.com/</t>
  </si>
  <si>
    <t>https://store.admitad.com/webmaster/websites/2166760/offers/17970-glasseslit-ww/</t>
  </si>
  <si>
    <t>2017-08-24</t>
  </si>
  <si>
    <t>Online stores,Online stores &gt; Apparel, Footwear, Accessories,Online stores &gt; Marketplaces (including Chinese Stores)</t>
  </si>
  <si>
    <t>Paid order: 18.00%</t>
  </si>
  <si>
    <t>0.15</t>
  </si>
  <si>
    <t>42.4</t>
  </si>
  <si>
    <t>42.8</t>
  </si>
  <si>
    <t>Teknistore WW</t>
  </si>
  <si>
    <t>https://www.teknistore.com/</t>
  </si>
  <si>
    <t>https://store.admitad.com/webmaster/websites/2166760/offers/18071-teknistore-ww/</t>
  </si>
  <si>
    <t>2018-03-14</t>
  </si>
  <si>
    <t>Online stores,Online stores &gt; Household Appliances &amp; Electronics,Online stores &gt; Marketplaces (including Chinese Stores),Online stores &gt; Toys, Kids &amp; Babies,Online stores &gt; Smart Home,Online stores &gt; Furniture &amp; Homeware</t>
  </si>
  <si>
    <t>Paid Order: 3.80%</t>
  </si>
  <si>
    <t>25.2</t>
  </si>
  <si>
    <t>26.0</t>
  </si>
  <si>
    <t>12go.asia Many Geos</t>
  </si>
  <si>
    <t>https://12go.asia/</t>
  </si>
  <si>
    <t>https://store.admitad.com/webmaster/websites/2166760/offers/18341-12goasia-many-geos/</t>
  </si>
  <si>
    <t>2017-12-01</t>
  </si>
  <si>
    <t>Paid order: 0.60-0.80USD, 2.00-5.00%</t>
  </si>
  <si>
    <t>10.3</t>
  </si>
  <si>
    <t>11.2</t>
  </si>
  <si>
    <t>Eastessence WW</t>
  </si>
  <si>
    <t>http://www.eastessence.com/</t>
  </si>
  <si>
    <t>https://store.admitad.com/webmaster/websites/2166760/offers/18809-eastessence-ww/</t>
  </si>
  <si>
    <t>2017-11-23</t>
  </si>
  <si>
    <t>Paid order: 7.00%</t>
  </si>
  <si>
    <t>0.68</t>
  </si>
  <si>
    <t>22.9</t>
  </si>
  <si>
    <t>62.8</t>
  </si>
  <si>
    <t>Whatwears WW</t>
  </si>
  <si>
    <t>https://www.whatwears.com/</t>
  </si>
  <si>
    <t>https://store.admitad.com/webmaster/websites/2166760/offers/19710-whatwears-ww/</t>
  </si>
  <si>
    <t>2018-06-26</t>
  </si>
  <si>
    <t>Paid Order: 12.00%</t>
  </si>
  <si>
    <t>31.3</t>
  </si>
  <si>
    <t>31.8</t>
  </si>
  <si>
    <t>DiscoverCars WW</t>
  </si>
  <si>
    <t>https://www.discovercars.com</t>
  </si>
  <si>
    <t>https://store.admitad.com/webmaster/websites/2166760/offers/20065-discovercars-ww/</t>
  </si>
  <si>
    <t>2018-08-20</t>
  </si>
  <si>
    <t>Travel &amp; Tourism &gt; Car Rentals,Travel &amp; Tourism</t>
  </si>
  <si>
    <t>Booking: 4.50%, Full coverage: 1.93%</t>
  </si>
  <si>
    <t>1.82</t>
  </si>
  <si>
    <t>83.5</t>
  </si>
  <si>
    <t>86.3</t>
  </si>
  <si>
    <t>Coursera WW</t>
  </si>
  <si>
    <t>https://www.coursera.org/</t>
  </si>
  <si>
    <t>https://store.admitad.com/webmaster/websites/2166760/offers/22998-coursera-ww/</t>
  </si>
  <si>
    <t>Paid action: 7.69%</t>
  </si>
  <si>
    <t>0.53</t>
  </si>
  <si>
    <t>102.8</t>
  </si>
  <si>
    <t>103.3</t>
  </si>
  <si>
    <t>Ivacy VPN [CPS] WW</t>
  </si>
  <si>
    <t>https://www.ivacy.com/</t>
  </si>
  <si>
    <t>https://store.admitad.com/webmaster/websites/2166760/offers/23070-ivacy-vpn-cps-ww/</t>
  </si>
  <si>
    <t>2020-07-31</t>
  </si>
  <si>
    <t>Subscription to a Plan (only desktop): 40.00%</t>
  </si>
  <si>
    <t>83.1</t>
  </si>
  <si>
    <t>Cloudways WW</t>
  </si>
  <si>
    <t>https://www.cloudways.com/</t>
  </si>
  <si>
    <t>https://store.admitad.com/webmaster/websites/2166760/offers/23427-cloudways-ww/</t>
  </si>
  <si>
    <t>2020-12-07</t>
  </si>
  <si>
    <t>Sale: 50.00USD</t>
  </si>
  <si>
    <t>61.0</t>
  </si>
  <si>
    <t>Brilliant WW</t>
  </si>
  <si>
    <t>https://brilliant.org/</t>
  </si>
  <si>
    <t>https://store.admitad.com/webmaster/websites/2166760/offers/24801-brilliant-ww/</t>
  </si>
  <si>
    <t>2021-05-12</t>
  </si>
  <si>
    <t>Trial Subscription (Group 2): 12.50USD, Direct Subscription: 10.00USD, Trial Subcription (Group 1): 25.00USD, Free Trial: 0.76USD</t>
  </si>
  <si>
    <t>0.65</t>
  </si>
  <si>
    <t>77.3</t>
  </si>
  <si>
    <t>Bullguard [CPS] WW</t>
  </si>
  <si>
    <t>https://www.bullguard.com/</t>
  </si>
  <si>
    <t>https://store.admitad.com/webmaster/websites/2166760/offers/25960-bullguard-cps-ww/</t>
  </si>
  <si>
    <t>2021-08-10</t>
  </si>
  <si>
    <t>Sales: 42.00%</t>
  </si>
  <si>
    <t>97.2</t>
  </si>
  <si>
    <t>97.6</t>
  </si>
  <si>
    <t>Glasswire [CPS] WW</t>
  </si>
  <si>
    <t>https://www.glasswire.com/</t>
  </si>
  <si>
    <t>https://store.admitad.com/webmaster/websites/2166760/offers/26226-glasswire-cps-ww/</t>
  </si>
  <si>
    <t>2021-11-30</t>
  </si>
  <si>
    <t>Sales: 28.00%</t>
  </si>
  <si>
    <t>MiniInTheBox WW</t>
  </si>
  <si>
    <t>http://miniinthebox.com/</t>
  </si>
  <si>
    <t>https://store.admitad.com/webmaster/websites/2166760/offers/5711-miniinthebox-ww/</t>
  </si>
  <si>
    <t>2013-08-20</t>
  </si>
  <si>
    <t>Online stores &gt; Personal Care &amp; Pharmacy,Online stores,Online stores &gt; Marketplaces (including Chinese Stores),Online stores &gt; Household Appliances &amp; Electronics</t>
  </si>
  <si>
    <t>Paid Order (in-app): 12.00%, Paid order: 12.00%</t>
  </si>
  <si>
    <t>0.24</t>
  </si>
  <si>
    <t>60.2</t>
  </si>
  <si>
    <t>60.3</t>
  </si>
  <si>
    <t>0.6</t>
  </si>
  <si>
    <t>Vegas WW</t>
  </si>
  <si>
    <t>https://www.vegas.com/</t>
  </si>
  <si>
    <t>https://store.admitad.com/webmaster/websites/2166760/offers/18174-vegas-ww/</t>
  </si>
  <si>
    <t>2017-08-04</t>
  </si>
  <si>
    <t>Travel &amp; Tourism &gt; Flights,Travel &amp; Tourism</t>
  </si>
  <si>
    <t>Paid order: 0.77-5.38%, Paid order ( Car Rentals, Gift Cards, Travel Insurance): 0.01%</t>
  </si>
  <si>
    <t>0.75</t>
  </si>
  <si>
    <t>73.0</t>
  </si>
  <si>
    <t>73.5</t>
  </si>
  <si>
    <t>Adorama WW</t>
  </si>
  <si>
    <t>http://www.adorama.com/</t>
  </si>
  <si>
    <t>https://store.admitad.com/webmaster/websites/2166760/offers/18239-adorama-ww/</t>
  </si>
  <si>
    <t>2017-09-28</t>
  </si>
  <si>
    <t>Online stores,Online stores &gt; Household Appliances &amp; Electronics</t>
  </si>
  <si>
    <t>Paid order: 1.50%</t>
  </si>
  <si>
    <t>63.8</t>
  </si>
  <si>
    <t>64.3</t>
  </si>
  <si>
    <t>Drimsim WW</t>
  </si>
  <si>
    <t>https://drimsim.com/</t>
  </si>
  <si>
    <t>https://store.admitad.com/webmaster/websites/2166760/offers/20342-drimsim-ww/</t>
  </si>
  <si>
    <t>2018-12-11</t>
  </si>
  <si>
    <t>Оплаченный заказ: 3.00-8.00EUR</t>
  </si>
  <si>
    <t>50.6</t>
  </si>
  <si>
    <t>50.8</t>
  </si>
  <si>
    <t>StockX WW</t>
  </si>
  <si>
    <t>https://stockx.com/</t>
  </si>
  <si>
    <t>https://store.admitad.com/webmaster/websites/2166760/offers/21556-stockx-ww/</t>
  </si>
  <si>
    <t>2020-07-14</t>
  </si>
  <si>
    <t>Paid order: 0.00USD, 1.00-4.00%</t>
  </si>
  <si>
    <t>5.08</t>
  </si>
  <si>
    <t>0.27</t>
  </si>
  <si>
    <t>27</t>
  </si>
  <si>
    <t>79.1</t>
  </si>
  <si>
    <t>79.5</t>
  </si>
  <si>
    <t>Deadhaus Sonata [CPS] Many GEOs</t>
  </si>
  <si>
    <t>https://deadhaussonata.com/store/</t>
  </si>
  <si>
    <t>https://store.admitad.com/webmaster/websites/2166760/offers/22848-deadhaus-sonata-cps-many-geos/</t>
  </si>
  <si>
    <t>2020-03-17</t>
  </si>
  <si>
    <t>Cubot WW</t>
  </si>
  <si>
    <t>https://shop.cubot.net/</t>
  </si>
  <si>
    <t>https://store.admitad.com/webmaster/websites/2166760/offers/23008-cubot-ww/</t>
  </si>
  <si>
    <t>2020-06-23</t>
  </si>
  <si>
    <t>Online stores &gt; Marketplaces (including Chinese Stores),Online stores &gt; Household Appliances &amp; Electronics,Online stores</t>
  </si>
  <si>
    <t>Paid Order: 6.00%</t>
  </si>
  <si>
    <t>31.1</t>
  </si>
  <si>
    <t>Transferwise WW</t>
  </si>
  <si>
    <t>https://transferwise.com/</t>
  </si>
  <si>
    <t>https://store.admitad.com/webmaster/websites/2166760/offers/23869-transferwise-ww/</t>
  </si>
  <si>
    <t>Online Services,Online Services &gt; Other Services</t>
  </si>
  <si>
    <t>Money Transfer Borderless Business Cross Currency: 50.00USD, Money Transfer Personal Borderless Cross Currency: 10.00USD</t>
  </si>
  <si>
    <t>19.9</t>
  </si>
  <si>
    <t>20.8</t>
  </si>
  <si>
    <t>lovemachines.ru</t>
  </si>
  <si>
    <t>https://lovemachines.ru/</t>
  </si>
  <si>
    <t>https://store.admitad.com/webmaster/websites/2166760/offers/24667-lovemachinesru/</t>
  </si>
  <si>
    <t>2021-05-07</t>
  </si>
  <si>
    <t>Online stores &gt; Gifts &amp; Flowers,Online stores,Online stores &gt; Household Appliances &amp; Electronics,Online stores &gt; Adult</t>
  </si>
  <si>
    <t>Оплаченный заказ: 7.00%</t>
  </si>
  <si>
    <t>0.47</t>
  </si>
  <si>
    <t>47</t>
  </si>
  <si>
    <t>27.4</t>
  </si>
  <si>
    <t>27.7</t>
  </si>
  <si>
    <t>Hawalili WW</t>
  </si>
  <si>
    <t>https://www.hawalili.com/</t>
  </si>
  <si>
    <t>https://store.admitad.com/webmaster/websites/2166760/offers/24994-hawalili-ww/</t>
  </si>
  <si>
    <t>40.7</t>
  </si>
  <si>
    <t>40.9</t>
  </si>
  <si>
    <t>Difmark WW</t>
  </si>
  <si>
    <t>https://difmark.com/</t>
  </si>
  <si>
    <t>https://store.admitad.com/webmaster/websites/2166760/offers/25861-difmark-ww/</t>
  </si>
  <si>
    <t>2021-08-09</t>
  </si>
  <si>
    <t>39.7</t>
  </si>
  <si>
    <t>39.8</t>
  </si>
  <si>
    <t>WalkLondonShoes WW</t>
  </si>
  <si>
    <t>https://walklondonshoes.com/</t>
  </si>
  <si>
    <t>https://store.admitad.com/webmaster/websites/2166760/offers/26626-walklondonshoes-ww/</t>
  </si>
  <si>
    <t>2021-11-22</t>
  </si>
  <si>
    <t>Sale: 10.00%</t>
  </si>
  <si>
    <t>Hotellook Many Geos</t>
  </si>
  <si>
    <t>http://hotellook.ru/</t>
  </si>
  <si>
    <t>https://store.admitad.com/webmaster/websites/2166760/offers/7741-hotellook-many-geos/</t>
  </si>
  <si>
    <t>2013-11-29</t>
  </si>
  <si>
    <t>Оплаченный заказ : 3.00%</t>
  </si>
  <si>
    <t>1.94</t>
  </si>
  <si>
    <t>8.32</t>
  </si>
  <si>
    <t>832</t>
  </si>
  <si>
    <t>49.5</t>
  </si>
  <si>
    <t>50.0</t>
  </si>
  <si>
    <t>0.7</t>
  </si>
  <si>
    <t>Fernsnpetals [CPS] IN</t>
  </si>
  <si>
    <t>http://www.fnp.com/</t>
  </si>
  <si>
    <t>https://store.admitad.com/webmaster/websites/2166760/offers/16495-fernsnpetals-cps-in/</t>
  </si>
  <si>
    <t>2017-05-11</t>
  </si>
  <si>
    <t>Online stores &gt; Gifts &amp; Flowers,Online stores &gt; Hobby &amp; Stationery,Online stores</t>
  </si>
  <si>
    <t>Sale with NO coupon applied: 8.00%, Sale with a coupon applied: 5.50%</t>
  </si>
  <si>
    <t>3.85</t>
  </si>
  <si>
    <t>2.38</t>
  </si>
  <si>
    <t>238</t>
  </si>
  <si>
    <t>44.0</t>
  </si>
  <si>
    <t>49.1</t>
  </si>
  <si>
    <t>Peggybuy WW</t>
  </si>
  <si>
    <t>https://www.peggybuy.com/</t>
  </si>
  <si>
    <t>https://store.admitad.com/webmaster/websites/2166760/offers/18930-peggybuy-ww/</t>
  </si>
  <si>
    <t>2017-12-22</t>
  </si>
  <si>
    <t>Online stores,Online stores &gt; Toys, Kids &amp; Babies,Online stores &gt; Marketplaces (including Chinese Stores),Online stores &gt; Hobby &amp; Stationery</t>
  </si>
  <si>
    <t>Paid order: 12.00%</t>
  </si>
  <si>
    <t>0.57</t>
  </si>
  <si>
    <t>21.0</t>
  </si>
  <si>
    <t>Desertcart WW</t>
  </si>
  <si>
    <t>https://www.desertcart.ae/</t>
  </si>
  <si>
    <t>https://store.admitad.com/webmaster/websites/2166760/offers/19838-desertcart-ww/</t>
  </si>
  <si>
    <t>2021-02-24</t>
  </si>
  <si>
    <t>Online stores &gt; Apparel, Footwear, Accessories,Online stores &gt; Household Appliances &amp; Electronics,Online stores</t>
  </si>
  <si>
    <t>Paid order: 2.30-3.84%</t>
  </si>
  <si>
    <t>1.77</t>
  </si>
  <si>
    <t>15</t>
  </si>
  <si>
    <t>36.5</t>
  </si>
  <si>
    <t>36.8</t>
  </si>
  <si>
    <t>Redmagic WW</t>
  </si>
  <si>
    <t>http://global.redmagic.gg/</t>
  </si>
  <si>
    <t>https://store.admitad.com/webmaster/websites/2166760/offers/20543-redmagic-ww/</t>
  </si>
  <si>
    <t>2018-11-02</t>
  </si>
  <si>
    <t>Online stores,Online stores &gt; Marketplaces (including Chinese Stores),Online stores &gt; Household Appliances &amp; Electronics</t>
  </si>
  <si>
    <t>Paid order: 3.00%</t>
  </si>
  <si>
    <t>0.26</t>
  </si>
  <si>
    <t>47.8</t>
  </si>
  <si>
    <t>48.5</t>
  </si>
  <si>
    <t>Hostelworld WW</t>
  </si>
  <si>
    <t>https://www.hostelworld.com/</t>
  </si>
  <si>
    <t>https://store.admitad.com/webmaster/websites/2166760/offers/20677-hostelworld-ww/</t>
  </si>
  <si>
    <t>2018-12-24</t>
  </si>
  <si>
    <t>CPA on deposit (paid booking): 30.76%</t>
  </si>
  <si>
    <t>2.75</t>
  </si>
  <si>
    <t>19</t>
  </si>
  <si>
    <t>88.7</t>
  </si>
  <si>
    <t>89.0</t>
  </si>
  <si>
    <t>99designs WW</t>
  </si>
  <si>
    <t>https://99designs.com/</t>
  </si>
  <si>
    <t>https://store.admitad.com/webmaster/websites/2166760/offers/21172-99designs-ww/</t>
  </si>
  <si>
    <t>2019-04-23</t>
  </si>
  <si>
    <t>Online Services,Online Services &gt; Event Tickets &amp; Entertainments</t>
  </si>
  <si>
    <t>Paid order (Project Completed, 1st-click sale): 4.16-20.83USD, Paid order (Contest Launch,1st-click sale): 4.16-50.00USD</t>
  </si>
  <si>
    <t>0.36</t>
  </si>
  <si>
    <t>82.5</t>
  </si>
  <si>
    <t>Battle for the Galaxy [CPS] Many GEOs</t>
  </si>
  <si>
    <t>http://battleforthegalaxy.com/xsolla/</t>
  </si>
  <si>
    <t>https://store.admitad.com/webmaster/websites/2166760/offers/22673-battle-for-the-galaxy-cps-many-geos/</t>
  </si>
  <si>
    <t>2020-02-10</t>
  </si>
  <si>
    <t>Game Purchase: 40.00%</t>
  </si>
  <si>
    <t>60.9</t>
  </si>
  <si>
    <t>Youtravel.me</t>
  </si>
  <si>
    <t>https://youtravel.me/</t>
  </si>
  <si>
    <t>https://store.admitad.com/webmaster/websites/2166760/offers/22709-youtravelme/</t>
  </si>
  <si>
    <t>2020-04-30</t>
  </si>
  <si>
    <t>Travel &amp; Tourism &gt; Car Rentals,Travel &amp; Tourism &gt; Hotels,Travel &amp; Tourism &gt; Package Holidays,Travel &amp; Tourism,Travel &amp; Tourism &gt; Flights</t>
  </si>
  <si>
    <t>Оформленная услуга: 0.00RUB, Оплаченная услуга: 4.00%</t>
  </si>
  <si>
    <t>68</t>
  </si>
  <si>
    <t>51.6</t>
  </si>
  <si>
    <t>52.7</t>
  </si>
  <si>
    <t>NameCheap [CPS] WW</t>
  </si>
  <si>
    <t>https://www.namecheap.com</t>
  </si>
  <si>
    <t>https://store.admitad.com/webmaster/websites/2166760/offers/22887-namecheap-cps-ww/</t>
  </si>
  <si>
    <t>2020-06-26</t>
  </si>
  <si>
    <t>Online Services &gt; B2B Online Services,Online Services,Online Services &gt; IT Services &amp; Soft</t>
  </si>
  <si>
    <t>Sales Namechaep: 0.00-3.67USD, 0.00-12.85%</t>
  </si>
  <si>
    <t>0.72</t>
  </si>
  <si>
    <t>81.8</t>
  </si>
  <si>
    <t>85.5</t>
  </si>
  <si>
    <t>Nordpass WW</t>
  </si>
  <si>
    <t>https://nordpass.com/</t>
  </si>
  <si>
    <t>https://store.admitad.com/webmaster/websites/2166760/offers/22965-nordpass-ww/</t>
  </si>
  <si>
    <t>Online Services &gt; Other Services,Online Services,Online Services &gt; IT Services &amp; Soft</t>
  </si>
  <si>
    <t>Paid order (2 year plan): 7.69-46.15%, Paid order (1 month plan): 7.69-57.69%, Paid order (1 year plan): 7.69-46.15%</t>
  </si>
  <si>
    <t>0.25</t>
  </si>
  <si>
    <t>75.7</t>
  </si>
  <si>
    <t>75.8</t>
  </si>
  <si>
    <t>Wild Terra 2: New Lands [CPS] Many GEOs</t>
  </si>
  <si>
    <t>https://www.wildterra2.com/</t>
  </si>
  <si>
    <t>https://store.admitad.com/webmaster/websites/2166760/offers/23222-wild-terra-2-new-lands-cps-many-geos/</t>
  </si>
  <si>
    <t>2020-06-11</t>
  </si>
  <si>
    <t>Game Purchase: 32.00%</t>
  </si>
  <si>
    <t>22.6</t>
  </si>
  <si>
    <t>23.3</t>
  </si>
  <si>
    <t>Roselinlin WW</t>
  </si>
  <si>
    <t>https://roselinlin.com/</t>
  </si>
  <si>
    <t>https://store.admitad.com/webmaster/websites/2166760/offers/24669-roselinlin-ww/</t>
  </si>
  <si>
    <t>2021-03-18</t>
  </si>
  <si>
    <t>0.30</t>
  </si>
  <si>
    <t>36.9</t>
  </si>
  <si>
    <t>TurboVPN WW</t>
  </si>
  <si>
    <t>https://turbovpn.com/</t>
  </si>
  <si>
    <t>https://store.admitad.com/webmaster/websites/2166760/offers/25249-turbovpn-ww-2/</t>
  </si>
  <si>
    <t>2021-09-29</t>
  </si>
  <si>
    <t>32.2</t>
  </si>
  <si>
    <t>33.7</t>
  </si>
  <si>
    <t>Ru vds WW</t>
  </si>
  <si>
    <t>https://ruvds.com/</t>
  </si>
  <si>
    <t>https://store.admitad.com/webmaster/websites/2166760/offers/15189-ru-vds-ww/</t>
  </si>
  <si>
    <t>2016-04-14</t>
  </si>
  <si>
    <t>Оплаченный заказ за месяц (новый пользователь): 36.00%</t>
  </si>
  <si>
    <t>0.34</t>
  </si>
  <si>
    <t>1.96</t>
  </si>
  <si>
    <t>196</t>
  </si>
  <si>
    <t>24.0</t>
  </si>
  <si>
    <t>24.6</t>
  </si>
  <si>
    <t>0.8</t>
  </si>
  <si>
    <t>Floraexpress</t>
  </si>
  <si>
    <t>https://www.floraexpress.ru/</t>
  </si>
  <si>
    <t>https://store.admitad.com/webmaster/websites/2166760/offers/15218-floraexpress/</t>
  </si>
  <si>
    <t>2016-05-11</t>
  </si>
  <si>
    <t>Online stores,Online stores &gt; Hobby &amp; Stationery</t>
  </si>
  <si>
    <t>Оплаченный заказ: 2.90-5.90%</t>
  </si>
  <si>
    <t>1.08</t>
  </si>
  <si>
    <t>1.87</t>
  </si>
  <si>
    <t>187</t>
  </si>
  <si>
    <t>24.8</t>
  </si>
  <si>
    <t>25.3</t>
  </si>
  <si>
    <t>IGP [CPS] WW</t>
  </si>
  <si>
    <t>http://www.indiangiftsportal.com/</t>
  </si>
  <si>
    <t>https://store.admitad.com/webmaster/websites/2166760/offers/16163-igp-cps-ww/</t>
  </si>
  <si>
    <t>2016-10-21</t>
  </si>
  <si>
    <t>Online stores,Online stores &gt; Gifts &amp; Flowers</t>
  </si>
  <si>
    <t>Paid Order- Old User: 6.50%, Paid Order: New User : 6.50%</t>
  </si>
  <si>
    <t>2.91</t>
  </si>
  <si>
    <t>2.61</t>
  </si>
  <si>
    <t>261</t>
  </si>
  <si>
    <t>35.3</t>
  </si>
  <si>
    <t>36.1</t>
  </si>
  <si>
    <t>Kwork</t>
  </si>
  <si>
    <t>https://kwork.ru/</t>
  </si>
  <si>
    <t>https://store.admitad.com/webmaster/websites/2166760/offers/17413-kwork/</t>
  </si>
  <si>
    <t>2017-06-22</t>
  </si>
  <si>
    <t>Оплата за первый заказ на сайте: 600.00RUB</t>
  </si>
  <si>
    <t>1.21</t>
  </si>
  <si>
    <t>121</t>
  </si>
  <si>
    <t>36.0</t>
  </si>
  <si>
    <t>38.1</t>
  </si>
  <si>
    <t>Macpaw WW</t>
  </si>
  <si>
    <t>https://macpaw.com/</t>
  </si>
  <si>
    <t>https://store.admitad.com/webmaster/websites/2166760/offers/17985-macpaw-ww/</t>
  </si>
  <si>
    <t>2017-07-20</t>
  </si>
  <si>
    <t>Paid Order (CleanMyMac X, CleanMyPC): 15.00EUR, Paid order (WW, Gemini 2, VPN): 35.15%, Paid Order - ClearVPN - 1-Year Subscription (Android): 35.15%, Paid Order - ClearVPN - 1-Year Subscription (iOS): 35.15%, Paid Order - ClearVPN - 1-Month Subscription (Android): 35.15%, Paid Order - ClearVPN - 6-Months Subscription (Android): 35.15%, Paid Order - ClearVPN - 1-Month Subscription (iOS): 35.15%, Paid Order - ClearVPN - 6-Months Subscription (iOS): 35.15%</t>
  </si>
  <si>
    <t>50.3</t>
  </si>
  <si>
    <t>360TotalSecurity WW</t>
  </si>
  <si>
    <t>https://www.360totalsecurity.com/</t>
  </si>
  <si>
    <t>https://store.admitad.com/webmaster/websites/2166760/offers/18363-360totalsecurity-ww/</t>
  </si>
  <si>
    <t>2017-09-04</t>
  </si>
  <si>
    <t>Paid Order: 53.80%</t>
  </si>
  <si>
    <t>0.20</t>
  </si>
  <si>
    <t>28.2</t>
  </si>
  <si>
    <t>Drop WW</t>
  </si>
  <si>
    <t>https://www.massdrop.com/</t>
  </si>
  <si>
    <t>https://store.admitad.com/webmaster/websites/2166760/offers/19350-drop-ww/</t>
  </si>
  <si>
    <t>2018-03-27</t>
  </si>
  <si>
    <t>Online stores &gt; Household Appliances &amp; Electronics,Online stores &gt; Sports &amp; Outdoor,Online stores &gt; Hobby &amp; Stationery,Online stores</t>
  </si>
  <si>
    <t>Paid order: 1.50-7.69%</t>
  </si>
  <si>
    <t>1.03</t>
  </si>
  <si>
    <t>51.5</t>
  </si>
  <si>
    <t>52.0</t>
  </si>
  <si>
    <t>Ericdress WW</t>
  </si>
  <si>
    <t>https://www.ericdress.com/</t>
  </si>
  <si>
    <t>https://store.admitad.com/webmaster/websites/2166760/offers/20949-ericdress-ww/</t>
  </si>
  <si>
    <t>2019-04-30</t>
  </si>
  <si>
    <t>0.54</t>
  </si>
  <si>
    <t>44.4</t>
  </si>
  <si>
    <t>51.2</t>
  </si>
  <si>
    <t>Fanatical WW</t>
  </si>
  <si>
    <t>https://www.fanatical.com/</t>
  </si>
  <si>
    <t>https://store.admitad.com/webmaster/websites/2166760/offers/21238-fanatical-ww/</t>
  </si>
  <si>
    <t>2019-03-05</t>
  </si>
  <si>
    <t>Paid order: 2.00-5.00%</t>
  </si>
  <si>
    <t>3.10</t>
  </si>
  <si>
    <t>34.8</t>
  </si>
  <si>
    <t>Raid: Shadow Legends [CPP] WW</t>
  </si>
  <si>
    <t>https://plarium.com/landings/en/desktop/raid/dragon_fire_a_m_f038_droapp</t>
  </si>
  <si>
    <t>https://store.admitad.com/webmaster/websites/2166760/offers/22811-raid-shadow-legends-cpp-ww/</t>
  </si>
  <si>
    <t>2020-03-10</t>
  </si>
  <si>
    <t>Effective registration: 0.00-1.28USD, purchase: 0.00USD, active player: 0.00USD</t>
  </si>
  <si>
    <t>31.5</t>
  </si>
  <si>
    <t>iQsha RU</t>
  </si>
  <si>
    <t>https://iqsha.ru/</t>
  </si>
  <si>
    <t>https://store.admitad.com/webmaster/websites/2166760/offers/23119-iqsha-ru/</t>
  </si>
  <si>
    <t>2020-07-09</t>
  </si>
  <si>
    <t>Online Services &gt; Event Tickets &amp; Entertainments,Online Services,Online Services &gt; Other Services,Online Services &gt; Online Education</t>
  </si>
  <si>
    <t>Оплаченный заказ: 11.65-17.48%</t>
  </si>
  <si>
    <t>0.64</t>
  </si>
  <si>
    <t>64</t>
  </si>
  <si>
    <t>28.3</t>
  </si>
  <si>
    <t>Justfashionnow WW</t>
  </si>
  <si>
    <t>https://www.justfashionnow.com/</t>
  </si>
  <si>
    <t>https://store.admitad.com/webmaster/websites/2166760/offers/24286-justfashionnow-ww/</t>
  </si>
  <si>
    <t>2021-03-15</t>
  </si>
  <si>
    <t>Online stores &gt; Apparel, Footwear, Accessories,Online stores,Online stores &gt; Marketplaces (including Chinese Stores)</t>
  </si>
  <si>
    <t>37.3</t>
  </si>
  <si>
    <t>Lilicloth WW</t>
  </si>
  <si>
    <t>https://lilicloth.com/</t>
  </si>
  <si>
    <t>https://store.admitad.com/webmaster/websites/2166760/offers/24288-lilicloth-ww/</t>
  </si>
  <si>
    <t>2.07</t>
  </si>
  <si>
    <t>10</t>
  </si>
  <si>
    <t>31.6</t>
  </si>
  <si>
    <t>32.0</t>
  </si>
  <si>
    <t>Mego.travel</t>
  </si>
  <si>
    <t>https://mego.travel/</t>
  </si>
  <si>
    <t>https://store.admitad.com/webmaster/websites/2166760/offers/24677-megotravel/</t>
  </si>
  <si>
    <t>2021-04-07</t>
  </si>
  <si>
    <t>Travel &amp; Tourism &gt; Metasearch Engines,Travel &amp; Tourism &gt; Flights,Travel &amp; Tourism</t>
  </si>
  <si>
    <t>Оплаченный Авиа заказ: 2.00%</t>
  </si>
  <si>
    <t>0.93</t>
  </si>
  <si>
    <t>385</t>
  </si>
  <si>
    <t>29.9</t>
  </si>
  <si>
    <t>30.7</t>
  </si>
  <si>
    <t>Sender.net WW</t>
  </si>
  <si>
    <t>https://www.sender.net?ref=admitadaffiliatenetwork7</t>
  </si>
  <si>
    <t>https://store.admitad.com/webmaster/websites/2166760/offers/26118-sendernet-ww/</t>
  </si>
  <si>
    <t>payed action: 21.00%</t>
  </si>
  <si>
    <t>39.6</t>
  </si>
  <si>
    <t>78.1</t>
  </si>
  <si>
    <t>EaseUS [CPS] WW</t>
  </si>
  <si>
    <t>https://www.easeus.com/</t>
  </si>
  <si>
    <t>https://store.admitad.com/webmaster/websites/2166760/offers/26224-easeus-cps-ww/</t>
  </si>
  <si>
    <t>Sales: 21.00%</t>
  </si>
  <si>
    <t>Marie Fresh Cosmetics Many Geos</t>
  </si>
  <si>
    <t>http://mariefreshcosmetics.com/</t>
  </si>
  <si>
    <t>https://store.admitad.com/webmaster/websites/2166760/offers/26446-marie-fresh-cosmetics-many-geos/</t>
  </si>
  <si>
    <t>Online stores &gt; Personal Care &amp; Pharmacy,Online stores</t>
  </si>
  <si>
    <t>Оплаченный заказ без скидки: 11.90%, Оплаченный товар со скидкой: 4.90%</t>
  </si>
  <si>
    <t>1.04</t>
  </si>
  <si>
    <t>104</t>
  </si>
  <si>
    <t>26.7</t>
  </si>
  <si>
    <t>J.ing WW</t>
  </si>
  <si>
    <t>https://jingus.com/</t>
  </si>
  <si>
    <t>https://store.admitad.com/webmaster/websites/2166760/offers/26470-jing-ww/</t>
  </si>
  <si>
    <t>2021-10-25</t>
  </si>
  <si>
    <t>Paid Order: 13.00%</t>
  </si>
  <si>
    <t>0.32</t>
  </si>
  <si>
    <t>34.5</t>
  </si>
  <si>
    <t>34.6</t>
  </si>
  <si>
    <t>Biba [CPS] IN</t>
  </si>
  <si>
    <t>http://biba.in/</t>
  </si>
  <si>
    <t>https://store.admitad.com/webmaster/websites/2166760/offers/16236-biba-cps-in/</t>
  </si>
  <si>
    <t>2016-11-02</t>
  </si>
  <si>
    <t>Sale : 8.50-10.00%</t>
  </si>
  <si>
    <t>0.52</t>
  </si>
  <si>
    <t>2.77</t>
  </si>
  <si>
    <t>277</t>
  </si>
  <si>
    <t>41.5</t>
  </si>
  <si>
    <t>0.9</t>
  </si>
  <si>
    <t>hidemy.name</t>
  </si>
  <si>
    <t>https://hidemyna.me/ru/vpn/</t>
  </si>
  <si>
    <t>https://store.admitad.com/webmaster/websites/2166760/offers/17887-hidemyname/</t>
  </si>
  <si>
    <t>2017-08-09</t>
  </si>
  <si>
    <t>Оплаченный тариф (Старый клиент): 25.00%, Оплаченный тариф (Новый клиент): 30.00-50.00%</t>
  </si>
  <si>
    <t>0.70</t>
  </si>
  <si>
    <t>3.16</t>
  </si>
  <si>
    <t>316</t>
  </si>
  <si>
    <t>57.6</t>
  </si>
  <si>
    <t>59.2</t>
  </si>
  <si>
    <t>Kiwi.com Many GEO's</t>
  </si>
  <si>
    <t>http://kiwi.com/</t>
  </si>
  <si>
    <t>https://store.admitad.com/webmaster/websites/2166760/offers/18696-kiwicom-many-geos/</t>
  </si>
  <si>
    <t>2017-12-05</t>
  </si>
  <si>
    <t>Paid order (mobile device): 3.00%, Paid order: 3.00%</t>
  </si>
  <si>
    <t>52.3</t>
  </si>
  <si>
    <t>55.0</t>
  </si>
  <si>
    <t>Maed.ru</t>
  </si>
  <si>
    <t>https://maed.ru/</t>
  </si>
  <si>
    <t>https://store.admitad.com/webmaster/websites/2166760/offers/19827-maedru/</t>
  </si>
  <si>
    <t>2021-04-23</t>
  </si>
  <si>
    <t>Women's Day 2022,Online Services,Online Services &gt; Other Services,Online Services &gt; Online Education</t>
  </si>
  <si>
    <t>Оплаченный курс: 26.25%</t>
  </si>
  <si>
    <t>8.55</t>
  </si>
  <si>
    <t>855</t>
  </si>
  <si>
    <t>35.1</t>
  </si>
  <si>
    <t>35.7</t>
  </si>
  <si>
    <t>Blackview WW</t>
  </si>
  <si>
    <t>https://store.blackview.hk/en</t>
  </si>
  <si>
    <t>https://store.admitad.com/webmaster/websites/2166760/offers/19861-blackview-ww/</t>
  </si>
  <si>
    <t>2021-09-20</t>
  </si>
  <si>
    <t>Online stores &gt; Household Appliances &amp; Electronics,Online stores &gt; Marketplaces (including Chinese Stores),Online stores</t>
  </si>
  <si>
    <t>56.4</t>
  </si>
  <si>
    <t>65.1</t>
  </si>
  <si>
    <t xml:space="preserve"> Compensair</t>
  </si>
  <si>
    <t>https://www.compensair.com/en/check-flight.html</t>
  </si>
  <si>
    <t>https://store.admitad.com/webmaster/websites/2166760/offers/21539-compensair-many-geos/</t>
  </si>
  <si>
    <t>Online Services,Online Services &gt; Other Services,Travel &amp; Tourism,Travel &amp; Tourism &gt; Flights</t>
  </si>
  <si>
    <t>Confirmed application: 12.00-20.00EUR</t>
  </si>
  <si>
    <t>0.60</t>
  </si>
  <si>
    <t>7</t>
  </si>
  <si>
    <t>53.7</t>
  </si>
  <si>
    <t>TutorOnline RU</t>
  </si>
  <si>
    <t>https://www.tutoronline.ru/</t>
  </si>
  <si>
    <t>https://store.admitad.com/webmaster/websites/2166760/offers/23077-tutoronline-ru/</t>
  </si>
  <si>
    <t>2020-08-10</t>
  </si>
  <si>
    <t>Women's Day 2022,Online Services &gt; Online Education,Online Services</t>
  </si>
  <si>
    <t>Оплаченный заказ: 1050.00-7500.00RUB</t>
  </si>
  <si>
    <t>0.42</t>
  </si>
  <si>
    <t>10.89</t>
  </si>
  <si>
    <t>1089</t>
  </si>
  <si>
    <t>43.3</t>
  </si>
  <si>
    <t>Kamaayurveda [CPS] WW</t>
  </si>
  <si>
    <t>https://www.kamaayurveda.com/</t>
  </si>
  <si>
    <t>https://store.admitad.com/webmaster/websites/2166760/offers/23477-kamaayurveda-cps-ww/</t>
  </si>
  <si>
    <t>2020-08-18</t>
  </si>
  <si>
    <t>Online stores,Online stores &gt; Personal Care &amp; Pharmacy</t>
  </si>
  <si>
    <t>Paid Order: 22.00%</t>
  </si>
  <si>
    <t>2.47</t>
  </si>
  <si>
    <t>11.49</t>
  </si>
  <si>
    <t>1149</t>
  </si>
  <si>
    <t>47.4</t>
  </si>
  <si>
    <t>98.2</t>
  </si>
  <si>
    <t>Stylewe WW</t>
  </si>
  <si>
    <t>https://www.stylewe.com/</t>
  </si>
  <si>
    <t>https://store.admitad.com/webmaster/websites/2166760/offers/24295-stylewe-ww/</t>
  </si>
  <si>
    <t>35.4</t>
  </si>
  <si>
    <t>35.6</t>
  </si>
  <si>
    <t>Advance-club</t>
  </si>
  <si>
    <t>https://advance-club.ru/</t>
  </si>
  <si>
    <t>https://store.admitad.com/webmaster/websites/2166760/offers/24762-advance-club/</t>
  </si>
  <si>
    <t>2021-07-19</t>
  </si>
  <si>
    <t>Оплаченный заказ: 14.58%</t>
  </si>
  <si>
    <t>6.40</t>
  </si>
  <si>
    <t>640</t>
  </si>
  <si>
    <t>44.2</t>
  </si>
  <si>
    <t>SF Education</t>
  </si>
  <si>
    <t>https://sf.education/</t>
  </si>
  <si>
    <t>https://store.admitad.com/webmaster/websites/2166760/offers/25141-sf-education/</t>
  </si>
  <si>
    <t>2021-08-11</t>
  </si>
  <si>
    <t>Регистрация на бесплатный курс: 0.00RUB, Оплаченный заказ: 15.00%, Заявка на платный курс: 0.00RUB</t>
  </si>
  <si>
    <t>5.14</t>
  </si>
  <si>
    <t>5.59</t>
  </si>
  <si>
    <t>559</t>
  </si>
  <si>
    <t>1.7</t>
  </si>
  <si>
    <t>10.2</t>
  </si>
  <si>
    <t>Saramart WW</t>
  </si>
  <si>
    <t>https://www.saramart.com/</t>
  </si>
  <si>
    <t>https://store.admitad.com/webmaster/websites/2166760/offers/25572-saramart-ww/</t>
  </si>
  <si>
    <t>2021-07-29</t>
  </si>
  <si>
    <t>Online stores &gt; Apparel, Footwear, Accessories,Online stores &gt; Marketplaces (including Chinese Stores),Online stores,Online stores &gt; Household Appliances &amp; Electronics</t>
  </si>
  <si>
    <t>Paid Order: 10.00-12.00%</t>
  </si>
  <si>
    <t>1.13</t>
  </si>
  <si>
    <t>58.2</t>
  </si>
  <si>
    <t>WinXDVD WW</t>
  </si>
  <si>
    <t>https://www.winxdvd.com/</t>
  </si>
  <si>
    <t>https://store.admitad.com/webmaster/websites/2166760/offers/26434-winxdvd-ww/</t>
  </si>
  <si>
    <t>2021-11-19</t>
  </si>
  <si>
    <t>Paid Order: 46.40%</t>
  </si>
  <si>
    <t>24.1</t>
  </si>
  <si>
    <t>24.2</t>
  </si>
  <si>
    <t>Викиум</t>
  </si>
  <si>
    <t>https://wikium.ru/</t>
  </si>
  <si>
    <t>https://store.admitad.com/webmaster/websites/2166760/offers/15098-vikium/</t>
  </si>
  <si>
    <t>2016-04-15</t>
  </si>
  <si>
    <t>Women's Day 2022,Online Services,Online Services &gt; Online Education</t>
  </si>
  <si>
    <t>Подтвержденное действие : 2850.00RUB, 24.00-67.50%, Регистрация на бесплатный вебинар: 72.00RUB, Продажа с вебинара: 0.00RUB</t>
  </si>
  <si>
    <t>2.50</t>
  </si>
  <si>
    <t>3.21</t>
  </si>
  <si>
    <t>321</t>
  </si>
  <si>
    <t>26.8</t>
  </si>
  <si>
    <t>27.1</t>
  </si>
  <si>
    <t>1.0</t>
  </si>
  <si>
    <t>Edureka [CPS] WW</t>
  </si>
  <si>
    <t>https://www.edureka.co/</t>
  </si>
  <si>
    <t>https://store.admitad.com/webmaster/websites/2166760/offers/23097-edureka-cps-ww/</t>
  </si>
  <si>
    <t>2020-06-08</t>
  </si>
  <si>
    <t>Sales: 16.00%</t>
  </si>
  <si>
    <t>2.42</t>
  </si>
  <si>
    <t>242</t>
  </si>
  <si>
    <t>96.2</t>
  </si>
  <si>
    <t>Knowfashionstyle WW</t>
  </si>
  <si>
    <t>https://www.knowfashionstyle.com/</t>
  </si>
  <si>
    <t>https://store.admitad.com/webmaster/websites/2166760/offers/23111-knowfashionstyle-ww/</t>
  </si>
  <si>
    <t>2020-06-04</t>
  </si>
  <si>
    <t>Paid Order (existing user): 12.00%, Paid Order (new user): 13.00%</t>
  </si>
  <si>
    <t>0.55</t>
  </si>
  <si>
    <t>25.4</t>
  </si>
  <si>
    <t>25.8</t>
  </si>
  <si>
    <t>Italojewerly WW</t>
  </si>
  <si>
    <t>https://www.italojewelry.com/</t>
  </si>
  <si>
    <t>https://store.admitad.com/webmaster/websites/2166760/offers/23964-italojewerly-ww/</t>
  </si>
  <si>
    <t>2020-11-12</t>
  </si>
  <si>
    <t>Online stores,Online stores &gt; Apparel, Footwear, Accessories,Online stores &gt; Marketplaces (including Chinese Stores),Online stores &gt; Jewelry &amp; Luxury Goods</t>
  </si>
  <si>
    <t>42.7</t>
  </si>
  <si>
    <t>46.3</t>
  </si>
  <si>
    <t>Tomtop WW</t>
  </si>
  <si>
    <t>http://tomtop.com/</t>
  </si>
  <si>
    <t>https://store.admitad.com/webmaster/websites/2166760/offers/14350-tomtop-ww/</t>
  </si>
  <si>
    <t>2015-12-21</t>
  </si>
  <si>
    <t>Online stores,Online stores &gt; Household Appliances &amp; Electronics,Online stores &gt; Marketplaces (including Chinese Stores)</t>
  </si>
  <si>
    <t>Paid order: 8.00%, Confirmed purchase from APP: 8.00%</t>
  </si>
  <si>
    <t>37.8</t>
  </si>
  <si>
    <t>38.4</t>
  </si>
  <si>
    <t>1.1</t>
  </si>
  <si>
    <t>TVC-mall WW</t>
  </si>
  <si>
    <t>https://www.tvc-mall.com/</t>
  </si>
  <si>
    <t>https://store.admitad.com/webmaster/websites/2166760/offers/16145-tvc-mall-ww/</t>
  </si>
  <si>
    <t>2016-11-22</t>
  </si>
  <si>
    <t>Vendor bonus: Smart Electronics: 11.00%, New Customer : 8.00%, Existing Customer: 6.00%</t>
  </si>
  <si>
    <t>28.8</t>
  </si>
  <si>
    <t>Bitdefender WW</t>
  </si>
  <si>
    <t>https://www.bitdefender.com/</t>
  </si>
  <si>
    <t>https://store.admitad.com/webmaster/websites/2166760/offers/18421-bitdefender-ww/</t>
  </si>
  <si>
    <t>2017-09-21</t>
  </si>
  <si>
    <t>Paid Order: 0.00EUR, 0.00-38.46%</t>
  </si>
  <si>
    <t>0.95</t>
  </si>
  <si>
    <t>23.2</t>
  </si>
  <si>
    <t>Sunsky-online WW</t>
  </si>
  <si>
    <t>https://www.sunsky-online.com/</t>
  </si>
  <si>
    <t>https://store.admitad.com/webmaster/websites/2166760/offers/18428-sunsky-online-ww/</t>
  </si>
  <si>
    <t>2017-09-27</t>
  </si>
  <si>
    <t>0.38</t>
  </si>
  <si>
    <t>43.0</t>
  </si>
  <si>
    <t>Lovelywholesale WW</t>
  </si>
  <si>
    <t>https://www.lovelywholesale.com/</t>
  </si>
  <si>
    <t>https://store.admitad.com/webmaster/websites/2166760/offers/18541-lovelywholesale-ww/</t>
  </si>
  <si>
    <t>2017-12-20</t>
  </si>
  <si>
    <t>Online stores &gt; Marketplaces (including Chinese Stores),Online stores,Online stores &gt; Apparel, Footwear, Accessories</t>
  </si>
  <si>
    <t>0.66</t>
  </si>
  <si>
    <t>26.5</t>
  </si>
  <si>
    <t>33.1</t>
  </si>
  <si>
    <t>Envato WW</t>
  </si>
  <si>
    <t>https://envato.com/</t>
  </si>
  <si>
    <t>https://store.admitad.com/webmaster/websites/2166760/offers/19009-envato-ww/</t>
  </si>
  <si>
    <t>2017-12-27</t>
  </si>
  <si>
    <t>SIGN UP: 0.00EUR, First Subscription: 0.00EUR, Subscription payment: 0.00-108.00EUR</t>
  </si>
  <si>
    <t>63.5</t>
  </si>
  <si>
    <t>65.8</t>
  </si>
  <si>
    <t xml:space="preserve">Tez Tour WW </t>
  </si>
  <si>
    <t>https://tez-tour.com/</t>
  </si>
  <si>
    <t>https://store.admitad.com/webmaster/websites/2166760/offers/19038-tez-tour-ww/</t>
  </si>
  <si>
    <t>2018-03-29</t>
  </si>
  <si>
    <t>Travel &amp; Tourism &gt; Package Holidays,Travel &amp; Tourism</t>
  </si>
  <si>
    <t>Paid tour package (regular flight): 3.46%, Paid tour package (charter): 3.60%, Air ticket: 1.92%, Excursion: 7.69%, Car rental: 4.62%, Transfer: 6.92%, Paid hotel booking: 6.15%</t>
  </si>
  <si>
    <t>8.74</t>
  </si>
  <si>
    <t>874</t>
  </si>
  <si>
    <t>Часы Молния Many GEOs</t>
  </si>
  <si>
    <t>https://molnija.shop/?utm_source=admitad&amp;utm_medium=cpa&amp;utm_campaign={{publisher_id}}&amp;tagtag_uid={{admitad_uid}}</t>
  </si>
  <si>
    <t>https://store.admitad.com/webmaster/websites/2166760/offers/23259-chasy-molniia-many-geos/</t>
  </si>
  <si>
    <t>2020-07-28</t>
  </si>
  <si>
    <t>Online stores &gt; Jewelry &amp; Luxury Goods,Men’s Week 2022,Online stores &gt; Apparel, Footwear, Accessories,Online stores</t>
  </si>
  <si>
    <t>Оплаченный заказ: 8.75%</t>
  </si>
  <si>
    <t>4.44</t>
  </si>
  <si>
    <t>444</t>
  </si>
  <si>
    <t>23.9</t>
  </si>
  <si>
    <t>Trip.com WW</t>
  </si>
  <si>
    <t>https://trip.com/</t>
  </si>
  <si>
    <t>https://store.admitad.com/webmaster/websites/2166760/offers/23733-tripcom-ww/</t>
  </si>
  <si>
    <t>2021-02-01</t>
  </si>
  <si>
    <t>Travel &amp; Tourism &gt; Hotels,Travel &amp; Tourism &gt; Package Holidays,Travel &amp; Tourism,Travel &amp; Tourism &gt; Flights</t>
  </si>
  <si>
    <t>China Domestic Train, Booking: 1.05USD, Hotel bookings: 5.50%, International Flight: 1.00%, Other Activities: 3.50%, China Domestic Flight, Ticket: 0.42USD, Attractions &amp; Shows: 2.10%</t>
  </si>
  <si>
    <t>0.63</t>
  </si>
  <si>
    <t>46.8</t>
  </si>
  <si>
    <t>Etihad [CPS] WW</t>
  </si>
  <si>
    <t>https://www.etihad.com/</t>
  </si>
  <si>
    <t>https://store.admitad.com/webmaster/websites/2166760/offers/24018-etihad-cps-ww/</t>
  </si>
  <si>
    <t>2021-03-24</t>
  </si>
  <si>
    <t>Sale: 1.90%</t>
  </si>
  <si>
    <t>79.9</t>
  </si>
  <si>
    <t>90.8</t>
  </si>
  <si>
    <t>Planner5d WW</t>
  </si>
  <si>
    <t>https://planner5d.com/</t>
  </si>
  <si>
    <t>https://store.admitad.com/webmaster/websites/2166760/offers/25131-planner5d-ww/</t>
  </si>
  <si>
    <t>2021-07-21</t>
  </si>
  <si>
    <t>Online Services &gt; Online Education,Online Services,Online Services &gt; IT Services &amp; Soft,Online Services &gt; Other Services</t>
  </si>
  <si>
    <t>Sale (Paid Order): 25.00%</t>
  </si>
  <si>
    <t>46.4</t>
  </si>
  <si>
    <t>58.8</t>
  </si>
  <si>
    <t>Wholesale21 WW</t>
  </si>
  <si>
    <t>https://www.wholesale21.com/</t>
  </si>
  <si>
    <t>https://store.admitad.com/webmaster/websites/2166760/offers/25258-wholesale21-ww/</t>
  </si>
  <si>
    <t>2021-06-15</t>
  </si>
  <si>
    <t>Paid Order (existing user): 9.00%, Paid Order (new user): 10.00%</t>
  </si>
  <si>
    <t>30.0</t>
  </si>
  <si>
    <t>Lichi</t>
  </si>
  <si>
    <t>https://lichi.com/</t>
  </si>
  <si>
    <t>https://store.admitad.com/webmaster/websites/2166760/offers/26109-lichi/</t>
  </si>
  <si>
    <t>Online stores</t>
  </si>
  <si>
    <t>Оплаченный заказ: 10.00%</t>
  </si>
  <si>
    <t>2.12</t>
  </si>
  <si>
    <t>212</t>
  </si>
  <si>
    <t>Лабиринт</t>
  </si>
  <si>
    <t>http://labirint.ru/</t>
  </si>
  <si>
    <t>https://store.admitad.com/webmaster/websites/2166760/offers/1816-labirint/</t>
  </si>
  <si>
    <t>2016-06-27</t>
  </si>
  <si>
    <t>Online stores,Online stores &gt; Books</t>
  </si>
  <si>
    <t>Оплаченный заказ: 2.00-10.00%</t>
  </si>
  <si>
    <t>4.27</t>
  </si>
  <si>
    <t>3.18</t>
  </si>
  <si>
    <t>318</t>
  </si>
  <si>
    <t>33.5</t>
  </si>
  <si>
    <t>1.2</t>
  </si>
  <si>
    <t>Gepur WW</t>
  </si>
  <si>
    <t>https://gepur.com/</t>
  </si>
  <si>
    <t>https://store.admitad.com/webmaster/websites/2166760/offers/17514-gepur-ua/</t>
  </si>
  <si>
    <t>2018-06-15</t>
  </si>
  <si>
    <t>Оплаченный заказ: 1.00-10.00%</t>
  </si>
  <si>
    <t>1.76</t>
  </si>
  <si>
    <t>1.35</t>
  </si>
  <si>
    <t>135</t>
  </si>
  <si>
    <t>24.9</t>
  </si>
  <si>
    <t>25.7</t>
  </si>
  <si>
    <t>Uniplaces WW</t>
  </si>
  <si>
    <t>https://www.uniplaces.com/</t>
  </si>
  <si>
    <t>https://store.admitad.com/webmaster/websites/2166760/offers/20793-uniplaces-cps-ww/</t>
  </si>
  <si>
    <t>2019-02-11</t>
  </si>
  <si>
    <t>Travel &amp; Tourism &gt; Vacation Rentals,Travel &amp; Tourism &gt; Hotels,Travel &amp; Tourism</t>
  </si>
  <si>
    <t>Paid booking (rev.share): 11.53%</t>
  </si>
  <si>
    <t>1.10</t>
  </si>
  <si>
    <t>0.18</t>
  </si>
  <si>
    <t>18</t>
  </si>
  <si>
    <t>32.6</t>
  </si>
  <si>
    <t>33.2</t>
  </si>
  <si>
    <t>Trainline WW</t>
  </si>
  <si>
    <t>https://www.trainline.eu/</t>
  </si>
  <si>
    <t>https://store.admitad.com/webmaster/websites/2166760/offers/20807-trainline-ww/</t>
  </si>
  <si>
    <t>2018-12-21</t>
  </si>
  <si>
    <t>Promo code: 0.76%, Train ticket sale (existing customer): 0.38%, Train ticket sale (new customer): 3.07%</t>
  </si>
  <si>
    <t>2.34</t>
  </si>
  <si>
    <t>35.8</t>
  </si>
  <si>
    <t>73.7</t>
  </si>
  <si>
    <t>Udemy WW</t>
  </si>
  <si>
    <t>https://www.udemy.com/</t>
  </si>
  <si>
    <t>https://store.admitad.com/webmaster/websites/2166760/offers/22448-udemy-ww/</t>
  </si>
  <si>
    <t>2020-03-27</t>
  </si>
  <si>
    <t>Paid course: 10.00%</t>
  </si>
  <si>
    <t>1.58</t>
  </si>
  <si>
    <t>1.15</t>
  </si>
  <si>
    <t>115</t>
  </si>
  <si>
    <t>71.0</t>
  </si>
  <si>
    <t>77.4</t>
  </si>
  <si>
    <t>IU.RU</t>
  </si>
  <si>
    <t>https://iu.ru/</t>
  </si>
  <si>
    <t>https://store.admitad.com/webmaster/websites/2166760/offers/24346-iuru/</t>
  </si>
  <si>
    <t>2021-05-18</t>
  </si>
  <si>
    <t>Online Services</t>
  </si>
  <si>
    <t>Оплаченная заявка на занятие: 11.67%</t>
  </si>
  <si>
    <t>6.45</t>
  </si>
  <si>
    <t>645</t>
  </si>
  <si>
    <t>34.9</t>
  </si>
  <si>
    <t>italki WW</t>
  </si>
  <si>
    <t>https://www.italki.com/</t>
  </si>
  <si>
    <t>https://store.admitad.com/webmaster/websites/2166760/offers/24736-italki-ww/</t>
  </si>
  <si>
    <t>2021-08-24</t>
  </si>
  <si>
    <t>Online stores &gt; Marketplaces (including Chinese Stores),Online stores,Online Services,Online Services &gt; Online Education</t>
  </si>
  <si>
    <t>Paid Order (new student first purchase): 18.00USD</t>
  </si>
  <si>
    <t>0.49</t>
  </si>
  <si>
    <t>27.6</t>
  </si>
  <si>
    <t>Itead WW</t>
  </si>
  <si>
    <t>https://www.itead.cc/</t>
  </si>
  <si>
    <t>https://store.admitad.com/webmaster/websites/2166760/offers/24851-itead-ww/</t>
  </si>
  <si>
    <t>2021-07-09</t>
  </si>
  <si>
    <t>Paid Order: 0.00-12.00%, Vendor Bonus: SONOFF NSPanel Smart Scene Wall Switch: 15.00%</t>
  </si>
  <si>
    <t>1.49</t>
  </si>
  <si>
    <t>51.4</t>
  </si>
  <si>
    <t>OWN3D.TV: Shop for Game Live Streamers [CPS] Many GEOs</t>
  </si>
  <si>
    <t>https://www.own3d.tv/</t>
  </si>
  <si>
    <t>https://store.admitad.com/webmaster/websites/2166760/offers/24940-own3dtv-shop-for-game-live-streamers-cps-many-geos/</t>
  </si>
  <si>
    <t>Purchase: 24.00%</t>
  </si>
  <si>
    <t>0.86</t>
  </si>
  <si>
    <t>Techwearclub WW</t>
  </si>
  <si>
    <t>https://www.techwearclub.com/</t>
  </si>
  <si>
    <t>https://store.admitad.com/webmaster/websites/2166760/offers/25007-techwearclub-ww/</t>
  </si>
  <si>
    <t>2021-06-03</t>
  </si>
  <si>
    <t>0.43</t>
  </si>
  <si>
    <t>55.4</t>
  </si>
  <si>
    <t>Zolucky WW</t>
  </si>
  <si>
    <t>https://www.zolucky.com/</t>
  </si>
  <si>
    <t>https://store.admitad.com/webmaster/websites/2166760/offers/26167-zolucky-ww/</t>
  </si>
  <si>
    <t>0.50</t>
  </si>
  <si>
    <t>37.6</t>
  </si>
  <si>
    <t>37.9</t>
  </si>
  <si>
    <t>Eastar-music WW</t>
  </si>
  <si>
    <t>https://eastar-music.com/</t>
  </si>
  <si>
    <t>https://store.admitad.com/webmaster/websites/2166760/offers/26617-eastar-music-ww/</t>
  </si>
  <si>
    <t>2021-11-15</t>
  </si>
  <si>
    <t>Online stores,Online stores &gt; Marketplaces (including Chinese Stores),Online stores &gt; Hobby &amp; Stationery,Online stores &gt; Household Appliances &amp; Electronics</t>
  </si>
  <si>
    <t>33.0</t>
  </si>
  <si>
    <t>Milanoo WW</t>
  </si>
  <si>
    <t>http://www.milanoo.com/</t>
  </si>
  <si>
    <t>https://store.admitad.com/webmaster/websites/2166760/offers/18350-milanoo-ww/</t>
  </si>
  <si>
    <t>2017-09-25</t>
  </si>
  <si>
    <t>0.46</t>
  </si>
  <si>
    <t>30.9</t>
  </si>
  <si>
    <t>1.3</t>
  </si>
  <si>
    <t>Depositphotos [CPS] WW</t>
  </si>
  <si>
    <t>http://depositphotos.com/</t>
  </si>
  <si>
    <t>https://store.admitad.com/webmaster/websites/2166760/offers/17314-depositphotos-cps-ww/</t>
  </si>
  <si>
    <t>2017-08-21</t>
  </si>
  <si>
    <t>Online Services &gt; IT Services &amp; Soft,Online Services &gt; Online Education,Online Services &gt; Other Services,Online Services</t>
  </si>
  <si>
    <t>Оплаченный заказ: 23.00-29.99%</t>
  </si>
  <si>
    <t>0.78</t>
  </si>
  <si>
    <t>23.4</t>
  </si>
  <si>
    <t>1.4</t>
  </si>
  <si>
    <t>RaynaTours Many Geos</t>
  </si>
  <si>
    <t>https://www.raynatours.com/</t>
  </si>
  <si>
    <t>https://store.admitad.com/webmaster/websites/2166760/offers/18183-raynatours-many-geos/</t>
  </si>
  <si>
    <t>2017-08-10</t>
  </si>
  <si>
    <t>Travel &amp; Tourism &gt; Hotels,Travel &amp; Tourism</t>
  </si>
  <si>
    <t>Paid order: 8.00%</t>
  </si>
  <si>
    <t>NordVPN WW</t>
  </si>
  <si>
    <t>https://nordvpn.com/</t>
  </si>
  <si>
    <t>https://store.admitad.com/webmaster/websites/2166760/offers/18867-nordvpn-ww/</t>
  </si>
  <si>
    <t>2017-11-22</t>
  </si>
  <si>
    <t>Men’s Week 2022,Online Services &gt; IT Services &amp; Soft,Online Services</t>
  </si>
  <si>
    <t>Paid order: 43.95%</t>
  </si>
  <si>
    <t>75.9</t>
  </si>
  <si>
    <t>76.0</t>
  </si>
  <si>
    <t>PatPat WW</t>
  </si>
  <si>
    <t>https://www.patpat.com/</t>
  </si>
  <si>
    <t>https://store.admitad.com/webmaster/websites/2166760/offers/19992-patpat-ww/</t>
  </si>
  <si>
    <t>2018-10-23</t>
  </si>
  <si>
    <t>Mobile App: 13.00%, Paid order new client: 13.00%, Mobile App (Coupon/cashback/comparison): 6.00%, Paid order new client (Coupon/cashback/comparison): 6.00%, Paid order old client (Coupon/cashback/comparison): 5.00%, Paid order old client: 12.00%, Retargeting: 8.00%</t>
  </si>
  <si>
    <t>47.6</t>
  </si>
  <si>
    <t>47.7</t>
  </si>
  <si>
    <t>Bellewholesale WW</t>
  </si>
  <si>
    <t>https://www.bellewholesale.com/</t>
  </si>
  <si>
    <t>https://store.admitad.com/webmaster/websites/2166760/offers/24183-bellewholesale-ww/</t>
  </si>
  <si>
    <t>2021-01-19</t>
  </si>
  <si>
    <t>Paid Order: 8.00%, Paid order (in-app): 8.00%</t>
  </si>
  <si>
    <t>0.80</t>
  </si>
  <si>
    <t>34.7</t>
  </si>
  <si>
    <t>Gentleherd WW</t>
  </si>
  <si>
    <t>https://gentleherd.com/</t>
  </si>
  <si>
    <t>https://store.admitad.com/webmaster/websites/2166760/offers/26287-gentleherd-ww/</t>
  </si>
  <si>
    <t>Online stores,Online stores &gt; Marketplaces (including Chinese Stores),Online stores &gt; Apparel, Footwear, Accessories</t>
  </si>
  <si>
    <t>0.81</t>
  </si>
  <si>
    <t>37</t>
  </si>
  <si>
    <t>53.3</t>
  </si>
  <si>
    <t>Aviasales WW</t>
  </si>
  <si>
    <t>http://aviasales.ru/</t>
  </si>
  <si>
    <t>https://store.admitad.com/webmaster/websites/2166760/offers/1678-aviaseils-ru-cis/</t>
  </si>
  <si>
    <t>2012-01-20</t>
  </si>
  <si>
    <t>Revenue share: 53.84%</t>
  </si>
  <si>
    <t>6.24</t>
  </si>
  <si>
    <t>9.04</t>
  </si>
  <si>
    <t>904</t>
  </si>
  <si>
    <t>41.1</t>
  </si>
  <si>
    <t>41.4</t>
  </si>
  <si>
    <t>1.6</t>
  </si>
  <si>
    <t>FlyDubai WW</t>
  </si>
  <si>
    <t>https://www.flydubai.com/</t>
  </si>
  <si>
    <t>https://store.admitad.com/webmaster/websites/2166760/offers/22300-flydubai-ww/</t>
  </si>
  <si>
    <t>2020-03-03</t>
  </si>
  <si>
    <t>Paid order: 1.20%</t>
  </si>
  <si>
    <t>1.05</t>
  </si>
  <si>
    <t>48.6</t>
  </si>
  <si>
    <t>49.6</t>
  </si>
  <si>
    <t>Forest Essentials [CPS] WW</t>
  </si>
  <si>
    <t>https://www.forestessentialsindia.com/</t>
  </si>
  <si>
    <t>https://store.admitad.com/webmaster/websites/2166760/offers/23441-forest-essentials-cps-ww/</t>
  </si>
  <si>
    <t>2020-08-07</t>
  </si>
  <si>
    <t>Paid Order: 21.42%</t>
  </si>
  <si>
    <t>2.89</t>
  </si>
  <si>
    <t>289</t>
  </si>
  <si>
    <t>60.8</t>
  </si>
  <si>
    <t>69.6</t>
  </si>
  <si>
    <t>DatacampWW</t>
  </si>
  <si>
    <t>https://www.datacamp.com/</t>
  </si>
  <si>
    <t>https://store.admitad.com/webmaster/websites/2166760/offers/25873-datacampww/</t>
  </si>
  <si>
    <t>2021-09-24</t>
  </si>
  <si>
    <t>Subscription 1 month: 100.00%, Subscription 1 year: 30.00%</t>
  </si>
  <si>
    <t>1.41</t>
  </si>
  <si>
    <t>49.0</t>
  </si>
  <si>
    <t>49.2</t>
  </si>
  <si>
    <t>Donnerdeal WW</t>
  </si>
  <si>
    <t>https://www.donnerdeal.com/</t>
  </si>
  <si>
    <t>https://store.admitad.com/webmaster/websites/2166760/offers/26000-donnerdeal-ww/</t>
  </si>
  <si>
    <t>2021-08-06</t>
  </si>
  <si>
    <t>Online stores &gt; Marketplaces (including Chinese Stores),Online stores &gt; Hobby &amp; Stationery,Online stores,Online stores &gt; Household Appliances &amp; Electronics</t>
  </si>
  <si>
    <t>Paid Order: 12.50%</t>
  </si>
  <si>
    <t>0.22</t>
  </si>
  <si>
    <t>25.5</t>
  </si>
  <si>
    <t>26.6</t>
  </si>
  <si>
    <t>Emirates [CPS] WW</t>
  </si>
  <si>
    <t>http://emirates.com/in/english/destinations_offers/special_offers/featured-fares/?intcid=NavFaresLink_3440809&amp;id=3440809&amp;region=EU&amp;fsearch=#/</t>
  </si>
  <si>
    <t>https://store.admitad.com/webmaster/websites/2166760/offers/15787-emirates-cps-ww/</t>
  </si>
  <si>
    <t>2016-08-19</t>
  </si>
  <si>
    <t>Paid Order: 1.25-2.50%</t>
  </si>
  <si>
    <t>0.76</t>
  </si>
  <si>
    <t>Shutterstock WW</t>
  </si>
  <si>
    <t>https://www.shutterstock.com/</t>
  </si>
  <si>
    <t>https://store.admitad.com/webmaster/websites/2166760/offers/17600-shutterstock-ww/</t>
  </si>
  <si>
    <t>2017-05-23</t>
  </si>
  <si>
    <t>Paid order (new customer purchase): 23.00%, Paid order for Coupons websites (new customer purchase): 4.23%</t>
  </si>
  <si>
    <t>46.0</t>
  </si>
  <si>
    <t>Movavi WW</t>
  </si>
  <si>
    <t>https://www.movavi.com/</t>
  </si>
  <si>
    <t>https://store.admitad.com/webmaster/websites/2166760/offers/25001-movavi-ww/</t>
  </si>
  <si>
    <t>2021-08-26</t>
  </si>
  <si>
    <t>Online Services &gt; Movies &amp; Music,Online Services,Online Services &gt; Other Services,Online Services &gt; IT Services &amp; Soft</t>
  </si>
  <si>
    <t>1.65</t>
  </si>
  <si>
    <t>0.16</t>
  </si>
  <si>
    <t>16</t>
  </si>
  <si>
    <t>30.3</t>
  </si>
  <si>
    <t>44.6</t>
  </si>
  <si>
    <t>1.8</t>
  </si>
  <si>
    <t>Admitad Lite</t>
  </si>
  <si>
    <t>https://www.admitad.com/</t>
  </si>
  <si>
    <t>https://store.admitad.com/webmaster/websites/2166760/offers/21659-admitad-lite/</t>
  </si>
  <si>
    <t>2019-04-26</t>
  </si>
  <si>
    <t>RevShare: 70.00%</t>
  </si>
  <si>
    <t>2.35</t>
  </si>
  <si>
    <t>65.2</t>
  </si>
  <si>
    <t>70.0</t>
  </si>
  <si>
    <t>1.9</t>
  </si>
  <si>
    <t>Norton [CPS] WW</t>
  </si>
  <si>
    <t>https://in.norton.com/</t>
  </si>
  <si>
    <t>https://store.admitad.com/webmaster/websites/2166760/offers/22143-norton-cps-ww/</t>
  </si>
  <si>
    <t>2019-10-23</t>
  </si>
  <si>
    <t>Online Services &gt; IT Services &amp; Soft,Online Services,Online Services &gt; B2B Online Services</t>
  </si>
  <si>
    <t>Sale: 1.40-140.00USD, 140.00%</t>
  </si>
  <si>
    <t>76.3</t>
  </si>
  <si>
    <t>76.6</t>
  </si>
  <si>
    <t>Cotosen WW</t>
  </si>
  <si>
    <t>https://www.cotosen.com/</t>
  </si>
  <si>
    <t>https://store.admitad.com/webmaster/websites/2166760/offers/26821-cotosen-ww/</t>
  </si>
  <si>
    <t>Online stores &gt; Hobby &amp; Stationery,Online stores &gt; Marketplaces (including Chinese Stores),Online stores &gt; Sports &amp; Outdoor,Online stores &gt; Apparel, Footwear, Accessories,Online stores</t>
  </si>
  <si>
    <t>1.83</t>
  </si>
  <si>
    <t>0.31</t>
  </si>
  <si>
    <t>31</t>
  </si>
  <si>
    <t>23.7</t>
  </si>
  <si>
    <t>53.9</t>
  </si>
  <si>
    <t>https://cdn.admitad-connect.com/campaign/images/2021/7/2/25179-cdf0262c0712a868.png</t>
  </si>
  <si>
    <t>AliExpress RU&amp;CIS NEW</t>
  </si>
  <si>
    <t>https://cdn.admitad-connect.com/campaign/images/2020/9/30/6115-23f0d4d9fb4ec8d1.png</t>
  </si>
  <si>
    <t>Aliexpress WW</t>
  </si>
  <si>
    <t>https://cdn.admitad-connect.com/campaign/images/2021/3/31/21659-c641f095a09dc99f.png</t>
  </si>
  <si>
    <t>https://cdn.admitad-connect.com/campaign/images/2021/11/17/26821-760d33b232b51b31.png</t>
  </si>
  <si>
    <t>https://cdn.admitad-connect.com/campaign/images/2021/10/22/26000-3dae3adac0da78ee.jpg</t>
  </si>
  <si>
    <t>https://cdn.admitad-connect.com/campaign/images/2021/1/14/24183-143a937935ab6d01.png</t>
  </si>
  <si>
    <t>https://cdn.admitad-connect.com/campaign/images/2021/10/18/26287-3d2b62f31941633c.jpg</t>
  </si>
  <si>
    <t>https://cdn.admitad-connect.com/campaign/images/2021/11/24/18350-7840027410a40982.png</t>
  </si>
  <si>
    <t>https://cdn.admitad-connect.com/campaign/images/2021/9/22/26167-eb84587e47426882.png</t>
  </si>
  <si>
    <t>https://cdn.admitad-connect.com/campaign/images/2021/11/8/26617-31ab32f243ae70d5.jpg</t>
  </si>
  <si>
    <t>https://cdn.admitad-connect.com/campaign/images/2021/6/8/25258-e20b91158529d3d4.png</t>
  </si>
  <si>
    <t>https://cdn.admitad-connect.com/campaign/images/2020/9/30/23111-51315d0befa997b5.png</t>
  </si>
  <si>
    <t>https://cdn.admitad-connect.com/campaign/images/2020/10/29/23964-32d8a4c3272c1cfe.png</t>
  </si>
  <si>
    <t>https://cdn.admitad-connect.com/campaign/images/2021/9/20/19861-557843f052463c47.png</t>
  </si>
  <si>
    <t>https://cdn.admitad-connect.com/campaign/images/2021/2/26/24295-72048117eb78e9ac.png</t>
  </si>
  <si>
    <t>https://cdn.admitad-connect.com/campaign/images/2021/3/1/24286-7f653b51c4842598.png</t>
  </si>
  <si>
    <t>https://cdn.admitad-connect.com/campaign/images/2021/3/1/24288-24c2d19331bac327.png</t>
  </si>
  <si>
    <t>https://cdn.admitad-connect.com/campaign/images/2021/10/25/26470-f08448f5b58ce3fa.png</t>
  </si>
  <si>
    <t>https://cdn.admitad-connect.com/campaign/images/2020/10/1/18930-5dbae1ff8d80c16b.png</t>
  </si>
  <si>
    <t>https://cdn.admitad-connect.com/campaign/images/2020/10/1/22709-a9cf42e0607f8ec3.png</t>
  </si>
  <si>
    <t>https://cdn.admitad-connect.com/campaign/images/2021/3/16/24669-b701ed1e428fac0a.jpg</t>
  </si>
  <si>
    <t>https://cdn.admitad-connect.com/campaign/images/2020/9/30/23008-22a1a233f33616af.png</t>
  </si>
  <si>
    <t>https://cdn.admitad-connect.com/campaign/images/2021/4/27/24667-b96aaf5720f12c47.png</t>
  </si>
  <si>
    <t>https://cdn.admitad-connect.com/campaign/images/2021/5/17/24994-83902492f9eb4838.png</t>
  </si>
  <si>
    <t>https://cdn.admitad-connect.com/campaign/images/2020/10/1/18071-d07bd3f852fb245d.png</t>
  </si>
  <si>
    <t>https://cdn.admitad-connect.com/campaign/images/2020/9/30/19710-efb230616040fc53.png</t>
  </si>
  <si>
    <t>https://cdn.admitad-connect.com/campaign/images/2021/12/30/27485-a0a00731e906b539.png</t>
  </si>
  <si>
    <t>https://cdn.admitad-connect.com/campaign/images/2021/4/12/15387-e32906bcca2b18d0.svg</t>
  </si>
  <si>
    <t>https://cdn.admitad-connect.com/campaign/images/2021/3/15/24655-c92b7e8139a55e2b.png</t>
  </si>
  <si>
    <t>https://cdn.admitad-connect.com/campaign/images/2022/1/28/26479-26bcabf8a32dfaaf.jpg</t>
  </si>
  <si>
    <t>https://cdn.admitad-connect.com/campaign/images/2022/1/24/27495-f71b42d703719217.png</t>
  </si>
  <si>
    <t>https://cdn.admitad-connect.com/campaign/images/2022/1/24/27525-d521c7e208605e82.png</t>
  </si>
  <si>
    <t>https://alitems.site/g/vv3q4oey1v83756a41cbb6d1781017/</t>
  </si>
  <si>
    <t>https://alitems.site/g/1e8d11449483756a41cb16525dc3e8/</t>
  </si>
  <si>
    <t>https://ad.admitad.com/g/md7hpu7zu883756a41cb3e55801b76/</t>
  </si>
  <si>
    <t>https://ad.admitad.com/g/7ez2cndy8k83756a41cbfe9cf762a5/</t>
  </si>
  <si>
    <t>https://ad.admitad.com/g/11pkisav6i83756a41cb54f7a9dbf9/</t>
  </si>
  <si>
    <t>https://ad.admitad.com/g/1qx1gncw8o83756a41cbd373e4227f/</t>
  </si>
  <si>
    <t>https://ad.admitad.com/g/6wtagun4y283756a41cbbf073a8e08/</t>
  </si>
  <si>
    <t>https://ad.admitad.com/g/ca265zafmk83756a41cb9f466608b0/</t>
  </si>
  <si>
    <t>https://ad.admitad.com/g/vjpwz6t0gq83756a41cbdd6e46317c/</t>
  </si>
  <si>
    <t>https://ad.admitad.com/g/2soz0flx1183756a41cb014674e937/</t>
  </si>
  <si>
    <t>https://ad.admitad.com/g/8xo2cbxarj83756a41cb48fcc95487/</t>
  </si>
  <si>
    <t>https://ad.admitad.com/g/42gyx9a5b883756a41cbb69546a09a/</t>
  </si>
  <si>
    <t>https://ad.admitad.com/g/l926tcw2sm83756a41cb87e51e1a66/</t>
  </si>
  <si>
    <t>https://ad.admitad.com/g/e3s1raesi283756a41cbb0f6ed77fa/</t>
  </si>
  <si>
    <t>https://ad.admitad.com/g/r9ybpohdxo83756a41cb806f4427c0/</t>
  </si>
  <si>
    <t>https://ad.admitad.com/g/kmcoj56juv83756a41cb608cdf386b/</t>
  </si>
  <si>
    <t>https://ad.admitad.com/g/6p4zka2wuu83756a41cbcbd5ceef73/</t>
  </si>
  <si>
    <t>https://ad.admitad.com/g/hsfqckbh1083756a41cbf7cd9aae96/</t>
  </si>
  <si>
    <t>https://ad.admitad.com/g/pc9t9ez2zs83756a41cb468cec14c0/</t>
  </si>
  <si>
    <t>https://ad.admitad.com/g/6gk4ba6fs683756a41cbcc54f31e64/</t>
  </si>
  <si>
    <t>https://ad.admitad.com/g/5ajq8jh0ya83756a41cbb36162f539/</t>
  </si>
  <si>
    <t>https://ad.admitad.com/g/zk14cxa3ib83756a41cbdfca45d921/</t>
  </si>
  <si>
    <t>https://ad.admitad.com/g/8edzsh5t7183756a41cb11a45d6e2f/</t>
  </si>
  <si>
    <t>https://ad.admitad.com/g/pp157ve4q483756a41cbb00fe91635/</t>
  </si>
  <si>
    <t>https://ad.admitad.com/g/wen3yeakfd83756a41cbe017c44c28/</t>
  </si>
  <si>
    <t>https://ad.admitad.com/g/qytcofg10283756a41cb3490fe04e5/</t>
  </si>
  <si>
    <t>https://ad.admitad.com/g/so2ywis9xs83756a41cb5c0cda76d6/</t>
  </si>
  <si>
    <t>https://ad.admitad.com/g/66o8jzb2p983756a41cb4f47f3b6f3/</t>
  </si>
  <si>
    <t>https://ad.admitad.com/g/ssrh4l6w8i83756a41cb76c0f0264c/</t>
  </si>
  <si>
    <t>https://ad.admitad.com/g/mgsq5wj9fw83756a41cb43cbdeb262/</t>
  </si>
  <si>
    <t>https://ad.admitad.com/g/oy5ftorbbz83756a41cb45ffeb074b/</t>
  </si>
  <si>
    <t>https://ad.admitad.com/g/cj0zffw6dc83756a41cb061057591d/</t>
  </si>
  <si>
    <t xml:space="preserve"> &lt;div class="w3-container w3-border w3-border-amber w3-leftbar w3-rightbar w3-hover-border-green"&gt; &lt;h3&gt;</t>
  </si>
  <si>
    <t>&lt;/div&gt;&lt;hr&gt;</t>
  </si>
  <si>
    <t xml:space="preserve"> &lt;a href="</t>
  </si>
  <si>
    <t>"&gt;</t>
  </si>
  <si>
    <t>.</t>
  </si>
  <si>
    <t>&lt;/a&gt;&lt;/h3&gt;</t>
  </si>
  <si>
    <t xml:space="preserve"> &lt;p&gt;</t>
  </si>
  <si>
    <t>&lt;/p&gt;</t>
  </si>
  <si>
    <t>&lt;a target="_blank" href="</t>
  </si>
  <si>
    <t xml:space="preserve"> "&gt;&lt;img src="</t>
  </si>
  <si>
    <t>" width=468" height="60"&gt;&lt;/a&gt;&lt;p&gt;&lt;/p&gt;</t>
  </si>
  <si>
    <t>&lt;/span&gt; &lt;/a&gt;</t>
  </si>
  <si>
    <t xml:space="preserve"> &lt;a class="new" target="_blank" href="</t>
  </si>
  <si>
    <t>"&gt;&lt;img title="Join coinpayu to earn!" alt="coinpayu"  src="</t>
  </si>
  <si>
    <t>"&gt;&lt;span class="new_title"&gt;</t>
  </si>
  <si>
    <t>&lt;a href="</t>
  </si>
  <si>
    <t>" target="_blank"&gt;&lt;img src="</t>
  </si>
  <si>
    <t>" alt="image host"/&gt;&lt;/a&gt;</t>
  </si>
  <si>
    <t>&lt;a href="https://imgbox.com/aVE2jo4C" target="_blank"&gt;&lt;img src="https://thumbs2.imgbox.com/b5/82/aVE2jo4C_t.jpeg" alt="image host"/&gt;&lt;/a&gt; &lt;a href="https://imgbox.com/lIDj8Uhg" target="_blank"&gt;&lt;img src="https://thumbs2.imgbox.com/2e/9a/lIDj8Uhg_t.jpeg" alt="image host"/&gt;&lt;/a&gt; &lt;a href="https://imgbox.com/ao9SEwjZ" target="_blank"&gt;&lt;img src="https://thumbs2.imgbox.com/ef/55/ao9SEwjZ_t.jpeg" alt="image host"/&gt;&lt;/a&gt; &lt;a href="https://imgbox.com/VYPDTTUN" target="_blank"&gt;&lt;img src="https://thumbs2.imgbox.com/d8/f7/VYPDTTUN_t.jpeg" alt="image host"/&gt;&lt;/a&gt; &lt;a href="https://imgbox.com/Hfy68fFr" target="_blank"&gt;&lt;img src="https://thumbs2.imgbox.com/17/05/Hfy68fFr_t.jpeg" alt="image host"/&gt;&lt;/a&gt; &lt;a href="https://imgbox.com/75lxHmRC" target="_blank"&gt;&lt;img src="https://thumbs2.imgbox.com/ac/12/75lxHmRC_t.jpeg" alt="image host"/&gt;&lt;/a&gt; &lt;a href="https://imgbox.com/A0h7TCok" target="_blank"&gt;&lt;img src="https://thumbs2.imgbox.com/63/c0/A0h7TCok_t.jpeg" alt="image host"/&gt;&lt;/a&gt; &lt;a href="https://imgbox.com/0QLFm606" target="_blank"&gt;&lt;img src="https://thumbs2.imgbox.com/64/49/0QLFm606_t.jpeg" alt="image host"/&gt;&lt;/a&gt; &lt;a href="https://imgbox.com/9ZrfbS7u" target="_blank"&gt;&lt;img src="https://thumbs2.imgbox.com/91/61/9ZrfbS7u_t.jpeg" alt="image host"/&gt;&lt;/a&gt; &lt;a href="https://imgbox.com/VqMDs3DF" target="_blank"&gt;&lt;img src="https://thumbs2.imgbox.com/cc/7e/VqMDs3DF_t.jpeg" alt="image host"/&gt;&lt;/a&gt; &lt;a href="https://imgbox.com/Tv8RXr33" target="_blank"&gt;&lt;img src="https://thumbs2.imgbox.com/97/6a/Tv8RXr33_t.jpeg" alt="image host"/&gt;&lt;/a&gt; &lt;a href="https://imgbox.com/mRVIvURP" target="_blank"&gt;&lt;img src="https://thumbs2.imgbox.com/9f/1c/mRVIvURP_t.jpeg" alt="image host"/&gt;&lt;/a&gt; &lt;a href="https://imgbox.com/FwWRfZDv" target="_blank"&gt;&lt;img src="https://thumbs2.imgbox.com/15/46/FwWRfZDv_t.jpeg" alt="image host"/&gt;&lt;/a&gt; &lt;a href="https://imgbox.com/4oDuXoGl" target="_blank"&gt;&lt;img src="https://thumbs2.imgbox.com/84/71/4oDuXoGl_t.jpeg" alt="image host"/&gt;&lt;/a&gt; &lt;a href="https://imgbox.com/KuMgRoZx" target="_blank"&gt;&lt;img src="https://thumbs2.imgbox.com/62/92/KuMgRoZx_t.jpeg" alt="image host"/&gt;&lt;/a&gt; &lt;a href="https://imgbox.com/DKoMJPyE" target="_blank"&gt;&lt;img src="https://thumbs2.imgbox.com/85/f6/DKoMJPyE_t.jpeg" alt="image host"/&gt;&lt;/a&gt; &lt;a href="https://imgbox.com/h5uuI5B9" target="_blank"&gt;&lt;img src="https://thumbs2.imgbox.com/0b/2a/h5uuI5B9_t.jpeg" alt="image host"/&gt;&lt;/a&gt; &lt;a href="https://imgbox.com/y6t94dKI" target="_blank"&gt;&lt;img src="https://thumbs2.imgbox.com/84/45/y6t94dKI_t.jpeg" alt="image host"/&gt;&lt;/a&gt; &lt;a href="https://imgbox.com/slZ59QaN" target="_blank"&gt;&lt;img src="https://thumbs2.imgbox.com/60/bf/slZ59QaN_t.jpeg" alt="image host"/&gt;&lt;/a&gt; &lt;a href="https://imgbox.com/v6kFikcX" target="_blank"&gt;&lt;img src="https://thumbs2.imgbox.com/26/47/v6kFikcX_t.jpeg" alt="image host"/&gt;&lt;/a&gt; &lt;a href="https://imgbox.com/70uSY4oF" target="_blank"&gt;&lt;img src="https://thumbs2.imgbox.com/07/16/70uSY4oF_t.jpeg" alt="image host"/&gt;&lt;/a&gt; &lt;a href="https://imgbox.com/YZZ6N9yU" target="_blank"&gt;&lt;img src="https://thumbs2.imgbox.com/d5/78/YZZ6N9yU_t.jpeg" alt="image host"/&gt;&lt;/a&gt; &lt;a href="https://imgbox.com/sekMu8Ct" target="_blank"&gt;&lt;img src="https://thumbs2.imgbox.com/00/07/sekMu8Ct_t.jpeg" alt="image host"/&gt;&lt;/a&gt; &lt;a href="https://imgbox.com/sehxFLgN" target="_blank"&gt;&lt;img src="https://thumbs2.imgbox.com/e6/b9/sehxFLgN_t.jpeg" alt="image host"/&gt;&lt;/a&gt; &lt;a href="https://imgbox.com/B4qYzRbR" target="_blank"&gt;&lt;img src="https://thumbs2.imgbox.com/9b/d1/B4qYzRbR_t.jpeg" alt="image host"/&gt;&lt;/a&gt; &lt;a href="https://imgbox.com/EoyXYfhG" target="_blank"&gt;&lt;img src="https://thumbs2.imgbox.com/2d/99/EoyXYfhG_t.jpeg" alt="image host"/&gt;&lt;/a&gt; &lt;a href="https://imgbox.com/ME3TnnWp" target="_blank"&gt;&lt;img src="https://thumbs2.imgbox.com/c0/4e/ME3TnnWp_t.jpeg" alt="image host"/&gt;&lt;/a&gt; &lt;a href="https://imgbox.com/GNaYYNvp" target="_blank"&gt;&lt;img src="https://thumbs2.imgbox.com/21/a3/GNaYYNvp_t.jpeg" alt="image host"/&gt;&lt;/a&gt; &lt;a href="https://imgbox.com/s37MRpEp" target="_blank"&gt;&lt;img src="https://thumbs2.imgbox.com/4e/5e/s37MRpEp_t.jpeg" alt="image host"/&gt;&lt;/a&gt; &lt;a href="https://imgbox.com/D33w9cJe" target="_blank"&gt;&lt;img src="https://thumbs2.imgbox.com/de/18/D33w9cJe_t.jpeg" alt="image host"/&gt;&lt;/a&gt; &lt;a href="https://imgbox.com/T2HSo5s0" target="_blank"&gt;&lt;img src="https://thumbs2.imgbox.com/f3/61/T2HSo5s0_t.jpeg" alt="image host"/&gt;&lt;/a&gt; &lt;a href="https://imgbox.com/3foAH4l0" target="_blank"&gt;&lt;img src="https://thumbs2.imgbox.com/f2/1b/3foAH4l0_t.jpeg" alt="image host"/&gt;&lt;/a&gt; &lt;a href="https://imgbox.com/tuTMrYwa" target="_blank"&gt;&lt;img src="https://thumbs2.imgbox.com/1d/35/tuTMrYwa_t.jpeg" alt="image host"/&gt;&lt;/a&gt; &lt;a href="https://imgbox.com/IFgqbUXr" target="_blank"&gt;&lt;img src="https://thumbs2.imgbox.com/0e/b0/IFgqbUXr_t.jpeg" alt="image host"/&gt;&lt;/a&gt; &lt;a href="https://imgbox.com/lWgUl2VF" target="_blank"&gt;&lt;img src="https://thumbs2.imgbox.com/66/3f/lWgUl2VF_t.jpeg" alt="image host"/&gt;&lt;/a&gt; &lt;a href="https://imgbox.com/Eq817R3R" target="_blank"&gt;&lt;img src="https://thumbs2.imgbox.com/34/8b/Eq817R3R_t.jpeg" alt="image host"/&gt;&lt;/a&gt; &lt;a href="https://imgbox.com/w0qUsEHU" target="_blank"&gt;&lt;img src="https://thumbs2.imgbox.com/d1/5f/w0qUsEHU_t.jpeg" alt="image host"/&gt;&lt;/a&gt; &lt;a href="https://imgbox.com/ZTaq3nCY" target="_blank"&gt;&lt;img src="https://thumbs2.imgbox.com/cc/de/ZTaq3nCY_t.jpeg" alt="image host"/&gt;&lt;/a&gt; &lt;a href="https://imgbox.com/F5edtofM" target="_blank"&gt;&lt;img src="https://thumbs2.imgbox.com/c8/69/F5edtofM_t.jpeg" alt="image host"/&gt;&lt;/a&gt; &lt;a href="https://imgbox.com/xnWiFZko" target="_blank"&gt;&lt;img src="https://thumbs2.imgbox.com/d7/86/xnWiFZko_t.jpeg" alt="image host"/&gt;&lt;/a&gt; &lt;a href="https://imgbox.com/2GzWx5qs" target="_blank"&gt;&lt;img src="https://thumbs2.imgbox.com/49/90/2GzWx5qs_t.jpeg" alt="image host"/&gt;&lt;/a&gt; &lt;a href="https://imgbox.com/z5rAvCjG" target="_blank"&gt;&lt;img src="https://thumbs2.imgbox.com/ee/88/z5rAvCjG_t.jpeg" alt="image host"/&gt;&lt;/a&gt; &lt;a href="https://imgbox.com/OEyY7BsJ" target="_blank"&gt;&lt;img src="https://thumbs2.imgbox.com/aa/be/OEyY7BsJ_t.jpeg" alt="image host"/&gt;&lt;/a&gt; &lt;a href="https://imgbox.com/Ihi4TcVE" target="_blank"&gt;&lt;img src="https://thumbs2.imgbox.com/c5/34/Ihi4TcVE_t.jpeg" alt="image host"/&gt;&lt;/a&gt; &lt;a href="https://imgbox.com/ivn8jrzn" target="_blank"&gt;&lt;img src="https://thumbs2.imgbox.com/8c/3b/ivn8jrzn_t.jpeg" alt="image host"/&gt;&lt;/a&gt; &lt;a href="https://imgbox.com/6yw33Qmp" target="_blank"&gt;&lt;img src="https://thumbs2.imgbox.com/fc/d3/6yw33Qmp_t.jpeg" alt="image host"/&gt;&lt;/a&gt; &lt;a href="https://imgbox.com/ZlDwvjvw" target="_blank"&gt;&lt;img src="https://thumbs2.imgbox.com/9b/14/ZlDwvjvw_t.jpeg" alt="image host"/&gt;&lt;/a&gt; &lt;a href="https://imgbox.com/krFewsr9" target="_blank"&gt;&lt;img src="https://thumbs2.imgbox.com/de/68/krFewsr9_t.jpeg" alt="image host"/&gt;&lt;/a&gt; &lt;a href="https://imgbox.com/f59JdcPQ" target="_blank"&gt;&lt;img src="https://thumbs2.imgbox.com/76/1e/f59JdcPQ_t.jpeg" alt="image host"/&gt;&lt;/a&gt; &lt;a href="https://imgbox.com/8QvToHr2" target="_blank"&gt;&lt;img src="https://thumbs2.imgbox.com/1a/10/8QvToHr2_t.jpeg" alt="image host"/&gt;&lt;/a&gt; &lt;a href="https://imgbox.com/cM1ab3dc" target="_blank"&gt;&lt;img src="https://thumbs2.imgbox.com/f2/35/cM1ab3dc_t.jpeg" alt="image host"/&gt;&lt;/a&gt; &lt;a href="https://imgbox.com/5sPpYs3a" target="_blank"&gt;&lt;img src="https://thumbs2.imgbox.com/d3/f2/5sPpYs3a_t.jpeg" alt="image host"/&gt;&lt;/a&gt; &lt;a href="https://imgbox.com/YXMVfVmf" target="_blank"&gt;&lt;img src="https://thumbs2.imgbox.com/40/fb/YXMVfVmf_t.jpeg" alt="image host"/&gt;&lt;/a&gt; &lt;a href="https://imgbox.com/JsPE4kl4" target="_blank"&gt;&lt;img src="https://thumbs2.imgbox.com/9a/92/JsPE4kl4_t.jpeg" alt="image host"/&gt;&lt;/a&gt; &lt;a href="https://imgbox.com/nHZrRfAo" target="_blank"&gt;&lt;img src="https://thumbs2.imgbox.com/36/6d/nHZrRfAo_t.jpeg" alt="image host"/&gt;&lt;/a&gt; &lt;a href="https://imgbox.com/SOMv6OnR" target="_blank"&gt;&lt;img src="https://thumbs2.imgbox.com/63/8b/SOMv6OnR_t.jpeg" alt="image host"/&gt;&lt;/a&gt; &lt;a href="https://imgbox.com/uHKsXg97" target="_blank"&gt;&lt;img src="https://thumbs2.imgbox.com/be/26/uHKsXg97_t.jpeg" alt="image host"/&gt;&lt;/a&gt; &lt;a href="https://imgbox.com/C765uN0z" target="_blank"&gt;&lt;img src="https://thumbs2.imgbox.com/b3/fa/C765uN0z_t.jpeg" alt="image host"/&gt;&lt;/a&gt; &lt;a href="https://imgbox.com/cLVGXpph" target="_blank"&gt;&lt;img src="https://thumbs2.imgbox.com/6e/c6/cLVGXpph_t.jpeg" alt="image host"/&gt;&lt;/a&gt; &lt;a href="https://imgbox.com/NwhVmMcJ" target="_blank"&gt;&lt;img src="https://thumbs2.imgbox.com/d6/82/NwhVmMcJ_t.jpeg" alt="image host"/&gt;&lt;/a&gt; &lt;a href="https://imgbox.com/HYH6LMGr" target="_blank"&gt;&lt;img src="https://thumbs2.imgbox.com/89/7e/HYH6LMGr_t.jpeg" alt="image host"/&gt;&lt;/a&gt; &lt;a href="https://imgbox.com/adNftM5s" target="_blank"&gt;&lt;img src="https://thumbs2.imgbox.com/17/d4/adNftM5s_t.jpeg" alt="image host"/&gt;&lt;/a&gt; &lt;a href="https://imgbox.com/Mvit3qV3" target="_blank"&gt;&lt;img src="https://thumbs2.imgbox.com/d7/de/Mvit3qV3_t.jpeg" alt="image host"/&gt;&lt;/a&gt; &lt;a href="https://imgbox.com/ZcxkNIFV" target="_blank"&gt;&lt;img src="https://thumbs2.imgbox.com/5e/b2/ZcxkNIFV_t.jpeg" alt="image host"/&gt;&lt;/a&gt; &lt;a href="https://imgbox.com/nmAQ1X8Y" target="_blank"&gt;&lt;img src="https://thumbs2.imgbox.com/53/57/nmAQ1X8Y_t.jpeg" alt="image host"/&gt;&lt;/a&gt; &lt;a href="https://imgbox.com/c1n8vYLh" target="_blank"&gt;&lt;img src="https://thumbs2.imgbox.com/b6/1f/c1n8vYLh_t.jpeg" alt="image host"/&gt;&lt;/a&gt; &lt;a href="https://imgbox.com/N98jpXJe" target="_blank"&gt;&lt;img src="https://thumbs2.imgbox.com/e4/e2/N98jpXJe_t.jpeg" alt="image host"/&gt;&lt;/a&gt; &lt;a href="https://imgbox.com/t4DIHbd7" target="_blank"&gt;&lt;img src="https://thumbs2.imgbox.com/97/ee/t4DIHbd7_t.jpeg" alt="image host"/&gt;&lt;/a&gt; &lt;a href="https://imgbox.com/Tf6Wswo4" target="_blank"&gt;&lt;img src="https://thumbs2.imgbox.com/55/a9/Tf6Wswo4_t.jpeg" alt="image host"/&gt;&lt;/a&gt; &lt;a href="https://imgbox.com/Fi4GRUsZ" target="_blank"&gt;&lt;img src="https://thumbs2.imgbox.com/71/ee/Fi4GRUsZ_t.jpeg" alt="image host"/&gt;&lt;/a&gt; &lt;a href="https://imgbox.com/o7yCclUV" target="_blank"&gt;&lt;img src="https://thumbs2.imgbox.com/e2/22/o7yCclUV_t.jpeg" alt="image host"/&gt;&lt;/a&gt; &lt;a href="https://imgbox.com/xTGFLMjb" target="_blank"&gt;&lt;img src="https://thumbs2.imgbox.com/d5/99/xTGFLMjb_t.jpeg" alt="image host"/&gt;&lt;/a&gt; &lt;a href="https://imgbox.com/XTVNRxqP" target="_blank"&gt;&lt;img src="https://thumbs2.imgbox.com/f4/c8/XTVNRxqP_t.jpeg" alt="image host"/&gt;&lt;/a&gt; &lt;a href="https://imgbox.com/2vcr3WOm" target="_blank"&gt;&lt;img src="https://thumbs2.imgbox.com/d6/83/2vcr3WOm_t.jpeg" alt="image host"/&gt;&lt;/a&gt; &lt;a href="https://imgbox.com/U3edg3GS" target="_blank"&gt;&lt;img src="https://thumbs2.imgbox.com/4b/86/U3edg3GS_t.jpeg" alt="image host"/&gt;&lt;/a&gt; &lt;a href="https://imgbox.com/Q0IerfPG" target="_blank"&gt;&lt;img src="https://thumbs2.imgbox.com/8e/6d/Q0IerfPG_t.jpeg" alt="image host"/&gt;&lt;/a&gt; &lt;a href="https://imgbox.com/3XU78Ks0" target="_blank"&gt;&lt;img src="https://thumbs2.imgbox.com/61/25/3XU78Ks0_t.jpeg" alt="image host"/&gt;&lt;/a&gt; &lt;a href="https://imgbox.com/3guRD5W7" target="_blank"&gt;&lt;img src="https://thumbs2.imgbox.com/ac/b6/3guRD5W7_t.jpeg" alt="image host"/&gt;&lt;/a&gt; &lt;a href="https://imgbox.com/X9DN5aaJ" target="_blank"&gt;&lt;img src="https://thumbs2.imgbox.com/11/95/X9DN5aaJ_t.jpeg" alt="image host"/&gt;&lt;/a&gt; &lt;a href="https://imgbox.com/f0VWBi6u" target="_blank"&gt;&lt;img src="https://thumbs2.imgbox.com/2b/7a/f0VWBi6u_t.jpeg" alt="image host"/&gt;&lt;/a&gt; &lt;a href="https://imgbox.com/pNTqVrHH" target="_blank"&gt;&lt;img src="https://thumbs2.imgbox.com/7f/2d/pNTqVrHH_t.jpeg" alt="image host"/&gt;&lt;/a&gt; &lt;a href="https://imgbox.com/JpQ6F0yd" target="_blank"&gt;&lt;img src="https://thumbs2.imgbox.com/91/6e/JpQ6F0yd_t.jpeg" alt="image host"/&gt;&lt;/a&gt; &lt;a href="https://imgbox.com/FwlJlOpx" target="_blank"&gt;&lt;img src="https://thumbs2.imgbox.com/9a/4e/FwlJlOpx_t.jpeg" alt="image host"/&gt;&lt;/a&gt; &lt;a href="https://imgbox.com/55bQRMl6" target="_blank"&gt;&lt;img src="https://thumbs2.imgbox.com/9c/b7/55bQRMl6_t.jpeg" alt="image host"/&gt;&lt;/a&gt; &lt;a href="https://imgbox.com/tKV7GKoB" target="_blank"&gt;&lt;img src="https://thumbs2.imgbox.com/99/c7/tKV7GKoB_t.jpeg" alt="image host"/&gt;&lt;/a&gt; &lt;a href="https://imgbox.com/VyNMzoY2" target="_blank"&gt;&lt;img src="https://thumbs2.imgbox.com/cc/ac/VyNMzoY2_t.jpeg" alt="image host"/&gt;&lt;/a&gt; &lt;a href="https://imgbox.com/d9yKlXll" target="_blank"&gt;&lt;img src="https://thumbs2.imgbox.com/ef/11/d9yKlXll_t.jpeg" alt="image host"/&gt;&lt;/a&gt; &lt;a href="https://imgbox.com/7e9yv9C0" target="_blank"&gt;&lt;img src="https://thumbs2.imgbox.com/a0/3a/7e9yv9C0_t.jpeg" alt="image host"/&gt;&lt;/a&gt; &lt;a href="https://imgbox.com/ioDZR6mR" target="_blank"&gt;&lt;img src="https://thumbs2.imgbox.com/30/57/ioDZR6mR_t.jpeg" alt="image host"/&gt;&lt;/a&gt; &lt;a href="https://imgbox.com/CIPDXWN2" target="_blank"&gt;&lt;img src="https://thumbs2.imgbox.com/a9/d8/CIPDXWN2_t.jpeg" alt="image host"/&gt;&lt;/a&gt; &lt;a href="https://imgbox.com/RGRwm84c" target="_blank"&gt;&lt;img src="https://thumbs2.imgbox.com/74/b3/RGRwm84c_t.jpeg" alt="image host"/&gt;&lt;/a&gt; &lt;a href="https://imgbox.com/OYYwMRm1" target="_blank"&gt;&lt;img src="https://thumbs2.imgbox.com/6d/89/OYYwMRm1_t.jpeg" alt="image host"/&gt;&lt;/a&gt; &lt;a href="https://imgbox.com/o0WgkSyt" target="_blank"&gt;&lt;img src="https://thumbs2.imgbox.com/87/a9/o0WgkSyt_t.jpeg" alt="image host"/&gt;&lt;/a&gt; &lt;a href="https://imgbox.com/qZajv5GG" target="_blank"&gt;&lt;img src="https://thumbs2.imgbox.com/3f/a9/qZajv5GG_t.jpeg" alt="image host"/&gt;&lt;/a&gt; &lt;a href="https://imgbox.com/aFyddvNQ" target="_blank"&gt;&lt;img src="https://thumbs2.imgbox.com/11/a5/aFyddvNQ_t.jpeg" alt="image host"/&gt;&lt;/a&gt; &lt;a href="https://imgbox.com/EuZ9jYFT" target="_blank"&gt;&lt;img src="https://thumbs2.imgbox.com/f7/89/EuZ9jYFT_t.jpeg" alt="image host"/&gt;&lt;/a&gt; &lt;a href="https://imgbox.com/jBbbqbVd" target="_blank"&gt;&lt;img src="https://thumbs2.imgbox.com/37/46/jBbbqbVd_t.jpeg" alt="image host"/&gt;&lt;/a&gt; &lt;a href="https://imgbox.com/GXPO1Iba" target="_blank"&gt;&lt;img src="https://thumbs2.imgbox.com/2b/44/GXPO1Iba_t.jpeg" alt="image host"/&gt;&lt;/a&gt; &lt;a href="https://imgbox.com/NflDECfQ" target="_blank"&gt;&lt;img src="https://thumbs2.imgbox.com/8d/dd/NflDECfQ_t.jpeg" alt="image host"/&gt;&lt;/a&gt; &lt;a href="https://imgbox.com/kWmMOqMY" target="_blank"&gt;&lt;img src="https://thumbs2.imgbox.com/b5/73/kWmMOqMY_t.jpeg" alt="image host"/&gt;&lt;/a&gt; &lt;a href="https://imgbox.com/DIHzVhAC" target="_blank"&gt;&lt;img src="https://thumbs2.imgbox.com/2d/c8/DIHzVhAC_t.jpeg" alt="image host"/&gt;&lt;/a&gt; &lt;a href="https://imgbox.com/zBupt79b" target="_blank"&gt;&lt;img src="https://thumbs2.imgbox.com/66/fc/zBupt79b_t.jpeg" alt="image host"/&gt;&lt;/a&gt; &lt;a href="https://imgbox.com/Gu3tbbgC" target="_blank"&gt;&lt;img src="https://thumbs2.imgbox.com/77/9d/Gu3tbbgC_t.jpeg" alt="image host"/&gt;&lt;/a&gt; &lt;a href="https://imgbox.com/jyCUgUkE" target="_blank"&gt;&lt;img src="https://thumbs2.imgbox.com/09/0c/jyCUgUkE_t.jpeg" alt="image host"/&gt;&lt;/a&gt; &lt;a href="https://imgbox.com/NhFCYVJG" target="_blank"&gt;&lt;img src="https://thumbs2.imgbox.com/64/d9/NhFCYVJG_t.jpeg" alt="image host"/&gt;&lt;/a&gt; &lt;a href="https://imgbox.com/wo34seWT" target="_blank"&gt;&lt;img src="https://thumbs2.imgbox.com/79/30/wo34seWT_t.jpeg" alt="image host"/&gt;&lt;/a&gt; &lt;a href="https://imgbox.com/fc9lTXZj" target="_blank"&gt;&lt;img src="https://thumbs2.imgbox.com/49/fe/fc9lTXZj_t.jpeg" alt="image host"/&gt;&lt;/a&gt; &lt;a href="https://imgbox.com/8UER22Xn" target="_blank"&gt;&lt;img src="https://thumbs2.imgbox.com/95/53/8UER22Xn_t.jpeg" alt="image host"/&gt;&lt;/a&gt; &lt;a href="https://imgbox.com/QeVa0LXN" target="_blank"&gt;&lt;img src="https://thumbs2.imgbox.com/84/9f/QeVa0LXN_t.jpeg" alt="image host"/&gt;&lt;/a&gt; &lt;a href="https://imgbox.com/Aitly6i7" target="_blank"&gt;&lt;img src="https://thumbs2.imgbox.com/a2/bf/Aitly6i7_t.jpeg" alt="image host"/&gt;&lt;/a&gt; &lt;a href="https://imgbox.com/2t5zUhTY" target="_blank"&gt;&lt;img src="https://thumbs2.imgbox.com/89/ee/2t5zUhTY_t.jpeg" alt="image host"/&gt;&lt;/a&gt; &lt;a href="https://imgbox.com/qynRxz3O" target="_blank"&gt;&lt;img src="https://thumbs2.imgbox.com/3e/78/qynRxz3O_t.jpeg" alt="image host"/&gt;&lt;/a&gt; &lt;a href="https://imgbox.com/p5TB22c7" target="_blank"&gt;&lt;img src="https://thumbs2.imgbox.com/4d/a9/p5TB22c7_t.jpeg" alt="image host"/&gt;&lt;/a&gt; &lt;a href="https://imgbox.com/qidLQMEt" target="_blank"&gt;&lt;img src="https://thumbs2.imgbox.com/a3/8a/qidLQMEt_t.jpeg" alt="image host"/&gt;&lt;/a&gt; &lt;a href="https://imgbox.com/2nDcyXiZ" target="_blank"&gt;&lt;img src="https://thumbs2.imgbox.com/1f/6d/2nDcyXiZ_t.jpeg" alt="image host"/&gt;&lt;/a&gt; &lt;a href="https://imgbox.com/xRY8l2Th" target="_blank"&gt;&lt;img src="https://thumbs2.imgbox.com/67/53/xRY8l2Th_t.jpeg" alt="image host"/&gt;&lt;/a&gt; &lt;a href="https://imgbox.com/a0GBZesb" target="_blank"&gt;&lt;img src="https://thumbs2.imgbox.com/78/75/a0GBZesb_t.jpeg" alt="image host"/&gt;&lt;/a&gt; &lt;a href="https://imgbox.com/cipZEiKj" target="_blank"&gt;&lt;img src="https://thumbs2.imgbox.com/ff/87/cipZEiKj_t.jpeg" alt="image host"/&gt;&lt;/a&gt; &lt;a href="https://imgbox.com/wnFMR77x" target="_blank"&gt;&lt;img src="https://thumbs2.imgbox.com/be/bf/wnFMR77x_t.jpeg" alt="image host"/&gt;&lt;/a&gt; &lt;a href="https://imgbox.com/kPYFeunX" target="_blank"&gt;&lt;img src="https://thumbs2.imgbox.com/3b/d4/kPYFeunX_t.jpeg" alt="image host"/&gt;&lt;/a&gt; &lt;a href="https://imgbox.com/Zwj7F9F2" target="_blank"&gt;&lt;img src="https://thumbs2.imgbox.com/e2/3f/Zwj7F9F2_t.jpeg" alt="image host"/&gt;&lt;/a&gt; &lt;a href="https://imgbox.com/4d5yNnDd" target="_blank"&gt;&lt;img src="https://thumbs2.imgbox.com/73/ec/4d5yNnDd_t.jpeg" alt="image host"/&gt;&lt;/a&gt; &lt;a href="https://imgbox.com/5dgO8M1r" target="_blank"&gt;&lt;img src="https://thumbs2.imgbox.com/6c/ff/5dgO8M1r_t.jpeg" alt="image host"/&gt;&lt;/a&gt; &lt;a href="https://imgbox.com/VMivkLjJ" target="_blank"&gt;&lt;img src="https://thumbs2.imgbox.com/f0/07/VMivkLjJ_t.jpeg" alt="image host"/&gt;&lt;/a&gt; &lt;a href="https://imgbox.com/7DBfMvBU" target="_blank"&gt;&lt;img src="https://thumbs2.imgbox.com/95/e5/7DBfMvBU_t.jpeg" alt="image host"/&gt;&lt;/a&gt; &lt;a href="https://imgbox.com/Ma1iXtmA" target="_blank"&gt;&lt;img src="https://thumbs2.imgbox.com/c8/37/Ma1iXtmA_t.jpeg" alt="image host"/&gt;&lt;/a&gt; &lt;a href="https://imgbox.com/0JtHjy6e" target="_blank"&gt;&lt;img src="https://thumbs2.imgbox.com/1f/54/0JtHjy6e_t.jpeg" alt="image host"/&gt;&lt;/a&gt; &lt;a href="https://imgbox.com/8HNGkiKy" target="_blank"&gt;&lt;img src="https://thumbs2.imgbox.com/a6/f8/8HNGkiKy_t.jpeg" alt="image host"/&gt;&lt;/a&gt; &lt;a href="https://imgbox.com/xJERqeJy" target="_blank"&gt;&lt;img src="https://thumbs2.imgbox.com/b8/76/xJERqeJy_t.jpeg" alt="image host"/&gt;&lt;/a&gt; &lt;a href="https://imgbox.com/RBKfa6DQ" target="_blank"&gt;&lt;img src="https://thumbs2.imgbox.com/ad/c6/RBKfa6DQ_t.jpeg" alt="image host"/&gt;&lt;/a&gt; &lt;a href="https://imgbox.com/DkyfqeTq" target="_blank"&gt;&lt;img src="https://thumbs2.imgbox.com/f5/e2/DkyfqeTq_t.jpeg" alt="image host"/&gt;&lt;/a&gt; &lt;a href="https://imgbox.com/e477dhHa" target="_blank"&gt;&lt;img src="https://thumbs2.imgbox.com/3c/e8/e477dhHa_t.jpeg" alt="image host"/&gt;&lt;/a&gt; &lt;a href="https://imgbox.com/RYEfVG7o" target="_blank"&gt;&lt;img src="https://thumbs2.imgbox.com/50/da/RYEfVG7o_t.jpeg" alt="image host"/&gt;&lt;/a&gt; &lt;a href="https://imgbox.com/87pNPru2" target="_blank"&gt;&lt;img src="https://thumbs2.imgbox.com/7d/1e/87pNPru2_t.jpeg" alt="image host"/&gt;&lt;/a&gt; &lt;a href="https://imgbox.com/NXm5ZBje" target="_blank"&gt;&lt;img src="https://thumbs2.imgbox.com/4a/1d/NXm5ZBje_t.jpeg" alt="image host"/&gt;&lt;/a&gt; &lt;a href="https://imgbox.com/Mb52NOR6" target="_blank"&gt;&lt;img src="https://thumbs2.imgbox.com/17/fd/Mb52NOR6_t.jpeg" alt="image host"/&gt;&lt;/a&gt; &lt;a href="https://imgbox.com/Ykhkkuey" target="_blank"&gt;&lt;img src="https://thumbs2.imgbox.com/6a/e1/Ykhkkuey_t.jpeg" alt="image host"/&gt;&lt;/a&gt; &lt;a href="https://imgbox.com/5TMZryFG" target="_blank"&gt;&lt;img src="https://thumbs2.imgbox.com/ef/ba/5TMZryFG_t.jpeg" alt="image host"/&gt;&lt;/a&gt; &lt;a href="https://imgbox.com/0IxGE0NF" target="_blank"&gt;&lt;img src="https://thumbs2.imgbox.com/c9/5e/0IxGE0NF_t.jpeg" alt="image host"/&gt;&lt;/a&gt; &lt;a href="https://imgbox.com/50rXz8Ff" target="_blank"&gt;&lt;img src="https://thumbs2.imgbox.com/02/92/50rXz8Ff_t.jpeg" alt="image host"/&gt;&lt;/a&gt; &lt;a href="https://imgbox.com/CDrMnwVx" target="_blank"&gt;&lt;img src="https://thumbs2.imgbox.com/d8/4c/CDrMnwVx_t.jpeg" alt="image host"/&gt;&lt;/a&gt; &lt;a href="https://imgbox.com/95jluRg6" target="_blank"&gt;&lt;img src="https://thumbs2.imgbox.com/21/2c/95jluRg6_t.jpeg" alt="image host"/&gt;&lt;/a&gt; &lt;a href="https://imgbox.com/CeRnOyIy" target="_blank"&gt;&lt;img src="https://thumbs2.imgbox.com/72/72/CeRnOyIy_t.jpeg" alt="image host"/&gt;&lt;/a&gt; &lt;a href="https://imgbox.com/roPJmviN" target="_blank"&gt;&lt;img src="https://thumbs2.imgbox.com/31/33/roPJmviN_t.jpeg" alt="image host"/&gt;&lt;/a&gt; &lt;a href="https://imgbox.com/ov7aC0k1" target="_blank"&gt;&lt;img src="https://thumbs2.imgbox.com/c3/71/ov7aC0k1_t.jpeg" alt="image host"/&gt;&lt;/a&gt; &lt;a href="https://imgbox.com/vYbcC6Uw" target="_blank"&gt;&lt;img src="https://thumbs2.imgbox.com/2d/dd/vYbcC6Uw_t.jpeg" alt="image host"/&gt;&lt;/a&gt; &lt;a href="https://imgbox.com/NCVjDMM7" target="_blank"&gt;&lt;img src="https://thumbs2.imgbox.com/8b/25/NCVjDMM7_t.jpeg" alt="image host"/&gt;&lt;/a&gt; &lt;a href="https://imgbox.com/DQ8wiTy5" target="_blank"&gt;&lt;img src="https://thumbs2.imgbox.com/6e/1d/DQ8wiTy5_t.jpeg" alt="image host"/&gt;&lt;/a&gt; &lt;a href="https://imgbox.com/JNQiIF0O" target="_blank"&gt;&lt;img src="https://thumbs2.imgbox.com/36/f9/JNQiIF0O_t.jpeg" alt="image host"/&gt;&lt;/a&gt; &lt;a href="https://imgbox.com/fxXG6jSa" target="_blank"&gt;&lt;img src="https://thumbs2.imgbox.com/2c/d5/fxXG6jSa_t.jpeg" alt="image host"/&gt;&lt;/a&gt; &lt;a href="https://imgbox.com/SKNpLzgp" target="_blank"&gt;&lt;img src="https://thumbs2.imgbox.com/a4/8f/SKNpLzgp_t.jpeg" alt="image host"/&gt;&lt;/a&gt; &lt;a href="https://imgbox.com/J4vbS172" target="_blank"&gt;&lt;img src="https://thumbs2.imgbox.com/e8/09/J4vbS172_t.jpeg" alt="image host"/&gt;&lt;/a&gt; &lt;a href="https://imgbox.com/J7MvJavJ" target="_blank"&gt;&lt;img src="https://thumbs2.imgbox.com/2c/42/J7MvJavJ_t.jpeg" alt="image host"/&gt;&lt;/a&gt; &lt;a href="https://imgbox.com/Ph9211v2" target="_blank"&gt;&lt;img src="https://thumbs2.imgbox.com/cc/bd/Ph9211v2_t.jpeg" alt="image host"/&gt;&lt;/a&gt; &lt;a href="https://imgbox.com/5ctiTBUL" target="_blank"&gt;&lt;img src="https://thumbs2.imgbox.com/26/d2/5ctiTBUL_t.jpeg" alt="image host"/&gt;&lt;/a&gt; &lt;a href="https://imgbox.com/XzcctOES" target="_blank"&gt;&lt;img src="https://thumbs2.imgbox.com/1c/97/XzcctOES_t.jpeg" alt="image host"/&gt;&lt;/a&gt; &lt;a href="https://imgbox.com/5vm5cV8u" target="_blank"&gt;&lt;img src="https://thumbs2.imgbox.com/20/03/5vm5cV8u_t.jpeg" alt="image host"/&gt;&lt;/a&gt; &lt;a href="https://imgbox.com/zGxAIgGD" target="_blank"&gt;&lt;img src="https://thumbs2.imgbox.com/a4/74/zGxAIgGD_t.jpeg" alt="image host"/&gt;&lt;/a&gt; &lt;a href="https://imgbox.com/XDLZuGpx" target="_blank"&gt;&lt;img src="https://thumbs2.imgbox.com/6f/d0/XDLZuGpx_t.jpeg" alt="image host"/&gt;&lt;/a&gt; &lt;a href="https://imgbox.com/gXl4uB7s" target="_blank"&gt;&lt;img src="https://thumbs2.imgbox.com/a8/3c/gXl4uB7s_t.jpeg" alt="image host"/&gt;&lt;/a&gt; &lt;a href="https://imgbox.com/4LF1k2y1" target="_blank"&gt;&lt;img src="https://thumbs2.imgbox.com/a0/2b/4LF1k2y1_t.jpeg" alt="image host"/&gt;&lt;/a&gt; &lt;a href="https://imgbox.com/OtKnHouv" target="_blank"&gt;&lt;img src="https://thumbs2.imgbox.com/2f/6d/OtKnHouv_t.jpeg" alt="image host"/&gt;&lt;/a&gt; &lt;a href="https://imgbox.com/VaDi5JSG" target="_blank"&gt;&lt;img src="https://thumbs2.imgbox.com/87/42/VaDi5JSG_t.jpeg" alt="image host"/&gt;&lt;/a&gt; &lt;a href="https://imgbox.com/ScZIn9Pu" target="_blank"&gt;&lt;img src="https://thumbs2.imgbox.com/3d/25/ScZIn9Pu_t.jpeg" alt="image host"/&gt;&lt;/a&gt; &lt;a href="https://imgbox.com/WDcQrn1e" target="_blank"&gt;&lt;img src="https://thumbs2.imgbox.com/07/d2/WDcQrn1e_t.jpeg" alt="image host"/&gt;&lt;/a&gt; &lt;a href="https://imgbox.com/vLhQ9gIx" target="_blank"&gt;&lt;img src="https://thumbs2.imgbox.com/c4/9d/vLhQ9gIx_t.jpeg" alt="image host"/&gt;&lt;/a&gt; &lt;a href="https://imgbox.com/hgbGSrcI" target="_blank"&gt;&lt;img src="https://thumbs2.imgbox.com/21/db/hgbGSrcI_t.jpeg" alt="image host"/&gt;&lt;/a&gt; &lt;a href="https://imgbox.com/M28XezWo" target="_blank"&gt;&lt;img src="https://thumbs2.imgbox.com/d2/5c/M28XezWo_t.jpeg" alt="image host"/&gt;&lt;/a&gt; &lt;a href="https://imgbox.com/VNMe3kmR" target="_blank"&gt;&lt;img src="https://thumbs2.imgbox.com/28/78/VNMe3kmR_t.jpeg" alt="image host"/&gt;&lt;/a&gt; &lt;a href="https://imgbox.com/iIvSON0J" target="_blank"&gt;&lt;img src="https://thumbs2.imgbox.com/7c/c3/iIvSON0J_t.jpeg" alt="image host"/&gt;&lt;/a&gt; &lt;a href="https://imgbox.com/N963jNhw" target="_blank"&gt;&lt;img src="https://thumbs2.imgbox.com/30/17/N963jNhw_t.jpeg" alt="image host"/&gt;&lt;/a&gt; &lt;a href="https://imgbox.com/u84vxXpn" target="_blank"&gt;&lt;img src="https://thumbs2.imgbox.com/91/07/u84vxXpn_t.jpeg" alt="image host"/&gt;&lt;/a&gt; &lt;a href="https://imgbox.com/vOmUNQbT" target="_blank"&gt;&lt;img src="https://thumbs2.imgbox.com/4e/a4/vOmUNQbT_t.jpeg" alt="image host"/&gt;&lt;/a&gt; &lt;a href="https://imgbox.com/1F3l6Pm6" target="_blank"&gt;&lt;img src="https://thumbs2.imgbox.com/70/28/1F3l6Pm6_t.jpeg" alt="image host"/&gt;&lt;/a&gt; &lt;a href="https://imgbox.com/j2PU4iQt" target="_blank"&gt;&lt;img src="https://thumbs2.imgbox.com/b5/97/j2PU4iQt_t.jpeg" alt="image host"/&gt;&lt;/a&gt; &lt;a href="https://imgbox.com/AEuXfrnY" target="_blank"&gt;&lt;img src="https://thumbs2.imgbox.com/3a/ab/AEuXfrnY_t.jpeg" alt="image host"/&gt;&lt;/a&gt; &lt;a href="https://imgbox.com/tYUnXqjn" target="_blank"&gt;&lt;img src="https://thumbs2.imgbox.com/8b/5a/tYUnXqjn_t.jpeg" alt="image host"/&gt;&lt;/a&gt; &lt;a href="https://imgbox.com/Oe4x4Oga" target="_blank"&gt;&lt;img src="https://thumbs2.imgbox.com/e5/73/Oe4x4Oga_t.jpeg" alt="image host"/&gt;&lt;/a&gt; &lt;a href="https://imgbox.com/O12EMpxk" target="_blank"&gt;&lt;img src="https://thumbs2.imgbox.com/a6/d9/O12EMpxk_t.jpeg" alt="image host"/&gt;&lt;/a&gt; &lt;a href="https://imgbox.com/bs49lfdV" target="_blank"&gt;&lt;img src="https://thumbs2.imgbox.com/f7/35/bs49lfdV_t.jpeg" alt="image host"/&gt;&lt;/a&gt; &lt;a href="https://imgbox.com/5UJ5vh8U" target="_blank"&gt;&lt;img src="https://thumbs2.imgbox.com/05/cf/5UJ5vh8U_t.jpeg" alt="image host"/&gt;&lt;/a&gt; &lt;a href="https://imgbox.com/TXSTIKnD" target="_blank"&gt;&lt;img src="https://thumbs2.imgbox.com/18/e9/TXSTIKnD_t.jpeg" alt="image host"/&gt;&lt;/a&gt; &lt;a href="https://imgbox.com/7sYFwB1o" target="_blank"&gt;&lt;img src="https://thumbs2.imgbox.com/64/35/7sYFwB1o_t.jpeg" alt="image host"/&gt;&lt;/a&gt; &lt;a href="https://imgbox.com/CNhAIiea" target="_blank"&gt;&lt;img src="https://thumbs2.imgbox.com/08/8b/CNhAIiea_t.jpeg" alt="image host"/&gt;&lt;/a&gt;</t>
  </si>
  <si>
    <t>https://www.slideshare.net/aleydasolis/mobilefirst-seo-the-marketers-edition-3xedigital</t>
  </si>
  <si>
    <t>https://cdn.slidesharecdn.com/ss_thumbnails/seoinamobilefirsteramarktetersedition-170209083920-thumbnail.jpg?width=560&amp;fit=bounds</t>
  </si>
  <si>
    <t>https://www.slideshare.net/a16z/mobile-is-eating-the-world-2016</t>
  </si>
  <si>
    <t>https://cdn.slidesharecdn.com/ss_thumbnails/mew2016bevansa16z-160329150243-thumbnail.jpg?width=560&amp;fit=bounds</t>
  </si>
  <si>
    <t>https://www.slideshare.net/liamboogar/audience-4-keys-to-the-future-of-mobile-video</t>
  </si>
  <si>
    <t>https://cdn.slidesharecdn.com/ss_thumbnails/4keystothefutureofmobilevideo-smrtr-160316161032-thumbnail.jpg?width=560&amp;fit=bounds</t>
  </si>
  <si>
    <t>https://www.slideshare.net/Localytics/8-ways-to-personalize-your-app-in-under-30-minutes</t>
  </si>
  <si>
    <t>https://cdn.slidesharecdn.com/ss_thumbnails/personalizeyourapp-160303184824-thumbnail.jpg?width=560&amp;fit=bounds</t>
  </si>
  <si>
    <t>https://www.slideshare.net/YRGlobal/david-sable-on-mobile-disruptoin</t>
  </si>
  <si>
    <t>https://cdn.slidesharecdn.com/ss_thumbnails/mobiledisruption2-160229150955-thumbnail.jpg?width=560&amp;fit=bounds</t>
  </si>
  <si>
    <t>https://www.slideshare.net/AppAnnie/next-horizonemergingappmarketsen</t>
  </si>
  <si>
    <t>https://cdn.slidesharecdn.com/ss_thumbnails/next-horizon-emerging-app-markets-en-160226220440-thumbnail.jpg?width=560&amp;fit=bounds</t>
  </si>
  <si>
    <t>https://www.slideshare.net/goldengekko/dmi-top-10-trends-at-mwc16-58767449</t>
  </si>
  <si>
    <t>https://cdn.slidesharecdn.com/ss_thumbnails/dmitop10trendsatmwc16-160226171552-thumbnail.jpg?width=560&amp;fit=bounds</t>
  </si>
  <si>
    <t>https://www.slideshare.net/AppAnnie/chinese-new-year-reaches-mobile-tipping-point-58566690</t>
  </si>
  <si>
    <t>https://cdn.slidesharecdn.com/ss_thumbnails/cmktmobileappsbringgreatercheertochinesenewyear1-160222172620-thumbnail.jpg?width=560&amp;fit=bounds</t>
  </si>
  <si>
    <t>https://www.slideshare.net/geoffreydorne/how-instagram-onboards-new-users</t>
  </si>
  <si>
    <t>https://cdn.slidesharecdn.com/ss_thumbnails/insta-160218081401-thumbnail.jpg?width=560&amp;fit=bounds</t>
  </si>
  <si>
    <t>https://www.slideshare.net/geoffreydorne/how-apple-music-onboards-new-users</t>
  </si>
  <si>
    <t>https://cdn.slidesharecdn.com/ss_thumbnails/apple-160218080941-thumbnail.jpg?width=560&amp;fit=bounds</t>
  </si>
  <si>
    <t>https://www.slideshare.net/mmikowska/the-future-of-mobile-apps</t>
  </si>
  <si>
    <t>https://cdn.slidesharecdn.com/ss_thumbnails/thefutureofmobileapps-160217201958-thumbnail.jpg?width=560&amp;fit=bounds</t>
  </si>
  <si>
    <t>https://www.slideshare.net/mobify/m-dot-extinction-the-next-evolution-of-mobile-web</t>
  </si>
  <si>
    <t>https://cdn.slidesharecdn.com/ss_thumbnails/ebook1602dino-160216005655-thumbnail.jpg?width=560&amp;fit=bounds</t>
  </si>
  <si>
    <t>https://www.slideshare.net/LitmusApp/go-beyond-opens-clicks-using-data-to-optimize-your-clients-campaigns</t>
  </si>
  <si>
    <t>https://cdn.slidesharecdn.com/ss_thumbnails/digital-agency-day-go-beyond-opens-clicks-160204144811-thumbnail.jpg?width=560&amp;fit=bounds</t>
  </si>
  <si>
    <t>https://www.slideshare.net/KyleSherman/ios-scroll-performance</t>
  </si>
  <si>
    <t>https://cdn.slidesharecdn.com/ss_thumbnails/iosscrollperformance-160203222139-thumbnail.jpg?width=560&amp;fit=bounds</t>
  </si>
  <si>
    <t>https://www.slideshare.net/DeloitteUS/2015-us-global-mobile-consumer-survey</t>
  </si>
  <si>
    <t>https://cdn.slidesharecdn.com/ss_thumbnails/2015-us-global-mobile-consumer-92de25b0-1b19-43d1-a8f7-d1fdc5e33fa6-1132500893-160202141502-thumbnail.jpg?width=560&amp;fit=bounds</t>
  </si>
  <si>
    <t>https://www.slideshare.net/mmikowska/2015-year-in-review-mobile</t>
  </si>
  <si>
    <t>https://cdn.slidesharecdn.com/ss_thumbnails/mobile2015yearinreview-160130012200-thumbnail.jpg?width=560&amp;fit=bounds</t>
  </si>
  <si>
    <t>https://www.slideshare.net/scott.gardner/to-swift-2and-beyond-57645605</t>
  </si>
  <si>
    <t>https://cdn.slidesharecdn.com/ss_thumbnails/toswift2-160129125007-thumbnail.jpg?width=560&amp;fit=bounds</t>
  </si>
  <si>
    <t>https://www.slideshare.net/QuickHealPPTs/7-simple-tips-to-take-care-of-your-new-android-phone</t>
  </si>
  <si>
    <t>https://cdn.slidesharecdn.com/ss_thumbnails/7simpletipstotakecareofyournewandroidphone-160129094834-thumbnail.jpg?width=560&amp;fit=bounds</t>
  </si>
  <si>
    <t>https://www.slideshare.net/Blogging4jobs/mobile-recruiting-best-practices</t>
  </si>
  <si>
    <t>https://cdn.slidesharecdn.com/ss_thumbnails/mobile-recruiting-best-practices-2016-realmatch-160126124302-thumbnail.jpg?width=560&amp;fit=bounds</t>
  </si>
  <si>
    <t>https://www.slideshare.net/mmikowska/the-best-of-mobile-marketing-2015</t>
  </si>
  <si>
    <t>https://cdn.slidesharecdn.com/ss_thumbnails/thebestofmobilemarketing2015-160125203626-thumbnail.jpg?width=560&amp;fit=bounds</t>
  </si>
  <si>
    <t>https://www.slideshare.net/EdithYeung/mobile-investment-outlook-2016-edith-yeung</t>
  </si>
  <si>
    <t>https://cdn.slidesharecdn.com/ss_thumbnails/mobileinvestmentoutlook2016-edithyeung-january2016-160123040255-thumbnail.jpg?width=560&amp;fit=bounds</t>
  </si>
  <si>
    <t>https://www.slideshare.net/Blogging4jobs/why-mobile-is-essential-in-tech-recruiting</t>
  </si>
  <si>
    <t>https://cdn.slidesharecdn.com/ss_thumbnails/mobile-recruiting-presentation-2016-160121163447-thumbnail.jpg?width=560&amp;fit=bounds</t>
  </si>
  <si>
    <t>https://www.slideshare.net/GGVCapital/ggv-capital-mobile-trends-review</t>
  </si>
  <si>
    <t>https://cdn.slidesharecdn.com/ss_thumbnails/ggvpovmobiletrends-160112231333-thumbnail.jpg?width=560&amp;fit=bounds</t>
  </si>
  <si>
    <t>https://www.slideshare.net/InfoQ/scaling-uber</t>
  </si>
  <si>
    <t>https://cdn.slidesharecdn.com/ss_thumbnails/untitled-160111091757-thumbnail.jpg?width=560&amp;fit=bounds</t>
  </si>
  <si>
    <t>https://www.slideshare.net/goldengekko/dmi-top-10-mobile-trends-2016</t>
  </si>
  <si>
    <t>https://cdn.slidesharecdn.com/ss_thumbnails/dmitop10mobiletrends2016-151214122650-thumbnail.jpg?width=560&amp;fit=bounds</t>
  </si>
  <si>
    <t>https://www.slideshare.net/EdithYeung/mobile-is-eating-the-world-by-edith-yeung</t>
  </si>
  <si>
    <t>https://cdn.slidesharecdn.com/ss_thumbnails/mobileiseatingtheworld-november2015-151212134115-thumbnail.jpg?width=560&amp;fit=bounds</t>
  </si>
  <si>
    <t>https://www.slideshare.net/joshclark/significant-glances-meaningful-interaction-on-the-wrist-56064946</t>
  </si>
  <si>
    <t>https://cdn.slidesharecdn.com/ss_thumbnails/apple-watch-151211191756-thumbnail.jpg?width=560&amp;fit=bounds</t>
  </si>
  <si>
    <t>https://www.slideshare.net/SamsungBusinessUSA/seven-steps-to-an-effective-mobile-app-strategy</t>
  </si>
  <si>
    <t>https://cdn.slidesharecdn.com/ss_thumbnails/sevenstepstoaneffectivemobileappstrategy-151210164048-thumbnail.jpg?width=560&amp;fit=bounds</t>
  </si>
  <si>
    <t>https://www.slideshare.net/INBOUND/joel-comm-the-live-streaming-revolution</t>
  </si>
  <si>
    <t>https://cdn.slidesharecdn.com/ss_thumbnails/joelcomm-inbound15-streamingvideo-151209213746-lva1-app6891-thumbnail.jpg?width=560&amp;fit=bounds</t>
  </si>
  <si>
    <t>https://www.slideshare.net/generalassembly/the-android-revolution-55937852</t>
  </si>
  <si>
    <t>https://cdn.slidesharecdn.com/ss_thumbnails/androidrevfinalv03-151208151929-lva1-app6892-thumbnail.jpg?width=560&amp;fit=bounds</t>
  </si>
  <si>
    <t>https://www.slideshare.net/techahead/10-mobile-app-design-principles</t>
  </si>
  <si>
    <t>https://cdn.slidesharecdn.com/ss_thumbnails/slidesharemobileappdesignprinciples-151208130710-lva1-app6891-thumbnail.jpg?width=560&amp;fit=bounds</t>
  </si>
  <si>
    <t>https://www.slideshare.net/500startups/premoney-mena-2015-500-startups-edith-yeungdialing-up-returns-the-complete-guide-to-evaluating-mobile-startups</t>
  </si>
  <si>
    <t>https://cdn.slidesharecdn.com/ss_thumbnails/9tvo10l4sgarrdahzkbi-signature-509e38f284dbf8630eeef5bb32c36869f5e8403f416289e9cfa4c580d0b84e6c-poli-151206033113-lva1-app6892-thumbnail.jpg?width=560&amp;fit=bounds</t>
  </si>
  <si>
    <t>https://www.slideshare.net/LogoDesignGuru/identifying-millennial-buying-behavior-on-mobile</t>
  </si>
  <si>
    <t>https://cdn.slidesharecdn.com/ss_thumbnails/identifyingbuyingbehavioronmobileforthenewyear-151203125110-lva1-app6892-thumbnail.jpg?width=560&amp;fit=bounds</t>
  </si>
  <si>
    <t>https://www.slideshare.net/BloombergLP/apps-help-restaurants-counter-social-media-shifts</t>
  </si>
  <si>
    <t>https://cdn.slidesharecdn.com/ss_thumbnails/restaurantsocialslideshare-151202182156-lva1-app6892-thumbnail.jpg?width=560&amp;fit=bounds</t>
  </si>
  <si>
    <t>https://www.slideshare.net/LaurenHand/best-practices-for-push-notifications</t>
  </si>
  <si>
    <t>Best Practices for Push Notifications by GPShopper, a Synchrony solution</t>
  </si>
  <si>
    <t>https://cdn.slidesharecdn.com/ss_thumbnails/clientcollateral-pnbestpractices-151130215526-lva1-app6891-thumbnail.jpg?width=560&amp;fit=bounds</t>
  </si>
  <si>
    <t>https://www.slideshare.net/socialogilvy/15-years-of-shazam</t>
  </si>
  <si>
    <t>https://cdn.slidesharecdn.com/ss_thumbnails/wefkfwcttbcvh8t8uk6z-signature-643396c55095f1a937ef29d52f3d6d3551ec0046dbccc98fe04130e9f516f749-poli-151130210047-lva1-app6892-thumbnail.jpg?width=560&amp;fit=bounds</t>
  </si>
  <si>
    <t>https://www.slideshare.net/Localytics/driving-app-growth-how-to-leverage-firstparty-data-to-drive-a-360-degree-app-marketing-strategy-across-the-lifecycle</t>
  </si>
  <si>
    <t>https://cdn.slidesharecdn.com/ss_thumbnails/appgrowth-applift-localytics-1-151130204748-lva1-app6891-thumbnail.jpg?width=560&amp;fit=bounds</t>
  </si>
  <si>
    <t>https://www.slideshare.net/inmobi/decoding-monetization-methods-for-dating-apps</t>
  </si>
  <si>
    <t>https://cdn.slidesharecdn.com/ss_thumbnails/decodingmonetizationmethodsfordatingappsinmobi1-151123132141-lva1-app6892-thumbnail.jpg?width=560&amp;fit=bounds</t>
  </si>
  <si>
    <t>https://www.slideshare.net/ShellTerrell/mobile-research-notetaking-and-bookmarking</t>
  </si>
  <si>
    <t>https://cdn.slidesharecdn.com/ss_thumbnails/notetakingimages-151118091634-lva1-app6891-thumbnail.jpg?width=560&amp;fit=bounds</t>
  </si>
  <si>
    <t>https://www.slideshare.net/ErinSagin/dominating-mobile-ppc-3-tips-to-3x-your-conversions-smx-east</t>
  </si>
  <si>
    <t>https://cdn.slidesharecdn.com/ss_thumbnails/newestpresentation-151117010541-lva1-app6892-thumbnail.jpg?width=560&amp;fit=bounds</t>
  </si>
  <si>
    <t>https://www.slideshare.net/Vebology/state-of-mobile-commerce-in-uk-2015</t>
  </si>
  <si>
    <t>State of Mobile Commerce in UK 2015 by Vebology Store</t>
  </si>
  <si>
    <t>https://cdn.slidesharecdn.com/ss_thumbnails/stateofmobilecommerceinuk2015-151113144834-lva1-app6892-thumbnail.jpg?width=560&amp;fit=bounds</t>
  </si>
  <si>
    <t>https://www.slideshare.net/natashatherobot/protocoloriented-mvvm</t>
  </si>
  <si>
    <t>https://cdn.slidesharecdn.com/ss_thumbnails/pomvvm-151110092655-lva1-app6891-thumbnail.jpg?width=560&amp;fit=bounds</t>
  </si>
  <si>
    <t>https://www.slideshare.net/CELLULAR_GmbH/cellulars-apple-tv-guidelines</t>
  </si>
  <si>
    <t>https://cdn.slidesharecdn.com/ss_thumbnails/appletvguidelinesfinal-151106105841-lva1-app6892-thumbnail.jpg?width=560&amp;fit=bounds</t>
  </si>
  <si>
    <t>https://www.slideshare.net/LookoutInc/5-ways-to-protect-your-mobile-security</t>
  </si>
  <si>
    <t>https://cdn.slidesharecdn.com/ss_thumbnails/cybersecurityawareness-151104180756-lva1-app6892-thumbnail.jpg?width=560&amp;fit=bounds</t>
  </si>
  <si>
    <t>https://www.slideshare.net/victorhernandez9/mobile-me-programming-for-wearables</t>
  </si>
  <si>
    <t>https://cdn.slidesharecdn.com/ss_thumbnails/mobileme-151029161059-lva1-app6891-thumbnail.jpg?width=560&amp;fit=bounds</t>
  </si>
  <si>
    <t>https://www.slideshare.net/AndyDavies/making-mobile-sites-faster-54376499</t>
  </si>
  <si>
    <t>https://cdn.slidesharecdn.com/ss_thumbnails/makingmobilesitesfaster-151026101720-lva1-app6891-thumbnail.jpg?width=560&amp;fit=bounds</t>
  </si>
  <si>
    <t>https://www.slideshare.net/FollowAnalytics/mapping-the-omnichannel-customer-journey-how-to-engage-people-in-a-mobile-first-world</t>
  </si>
  <si>
    <t>https://cdn.slidesharecdn.com/ss_thumbnails/followanalyticsforresterset2-151022164709-lva1-app6891-thumbnail.jpg?width=560&amp;fit=bounds</t>
  </si>
  <si>
    <t>https://www.slideshare.net/inmobi/the-future-of-brand-marketing-inapp-mobile-video</t>
  </si>
  <si>
    <t>https://cdn.slidesharecdn.com/ss_thumbnails/mmainmobiwebinar100615-151020091820-lva1-app6892-thumbnail.jpg?width=560&amp;fit=bounds</t>
  </si>
  <si>
    <t>https://www.slideshare.net/socialcops/building-for-the-next-billion-an-android-developers-guide</t>
  </si>
  <si>
    <t>https://cdn.slidesharecdn.com/ss_thumbnails/droidconpptrevised-151015172452-lva1-app6892-thumbnail.jpg?width=560&amp;fit=bounds</t>
  </si>
  <si>
    <t>https://www.slideshare.net/hamutsi/im-a-smartphone-addict</t>
  </si>
  <si>
    <t>https://cdn.slidesharecdn.com/ss_thumbnails/imasmartphoneaddict-151015163204-lva1-app6892-thumbnail.jpg?width=560&amp;fit=bounds</t>
  </si>
  <si>
    <t>https://www.slideshare.net/EdithYeung/7-tips-for-scaling-mobile-users-in-china-what-can-we-learn-from-uber-launch-scale-october-2015</t>
  </si>
  <si>
    <t>7 Tips for Scaling Mobile Users in China. What can we learn from Uber @ Launch Scale - October 2015  by Edith Yeung</t>
  </si>
  <si>
    <t>https://cdn.slidesharecdn.com/ss_thumbnails/7tipsforscalingmobileusersinchina-151014134944-lva1-app6891-thumbnail.jpg?width=560&amp;fit=bounds</t>
  </si>
  <si>
    <t>https://www.slideshare.net/usersnap/mobile-first-how-to-approach-mobile-testing</t>
  </si>
  <si>
    <t>https://cdn.slidesharecdn.com/ss_thumbnails/mobile-first-how-to-approach-mobile-testing-responsive-web-design-151012135938-lva1-app6892-thumbnail.jpg?width=560&amp;fit=bounds</t>
  </si>
  <si>
    <t>https://www.slideshare.net/TABInsights/8-things-uber-can-teach-you</t>
  </si>
  <si>
    <t>https://cdn.slidesharecdn.com/ss_thumbnails/tab8lessonsfromuber-151009083040-lva1-app6891-thumbnail.jpg?width=560&amp;fit=bounds</t>
  </si>
  <si>
    <t>https://www.slideshare.net/CynthiaJohnson2/tips-for-surviving-social-media-in-a-mobile-world</t>
  </si>
  <si>
    <t>https://cdn.slidesharecdn.com/ss_thumbnails/cjohnsonsocialmediainamobileworldpubconlasvegas2015-151007233014-lva1-app6891-thumbnail.jpg?width=560&amp;fit=bounds</t>
  </si>
  <si>
    <t>https://www.slideshare.net/jjwu6266/introducing-apple-iphone-6s</t>
  </si>
  <si>
    <t>https://cdn.slidesharecdn.com/ss_thumbnails/appleiphone6s-151007134141-lva1-app6892-thumbnail.jpg?width=560&amp;fit=bounds</t>
  </si>
  <si>
    <t>https://www.slideshare.net/IQGroup/nexus-6p-vs-iphone-6s-plus-infographic</t>
  </si>
  <si>
    <t>Nexus 6P vs. iPhone 6s Plus (Infographic) by InterQuest Group</t>
  </si>
  <si>
    <t>https://cdn.slidesharecdn.com/ss_thumbnails/iqtelecom-infographic-6pvs6splus-v0-151007090447-lva1-app6892-thumbnail.jpg?width=560&amp;fit=bounds</t>
  </si>
  <si>
    <t>https://www.slideshare.net/dalloyd/pubcon-2015-mobile-and-app-store-optimization-dave-lloyd</t>
  </si>
  <si>
    <t>https://cdn.slidesharecdn.com/ss_thumbnails/pubcon2015appstoreoptimization-davelloyd-final-151006165848-lva1-app6892-thumbnail.jpg?width=560&amp;fit=bounds</t>
  </si>
  <si>
    <t>https://www.slideshare.net/techahead/10-conditions-for-cost-estimation-of-an-ios-application</t>
  </si>
  <si>
    <t>https://cdn.slidesharecdn.com/ss_thumbnails/criteriaforcostestimationofaniosapp-151006100422-lva1-app6891-thumbnail.jpg?width=560&amp;fit=bounds</t>
  </si>
  <si>
    <t>https://www.slideshare.net/mercurious/nycml15-mobile-live-streaming-new-paradigm-or-fading-fad</t>
  </si>
  <si>
    <t>https://cdn.slidesharecdn.com/ss_thumbnails/nycml15livestreamingwkshp-150929165645-lva1-app6891-thumbnail.jpg?width=560&amp;fit=bounds</t>
  </si>
  <si>
    <t>https://www.slideshare.net/newsworks/the-mobile-influencer</t>
  </si>
  <si>
    <t>https://cdn.slidesharecdn.com/ss_thumbnails/mobileinfluencer-150929134542-lva1-app6891-thumbnail.jpg?width=560&amp;fit=bounds</t>
  </si>
  <si>
    <t>https://www.slideshare.net/SamsungBusinessUSA/guide-to-mobile-healthcare-technology</t>
  </si>
  <si>
    <t>https://cdn.slidesharecdn.com/ss_thumbnails/guidetomobilehealthcaretechnology-150928182114-lva1-app6891-thumbnail.jpg?width=560&amp;fit=bounds</t>
  </si>
  <si>
    <t>https://www.slideshare.net/zenithoptimedia/5-key-mobile-trends-for-marketers-dmexco-2015</t>
  </si>
  <si>
    <t>https://cdn.slidesharecdn.com/ss_thumbnails/5keymobiletrendsformarketersdmexcofinalwithnotesandlogov3-150923093140-lva1-app6892-thumbnail.jpg?width=560&amp;fit=bounds</t>
  </si>
  <si>
    <t>https://www.slideshare.net/donnamoritz/21-periscope-tips-for-winning-broadcasts</t>
  </si>
  <si>
    <t>https://cdn.slidesharecdn.com/ss_thumbnails/diveintoperiscope-21periscopetipsforwinningbroadcasts-150923065257-lva1-app6891-thumbnail.jpg?width=560&amp;fit=bounds</t>
  </si>
  <si>
    <t>https://www.slideshare.net/ShellTerrell/15-digital-research-apps</t>
  </si>
  <si>
    <t>https://cdn.slidesharecdn.com/ss_thumbnails/digitalresearchapps2015-150921212813-lva1-app6891-thumbnail.jpg?width=560&amp;fit=bounds</t>
  </si>
  <si>
    <t>https://www.slideshare.net/EasyBib/app-smashing-for-educators-leveraging-tools-to-maximize-communication</t>
  </si>
  <si>
    <t>https://cdn.slidesharecdn.com/ss_thumbnails/appsmashingforeducators-150921173010-lva1-app6892-thumbnail.jpg?width=560&amp;fit=bounds</t>
  </si>
  <si>
    <t>https://www.slideshare.net/techugo_ss/ios-9-new-features-at-a-glance-52885157</t>
  </si>
  <si>
    <t>iOS 9 - New Features at a Glance by techugo</t>
  </si>
  <si>
    <t>https://cdn.slidesharecdn.com/ss_thumbnails/ios9newfeatures-150917105216-lva1-app6891-thumbnail.jpg?width=560&amp;fit=bounds</t>
  </si>
  <si>
    <t>https://www.slideshare.net/wiley/slideshare-identifying-data-leaks-in-ios-applications</t>
  </si>
  <si>
    <t>https://cdn.slidesharecdn.com/ss_thumbnails/mobile-8-ios-leaks-slide-061415a-150909193045-lva1-app6892-thumbnail.jpg?width=560&amp;fit=bounds</t>
  </si>
  <si>
    <t>https://www.slideshare.net/EmergenceCapital/mobile-enterprise-trends-2015-emergence-capital</t>
  </si>
  <si>
    <t>Mobile Enterprise Trends 2015 - Emergence Capital by Emergence Capital</t>
  </si>
  <si>
    <t>https://cdn.slidesharecdn.com/ss_thumbnails/emcapmobilereport20159-150904190254-lva1-app6892-thumbnail.jpg?width=560&amp;fit=bounds</t>
  </si>
  <si>
    <t>https://www.slideshare.net/Localytics/app-value-101-how-i-learned-to-avoid-bombarding-users-with-disruptive-messages-september-2015-version</t>
  </si>
  <si>
    <t>App Value 101: How I Learned to Avoid Bombarding Users with Disruptive Messages (September 2015 Version) by Localytics</t>
  </si>
  <si>
    <t>https://cdn.slidesharecdn.com/ss_thumbnails/appvalue101webinar-finalsept-150901181932-lva1-app6892-thumbnail.jpg?width=560&amp;fit=bounds</t>
  </si>
  <si>
    <t>https://www.slideshare.net/bizmonster/9-crucial-things-to-test-before-your-app-goes-live</t>
  </si>
  <si>
    <t>https://cdn.slidesharecdn.com/ss_thumbnails/9crucialthingstotestbeforeyourappgoesliveslideshare-150831174611-lva1-app6892-thumbnail.jpg?width=560&amp;fit=bounds</t>
  </si>
  <si>
    <t>https://www.slideshare.net/SaraQuinnPoynter/2-mobile-marketingpros-and-cons-michael-hanley</t>
  </si>
  <si>
    <t>https://cdn.slidesharecdn.com/ss_thumbnails/2mobilemarketingprosandconsmichaelhanley-150830163358-lva1-app6892-thumbnail.jpg?width=560&amp;fit=bounds</t>
  </si>
  <si>
    <t>https://www.slideshare.net/SaraQuinnPoynter/designing-for-a-small-screen-mobile</t>
  </si>
  <si>
    <t>https://cdn.slidesharecdn.com/ss_thumbnails/designingforthesmallscreenmobiledesign-150830150609-lva1-app6891-thumbnail.jpg?width=560&amp;fit=bounds</t>
  </si>
  <si>
    <t>https://www.slideshare.net/SaraQuinnPoynter/whats-so-special-about-mobile-52221953</t>
  </si>
  <si>
    <t>https://cdn.slidesharecdn.com/ss_thumbnails/whatssospecialaboutmobile-150830150324-lva1-app6892-thumbnail.jpg?width=560&amp;fit=bounds</t>
  </si>
  <si>
    <t>https://www.slideshare.net/Localytics/app-lifecycle-engagement</t>
  </si>
  <si>
    <t>https://cdn.slidesharecdn.com/ss_thumbnails/applifecycleengagement-150827210059-lva1-app6892-thumbnail.jpg?width=560&amp;fit=bounds</t>
  </si>
  <si>
    <t>https://www.slideshare.net/rharbridge/the-social-enterprise-in-a-cloud-first-and-mobile-first-world-sptechcon</t>
  </si>
  <si>
    <t>https://cdn.slidesharecdn.com/ss_thumbnails/thesocialenterpriseinacloudfirstandmobilefirstworld-compressed-150826170102-lva1-app6892-thumbnail.jpg?width=560&amp;fit=bounds</t>
  </si>
  <si>
    <t>https://www.slideshare.net/amontcoudiol/mobile-growth-marketing-strategy-hacks-tools</t>
  </si>
  <si>
    <t>https://cdn.slidesharecdn.com/ss_thumbnails/mobilegrowthmarketing-150825115135-lva1-app6891-thumbnail.jpg?width=560&amp;fit=bounds</t>
  </si>
  <si>
    <t>https://www.slideshare.net/inmobi/inmobis-report-preview-of-the-role-of-mobile-and-its-influence-on-back-to-school-shopping-in-usa</t>
  </si>
  <si>
    <t>https://cdn.slidesharecdn.com/ss_thumbnails/inmobisreportpreviewoftheroleofmobileanditsinfluenceonbacktoschoolshoppinginusa-150825052103-lva1-app6891-thumbnail.jpg?width=560&amp;fit=bounds</t>
  </si>
  <si>
    <t>https://www.slideshare.net/inmobi/inmobiinfographic-on-the-role-of-mobile-and-its-influence-on-back-to-school-shopping</t>
  </si>
  <si>
    <t>InMobi_Infographic on The role of mobile and it's influence on back to school shopping USA by InMobi</t>
  </si>
  <si>
    <t>https://cdn.slidesharecdn.com/ss_thumbnails/infographicstheroleofmobileitsinfluenceonbacktoschoolshoppinginmobiinsights-150825044453-lva1-app6892-thumbnail.jpg?width=560&amp;fit=bounds</t>
  </si>
  <si>
    <t>https://www.slideshare.net/WeAreMRY/the-new-micro-leisure-redefining-downtime-in-a-connected-world</t>
  </si>
  <si>
    <t>https://cdn.slidesharecdn.com/ss_thumbnails/thenewmicroleisure-150824205618-lva1-app6892-thumbnail.jpg?width=560&amp;fit=bounds</t>
  </si>
  <si>
    <t>https://www.slideshare.net/wearesocialsg/digital-social-mobile-in-china-in-2015</t>
  </si>
  <si>
    <t>https://cdn.slidesharecdn.com/ss_thumbnails/wearesocial20150816digitalsocialmobileinchinaaug2015v01-150818010337-lva1-app6892-thumbnail.jpg?width=560&amp;fit=bounds</t>
  </si>
  <si>
    <t>https://www.slideshare.net/bradrosen1/drync-uberization-of-wine</t>
  </si>
  <si>
    <t>https://cdn.slidesharecdn.com/ss_thumbnails/dryncuberizationofwine-150813172648-lva1-app6892-thumbnail.jpg?width=560&amp;fit=bounds</t>
  </si>
  <si>
    <t>https://www.slideshare.net/lainians/mo-pub-marketplacereportq22015final</t>
  </si>
  <si>
    <t>https://cdn.slidesharecdn.com/ss_thumbnails/mopubmarketplacereportq22015final-150810181532-lva1-app6892-thumbnail.jpg?width=560&amp;fit=bounds</t>
  </si>
  <si>
    <t>https://www.slideshare.net/Yokomark/deep-inside-android-hacks</t>
  </si>
  <si>
    <t>https://cdn.slidesharecdn.com/ss_thumbnails/1-150810083847-lva1-app6891-thumbnail.jpg?width=560&amp;fit=bounds</t>
  </si>
  <si>
    <t>https://www.slideshare.net/ncicero0/snapchat-is-a-burrito</t>
  </si>
  <si>
    <t>Snapchat is a Burrito by Nick Cicero</t>
  </si>
  <si>
    <t>https://cdn.slidesharecdn.com/ss_thumbnails/snapchatisaburrito-150809200457-lva1-app6891-thumbnail.jpg?width=560&amp;fit=bounds</t>
  </si>
  <si>
    <t>https://www.slideshare.net/briansolis/altimeter-mobile-cx-final</t>
  </si>
  <si>
    <t>The Inevitability of a Mobile-Only Customer Experience by Brian Solis</t>
  </si>
  <si>
    <t>https://cdn.slidesharecdn.com/ss_thumbnails/altimetermobilecxfinal-150804142447-lva1-app6891-thumbnail.jpg?width=560&amp;fit=bounds</t>
  </si>
  <si>
    <t>https://www.slideshare.net/OnDevice/insights-into-the-app-economy-in-mena</t>
  </si>
  <si>
    <t>Insights into the App Economy in MENA by On Device Research</t>
  </si>
  <si>
    <t>https://cdn.slidesharecdn.com/ss_thumbnails/arabnetpres-v2-final-final-150803175456-lva1-app6892-thumbnail.jpg?width=560&amp;fit=bounds</t>
  </si>
  <si>
    <t>https://www.slideshare.net/nigelmarkdias/mobile-search-moments-from-google-nielsen</t>
  </si>
  <si>
    <t>Mobile Search Moments from Google &amp; Nielsen by Nigel Mark Dias</t>
  </si>
  <si>
    <t>https://cdn.slidesharecdn.com/ss_thumbnails/creating-moments-that-matterresearch-studies1-150802023638-lva1-app6891-thumbnail.jpg?width=560&amp;fit=bounds</t>
  </si>
  <si>
    <t>https://www.slideshare.net/Localytics/unlocking-app-success-how-to-turn-your-app-into-a-mobile-growth-engine</t>
  </si>
  <si>
    <t>Unlocking App Success: How to Turn Your App Into a Mobile Growth Engine by Localytics</t>
  </si>
  <si>
    <t>https://cdn.slidesharecdn.com/ss_thumbnails/pdfv2slidedeck-unlockingappsuccesswithbranchmetrics-150730210549-lva1-app6892-thumbnail.jpg?width=560&amp;fit=bounds</t>
  </si>
  <si>
    <t>https://www.slideshare.net/spocto/drive-potential-customers-with-effective-mobile-marketing</t>
  </si>
  <si>
    <t>https://cdn.slidesharecdn.com/ss_thumbnails/drivepotentialcustomerswitheffectivemobilemarketing-150729090054-lva1-app6892-thumbnail.jpg?width=560&amp;fit=bounds</t>
  </si>
  <si>
    <t>https://www.slideshare.net/Invoca/are-you-in-the-mobilemindset</t>
  </si>
  <si>
    <t>https://cdn.slidesharecdn.com/ss_thumbnails/fzvgzmimtwmeyspk393o-signature-53ee76fda9c0d5b8ad3f7c2413d9a283db23fc29e9a8418bb19381441c505bfa-poli-150728213505-lva1-app6892-thumbnail.jpg?width=560&amp;fit=bounds</t>
  </si>
  <si>
    <t>https://www.slideshare.net/PollenVC/the-funding-gap</t>
  </si>
  <si>
    <t>https://cdn.slidesharecdn.com/ss_thumbnails/thefundinggap-150728141637-lva1-app6891-thumbnail.jpg?width=560&amp;fit=bounds</t>
  </si>
  <si>
    <t>https://www.slideshare.net/johnkoetsier/to-win-in-mobile-is-to-win-period</t>
  </si>
  <si>
    <t>https://cdn.slidesharecdn.com/ss_thumbnails/mb-1-150720163635-lva1-app6891-thumbnail.jpg?width=560&amp;fit=bounds</t>
  </si>
  <si>
    <t>https://www.slideshare.net/JamesDennin/tinder-science-analaysisfinal</t>
  </si>
  <si>
    <t>If Tinder pursues multiple monetization strategies: analysis of outcomes by James Dennin</t>
  </si>
  <si>
    <t>https://cdn.slidesharecdn.com/ss_thumbnails/tinderscienceanalaysisfinal-150714172543-lva1-app6891-thumbnail.jpg?width=560&amp;fit=bounds</t>
  </si>
  <si>
    <t>https://www.slideshare.net/Suzzicks/mozcon-mobilegeddon</t>
  </si>
  <si>
    <t>MozCon - Mobilegeddon by Suzzicks</t>
  </si>
  <si>
    <t>https://cdn.slidesharecdn.com/ss_thumbnails/mobile-friendly-final-150714144545-lva1-app6892-thumbnail.jpg?width=560&amp;fit=bounds</t>
  </si>
  <si>
    <t>https://www.slideshare.net/UpsideLearning/why-mobile-learning-is-the-future-of-workplace-learning</t>
  </si>
  <si>
    <t>Why Mobile Learning Is The Future Of Workplace Learning (Infographic) by Upside Learning Solutions</t>
  </si>
  <si>
    <t>https://cdn.slidesharecdn.com/ss_thumbnails/whymobilelearningisthefutureofworkplacelearning-150708101249-lva1-app6891-thumbnail.jpg?width=560&amp;fit=bounds</t>
  </si>
  <si>
    <t>https://www.slideshare.net/KyleLacy/15-stats-every-b2b-marketer-should-know-about-mobile-retention</t>
  </si>
  <si>
    <t>15 Stats Every B2B Marketer Should Know About Mobile Retention by Kyle Lacy</t>
  </si>
  <si>
    <t>https://cdn.slidesharecdn.com/ss_thumbnails/mobileadoptionslideshare-150701175513-lva1-app6892-thumbnail.jpg?width=560&amp;fit=bounds</t>
  </si>
  <si>
    <t>https://www.slideshare.net/goldengekko/mobile-application-security-by-design</t>
  </si>
  <si>
    <t>Mobile Application Security by Design by DMI</t>
  </si>
  <si>
    <t>https://cdn.slidesharecdn.com/ss_thumbnails/mobileapplicationsecuritybydesign-150630082949-lva1-app6892-thumbnail.jpg?width=560&amp;fit=bounds</t>
  </si>
  <si>
    <t>https://www.slideshare.net/vinaygaba/optimizing-your-apps-for-emerging-markets-droidcon-montreal-2015</t>
  </si>
  <si>
    <t>Optimizing Your Apps For Emerging Markets - Droidcon Montreal 2015 by Vinay Gaba</t>
  </si>
  <si>
    <t>https://cdn.slidesharecdn.com/ss_thumbnails/optimizingyourappsforemergingmarketsslideshare-150629190303-lva1-app6892-thumbnail.jpg?width=560&amp;fit=bounds</t>
  </si>
  <si>
    <t>https://www.slideshare.net/inmobi/report-the-role-of-mobile-in-the-path-to-purchase-of-fmcgretail-products-australia</t>
  </si>
  <si>
    <t>[REPORT] The Role of Mobile in the Path to Purchase of FMCG/Retail Products - Australia  by InMobi</t>
  </si>
  <si>
    <t>https://cdn.slidesharecdn.com/ss_thumbnails/inmobitheroleofmobilepathtopurchaseoffmcgretailproductsslideshare-150629151832-lva1-app6891-thumbnail.jpg?width=560&amp;fit=bounds</t>
  </si>
  <si>
    <t>https://www.slideshare.net/jeremylv/dribbble-meetup-paris</t>
  </si>
  <si>
    <t>Dribbble Meetup Paris by Jeremy Le Van</t>
  </si>
  <si>
    <t>https://cdn.slidesharecdn.com/ss_thumbnails/dribbblemeetupparis-150629132633-lva1-app6892-thumbnail.jpg?width=560&amp;fit=bounds</t>
  </si>
  <si>
    <t>https://www.slideshare.net/gsamman/the-future-of-mobile-beyond-payments-becoming-your-own-bank</t>
  </si>
  <si>
    <t>The Future of Mobile: Beyond Payments, Becoming Your Own Bank by George Samuel Samman</t>
  </si>
  <si>
    <t>https://www.slideshare.net/spocto/the-future-of-mobile-marketing-with-smartphones</t>
  </si>
  <si>
    <t>The Future Of Mobile Marketing With Smartphones by spocto</t>
  </si>
  <si>
    <t>https://www.slideshare.net/Freedactics/state-of-mobile-education</t>
  </si>
  <si>
    <t>State of Mobile Education by Freedactics</t>
  </si>
  <si>
    <t>https://www.slideshare.net/shoobe01/phones-arent-flat-designing-for-people-data-ecosystems</t>
  </si>
  <si>
    <t>Phones Aren’t Flat: Designing for People, Data &amp; Ecosystems by Steven Hoober</t>
  </si>
  <si>
    <t>https://www.slideshare.net/SM4nonprofits/mobile-get-it-or-get-out</t>
  </si>
  <si>
    <t>https://cdn.slidesharecdn.com/ss_thumbnails/1-bencoitfinal-150619174241-lva1-app6891-thumbnail.jpg?width=560&amp;fit=bounds</t>
  </si>
  <si>
    <t>https://www.slideshare.net/a16z/mew-a16z</t>
  </si>
  <si>
    <t>https://cdn.slidesharecdn.com/ss_thumbnails/mewa16z-150619153942-lva1-app6892-thumbnail.jpg?width=560&amp;fit=bounds</t>
  </si>
  <si>
    <t>https://www.slideshare.net/LookoutInc/mobile-security-the-5-questions-modern-organizations-are-asking</t>
  </si>
  <si>
    <t>https://cdn.slidesharecdn.com/ss_thumbnails/whymobilesecurity-150617164452-lva1-app6891-thumbnail.jpg?width=560&amp;fit=bounds</t>
  </si>
  <si>
    <t>https://www.slideshare.net/spocto/beginners-guide-to-mobile-marketing</t>
  </si>
  <si>
    <t>https://cdn.slidesharecdn.com/ss_thumbnails/beginnersguidetomobilemarketing-150617091121-lva1-app6891-thumbnail.jpg?width=560&amp;fit=bounds</t>
  </si>
  <si>
    <t>https://www.slideshare.net/dmalenko/future-of-the-apps-what-startups-need-to-know</t>
  </si>
  <si>
    <t>Future of the Apps: what startups need to know by Dima Malenko</t>
  </si>
  <si>
    <t>https://cdn.slidesharecdn.com/ss_thumbnails/future-of-the-apps-150614202935-lva1-app6891-thumbnail.jpg?width=560&amp;fit=bounds</t>
  </si>
  <si>
    <t>https://www.slideshare.net/jjwu6266/introducing-apple-watch</t>
  </si>
  <si>
    <t>https://cdn.slidesharecdn.com/ss_thumbnails/applewatch-150614144921-lva1-app6892-thumbnail.jpg?width=560&amp;fit=bounds</t>
  </si>
  <si>
    <t>https://www.slideshare.net/TimMesserschmidt/the-anatomy-of-invisible-apps</t>
  </si>
  <si>
    <t>The Anatomy of Invisible Apps by Tim Messerschmidt</t>
  </si>
  <si>
    <t>https://cdn.slidesharecdn.com/ss_thumbnails/invisible-150613071841-lva1-app6892-thumbnail.jpg?width=560&amp;fit=bounds</t>
  </si>
  <si>
    <t>https://www.slideshare.net/13np/mobile-marketing-49309090</t>
  </si>
  <si>
    <t>https://cdn.slidesharecdn.com/ss_thumbnails/natalieprsaflipbook-150612104319-lva1-app6891-thumbnail.jpg?width=560&amp;fit=bounds</t>
  </si>
  <si>
    <t>https://www.slideshare.net/fidelman/10-mobile-marketing-campaigns-that-went-viral-and-made-millions</t>
  </si>
  <si>
    <t>https://cdn.slidesharecdn.com/ss_thumbnails/mobilemarketingpresentationforslideshare-150612071449-lva1-app6892-thumbnail.jpg?width=560&amp;fit=bounds</t>
  </si>
  <si>
    <t>https://www.slideshare.net/aiurchenko/iforum-iurchenkoux-eng</t>
  </si>
  <si>
    <t>https://cdn.slidesharecdn.com/ss_thumbnails/iforum-iurchenko-uxeng-150611210152-lva1-app6891-thumbnail.jpg?width=560&amp;fit=bounds</t>
  </si>
  <si>
    <t>https://www.slideshare.net/eMarketerInc/emarketer-webinar-key-trends-in-mobile-advertising</t>
  </si>
  <si>
    <t>https://cdn.slidesharecdn.com/ss_thumbnails/emarketerwebinarkeytrendsmobileadvertising-150611181857-lva1-app6891-thumbnail.jpg?width=560&amp;fit=bounds</t>
  </si>
  <si>
    <t>https://www.slideshare.net/semrush_webinars/a-complete-guide-to-mobile-serach</t>
  </si>
  <si>
    <t>https://cdn.slidesharecdn.com/ss_thumbnails/acompleteguidetomobileserachbykostastvoudourisandadamwhittlesforsemrush-150611123606-lva1-app6892-thumbnail.jpg?width=560&amp;fit=bounds</t>
  </si>
  <si>
    <t>https://www.slideshare.net/ArabNetME/why-mobile-is-becoming-more-important-than-ever-arabnet-digital-summit-2015-49259684</t>
  </si>
  <si>
    <t>https://www.slideshare.net/SamsungBusinessUSA/the-rise-of-the-mobile-empire</t>
  </si>
  <si>
    <t>The Rise of the Mobile Empire by Samsung Business USA</t>
  </si>
  <si>
    <t>https://www.slideshare.net/marketo/a-marketers-guide-to-going-mobile</t>
  </si>
  <si>
    <t>A Marketer's Guide to Going Mobile by Marketo</t>
  </si>
  <si>
    <t>https://www.slideshare.net/Vertechx9/i-os9-49158718</t>
  </si>
  <si>
    <t>Things you need to know about upgrading to apple iOS 9 by Vertechx 9</t>
  </si>
  <si>
    <t>https://www.slideshare.net/etsarkov/10-ways-to-better-engage-app-users-in-10-seconds</t>
  </si>
  <si>
    <t>10 Ways to Better Engage App Users in 10 Seconds by Evgeny Tsarkov</t>
  </si>
  <si>
    <t>https://www.slideshare.net/LuminaryLabs/sxsw-2015-060515</t>
  </si>
  <si>
    <t>SxSW 2015: The Year of the Meerkat by Luminary Labs</t>
  </si>
  <si>
    <t>https://www.slideshare.net/Localytics/app-value-101-how-i-learned-to-avoid-bombarding-users-with-disruptive-messages</t>
  </si>
  <si>
    <t>App Value 101: How I Learned to Avoid Bombarding Users with Disruptive Messages by Localytics</t>
  </si>
  <si>
    <t>https://www.slideshare.net/Ericsson/ericsson-mobility-report-june-2015-north-east-asia-appendix</t>
  </si>
  <si>
    <t>Ericsson Mobility Report - June 2015 - North East Asia appendix by Ericsson</t>
  </si>
  <si>
    <t>https://www.slideshare.net/lainians/mopubmarketplacereportfinal</t>
  </si>
  <si>
    <t>MoPub Marketplace Report 2015-Q1 by Elain Szu</t>
  </si>
  <si>
    <t>https://www.slideshare.net/MicahCohen1/guide-to-marketing-on-mobile</t>
  </si>
  <si>
    <t>Guide to Marketing on Mobile by Twenty20 Inc.</t>
  </si>
  <si>
    <t>https://www.slideshare.net/gillcleeren/building-your-first-android-app-using-xamarin</t>
  </si>
  <si>
    <t>Building your first android app using Xamarin by Gill Cleeren</t>
  </si>
  <si>
    <t>https://www.slideshare.net/KyleLacy/moments-matter-technology-trends-changing-the-way-we-live-work-and-communicate</t>
  </si>
  <si>
    <t>Moments Matter - Technology Trends Changing the Way We Live, Work and Communicate by Kyle Lacy</t>
  </si>
  <si>
    <t>Mobile-First SEO - The Marketers Edition #3XEDigital by Aleyda Solís</t>
  </si>
  <si>
    <t>Mobile Is Eating the World (2016) by a16z</t>
  </si>
  <si>
    <t>AUDIENCE - 4 Keys to the Future of Mobile Video  by Liam Boogar-Azoulay</t>
  </si>
  <si>
    <t>8 Ways to Personalize Your App (in Under 30 Minutes) by Localytics</t>
  </si>
  <si>
    <t>Y&amp;R Global CEO David Sable on Mobile Disruption at 2016 Mobile World Congress by Young &amp; Rubicam</t>
  </si>
  <si>
    <t>The Next Horizon of Emerging App Markets by App Annie</t>
  </si>
  <si>
    <t>Top 10 Trends at MWC16 by DMI</t>
  </si>
  <si>
    <t>Chinese New Year Reaches Mobile Tipping Point by App Annie</t>
  </si>
  <si>
    <t>How Instagram Onboards New Users by Geoffrey Dorne</t>
  </si>
  <si>
    <t>How Apple Music Onboards New Users by Geoffrey Dorne</t>
  </si>
  <si>
    <t>The future of mobile apps by Monika Mikowska</t>
  </si>
  <si>
    <t>M Dot Extinction: The Next Evolution of Mobile Web by Mobify</t>
  </si>
  <si>
    <t>Go Beyond Opens &amp; Clicks: Using Data to Optimize Your Client's Campaigns by Litmus</t>
  </si>
  <si>
    <t>iOS Scroll Performance by Kyle Sherman</t>
  </si>
  <si>
    <t>2015 US Global Mobile Consumer Survey by Deloitte United States</t>
  </si>
  <si>
    <t>2015 YEAR IN REVIEW: MOBILE by Monika Mikowska</t>
  </si>
  <si>
    <t>To Swift 2...and Beyond! by Scott Gardner</t>
  </si>
  <si>
    <t>7 Simple Tips to Take Care of your New Android Phone by Quick Heal Technologies Ltd.</t>
  </si>
  <si>
    <t>Mobile Recruiting Best Practices by Workology</t>
  </si>
  <si>
    <t>The best of mobile marketing 2015 by Monika Mikowska</t>
  </si>
  <si>
    <t>Mobile Investment Outlook 2016  - Edith Yeung by Edith Yeung</t>
  </si>
  <si>
    <t>Why Mobile is Essential in Tech Recruiting  by Workology</t>
  </si>
  <si>
    <t>GGV Capital Mobile Trends Review by GGV Capital</t>
  </si>
  <si>
    <t>Scaling Uber by C4Media</t>
  </si>
  <si>
    <t>Top 10 Trends for Winners in Mobile 2016 by DMI</t>
  </si>
  <si>
    <t>Messaging is Eating the World (by Edith Yeung) by Edith Yeung</t>
  </si>
  <si>
    <t>Significant Glances: Meaningful Interaction on the Wrist by Josh Clark</t>
  </si>
  <si>
    <t>Seven Steps to an Effective Mobile App Strategy by Samsung Business USA</t>
  </si>
  <si>
    <t>Joel Comm - The Live Streaming Revolution by INBOUND</t>
  </si>
  <si>
    <t>The Android Revolution  by General Assembly</t>
  </si>
  <si>
    <t>10 Principles of Mobile App Design by TechAhead</t>
  </si>
  <si>
    <t>[PreMoney MENA 2015] 500 Startups &gt;&gt; Edith Yeung,"		DIALING UP RETURNS: The Complete Guide To Evaluating Mobile Startups" by 500 Startups</t>
  </si>
  <si>
    <t>Identifying Millennial Buying Behavior On Mobile  by Logo Design Guru</t>
  </si>
  <si>
    <t>Apps help restaurants counter social media shifts by Bloomberg LP</t>
  </si>
  <si>
    <t>15 years of Shazam by Ogilvy Consulting</t>
  </si>
  <si>
    <t>Driving App Growth: How to Leverage First-Party Data to Drive a 360 Degree App Marketing Strategy Across the Lifecycle  by Localytics</t>
  </si>
  <si>
    <t>Decoding Monetization Methods For Dating Apps by InMobi</t>
  </si>
  <si>
    <t>Mobile Research: Notetaking and Bookmarking by Shelly Sanchez Terrell</t>
  </si>
  <si>
    <t>Dominating Mobile PPC: 3 Tips to 3X Your Conversions - SMX East by Erin Sagin</t>
  </si>
  <si>
    <t>Protocol-Oriented MVVM by Natasha Murashev</t>
  </si>
  <si>
    <t>Apple TV UX: 8 Guidelines for greater Apps  by CELLULAR</t>
  </si>
  <si>
    <t>5 Ways to Protect your Mobile Security by Lookout</t>
  </si>
  <si>
    <t>Mobile Me: Programming for Wearables by Victor Hernandez</t>
  </si>
  <si>
    <t>Making Mobile Sites Faster by Andy Davies</t>
  </si>
  <si>
    <t>Mapping the Omnichannel Customer Journey: How to Engage People in a Mobile First World by FollowAnalytics</t>
  </si>
  <si>
    <t>The Future of Brand Marketing = In-App Mobile Video by InMobi</t>
  </si>
  <si>
    <t>Building for the Next Billion: An Android Developer's Guide by SocialCops</t>
  </si>
  <si>
    <t>I'm a smartphone addict by Lior Frenkel</t>
  </si>
  <si>
    <t>Mobile First: How To Approach Mobile Testing! by Usersnap</t>
  </si>
  <si>
    <t>8 Things Uber Can Teach You by The App Business</t>
  </si>
  <si>
    <t>Tips for Surviving Social Media in a Mobile World by Cynthia Johnson</t>
  </si>
  <si>
    <t>Introducing Apple iPhone 6s by JJ Wu</t>
  </si>
  <si>
    <t>Pubcon 2015 – Mobile and App Store Optimization – Dave Lloyd by Dave Lloyd</t>
  </si>
  <si>
    <t>10 Conditions_x000B_ for Cost Estimation of an _x000B_iOS Application by TechAhead</t>
  </si>
  <si>
    <t>#NYCML15 Mobile Live Streaming: New Paradigm or Fading Fad by David Carroll</t>
  </si>
  <si>
    <t>The Mobile influencer by Newsworks</t>
  </si>
  <si>
    <t>Guide to Mobile Healthcare Technology by Samsung Business USA</t>
  </si>
  <si>
    <t>5 Key Mobile Trends for Marketers - dmexco 2015 by ZenithOptimedia</t>
  </si>
  <si>
    <t>21 Periscope Tips for Winning Broadcasts by Donna Moritz</t>
  </si>
  <si>
    <t>Mobile Research: 20+ Mobile Apps by Shelly Sanchez Terrell</t>
  </si>
  <si>
    <t>App Smashing for Educators: Leveraging Tools To Maximize Communication by Imagine Easy Solutions</t>
  </si>
  <si>
    <t>Identifying Data Leaks in iOS Applications by Wiley</t>
  </si>
  <si>
    <t>9 Crucial Things to Test Before Your App Goes Live by Amanda Collette</t>
  </si>
  <si>
    <t>Mobile Marketing: Pros and Cons_Michael Hanley by Sara Quinn</t>
  </si>
  <si>
    <t>Designing for a Small Screen: Mobile by Sara Quinn</t>
  </si>
  <si>
    <t>What's So Special About Mobile? by Sara Quinn</t>
  </si>
  <si>
    <t>App Lifecycle Engagement by Localytics</t>
  </si>
  <si>
    <t>The Social Enterprise In A Cloud First And Mobile First World - SPTechCon by Richard Harbridge</t>
  </si>
  <si>
    <t>Mobile Growth Marketing: Strategy, Hacks and Tools by Adrien Montcoudiol</t>
  </si>
  <si>
    <t>InMobi's report preview of The Role of Mobile And Its Influence On Back To School Shopping in the United States by InMobi</t>
  </si>
  <si>
    <t>The New (Micro) Leisure: Redefining Downtime in a Connected World by MRY</t>
  </si>
  <si>
    <t>Digital, Social &amp; Mobile in China in 2015 by We Are Social Singapore</t>
  </si>
  <si>
    <t>Drync uberization of wine by Brad Rosen</t>
  </si>
  <si>
    <t>MoPub Marketplace Report Q2 2015 by Elain Szu</t>
  </si>
  <si>
    <t>Deep Inside Android Hacks by Keishin Yokomaku</t>
  </si>
  <si>
    <t>Drive Potential Customers With Effective Mobile Marketing by spocto</t>
  </si>
  <si>
    <t>Are You in the #MobileMindset? by Invoca</t>
  </si>
  <si>
    <t>The Funding Gap by Pollen VC</t>
  </si>
  <si>
    <t>To win in mobile is to win. Period by John Koetsier</t>
  </si>
  <si>
    <t>Mobile: Get It or Get Out by Social Media for Nonprofits</t>
  </si>
  <si>
    <t>Mobile Is Eating the World (2015) by a16z</t>
  </si>
  <si>
    <t>Mobile Security: The 5 Questions Modern Organizations Are Asking by Lookout</t>
  </si>
  <si>
    <t>Beginner's Guide To Mobile Marketing by spocto</t>
  </si>
  <si>
    <t>Introducing Apple Watch by JJ Wu</t>
  </si>
  <si>
    <t>Flipbook Digital Media: Mobile Marketing  by 13np</t>
  </si>
  <si>
    <t>10 Mobile Marketing Campaigns That Went Viral and Made Millions by Mark Fidelman</t>
  </si>
  <si>
    <t>UX  Research in mobile by Anna Iurchenko</t>
  </si>
  <si>
    <t>eMarketer Webinar: Key Trends in Mobile Advertising by eMarketer</t>
  </si>
  <si>
    <t>A Complete Guide to Mobile Search by semrush_webinars</t>
  </si>
  <si>
    <t>Why Mobile is Becoming More Important Than Ever; ArabNet Digital Summit 2015 by ArabNet ME</t>
  </si>
  <si>
    <t xml:space="preserve">"&gt;&lt;span class="new_title"&gt;               </t>
  </si>
  <si>
    <t>&lt;a class="new" target="_blank" href="</t>
  </si>
  <si>
    <t>&lt;/span&gt;&lt;/a&gt;</t>
  </si>
  <si>
    <t>https://exe.io/st?api=a480072bd98881bdfc23c75aa2f815ea2428344e&amp;url=</t>
  </si>
  <si>
    <t>https://cdn.designerapp.osi.office.net/copilot/dfs-fre-images/DesignerApp_DesignerApp_TextToImage_20240218/assets/6bbfdda0fa064a59d7077a4f32e38ae8262762ea87aa6afbaa3954025d6d0c79.webp</t>
  </si>
  <si>
    <t>https://cdn.designerapp.osi.office.net/copilot/dfs-fre-images/DesignerApp_DesignerApp_TextToImage_20240218/assets/414c756c7fa838a2fc8f682509388b987b5afb973409f7772d5ff0dd049855f9.webp</t>
  </si>
  <si>
    <t>https://cdn.designerapp.osi.office.net/copilot/dfs-fre-images/DesignerApp_DesignerApp_TextToImage_20240218/assets/7c172be1303856c4ff2bb174648a83a7b0b47b6923bac935c7cac02e50771d19.webp</t>
  </si>
  <si>
    <t>https://cdn.designerapp.osi.office.net/copilot/dfs-fre-images/DesignerApp_DesignerApp_TextToImage_20240218/assets/cb764e4ae5abb2a387efb1e5832786f3313c7aadaddaa49045dde3a0af2d66d2.webp</t>
  </si>
  <si>
    <t>https://cdn.designerapp.osi.office.net/copilot/dfs-fre-images/DesignerApp_DesignerApp_TextToImage_20240218/assets/5e810e79bfe3e4fd40aa3a30677ce3e8713107502d9c781bd3a462af0fe6a694.webp</t>
  </si>
  <si>
    <t>https://cdn.designerapp.osi.office.net/copilot/dfs-fre-images/DesignerApp_DesignerApp_TextToImage_20240218/assets/d95d7f3d73e4e0a256a487683524f8572f3ea741e92ee4c0bfe60e56dd75102a.webp</t>
  </si>
  <si>
    <t>https://cdn.designerapp.osi.office.net/copilot/dfs-fre-images/DesignerApp_DesignerApp_TextToImage_20240218/assets/5359412c0b3ef4d9b3d251139b5fc80c39a21833e6bf7ea120eec970621816f3.webp</t>
  </si>
  <si>
    <t>https://cdn.designerapp.osi.office.net/copilot/dfs-fre-images/DesignerApp_DesignerApp_TextToImage_20240218/assets/ccf08dad4528e33edfece423a817c512fb28ae4813e59486c57fb808f6e7ec8d.webp</t>
  </si>
  <si>
    <t>https://cdn.designerapp.osi.office.net/copilot/dfs-fre-images/DesignerApp_DesignerApp_TextToImage_20240218/assets/4ebb209f2fd6f2318d8af46cbaccbc028242d9a898d032bee4de1c7e3b5dd105.webp</t>
  </si>
  <si>
    <t>https://cdn.designerapp.osi.office.net/copilot/dfs-fre-images/DesignerApp_DesignerApp_TextToImage_20240218/assets/1b0e780a50aeb54ebabf39e57d6988e5bba734b648d2b7594f41fb5468cb4c82.webp</t>
  </si>
  <si>
    <t>https://cdn.designerapp.osi.office.net/copilot/dfs-fre-images/DesignerApp_DesignerApp_TextToImage_20240218/assets/59d90b9acd3d9225726e3eecd1601b1d36d2e032e8f759237bce71b01456d4ee.webp</t>
  </si>
  <si>
    <t>https://cdn.designerapp.osi.office.net/copilot/dfs-fre-images/DesignerApp_DesignerApp_TextToImage_20240218/assets/9747db96ba8685ac492dd10677572e56228c804789417306ab36b6fc6df254e4.webp</t>
  </si>
  <si>
    <t>https://cdn.designerapp.osi.office.net/copilot/dfs-fre-images/DesignerApp_DesignerApp_TextToImage_20240218/assets/694c17560fd1af56e3802093dc496b2113387c36284b02ddc62b1656679472fd.webp</t>
  </si>
  <si>
    <t>https://cdn.designerapp.osi.office.net/copilot/dfs-fre-images/DesignerApp_DesignerApp_TextToImage_20240218/assets/2a3b03ffee907b73c14245020150383a8e8dc48e1607452708a6d6270800879f.webp</t>
  </si>
  <si>
    <t>https://cdn.designerapp.osi.office.net/copilot/dfs-fre-images/DesignerApp_DesignerApp_TextToImage_20240218/assets/a1bdeac862a1b8985a1969dc9f032ab75f2c53e4eaceebbcdcb349ab18edfb52.webp</t>
  </si>
  <si>
    <t>https://cdn.designerapp.osi.office.net/copilot/dfs-fre-images/DesignerApp_DesignerApp_TextToImage_20240218/assets/c2428371a8017ea55634745922f63c2711c90a6a88db475be22af8b48221d4d1.webp</t>
  </si>
  <si>
    <t>https://cdn.designerapp.osi.office.net/copilot/dfs-fre-images/DesignerApp_DesignerApp_TextToImage_20240218/assets/a86a739bb9f25ff56b12cd5fae7a167a9b0d6ad17e6361dda816557249ff74b5.webp</t>
  </si>
  <si>
    <t>https://cdn.designerapp.osi.office.net/copilot/dfs-fre-images/DesignerApp_DesignerApp_TextToImage_20240218/assets/ce3eac9e161bd27dd689b2c63c37a923eb15f4784f11bca7c6210c3262096cd4.webp</t>
  </si>
  <si>
    <t>https://cdn.designerapp.osi.office.net/copilot/dfs-fre-images/DesignerApp_DesignerApp_TextToImage_20240218/assets/8dc7526059136b9ba4a4268c2bdee460e0e2d4a89eaa85206a79ef1eb5c5e889.webp</t>
  </si>
  <si>
    <t>https://cdn.designerapp.osi.office.net/copilot/dfs-fre-images/DesignerApp_DesignerApp_TextToImage_20240218/assets/0fc3075df81097d716cc7f7c672f578ea64913a22e59447e300749f22a2e14fb.webp</t>
  </si>
  <si>
    <t>https://cdn.designerapp.osi.office.net/copilot/dfs-fre-images/DesignerApp_DesignerApp_TextToImage_20240218/assets/7970a2c6e75b78d5946345cddf63dbecc691fa4888691398b94ebaf24b142b45.webp</t>
  </si>
  <si>
    <t>https://cdn.designerapp.osi.office.net/copilot/dfs-fre-images/DesignerApp_DesignerApp_TextToImage_20240218/assets/c52c9468f83103b5903103f53f5b2c7bf51b65dfcf7fbcecfa776f932616edbc.webp</t>
  </si>
  <si>
    <t>https://cdn.designerapp.osi.office.net/copilot/dfs-fre-images/DesignerApp_DesignerApp_TextToImage_20240218/assets/756a46b5a7966bdcc17903472c2dab478290360388aaaf7361ced17b27349ad6.webp</t>
  </si>
  <si>
    <t>https://cdn.designerapp.osi.office.net/copilot/dfs-fre-images/DesignerApp_DesignerApp_TextToImage_20240218/assets/81f57e0b3e3c4f12c76c71577bf05296a4730dc934ed94984d20eee7f6967709.webp</t>
  </si>
  <si>
    <t>https://cdn.designerapp.osi.office.net/copilot/dfs-fre-images/DesignerApp_DesignerApp_TextToImage_20240218/assets/818148fc1d78beedce8232ffbd601956fd45e1abe3146aad830299c51fe530b1.webp</t>
  </si>
  <si>
    <t>https://cdn.designerapp.osi.office.net/copilot/dfs-fre-images/DesignerApp_DesignerApp_TextToImage_20240218/assets/02cb7bb5d954f1e6e249964d87ceefb20d049a9021efc862825201d57ad5adf9.webp</t>
  </si>
  <si>
    <t>https://cdn.designerapp.osi.office.net/copilot/dfs-fre-images/DesignerApp_DesignerApp_TextToImage_20240218/assets/c015a4b6416d6e2d2e240c2d44fa0d9c649678d6e044b2845e2278ba7a474e63.webp</t>
  </si>
  <si>
    <t>https://cdn.designerapp.osi.office.net/copilot/dfs-fre-images/DesignerApp_DesignerApp_TextToImage_20240218/assets/210f9018d56bb81e0672ec29bbaf4cc48f58c9d9a979acde1bdfa487ea33b71d.webp</t>
  </si>
  <si>
    <t>https://cdn.designerapp.osi.office.net/copilot/dfs-fre-images/DesignerApp_DesignerApp_TextToImage_20240218/assets/94870906f0fd672141ebc3ef3ed09143da86ada9c4328e7dfccb80b27b8d7e28.webp</t>
  </si>
  <si>
    <t>https://cdn.designerapp.osi.office.net/copilot/dfs-fre-images/DesignerApp_DesignerApp_TextToImage_20240218/assets/56df04d7d25b5dc68cb55c1d9fb49e418c3e94069aa0776f1e26a1f2f03b538d.webp</t>
  </si>
  <si>
    <t>https://cdn.designerapp.osi.office.net/copilot/dfs-fre-images/DesignerApp_DesignerApp_TextToImage_20240218/assets/61fbe321607383415a43215a7a80a0263a35c4fa2964b9ac54c6219206ad347a.webp</t>
  </si>
  <si>
    <t>https://cdn.designerapp.osi.office.net/copilot/dfs-fre-images/DesignerApp_DesignerApp_TextToImage_20240218/assets/2da1f1005e5c0af5bc4330aecf8e1b2fd9b9019db99adc4c352a8e78afc704a8.webp</t>
  </si>
  <si>
    <t>https://exe.io/st?api=a480072bd98881bdfc23c75aa2f815ea2428344e&amp;url=https://cdn.designerapp.osi.office.net/copilot/dfs-fre-images/DesignerApp_DesignerApp_TextToImage_20240218/assets/6bbfdda0fa064a59d7077a4f32e38ae8262762ea87aa6afbaa3954025d6d0c79.webp</t>
  </si>
  <si>
    <t>https://exe.io/st?api=a480072bd98881bdfc23c75aa2f815ea2428344e&amp;url=https://cdn.designerapp.osi.office.net/copilot/dfs-fre-images/DesignerApp_DesignerApp_TextToImage_20240218/assets/4ebb209f2fd6f2318d8af46cbaccbc028242d9a898d032bee4de1c7e3b5dd105.webp</t>
  </si>
  <si>
    <t>https://exe.io/st?api=a480072bd98881bdfc23c75aa2f815ea2428344e&amp;url=https://cdn.designerapp.osi.office.net/copilot/dfs-fre-images/DesignerApp_DesignerApp_TextToImage_20240218/assets/a86a739bb9f25ff56b12cd5fae7a167a9b0d6ad17e6361dda816557249ff74b5.webp</t>
  </si>
  <si>
    <t>https://exe.io/st?api=a480072bd98881bdfc23c75aa2f815ea2428344e&amp;url=https://cdn.designerapp.osi.office.net/copilot/dfs-fre-images/DesignerApp_DesignerApp_TextToImage_20240218/assets/818148fc1d78beedce8232ffbd601956fd45e1abe3146aad830299c51fe530b1.webp</t>
  </si>
  <si>
    <t>https://exe.io/st?api=a480072bd98881bdfc23c75aa2f815ea2428344e&amp;url=https://cdn.designerapp.osi.office.net/copilot/dfs-fre-images/DesignerApp_DesignerApp_TextToImage_20240218/assets/414c756c7fa838a2fc8f682509388b987b5afb973409f7772d5ff0dd049855f9.webp</t>
  </si>
  <si>
    <t>https://exe.io/st?api=a480072bd98881bdfc23c75aa2f815ea2428344e&amp;url=https://cdn.designerapp.osi.office.net/copilot/dfs-fre-images/DesignerApp_DesignerApp_TextToImage_20240218/assets/1b0e780a50aeb54ebabf39e57d6988e5bba734b648d2b7594f41fb5468cb4c82.webp</t>
  </si>
  <si>
    <t>https://exe.io/st?api=a480072bd98881bdfc23c75aa2f815ea2428344e&amp;url=https://cdn.designerapp.osi.office.net/copilot/dfs-fre-images/DesignerApp_DesignerApp_TextToImage_20240218/assets/ce3eac9e161bd27dd689b2c63c37a923eb15f4784f11bca7c6210c3262096cd4.webp</t>
  </si>
  <si>
    <t>https://exe.io/st?api=a480072bd98881bdfc23c75aa2f815ea2428344e&amp;url=https://cdn.designerapp.osi.office.net/copilot/dfs-fre-images/DesignerApp_DesignerApp_TextToImage_20240218/assets/02cb7bb5d954f1e6e249964d87ceefb20d049a9021efc862825201d57ad5adf9.webp</t>
  </si>
  <si>
    <t>https://exe.io/st?api=a480072bd98881bdfc23c75aa2f815ea2428344e&amp;url=https://cdn.designerapp.osi.office.net/copilot/dfs-fre-images/DesignerApp_DesignerApp_TextToImage_20240218/assets/7c172be1303856c4ff2bb174648a83a7b0b47b6923bac935c7cac02e50771d19.webp</t>
  </si>
  <si>
    <t>https://exe.io/st?api=a480072bd98881bdfc23c75aa2f815ea2428344e&amp;url=https://cdn.designerapp.osi.office.net/copilot/dfs-fre-images/DesignerApp_DesignerApp_TextToImage_20240218/assets/59d90b9acd3d9225726e3eecd1601b1d36d2e032e8f759237bce71b01456d4ee.webp</t>
  </si>
  <si>
    <t>https://exe.io/st?api=a480072bd98881bdfc23c75aa2f815ea2428344e&amp;url=https://cdn.designerapp.osi.office.net/copilot/dfs-fre-images/DesignerApp_DesignerApp_TextToImage_20240218/assets/8dc7526059136b9ba4a4268c2bdee460e0e2d4a89eaa85206a79ef1eb5c5e889.webp</t>
  </si>
  <si>
    <t>https://exe.io/st?api=a480072bd98881bdfc23c75aa2f815ea2428344e&amp;url=https://cdn.designerapp.osi.office.net/copilot/dfs-fre-images/DesignerApp_DesignerApp_TextToImage_20240218/assets/c015a4b6416d6e2d2e240c2d44fa0d9c649678d6e044b2845e2278ba7a474e63.webp</t>
  </si>
  <si>
    <t>https://exe.io/st?api=a480072bd98881bdfc23c75aa2f815ea2428344e&amp;url=https://cdn.designerapp.osi.office.net/copilot/dfs-fre-images/DesignerApp_DesignerApp_TextToImage_20240218/assets/cb764e4ae5abb2a387efb1e5832786f3313c7aadaddaa49045dde3a0af2d66d2.webp</t>
  </si>
  <si>
    <t>https://exe.io/st?api=a480072bd98881bdfc23c75aa2f815ea2428344e&amp;url=https://cdn.designerapp.osi.office.net/copilot/dfs-fre-images/DesignerApp_DesignerApp_TextToImage_20240218/assets/9747db96ba8685ac492dd10677572e56228c804789417306ab36b6fc6df254e4.webp</t>
  </si>
  <si>
    <t>https://exe.io/st?api=a480072bd98881bdfc23c75aa2f815ea2428344e&amp;url=https://cdn.designerapp.osi.office.net/copilot/dfs-fre-images/DesignerApp_DesignerApp_TextToImage_20240218/assets/0fc3075df81097d716cc7f7c672f578ea64913a22e59447e300749f22a2e14fb.webp</t>
  </si>
  <si>
    <t>https://exe.io/st?api=a480072bd98881bdfc23c75aa2f815ea2428344e&amp;url=https://cdn.designerapp.osi.office.net/copilot/dfs-fre-images/DesignerApp_DesignerApp_TextToImage_20240218/assets/210f9018d56bb81e0672ec29bbaf4cc48f58c9d9a979acde1bdfa487ea33b71d.webp</t>
  </si>
  <si>
    <t>https://exe.io/st?api=a480072bd98881bdfc23c75aa2f815ea2428344e&amp;url=https://cdn.designerapp.osi.office.net/copilot/dfs-fre-images/DesignerApp_DesignerApp_TextToImage_20240218/assets/5e810e79bfe3e4fd40aa3a30677ce3e8713107502d9c781bd3a462af0fe6a694.webp</t>
  </si>
  <si>
    <t>https://exe.io/st?api=a480072bd98881bdfc23c75aa2f815ea2428344e&amp;url=https://cdn.designerapp.osi.office.net/copilot/dfs-fre-images/DesignerApp_DesignerApp_TextToImage_20240218/assets/694c17560fd1af56e3802093dc496b2113387c36284b02ddc62b1656679472fd.webp</t>
  </si>
  <si>
    <t>https://exe.io/st?api=a480072bd98881bdfc23c75aa2f815ea2428344e&amp;url=https://cdn.designerapp.osi.office.net/copilot/dfs-fre-images/DesignerApp_DesignerApp_TextToImage_20240218/assets/7970a2c6e75b78d5946345cddf63dbecc691fa4888691398b94ebaf24b142b45.webp</t>
  </si>
  <si>
    <t>https://exe.io/st?api=a480072bd98881bdfc23c75aa2f815ea2428344e&amp;url=https://cdn.designerapp.osi.office.net/copilot/dfs-fre-images/DesignerApp_DesignerApp_TextToImage_20240218/assets/94870906f0fd672141ebc3ef3ed09143da86ada9c4328e7dfccb80b27b8d7e28.webp</t>
  </si>
  <si>
    <t>https://exe.io/st?api=a480072bd98881bdfc23c75aa2f815ea2428344e&amp;url=https://cdn.designerapp.osi.office.net/copilot/dfs-fre-images/DesignerApp_DesignerApp_TextToImage_20240218/assets/d95d7f3d73e4e0a256a487683524f8572f3ea741e92ee4c0bfe60e56dd75102a.webp</t>
  </si>
  <si>
    <t>https://exe.io/st?api=a480072bd98881bdfc23c75aa2f815ea2428344e&amp;url=https://cdn.designerapp.osi.office.net/copilot/dfs-fre-images/DesignerApp_DesignerApp_TextToImage_20240218/assets/2a3b03ffee907b73c14245020150383a8e8dc48e1607452708a6d6270800879f.webp</t>
  </si>
  <si>
    <t>https://exe.io/st?api=a480072bd98881bdfc23c75aa2f815ea2428344e&amp;url=https://cdn.designerapp.osi.office.net/copilot/dfs-fre-images/DesignerApp_DesignerApp_TextToImage_20240218/assets/c52c9468f83103b5903103f53f5b2c7bf51b65dfcf7fbcecfa776f932616edbc.webp</t>
  </si>
  <si>
    <t>https://exe.io/st?api=a480072bd98881bdfc23c75aa2f815ea2428344e&amp;url=https://cdn.designerapp.osi.office.net/copilot/dfs-fre-images/DesignerApp_DesignerApp_TextToImage_20240218/assets/56df04d7d25b5dc68cb55c1d9fb49e418c3e94069aa0776f1e26a1f2f03b538d.webp</t>
  </si>
  <si>
    <t>https://exe.io/st?api=a480072bd98881bdfc23c75aa2f815ea2428344e&amp;url=https://cdn.designerapp.osi.office.net/copilot/dfs-fre-images/DesignerApp_DesignerApp_TextToImage_20240218/assets/5359412c0b3ef4d9b3d251139b5fc80c39a21833e6bf7ea120eec970621816f3.webp</t>
  </si>
  <si>
    <t>https://exe.io/st?api=a480072bd98881bdfc23c75aa2f815ea2428344e&amp;url=https://cdn.designerapp.osi.office.net/copilot/dfs-fre-images/DesignerApp_DesignerApp_TextToImage_20240218/assets/a1bdeac862a1b8985a1969dc9f032ab75f2c53e4eaceebbcdcb349ab18edfb52.webp</t>
  </si>
  <si>
    <t>https://exe.io/st?api=a480072bd98881bdfc23c75aa2f815ea2428344e&amp;url=https://cdn.designerapp.osi.office.net/copilot/dfs-fre-images/DesignerApp_DesignerApp_TextToImage_20240218/assets/756a46b5a7966bdcc17903472c2dab478290360388aaaf7361ced17b27349ad6.webp</t>
  </si>
  <si>
    <t>https://exe.io/st?api=a480072bd98881bdfc23c75aa2f815ea2428344e&amp;url=https://cdn.designerapp.osi.office.net/copilot/dfs-fre-images/DesignerApp_DesignerApp_TextToImage_20240218/assets/61fbe321607383415a43215a7a80a0263a35c4fa2964b9ac54c6219206ad347a.webp</t>
  </si>
  <si>
    <t>https://exe.io/st?api=a480072bd98881bdfc23c75aa2f815ea2428344e&amp;url=https://cdn.designerapp.osi.office.net/copilot/dfs-fre-images/DesignerApp_DesignerApp_TextToImage_20240218/assets/ccf08dad4528e33edfece423a817c512fb28ae4813e59486c57fb808f6e7ec8d.webp</t>
  </si>
  <si>
    <t>https://exe.io/st?api=a480072bd98881bdfc23c75aa2f815ea2428344e&amp;url=https://cdn.designerapp.osi.office.net/copilot/dfs-fre-images/DesignerApp_DesignerApp_TextToImage_20240218/assets/c2428371a8017ea55634745922f63c2711c90a6a88db475be22af8b48221d4d1.webp</t>
  </si>
  <si>
    <t>https://exe.io/st?api=a480072bd98881bdfc23c75aa2f815ea2428344e&amp;url=https://cdn.designerapp.osi.office.net/copilot/dfs-fre-images/DesignerApp_DesignerApp_TextToImage_20240218/assets/81f57e0b3e3c4f12c76c71577bf05296a4730dc934ed94984d20eee7f6967709.webp</t>
  </si>
  <si>
    <t>https://exe.io/st?api=a480072bd98881bdfc23c75aa2f815ea2428344e&amp;url=https://cdn.designerapp.osi.office.net/copilot/dfs-fre-images/DesignerApp_DesignerApp_TextToImage_20240218/assets/2da1f1005e5c0af5bc4330aecf8e1b2fd9b9019db99adc4c352a8e78afc704a8.webp</t>
  </si>
  <si>
    <t xml:space="preserve">An illustration of three musicians] playing drums, a trumpet, and a saxophone] in the colors of black, red, gold and green] in the style of a Cubism] painting	
</t>
  </si>
  <si>
    <t>A flatlay of a single flower] with blue petals] on a pink] background, 3D hyper-surrealism, shiny, metallic, pastel] colors</t>
  </si>
  <si>
    <t>A female scientist] with test tubes and a microscope] in the background, constructivist poster style in blue, black and cream] color palette with a minimal composition</t>
  </si>
  <si>
    <t>A drone] view of a medieval village] nestled in a valley, dusk, stormy] clouds, mountains] in the background, foreboding]</t>
  </si>
  <si>
    <t>An art deco style building] from the 1920's with a geometric art deco background, cream and blue] tone color palette</t>
  </si>
  <si>
    <t>A detail of a maple tree] in the middle] of a green] field, blue] sky, warm] color palette, autochrome style, vintage</t>
  </si>
  <si>
    <t>A crotchet illustration of a family quilt]. Each square of the quilt should represent a family member], and the overall design should convey a sense of unity and warmth</t>
  </si>
  <si>
    <t>An abstract background of melting liquid] with a metallic sheen, gold and grey] colors, reflective studio light</t>
  </si>
  <si>
    <t>An origami scene of a coral reef] with sea turtles and fish], bright studio lighting, immersive, with motion blur</t>
  </si>
  <si>
    <t>A cute sea otter] in a space suit] flying through the solar system] towards a colorful planet], low poly style, beautiful] colors</t>
  </si>
  <si>
    <t>A collage of a cat, a plant, and decorative shapes] in an illustrated frame, risograph, pink and blue] colors</t>
  </si>
  <si>
    <t>A cute happy Shiba Inu] astronaut on a pink] background, digital 2D line art</t>
  </si>
  <si>
    <t>A drone photo of pink sand] and aqua blue water] on a coastline], minimal, aerial shot</t>
  </si>
  <si>
    <t>Detail of leaves on a cherry blossom tree] in spring], cool light, oil painting style</t>
  </si>
  <si>
    <t>A black and white charcoal] illustration of a character] running] down a dark alley], graphic novel, moody]</t>
  </si>
  <si>
    <t>A landscape scene of a lush spring forest] in the rain], sunrise], oil painting style</t>
  </si>
  <si>
    <t>A red vintage plastic camera], studio desktop] scene, floral] backdrop, colorful]</t>
  </si>
  <si>
    <t>A photo of a Victorian style] house with dark blue] siding, a red door], and red shutters]. The photo should be taken from a low angle looking up at the front steps] of the house</t>
  </si>
  <si>
    <t>A product photo of a juice bottle] surrounded by paper waves], quilling style, pastel colors</t>
  </si>
  <si>
    <t>A single pink tulip] in a long white vase], studio photography, strong shadows]</t>
  </si>
  <si>
    <t>Simple Madhubani] painting of two deer] with trees], traditional] motif, flat graphic</t>
  </si>
  <si>
    <t>Image of a wall art with live plants], geometric, 8K, detailed</t>
  </si>
  <si>
    <t>A flavorful breakfast of waffles] on a plate, drizzled with maple syrup] and topped with whipped cream and raspberries], served with a coffee mug], realistic 3D animation</t>
  </si>
  <si>
    <t>A cute golden retriever puppy], handwritten illustration, playing with fall-colored leaves], with tall trees and green grass] in the background, handwritten, pastel colors</t>
  </si>
  <si>
    <t>An authentic scene of a mother] flying a kite] with a child] on a beach], ocean waves] are crashing] in the background. Use a blue and red] color palette in a block illustration style</t>
  </si>
  <si>
    <t>The word wow!] on a cloud] in bright] colors, pop-art style</t>
  </si>
  <si>
    <t>A Japanese] garden with bonsai trees and a pagoda] as a coloring book page</t>
  </si>
  <si>
    <t>"&gt;&lt;img class="" alt=""    src="</t>
  </si>
  <si>
    <t>entry-title</t>
  </si>
  <si>
    <t>td-image-wrap href</t>
  </si>
  <si>
    <t>entry-thumb src</t>
  </si>
  <si>
    <t>td-excerpt</t>
  </si>
  <si>
    <t>td-excerpt 2</t>
  </si>
  <si>
    <t>https://narmedicyna.ru/wp-content/uploads/2021/10/pediatr-218x150.jpg</t>
  </si>
  <si>
    <t>https://narmedicyna.ru/wp-content/uploads/2022/05/foto-zrenie-218x150.jpeg</t>
  </si>
  <si>
    <t>https://narmedicyna.ru/wp-content/uploads/2022/05/foto-stomatolog-218x150.jpg</t>
  </si>
  <si>
    <t>https://narmedicyna.ru/wp-content/uploads/2023/02/neuropsiholog-218x150.jpg</t>
  </si>
  <si>
    <t>https://narmedicyna.ru/wp-content/uploads/2023/02/detskaya-ginekologiya-218x150.jpg</t>
  </si>
  <si>
    <t>https://narmedicyna.ru/wp-content/uploads/2023/03/nevrolog-218x150.jpg</t>
  </si>
  <si>
    <t>https://narmedicyna.ru/wp-content/uploads/2023/04/pediatr-218x150.jpg</t>
  </si>
  <si>
    <t>https://narmedicyna.ru/wp-content/uploads/2023/04/detskiy_nevrolog-218x150.jpg</t>
  </si>
  <si>
    <t>https://narmedicyna.ru/wp-content/uploads/2022/04/detskaya_stomatologiya-218x150.jpg</t>
  </si>
  <si>
    <t>https://narmedicyna.ru/wp-content/uploads/2022/04/lechenie-kariesa-u-detei-218x150.jpg</t>
  </si>
  <si>
    <t>https://narmedicyna.ru/wp-content/uploads/2022/02/detskaya-osteopatiya-218x150.jpg</t>
  </si>
  <si>
    <t>https://narmedicyna.ru/wp-content/uploads/2021/12/gettyimages-97863283-218x150.jpg</t>
  </si>
  <si>
    <t>https://narmedicyna.ru/wp-content/uploads/2021/10/doctor-218x150.jpg</t>
  </si>
  <si>
    <t>https://narmedicyna.ru/wp-content/uploads/2021/10/sopli-218x150.jpeg</t>
  </si>
  <si>
    <t>https://narmedicyna.ru/wp-content/uploads/2021/09/zaik-218x150.jpg</t>
  </si>
  <si>
    <t>https://narmedicyna.ru/wp-content/uploads/2021/08/ispravlenie_prikusa-218x150.jpg</t>
  </si>
  <si>
    <t>https://narmedicyna.ru/wp-content/uploads/2021/02/5-218x150.jpg</t>
  </si>
  <si>
    <t>https://narmedicyna.ru/wp-content/uploads/2015/03/4544.jpg</t>
  </si>
  <si>
    <t>https://narmedicyna.ru/wp-content/uploads/2015/02/vshi.jpg</t>
  </si>
  <si>
    <t>https://narmedicyna.ru/wp-content/uploads/2014/06/laringit.jpg</t>
  </si>
  <si>
    <t>https://narmedicyna.ru/wp-content/uploads/2011/12/zubki.jpg</t>
  </si>
  <si>
    <t>https://narmedicyna.ru/wp-content/uploads/2009/11/zapor.jpg</t>
  </si>
  <si>
    <t>https://narmedicyna.ru/wp-content/uploads/2011/05/zubki2.jpg</t>
  </si>
  <si>
    <t>https://narmedicyna.ru/wp-content/uploads/2011/02/vanna.jpg</t>
  </si>
  <si>
    <t>https://narmedicyna.ru/wp-content/uploads/2010/12/molvortu.jpg</t>
  </si>
  <si>
    <t>https://narmedicyna.ru/wp-content/uploads/2010/12/diatez.jpg</t>
  </si>
  <si>
    <t>https://narmedicyna.ru/wp-content/uploads/2010/08/zolotuha.jpg</t>
  </si>
  <si>
    <t>&lt;a class="new" target="_blank" href="https://exe.io/st?api=a480072bd98881bdfc23c75aa2f815ea2428344e&amp;url=https://cdn.designerapp.osi.office.net/copilot/dfs-fre-images/DesignerApp_DesignerApp_TextToImage_20240218/assets/6bbfdda0fa064a59d7077a4f32e38ae8262762ea87aa6afbaa3954025d6d0c79.webp"&gt;&lt;img class="" alt=""    src="https://cdn.designerapp.osi.office.net/copilot/dfs-fre-images/DesignerApp_DesignerApp_TextToImage_20240218/assets/6bbfdda0fa064a59d7077a4f32e38ae8262762ea87aa6afbaa3954025d6d0c79.webp"&gt;&lt;span class="new_title"&gt;               An illustration of three musicians] playing drums, a trumpet, and a saxophone] in the colors of black, red, gold and green] in the style of a Cubism] painting	
&lt;/span&gt;&lt;/a&gt;</t>
  </si>
  <si>
    <t>&lt;a class="new" target="_blank" href="https://exe.io/st?api=a480072bd98881bdfc23c75aa2f815ea2428344e&amp;url=https://cdn.designerapp.osi.office.net/copilot/dfs-fre-images/DesignerApp_DesignerApp_TextToImage_20240218/assets/4ebb209f2fd6f2318d8af46cbaccbc028242d9a898d032bee4de1c7e3b5dd105.webp"&gt;&lt;img class="" alt=""    src="https://cdn.designerapp.osi.office.net/copilot/dfs-fre-images/DesignerApp_DesignerApp_TextToImage_20240218/assets/4ebb209f2fd6f2318d8af46cbaccbc028242d9a898d032bee4de1c7e3b5dd105.webp"&gt;&lt;span class="new_title"&gt;               A flatlay of a single flower] with blue petals] on a pink] background, 3D hyper-surrealism, shiny, metallic, pastel] colors&lt;/span&gt;&lt;/a&gt;</t>
  </si>
  <si>
    <t>&lt;a class="new" target="_blank" href="https://exe.io/st?api=a480072bd98881bdfc23c75aa2f815ea2428344e&amp;url=https://cdn.designerapp.osi.office.net/copilot/dfs-fre-images/DesignerApp_DesignerApp_TextToImage_20240218/assets/a86a739bb9f25ff56b12cd5fae7a167a9b0d6ad17e6361dda816557249ff74b5.webp"&gt;&lt;img class="" alt=""    src="https://cdn.designerapp.osi.office.net/copilot/dfs-fre-images/DesignerApp_DesignerApp_TextToImage_20240218/assets/a86a739bb9f25ff56b12cd5fae7a167a9b0d6ad17e6361dda816557249ff74b5.webp"&gt;&lt;span class="new_title"&gt;               A female scientist] with test tubes and a microscope] in the background, constructivist poster style in blue, black and cream] color palette with a minimal composition&lt;/span&gt;&lt;/a&gt;</t>
  </si>
  <si>
    <t>&lt;a class="new" target="_blank" href="https://exe.io/st?api=a480072bd98881bdfc23c75aa2f815ea2428344e&amp;url=https://cdn.designerapp.osi.office.net/copilot/dfs-fre-images/DesignerApp_DesignerApp_TextToImage_20240218/assets/818148fc1d78beedce8232ffbd601956fd45e1abe3146aad830299c51fe530b1.webp"&gt;&lt;img class="" alt=""    src="https://cdn.designerapp.osi.office.net/copilot/dfs-fre-images/DesignerApp_DesignerApp_TextToImage_20240218/assets/818148fc1d78beedce8232ffbd601956fd45e1abe3146aad830299c51fe530b1.webp"&gt;&lt;span class="new_title"&gt;               A female scientist] with test tubes and a microscope] in the background, constructivist poster style in blue, black and cream] color palette with a minimal composition&lt;/span&gt;&lt;/a&gt;</t>
  </si>
  <si>
    <t>&lt;a class="new" target="_blank" href="https://exe.io/st?api=a480072bd98881bdfc23c75aa2f815ea2428344e&amp;url=https://cdn.designerapp.osi.office.net/copilot/dfs-fre-images/DesignerApp_DesignerApp_TextToImage_20240218/assets/414c756c7fa838a2fc8f682509388b987b5afb973409f7772d5ff0dd049855f9.webp"&gt;&lt;img class="" alt=""    src="https://cdn.designerapp.osi.office.net/copilot/dfs-fre-images/DesignerApp_DesignerApp_TextToImage_20240218/assets/414c756c7fa838a2fc8f682509388b987b5afb973409f7772d5ff0dd049855f9.webp"&gt;&lt;span class="new_title"&gt;               A drone] view of a medieval village] nestled in a valley, dusk, stormy] clouds, mountains] in the background, foreboding]&lt;/span&gt;&lt;/a&gt;</t>
  </si>
  <si>
    <t>&lt;a class="new" target="_blank" href="https://exe.io/st?api=a480072bd98881bdfc23c75aa2f815ea2428344e&amp;url=https://cdn.designerapp.osi.office.net/copilot/dfs-fre-images/DesignerApp_DesignerApp_TextToImage_20240218/assets/1b0e780a50aeb54ebabf39e57d6988e5bba734b648d2b7594f41fb5468cb4c82.webp"&gt;&lt;img class="" alt=""    src="https://cdn.designerapp.osi.office.net/copilot/dfs-fre-images/DesignerApp_DesignerApp_TextToImage_20240218/assets/1b0e780a50aeb54ebabf39e57d6988e5bba734b648d2b7594f41fb5468cb4c82.webp"&gt;&lt;span class="new_title"&gt;               An art deco style building] from the 1920's with a geometric art deco background, cream and blue] tone color palette&lt;/span&gt;&lt;/a&gt;</t>
  </si>
  <si>
    <t>&lt;a class="new" target="_blank" href="https://exe.io/st?api=a480072bd98881bdfc23c75aa2f815ea2428344e&amp;url=https://cdn.designerapp.osi.office.net/copilot/dfs-fre-images/DesignerApp_DesignerApp_TextToImage_20240218/assets/ce3eac9e161bd27dd689b2c63c37a923eb15f4784f11bca7c6210c3262096cd4.webp"&gt;&lt;img class="" alt=""    src="https://cdn.designerapp.osi.office.net/copilot/dfs-fre-images/DesignerApp_DesignerApp_TextToImage_20240218/assets/ce3eac9e161bd27dd689b2c63c37a923eb15f4784f11bca7c6210c3262096cd4.webp"&gt;&lt;span class="new_title"&gt;               A detail of a maple tree] in the middle] of a green] field, blue] sky, warm] color palette, autochrome style, vintage&lt;/span&gt;&lt;/a&gt;</t>
  </si>
  <si>
    <t>&lt;a class="new" target="_blank" href="https://exe.io/st?api=a480072bd98881bdfc23c75aa2f815ea2428344e&amp;url=https://cdn.designerapp.osi.office.net/copilot/dfs-fre-images/DesignerApp_DesignerApp_TextToImage_20240218/assets/02cb7bb5d954f1e6e249964d87ceefb20d049a9021efc862825201d57ad5adf9.webp"&gt;&lt;img class="" alt=""    src="https://cdn.designerapp.osi.office.net/copilot/dfs-fre-images/DesignerApp_DesignerApp_TextToImage_20240218/assets/02cb7bb5d954f1e6e249964d87ceefb20d049a9021efc862825201d57ad5adf9.webp"&gt;&lt;span class="new_title"&gt;               A crotchet illustration of a family quilt]. Each square of the quilt should represent a family member], and the overall design should convey a sense of unity and warmth&lt;/span&gt;&lt;/a&gt;</t>
  </si>
  <si>
    <t>&lt;a class="new" target="_blank" href="https://exe.io/st?api=a480072bd98881bdfc23c75aa2f815ea2428344e&amp;url=https://cdn.designerapp.osi.office.net/copilot/dfs-fre-images/DesignerApp_DesignerApp_TextToImage_20240218/assets/7c172be1303856c4ff2bb174648a83a7b0b47b6923bac935c7cac02e50771d19.webp"&gt;&lt;img class="" alt=""    src="https://cdn.designerapp.osi.office.net/copilot/dfs-fre-images/DesignerApp_DesignerApp_TextToImage_20240218/assets/7c172be1303856c4ff2bb174648a83a7b0b47b6923bac935c7cac02e50771d19.webp"&gt;&lt;span class="new_title"&gt;               An abstract background of melting liquid] with a metallic sheen, gold and grey] colors, reflective studio light&lt;/span&gt;&lt;/a&gt;</t>
  </si>
  <si>
    <t>&lt;a class="new" target="_blank" href="https://exe.io/st?api=a480072bd98881bdfc23c75aa2f815ea2428344e&amp;url=https://cdn.designerapp.osi.office.net/copilot/dfs-fre-images/DesignerApp_DesignerApp_TextToImage_20240218/assets/59d90b9acd3d9225726e3eecd1601b1d36d2e032e8f759237bce71b01456d4ee.webp"&gt;&lt;img class="" alt=""    src="https://cdn.designerapp.osi.office.net/copilot/dfs-fre-images/DesignerApp_DesignerApp_TextToImage_20240218/assets/59d90b9acd3d9225726e3eecd1601b1d36d2e032e8f759237bce71b01456d4ee.webp"&gt;&lt;span class="new_title"&gt;               An origami scene of a coral reef] with sea turtles and fish], bright studio lighting, immersive, with motion blur&lt;/span&gt;&lt;/a&gt;</t>
  </si>
  <si>
    <t>&lt;a class="new" target="_blank" href="https://exe.io/st?api=a480072bd98881bdfc23c75aa2f815ea2428344e&amp;url=https://cdn.designerapp.osi.office.net/copilot/dfs-fre-images/DesignerApp_DesignerApp_TextToImage_20240218/assets/8dc7526059136b9ba4a4268c2bdee460e0e2d4a89eaa85206a79ef1eb5c5e889.webp"&gt;&lt;img class="" alt=""    src="https://cdn.designerapp.osi.office.net/copilot/dfs-fre-images/DesignerApp_DesignerApp_TextToImage_20240218/assets/8dc7526059136b9ba4a4268c2bdee460e0e2d4a89eaa85206a79ef1eb5c5e889.webp"&gt;&lt;span class="new_title"&gt;               A cute sea otter] in a space suit] flying through the solar system] towards a colorful planet], low poly style, beautiful] colors&lt;/span&gt;&lt;/a&gt;</t>
  </si>
  <si>
    <t>&lt;a class="new" target="_blank" href="https://exe.io/st?api=a480072bd98881bdfc23c75aa2f815ea2428344e&amp;url=https://cdn.designerapp.osi.office.net/copilot/dfs-fre-images/DesignerApp_DesignerApp_TextToImage_20240218/assets/c015a4b6416d6e2d2e240c2d44fa0d9c649678d6e044b2845e2278ba7a474e63.webp"&gt;&lt;img class="" alt=""    src="https://cdn.designerapp.osi.office.net/copilot/dfs-fre-images/DesignerApp_DesignerApp_TextToImage_20240218/assets/c015a4b6416d6e2d2e240c2d44fa0d9c649678d6e044b2845e2278ba7a474e63.webp"&gt;&lt;span class="new_title"&gt;               A collage of a cat, a plant, and decorative shapes] in an illustrated frame, risograph, pink and blue] colors&lt;/span&gt;&lt;/a&gt;</t>
  </si>
  <si>
    <t>&lt;a class="new" target="_blank" href="https://exe.io/st?api=a480072bd98881bdfc23c75aa2f815ea2428344e&amp;url=https://cdn.designerapp.osi.office.net/copilot/dfs-fre-images/DesignerApp_DesignerApp_TextToImage_20240218/assets/cb764e4ae5abb2a387efb1e5832786f3313c7aadaddaa49045dde3a0af2d66d2.webp"&gt;&lt;img class="" alt=""    src="https://cdn.designerapp.osi.office.net/copilot/dfs-fre-images/DesignerApp_DesignerApp_TextToImage_20240218/assets/cb764e4ae5abb2a387efb1e5832786f3313c7aadaddaa49045dde3a0af2d66d2.webp"&gt;&lt;span class="new_title"&gt;               A cute happy Shiba Inu] astronaut on a pink] background, digital 2D line art&lt;/span&gt;&lt;/a&gt;</t>
  </si>
  <si>
    <t>&lt;a class="new" target="_blank" href="https://exe.io/st?api=a480072bd98881bdfc23c75aa2f815ea2428344e&amp;url=https://cdn.designerapp.osi.office.net/copilot/dfs-fre-images/DesignerApp_DesignerApp_TextToImage_20240218/assets/9747db96ba8685ac492dd10677572e56228c804789417306ab36b6fc6df254e4.webp"&gt;&lt;img class="" alt=""    src="https://cdn.designerapp.osi.office.net/copilot/dfs-fre-images/DesignerApp_DesignerApp_TextToImage_20240218/assets/9747db96ba8685ac492dd10677572e56228c804789417306ab36b6fc6df254e4.webp"&gt;&lt;span class="new_title"&gt;               A drone photo of pink sand] and aqua blue water] on a coastline], minimal, aerial shot&lt;/span&gt;&lt;/a&gt;</t>
  </si>
  <si>
    <t>&lt;a class="new" target="_blank" href="https://exe.io/st?api=a480072bd98881bdfc23c75aa2f815ea2428344e&amp;url=https://cdn.designerapp.osi.office.net/copilot/dfs-fre-images/DesignerApp_DesignerApp_TextToImage_20240218/assets/0fc3075df81097d716cc7f7c672f578ea64913a22e59447e300749f22a2e14fb.webp"&gt;&lt;img class="" alt=""    src="https://cdn.designerapp.osi.office.net/copilot/dfs-fre-images/DesignerApp_DesignerApp_TextToImage_20240218/assets/0fc3075df81097d716cc7f7c672f578ea64913a22e59447e300749f22a2e14fb.webp"&gt;&lt;span class="new_title"&gt;               Detail of leaves on a cherry blossom tree] in spring], cool light, oil painting style&lt;/span&gt;&lt;/a&gt;</t>
  </si>
  <si>
    <t>&lt;a class="new" target="_blank" href="https://exe.io/st?api=a480072bd98881bdfc23c75aa2f815ea2428344e&amp;url=https://cdn.designerapp.osi.office.net/copilot/dfs-fre-images/DesignerApp_DesignerApp_TextToImage_20240218/assets/210f9018d56bb81e0672ec29bbaf4cc48f58c9d9a979acde1bdfa487ea33b71d.webp"&gt;&lt;img class="" alt=""    src="https://cdn.designerapp.osi.office.net/copilot/dfs-fre-images/DesignerApp_DesignerApp_TextToImage_20240218/assets/210f9018d56bb81e0672ec29bbaf4cc48f58c9d9a979acde1bdfa487ea33b71d.webp"&gt;&lt;span class="new_title"&gt;               A black and white charcoal] illustration of a character] running] down a dark alley], graphic novel, moody]&lt;/span&gt;&lt;/a&gt;</t>
  </si>
  <si>
    <t>&lt;a class="new" target="_blank" href="https://exe.io/st?api=a480072bd98881bdfc23c75aa2f815ea2428344e&amp;url=https://cdn.designerapp.osi.office.net/copilot/dfs-fre-images/DesignerApp_DesignerApp_TextToImage_20240218/assets/5e810e79bfe3e4fd40aa3a30677ce3e8713107502d9c781bd3a462af0fe6a694.webp"&gt;&lt;img class="" alt=""    src="https://cdn.designerapp.osi.office.net/copilot/dfs-fre-images/DesignerApp_DesignerApp_TextToImage_20240218/assets/5e810e79bfe3e4fd40aa3a30677ce3e8713107502d9c781bd3a462af0fe6a694.webp"&gt;&lt;span class="new_title"&gt;               A landscape scene of a lush spring forest] in the rain], sunrise], oil painting style&lt;/span&gt;&lt;/a&gt;</t>
  </si>
  <si>
    <t>&lt;a class="new" target="_blank" href="https://exe.io/st?api=a480072bd98881bdfc23c75aa2f815ea2428344e&amp;url=https://cdn.designerapp.osi.office.net/copilot/dfs-fre-images/DesignerApp_DesignerApp_TextToImage_20240218/assets/694c17560fd1af56e3802093dc496b2113387c36284b02ddc62b1656679472fd.webp"&gt;&lt;img class="" alt=""    src="https://cdn.designerapp.osi.office.net/copilot/dfs-fre-images/DesignerApp_DesignerApp_TextToImage_20240218/assets/694c17560fd1af56e3802093dc496b2113387c36284b02ddc62b1656679472fd.webp"&gt;&lt;span class="new_title"&gt;               A female scientist] with test tubes and a microscope] in the background, constructivist poster style in blue, black and cream] color palette with a minimal composition&lt;/span&gt;&lt;/a&gt;</t>
  </si>
  <si>
    <t>&lt;a class="new" target="_blank" href="https://exe.io/st?api=a480072bd98881bdfc23c75aa2f815ea2428344e&amp;url=https://cdn.designerapp.osi.office.net/copilot/dfs-fre-images/DesignerApp_DesignerApp_TextToImage_20240218/assets/7970a2c6e75b78d5946345cddf63dbecc691fa4888691398b94ebaf24b142b45.webp"&gt;&lt;img class="" alt=""    src="https://cdn.designerapp.osi.office.net/copilot/dfs-fre-images/DesignerApp_DesignerApp_TextToImage_20240218/assets/7970a2c6e75b78d5946345cddf63dbecc691fa4888691398b94ebaf24b142b45.webp"&gt;&lt;span class="new_title"&gt;               A red vintage plastic camera], studio desktop] scene, floral] backdrop, colorful]&lt;/span&gt;&lt;/a&gt;</t>
  </si>
  <si>
    <t>&lt;a class="new" target="_blank" href="https://exe.io/st?api=a480072bd98881bdfc23c75aa2f815ea2428344e&amp;url=https://cdn.designerapp.osi.office.net/copilot/dfs-fre-images/DesignerApp_DesignerApp_TextToImage_20240218/assets/94870906f0fd672141ebc3ef3ed09143da86ada9c4328e7dfccb80b27b8d7e28.webp"&gt;&lt;img class="" alt=""    src="https://cdn.designerapp.osi.office.net/copilot/dfs-fre-images/DesignerApp_DesignerApp_TextToImage_20240218/assets/94870906f0fd672141ebc3ef3ed09143da86ada9c4328e7dfccb80b27b8d7e28.webp"&gt;&lt;span class="new_title"&gt;               A photo of a Victorian style] house with dark blue] siding, a red door], and red shutters]. The photo should be taken from a low angle looking up at the front steps] of the house&lt;/span&gt;&lt;/a&gt;</t>
  </si>
  <si>
    <t>&lt;a class="new" target="_blank" href="https://exe.io/st?api=a480072bd98881bdfc23c75aa2f815ea2428344e&amp;url=https://cdn.designerapp.osi.office.net/copilot/dfs-fre-images/DesignerApp_DesignerApp_TextToImage_20240218/assets/d95d7f3d73e4e0a256a487683524f8572f3ea741e92ee4c0bfe60e56dd75102a.webp"&gt;&lt;img class="" alt=""    src="https://cdn.designerapp.osi.office.net/copilot/dfs-fre-images/DesignerApp_DesignerApp_TextToImage_20240218/assets/d95d7f3d73e4e0a256a487683524f8572f3ea741e92ee4c0bfe60e56dd75102a.webp"&gt;&lt;span class="new_title"&gt;               A product photo of a juice bottle] surrounded by paper waves], quilling style, pastel colors&lt;/span&gt;&lt;/a&gt;</t>
  </si>
  <si>
    <t>&lt;a class="new" target="_blank" href="https://exe.io/st?api=a480072bd98881bdfc23c75aa2f815ea2428344e&amp;url=https://cdn.designerapp.osi.office.net/copilot/dfs-fre-images/DesignerApp_DesignerApp_TextToImage_20240218/assets/2a3b03ffee907b73c14245020150383a8e8dc48e1607452708a6d6270800879f.webp"&gt;&lt;img class="" alt=""    src="https://cdn.designerapp.osi.office.net/copilot/dfs-fre-images/DesignerApp_DesignerApp_TextToImage_20240218/assets/2a3b03ffee907b73c14245020150383a8e8dc48e1607452708a6d6270800879f.webp"&gt;&lt;span class="new_title"&gt;               A female scientist] with test tubes and a microscope] in the background, constructivist poster style in blue, black and cream] color palette with a minimal composition&lt;/span&gt;&lt;/a&gt;</t>
  </si>
  <si>
    <t>&lt;a class="new" target="_blank" href="https://exe.io/st?api=a480072bd98881bdfc23c75aa2f815ea2428344e&amp;url=https://cdn.designerapp.osi.office.net/copilot/dfs-fre-images/DesignerApp_DesignerApp_TextToImage_20240218/assets/c52c9468f83103b5903103f53f5b2c7bf51b65dfcf7fbcecfa776f932616edbc.webp"&gt;&lt;img class="" alt=""    src="https://cdn.designerapp.osi.office.net/copilot/dfs-fre-images/DesignerApp_DesignerApp_TextToImage_20240218/assets/c52c9468f83103b5903103f53f5b2c7bf51b65dfcf7fbcecfa776f932616edbc.webp"&gt;&lt;span class="new_title"&gt;               A single pink tulip] in a long white vase], studio photography, strong shadows]&lt;/span&gt;&lt;/a&gt;</t>
  </si>
  <si>
    <t>&lt;a class="new" target="_blank" href="https://exe.io/st?api=a480072bd98881bdfc23c75aa2f815ea2428344e&amp;url=https://cdn.designerapp.osi.office.net/copilot/dfs-fre-images/DesignerApp_DesignerApp_TextToImage_20240218/assets/56df04d7d25b5dc68cb55c1d9fb49e418c3e94069aa0776f1e26a1f2f03b538d.webp"&gt;&lt;img class="" alt=""    src="https://cdn.designerapp.osi.office.net/copilot/dfs-fre-images/DesignerApp_DesignerApp_TextToImage_20240218/assets/56df04d7d25b5dc68cb55c1d9fb49e418c3e94069aa0776f1e26a1f2f03b538d.webp"&gt;&lt;span class="new_title"&gt;               Simple Madhubani] painting of two deer] with trees], traditional] motif, flat graphic&lt;/span&gt;&lt;/a&gt;</t>
  </si>
  <si>
    <t>&lt;a class="new" target="_blank" href="https://exe.io/st?api=a480072bd98881bdfc23c75aa2f815ea2428344e&amp;url=https://cdn.designerapp.osi.office.net/copilot/dfs-fre-images/DesignerApp_DesignerApp_TextToImage_20240218/assets/5359412c0b3ef4d9b3d251139b5fc80c39a21833e6bf7ea120eec970621816f3.webp"&gt;&lt;img class="" alt=""    src="https://cdn.designerapp.osi.office.net/copilot/dfs-fre-images/DesignerApp_DesignerApp_TextToImage_20240218/assets/5359412c0b3ef4d9b3d251139b5fc80c39a21833e6bf7ea120eec970621816f3.webp"&gt;&lt;span class="new_title"&gt;               Image of a wall art with live plants], geometric, 8K, detailed&lt;/span&gt;&lt;/a&gt;</t>
  </si>
  <si>
    <t>&lt;a class="new" target="_blank" href="https://exe.io/st?api=a480072bd98881bdfc23c75aa2f815ea2428344e&amp;url=https://cdn.designerapp.osi.office.net/copilot/dfs-fre-images/DesignerApp_DesignerApp_TextToImage_20240218/assets/a1bdeac862a1b8985a1969dc9f032ab75f2c53e4eaceebbcdcb349ab18edfb52.webp"&gt;&lt;img class="" alt=""    src="https://cdn.designerapp.osi.office.net/copilot/dfs-fre-images/DesignerApp_DesignerApp_TextToImage_20240218/assets/a1bdeac862a1b8985a1969dc9f032ab75f2c53e4eaceebbcdcb349ab18edfb52.webp"&gt;&lt;span class="new_title"&gt;               A female scientist] with test tubes and a microscope] in the background, constructivist poster style in blue, black and cream] color palette with a minimal composition&lt;/span&gt;&lt;/a&gt;</t>
  </si>
  <si>
    <t>&lt;a class="new" target="_blank" href="https://exe.io/st?api=a480072bd98881bdfc23c75aa2f815ea2428344e&amp;url=https://cdn.designerapp.osi.office.net/copilot/dfs-fre-images/DesignerApp_DesignerApp_TextToImage_20240218/assets/756a46b5a7966bdcc17903472c2dab478290360388aaaf7361ced17b27349ad6.webp"&gt;&lt;img class="" alt=""    src="https://cdn.designerapp.osi.office.net/copilot/dfs-fre-images/DesignerApp_DesignerApp_TextToImage_20240218/assets/756a46b5a7966bdcc17903472c2dab478290360388aaaf7361ced17b27349ad6.webp"&gt;&lt;span class="new_title"&gt;               A flavorful breakfast of waffles] on a plate, drizzled with maple syrup] and topped with whipped cream and raspberries], served with a coffee mug], realistic 3D animation&lt;/span&gt;&lt;/a&gt;</t>
  </si>
  <si>
    <t>&lt;a class="new" target="_blank" href="https://exe.io/st?api=a480072bd98881bdfc23c75aa2f815ea2428344e&amp;url=https://cdn.designerapp.osi.office.net/copilot/dfs-fre-images/DesignerApp_DesignerApp_TextToImage_20240218/assets/61fbe321607383415a43215a7a80a0263a35c4fa2964b9ac54c6219206ad347a.webp"&gt;&lt;img class="" alt=""    src="https://cdn.designerapp.osi.office.net/copilot/dfs-fre-images/DesignerApp_DesignerApp_TextToImage_20240218/assets/61fbe321607383415a43215a7a80a0263a35c4fa2964b9ac54c6219206ad347a.webp"&gt;&lt;span class="new_title"&gt;               A cute golden retriever puppy], handwritten illustration, playing with fall-colored leaves], with tall trees and green grass] in the background, handwritten, pastel colors&lt;/span&gt;&lt;/a&gt;</t>
  </si>
  <si>
    <t>&lt;a class="new" target="_blank" href="https://exe.io/st?api=a480072bd98881bdfc23c75aa2f815ea2428344e&amp;url=https://cdn.designerapp.osi.office.net/copilot/dfs-fre-images/DesignerApp_DesignerApp_TextToImage_20240218/assets/ccf08dad4528e33edfece423a817c512fb28ae4813e59486c57fb808f6e7ec8d.webp"&gt;&lt;img class="" alt=""    src="https://cdn.designerapp.osi.office.net/copilot/dfs-fre-images/DesignerApp_DesignerApp_TextToImage_20240218/assets/ccf08dad4528e33edfece423a817c512fb28ae4813e59486c57fb808f6e7ec8d.webp"&gt;&lt;span class="new_title"&gt;               An authentic scene of a mother] flying a kite] with a child] on a beach], ocean waves] are crashing] in the background. Use a blue and red] color palette in a block illustration style&lt;/span&gt;&lt;/a&gt;</t>
  </si>
  <si>
    <t>&lt;a class="new" target="_blank" href="https://exe.io/st?api=a480072bd98881bdfc23c75aa2f815ea2428344e&amp;url=https://cdn.designerapp.osi.office.net/copilot/dfs-fre-images/DesignerApp_DesignerApp_TextToImage_20240218/assets/c2428371a8017ea55634745922f63c2711c90a6a88db475be22af8b48221d4d1.webp"&gt;&lt;img class="" alt=""    src="https://cdn.designerapp.osi.office.net/copilot/dfs-fre-images/DesignerApp_DesignerApp_TextToImage_20240218/assets/c2428371a8017ea55634745922f63c2711c90a6a88db475be22af8b48221d4d1.webp"&gt;&lt;span class="new_title"&gt;               A female scientist] with test tubes and a microscope] in the background, constructivist poster style in blue, black and cream] color palette with a minimal composition&lt;/span&gt;&lt;/a&gt;</t>
  </si>
  <si>
    <t>&lt;a class="new" target="_blank" href="https://exe.io/st?api=a480072bd98881bdfc23c75aa2f815ea2428344e&amp;url=https://cdn.designerapp.osi.office.net/copilot/dfs-fre-images/DesignerApp_DesignerApp_TextToImage_20240218/assets/81f57e0b3e3c4f12c76c71577bf05296a4730dc934ed94984d20eee7f6967709.webp"&gt;&lt;img class="" alt=""    src="https://cdn.designerapp.osi.office.net/copilot/dfs-fre-images/DesignerApp_DesignerApp_TextToImage_20240218/assets/81f57e0b3e3c4f12c76c71577bf05296a4730dc934ed94984d20eee7f6967709.webp"&gt;&lt;span class="new_title"&gt;               The word wow!] on a cloud] in bright] colors, pop-art style&lt;/span&gt;&lt;/a&gt;</t>
  </si>
  <si>
    <t>&lt;a class="new" target="_blank" href="https://exe.io/st?api=a480072bd98881bdfc23c75aa2f815ea2428344e&amp;url=https://cdn.designerapp.osi.office.net/copilot/dfs-fre-images/DesignerApp_DesignerApp_TextToImage_20240218/assets/2da1f1005e5c0af5bc4330aecf8e1b2fd9b9019db99adc4c352a8e78afc704a8.webp"&gt;&lt;img class="" alt=""    src="https://cdn.designerapp.osi.office.net/copilot/dfs-fre-images/DesignerApp_DesignerApp_TextToImage_20240218/assets/2da1f1005e5c0af5bc4330aecf8e1b2fd9b9019db99adc4c352a8e78afc704a8.webp"&gt;&lt;span class="new_title"&gt;               A Japanese] garden with bonsai trees and a pagoda] as a coloring book page&lt;/span&gt;&lt;/a&gt;</t>
  </si>
  <si>
    <t>Children's pediatrician: who is he and what does he do?Pediatrics, as a medical field, is intended for the prevention and treatment of pathology in children of any age.Specialists of the relevant profile observe newborns from the first day of life and...</t>
  </si>
  <si>
    <t>Causes of cataracts in childrenCataract is a chronic disease characterized by clouding of the lens.As a result of a deterioration in the blood supply to the eye or a change in the shape of the lens, a process of gradual loss of vision occurs.</t>
  </si>
  <si>
    <t>How often should you visit a pediatric dentist?There is an opinion that there are no problems with baby teeth.Therefore, children see a dentist in extreme cases, or when the disease affects the molars.</t>
  </si>
  <si>
    <t>In what cases should you contact a pediatric gynecologist?A pediatric gynecologist is a medical specialist who diagnoses and treats various gynecological pathologies.He solves several problems, including conducting preventive examinations,...</t>
  </si>
  <si>
    <t>What can cause problems with the nervous system in a child?The development of the nervous system in children occurs in several stages.You need to understand that a mature brain is not a guarantee that it will function optimally.</t>
  </si>
  <si>
    <t>Who is a pediatrician and what does he do?A pediatrician is a specialized medical specialist who deals with the health and development of children.He diagnoses and treats pathologies of various systems and organs of the child, and...</t>
  </si>
  <si>
    <t>Who is a pediatric neurologist?It is necessary to contact a pediatric neurologist in many situations, even if the child’s behavior has changed slightly.A visit to a medical facility allows you to detect various problems and not...</t>
  </si>
  <si>
    <t>How to choose a pediatric neuropsychologist in MoscowThe development and growth of a child are directly related to the complex processes that occur in his body, including in the brain.Not always represented processes...</t>
  </si>
  <si>
    <t>How often should you visit a pediatric dentist?A pediatric dentist is a qualified dentist who treats and prevents diseases of the teeth and gums, taking into account the individual characteristics of the child’s body.Pediatric dentistry dental-center.kz necessarily uses...</t>
  </si>
  <si>
    <t>Features of caries treatment in childrenAlthough dental caries is almost completely preventable, it is the most common childhood disease.About 90% of children in low- and middle-income countries suffer from...</t>
  </si>
  <si>
    <t>Irina Vasilievna Namiot: osteopath for childrenPediatric osteopathy is a discipline well known for its effectiveness and prevention.The diagnostic and therapeutic approach in pediatrics is based on the use of manual techniques that apply gentle pressure...</t>
  </si>
  <si>
    <t>Modern methods of treating drug addictionAddiction is a complex condition that changes brain chemistry.It is caused by compulsive and uncontrolled drug use.</t>
  </si>
  <si>
    <t>What problems does the pediatrician solve?Derived from the Greek words "Pais", meaning child, and "Iatros", meaning doctor or healer, a pediatrician is a medical professional who specializes in...</t>
  </si>
  <si>
    <t>Doctors of the Filatov ClinicThe Filatov Hospital is considered a well-equipped children's institution in Russia.Only unique specialists continue to work here.</t>
  </si>
  <si>
    <t>Snot in a child: how to treat it?What is it about little children and snot?The short answer is that the vast majority of kids who have runny noses just have a mild viral...</t>
  </si>
  <si>
    <t>Modern methods of stuttering correctionThe formation of the current comprehensive approach to stuttering correction was preceded by the development of various methods and ways to overcome this disease.Despite a long history of studying and...</t>
  </si>
  <si>
    <t>What remedies will help correct a child’s bite?The bite is the interaction of the teeth with maximum contact and full closure of the jaws.As a rule, the dentition should close in such a way that the tubercles fit into...</t>
  </si>
  <si>
    <t>What is speech therapy massage?Many mothers have encountered a situation where the child seems to be trying to pronounce words, but the frequency of the sound leaves much to be desired.This is the first signal that the baby...</t>
  </si>
  <si>
    <t>Colic in infants - how to help your child, and what is strictly prohibited?I don’t think there is a parent in the world who calmly reacts to the crying of their child, especially a newly born one.The main thing in such situations is not to fall...</t>
  </si>
  <si>
    <t>Head lice in a child - methods of infection and alternative treatmentPediculosis is a disease in which you and/or your child are bothered by lice.Children are most often affected by this disease, so today we will talk about treatment...</t>
  </si>
  <si>
    <t>Laryngitis in children - symptoms and treatment with folk remediesDuring laryngitis, inflammation of the larynx occurs, the patient’s voice first becomes hoarse, the voice “sags,” a dry cough appears, and in some cases, pressure occurs in the chest area....</t>
  </si>
  <si>
    <t>How to ease teething in children using folk remediesQuite often, the process of teething in children is very painful and lengthy.Symptoms that indicate teething are red, slightly swollen gums,...</t>
  </si>
  <si>
    <t>Constipation in an infant - treatmentWe can talk about constipation in an infant if stool retention occurs for 36-38 hours. In this case, the bowel movements are hard, dry and cause...</t>
  </si>
  <si>
    <t>Folk remedies for healthy dental growth in childrenThe minerals calcium and phosphorus are essential for healthy teeth growth.At the age of two years (plus or minus six months), baby teeth have fully erupted.</t>
  </si>
  <si>
    <t>Salt and soothing baths for childrenTaking a bath for a child is not only a hygienic procedure.Baths can also have a healing effect, successfully replacing some medications.</t>
  </si>
  <si>
    <t>Alternative treatment for oral thrush in childrenThrush (candidiasis) is a type of fungal infection.Most often it appears on the mucous membranes, skin, nails, and internal organs of a person.</t>
  </si>
  <si>
    <t>Treatment of diathesis with folk remediesMost often, diathesis occurs due to improper initiation of complementary feeding for children under 1 year of age. Many doctors do not classify it as a separate disease, however, diathesis can negatively...</t>
  </si>
  <si>
    <t>Scrofula in children.Scrofula is a skin disease that can be found in children under 10 years of age; in adults, this disease is very rare.Scrofula develops as a result of a violation...</t>
  </si>
  <si>
    <t>https://exe.io/st?api=a480072bd98881bdfc23c75aa2f815ea2428344e&amp;url=https://narmedicyna.ru/detskij-pediatr-kto-eto-i-chem-zanimaetsya/</t>
  </si>
  <si>
    <t>https://exe.io/st?api=a480072bd98881bdfc23c75aa2f815ea2428344e&amp;url=https://narmedicyna.ru/prichiny-poyavleniya-katarakty-u-rebenka/</t>
  </si>
  <si>
    <t>https://exe.io/st?api=a480072bd98881bdfc23c75aa2f815ea2428344e&amp;url=https://narmedicyna.ru/kak-chasto-nuzhno-poseshhat-detskogo-stomatologa-2/</t>
  </si>
  <si>
    <t>https://exe.io/st?api=a480072bd98881bdfc23c75aa2f815ea2428344e&amp;url=https://narmedicyna.ru/v-kakih-sluchayah-nuzhno-obrashhatsya-k-detskomu-ginekologu/</t>
  </si>
  <si>
    <t>https://exe.io/st?api=a480072bd98881bdfc23c75aa2f815ea2428344e&amp;url=https://narmedicyna.ru/iz-za-chego-mogut-byt-problemy-s-nervnoj-sistemoj-u-rebenka/</t>
  </si>
  <si>
    <t>https://exe.io/st?api=a480072bd98881bdfc23c75aa2f815ea2428344e&amp;url=https://narmedicyna.ru/kto-takoj-detskij-pediatr-i-zachem-on-zanimaetsya/</t>
  </si>
  <si>
    <t>https://exe.io/st?api=a480072bd98881bdfc23c75aa2f815ea2428344e&amp;url=https://narmedicyna.ru/kto-takoj-detskij-nevrolog/</t>
  </si>
  <si>
    <t>https://exe.io/st?api=a480072bd98881bdfc23c75aa2f815ea2428344e&amp;url=https://narmedicyna.ru/kak-vybrat-detskogo-nejropsihologa-v-moskve/</t>
  </si>
  <si>
    <t>https://exe.io/st?api=a480072bd98881bdfc23c75aa2f815ea2428344e&amp;url=https://narmedicyna.ru/kak-chasto-nuzhno-poseshhat-detskogo-stomatologa/</t>
  </si>
  <si>
    <t>https://exe.io/st?api=a480072bd98881bdfc23c75aa2f815ea2428344e&amp;url=https://narmedicyna.ru/osobennosti-lecheniya-kariesa-u-detej/</t>
  </si>
  <si>
    <t>https://exe.io/st?api=a480072bd98881bdfc23c75aa2f815ea2428344e&amp;url=https://narmedicyna.ru/irina-vasilevna-namiot-osteopat-dlya-detej/</t>
  </si>
  <si>
    <t>https://exe.io/st?api=a480072bd98881bdfc23c75aa2f815ea2428344e&amp;url=https://narmedicyna.ru/ikota-u-novorozhdennyx-prichiny-kak-izbavitsya-i-na-chto-stoit-obratit-vnimanie/</t>
  </si>
  <si>
    <t>https://exe.io/st?api=a480072bd98881bdfc23c75aa2f815ea2428344e&amp;url=https://narmedicyna.ru/kakie-problemy-reshaet-pediatr/</t>
  </si>
  <si>
    <t>https://exe.io/st?api=a480072bd98881bdfc23c75aa2f815ea2428344e&amp;url=https://narmedicyna.ru/vrachi-filatovskoj-kliniki/</t>
  </si>
  <si>
    <t>https://exe.io/st?api=a480072bd98881bdfc23c75aa2f815ea2428344e&amp;url=https://narmedicyna.ru/sopli-u-rebyonka-chem-lechit/</t>
  </si>
  <si>
    <t>https://exe.io/st?api=a480072bd98881bdfc23c75aa2f815ea2428344e&amp;url=https://narmedicyna.ru/sovremennye-metody-korrekcii-zaikaniya/</t>
  </si>
  <si>
    <t>https://exe.io/st?api=a480072bd98881bdfc23c75aa2f815ea2428344e&amp;url=https://narmedicyna.ru/kakie-sredstva-pomogut-v-ispravlenii-prikusa-u-rebenka/</t>
  </si>
  <si>
    <t>https://exe.io/st?api=a480072bd98881bdfc23c75aa2f815ea2428344e&amp;url=https://narmedicyna.ru/chto-takoe-logopedicheskij-massazh/</t>
  </si>
  <si>
    <t>https://exe.io/st?api=a480072bd98881bdfc23c75aa2f815ea2428344e&amp;url=https://narmedicyna.ru/koliki-u-grudnichkov-kak-pomoch-rebenku-a-chto-kategoricheski-zapreshheno/</t>
  </si>
  <si>
    <t>https://exe.io/st?api=a480072bd98881bdfc23c75aa2f815ea2428344e&amp;url=https://narmedicyna.ru/golovnoj-pedikulez-u-rebenka-sposoby-zarazheniya-i-narodnoe-lechenie/</t>
  </si>
  <si>
    <t>https://exe.io/st?api=a480072bd98881bdfc23c75aa2f815ea2428344e&amp;url=https://narmedicyna.ru/laringit-u-detej-simptomy-i-lechenie-narodnymi-sredstvami/</t>
  </si>
  <si>
    <t>https://exe.io/st?api=a480072bd98881bdfc23c75aa2f815ea2428344e&amp;url=https://narmedicyna.ru/kak-oblegchit-prorezyvanie-zubov-u-detej-narodnymi-sredstvami/</t>
  </si>
  <si>
    <t>https://exe.io/st?api=a480072bd98881bdfc23c75aa2f815ea2428344e&amp;url=https://narmedicyna.ru/zapor-u-grudnogo-rebenka/</t>
  </si>
  <si>
    <t>https://exe.io/st?api=a480072bd98881bdfc23c75aa2f815ea2428344e&amp;url=https://narmedicyna.ru/narodnye-sredstva-dlya-zdorovogo-rosta-zubov-u-detej/</t>
  </si>
  <si>
    <t>https://exe.io/st?api=a480072bd98881bdfc23c75aa2f815ea2428344e&amp;url=https://narmedicyna.ru/solevye-i-uspokaivayushhie-vanny-dlya-detej/</t>
  </si>
  <si>
    <t>https://exe.io/st?api=a480072bd98881bdfc23c75aa2f815ea2428344e&amp;url=https://narmedicyna.ru/narodnoe-lechenie-molochnicy-u-detej-vo-rtu/</t>
  </si>
  <si>
    <t>https://exe.io/st?api=a480072bd98881bdfc23c75aa2f815ea2428344e&amp;url=https://narmedicyna.ru/lechenie-diateza-narodnymi-sredstvami/</t>
  </si>
  <si>
    <t>https://exe.io/st?api=a480072bd98881bdfc23c75aa2f815ea2428344e&amp;url=https://narmedicyna.ru/zolotuxa-u-detej-lechenie/</t>
  </si>
  <si>
    <t>CHILDHOOD DISEASES</t>
  </si>
  <si>
    <t>https://narmedicyna.ru/kontaktnye-linzy-dlya-glaz-na-kakie-kriterii-stoit-obrashhat-vnimanie-vo-vremya-ih-vybora/</t>
  </si>
  <si>
    <t>https://narmedicyna.ru/wp-content/uploads/2022/12/linzi-kontaktnie-218x150.jpg</t>
  </si>
  <si>
    <t>Contact lenses for eyes: what criteria should you pay attention to when choosing them?</t>
  </si>
  <si>
    <t>https://narmedicyna.ru/opasnye-oslozhneniya-blizorukosti/</t>
  </si>
  <si>
    <t>https://narmedicyna.ru/wp-content/uploads/2023/01/blizorukost-218x150.jpeg</t>
  </si>
  <si>
    <t>Dangerous complications of myopia</t>
  </si>
  <si>
    <t>https://narmedicyna.ru/acuvue-oasys-with-hydraclear-plus-osnovnye-preimushhestva-kontaktnyh-linz/</t>
  </si>
  <si>
    <t>https://narmedicyna.ru/wp-content/uploads/2023/02/acuvue-oasys-218x150.jpg</t>
  </si>
  <si>
    <t>ACUVUE OASYS with HYDRACLEAR PLUS - the main advantages of contact lenses</t>
  </si>
  <si>
    <t>https://narmedicyna.ru/sposoby-lecheniya-katarakty/</t>
  </si>
  <si>
    <t>https://narmedicyna.ru/wp-content/uploads/2023/03/katarakta-218x150.jpg</t>
  </si>
  <si>
    <t>Methods for treating cataracts</t>
  </si>
  <si>
    <t>https://narmedicyna.ru/lazernaya-korrekcziya-pokazaniya-preimushhestva/</t>
  </si>
  <si>
    <t>https://narmedicyna.ru/wp-content/uploads/2023/12/korrekciya-218x150.webp</t>
  </si>
  <si>
    <t>Laser correction: indications, advantages</t>
  </si>
  <si>
    <t>https://narmedicyna.ru/pochemu-opuxayut-verxnie-veki-glaz-vozmozhnye-prichiny/</t>
  </si>
  <si>
    <t>https://narmedicyna.ru/wp-content/uploads/2021/12/o-chem-govoryat-opuhshie-veki-218x150.jpg</t>
  </si>
  <si>
    <t>Why the upper eyelids of the eyes swell: possible causes</t>
  </si>
  <si>
    <t>https://narmedicyna.ru/chto-takoe-nepronikayushhaya-glubokaya-sklerektomiya-ngse/</t>
  </si>
  <si>
    <t>https://narmedicyna.ru/wp-content/uploads/2023/12/img_1293-218x150.jpeg</t>
  </si>
  <si>
    <t>What is non-penetrating deep sclerectomy (NPDS)</t>
  </si>
  <si>
    <t>https://narmedicyna.ru/gimnastika-dlya-glaz-uluchshenie-zreniya/</t>
  </si>
  <si>
    <t>https://narmedicyna.ru/wp-content/uploads/2021/11/zaryadka_glaza-218x150.jpg</t>
  </si>
  <si>
    <t>Gymnastics for the eyes: improving vision</t>
  </si>
  <si>
    <t>https://narmedicyna.ru/udalenie-katarakty-ultrazvukom-bezopasna-li-procedura/</t>
  </si>
  <si>
    <t>https://narmedicyna.ru/wp-content/uploads/2021/09/udaleniye_katarakti-218x150.jpg</t>
  </si>
  <si>
    <t>Ultrasound cataract removal: is the procedure safe?</t>
  </si>
  <si>
    <t>https://narmedicyna.ru/kakie-kapli-pomogut-pri-vospalenii-glaz/</t>
  </si>
  <si>
    <t>https://narmedicyna.ru/wp-content/uploads/2021/08/kap-218x150.jpg</t>
  </si>
  <si>
    <t>What drops will help with eye inflammation?</t>
  </si>
  <si>
    <t>https://narmedicyna.ru/kak-vylechit-blizorukost-narodnymi-sredstvami/</t>
  </si>
  <si>
    <t>https://narmedicyna.ru/wp-content/uploads/2021/07/blizorukost-218x150.jpg</t>
  </si>
  <si>
    <t>How to cure myopia with folk remedies?</t>
  </si>
  <si>
    <t>https://narmedicyna.ru/lazernaya-korrekciya-zreniya-vidy-operacij/</t>
  </si>
  <si>
    <t>https://narmedicyna.ru/wp-content/uploads/2021/06/2-218x150.png</t>
  </si>
  <si>
    <t>Laser vision correction: types of operations</t>
  </si>
  <si>
    <t>https://narmedicyna.ru/lechenie-atrofii-zritelnogo-nerva-narodnymi-sredstvami/</t>
  </si>
  <si>
    <t>https://narmedicyna.ru/wp-content/uploads/2012/06/zrnerv.jpg</t>
  </si>
  <si>
    <t>Treatment of optic nerve atrophy with folk remedies</t>
  </si>
  <si>
    <t>https://narmedicyna.ru/eti-glaza-naprotiv-kompyutera-i-kak-im-mozhno-pomoch/</t>
  </si>
  <si>
    <t>https://narmedicyna.ru/wp-content/uploads/2011/06/admin-ajax-10-218x150.jpg</t>
  </si>
  <si>
    <t>In what cases is a cadastral engineer’s opinion necessary?</t>
  </si>
  <si>
    <t>https://narmedicyna.ru/lechenie-glaznyx-boleznej-narodnymi-sredstvami/</t>
  </si>
  <si>
    <t>https://narmedicyna.ru/wp-content/uploads/2011/03/bolgl.jpg</t>
  </si>
  <si>
    <t>Treatment of eye diseases with folk remedies</t>
  </si>
  <si>
    <t>https://narmedicyna.ru/lechenie-slezotecheniya-iz-glaz-narodnymi-sredstvami/</t>
  </si>
  <si>
    <t>https://narmedicyna.ru/wp-content/uploads/2011/02/slglaz.jpg</t>
  </si>
  <si>
    <t>Treatment of lacrimation from the eyes with folk remedies</t>
  </si>
  <si>
    <t>https://narmedicyna.ru/u-vas-katarakta-narodnye-sredstva-dlya-lecheniya-katarakty/</t>
  </si>
  <si>
    <t>https://narmedicyna.ru/wp-content/uploads/2010/11/katarakta.jpg</t>
  </si>
  <si>
    <t>Do you have cataracts?</t>
  </si>
  <si>
    <t>https://narmedicyna.ru/ochanka-lekarstvennaya-dlya-glaz-primenenie/</t>
  </si>
  <si>
    <t>https://narmedicyna.ru/wp-content/uploads/2010/11/ochanka.jpg</t>
  </si>
  <si>
    <t>Eyebright for the eyes - application</t>
  </si>
  <si>
    <t>https://narmedicyna.ru/metody-uluchsheniya-zreniya/</t>
  </si>
  <si>
    <t>https://narmedicyna.ru/wp-content/uploads/2020/11/8TClQsdEZA9NAxW1iTqImSrL7Gq8wJ42qrCCFnCN-218x150.jpeg</t>
  </si>
  <si>
    <t>Methods for improving vision - folk recipes</t>
  </si>
  <si>
    <t>https://narmedicyna.ru/glaukoma-lechenie-narodnymi-sredstvami/</t>
  </si>
  <si>
    <t>Glaucoma - treatment with folk remedies</t>
  </si>
  <si>
    <t>Contact lenses for eyes: what criteria should you pay attention to when choosing them? Without exaggeration, contact lenses can be called the most convenient way to cope with visual impairments. You just need to make the right choice so that the purchased design suits you exactly...</t>
  </si>
  <si>
    <t>Dangerous complications of myopia There is an opinion that with a weak degree of myopia (myopia), you can ignore it and not try to correct it. It's a delusion.</t>
  </si>
  <si>
    <t>ACUVUE OASYS with HYDRACLEAR PLUS - the main advantages of contact lenses ACUVUE OASYS with HYDRACLEAR PLUS are contact lenses with scheduled replacement. According to the instructions, they need to be worn for two weeks.</t>
  </si>
  <si>
    <t>Methods for treating cataracts Cataracts are one of the most common pathologies in the ophthalmology industry. As a rule, it occurs in people over 50 years old, so this category...</t>
  </si>
  <si>
    <t>Laser correction: indications, advantages Laser vision correction is a modern ophthalmological procedure that is incredibly popular in the current realities. It is aimed at restoring and improving the visual functionality of the eyes....</t>
  </si>
  <si>
    <t xml:space="preserve">Why the upper eyelids of the eyes swell: possible causes Currently, every person tries to be as attentive as possible to their health, monitor their well-being, nourish and fill it with exclusively useful components and elements.... </t>
  </si>
  <si>
    <t>What is non-penetrating deep sclerectomy (NPDS) Glaucoma is considered one of the most common ophthalmological diseases, especially among elderly patients. Against the background of a persistent increase in intraocular pressure, retinal ganglion cells begin...</t>
  </si>
  <si>
    <t xml:space="preserve">Gymnastics for the eyes: improving vision In modern conditions of life and activity, a great influence is exerted directly on the state of health, which in turn leads to the development of various problems and ailments,... </t>
  </si>
  <si>
    <t>Ultrasound cataract removal: is the procedure safe? Cataract removal is a procedure to remove the cloudy lens from your eye. In its place, an artificial lens called an intraocular lens (IOL) is placed.</t>
  </si>
  <si>
    <t>What drops will help with eye inflammation? Very often people say that something has happened to their vision. Some people see poorly, others have very frequent and very tired eyes....</t>
  </si>
  <si>
    <t>How to cure myopia with folk remedies? Myopia (myopia) is an ophthalmological pathology that is accompanied by decreased distance vision. That is, a person cannot clearly recognize objects that are at a great distance....</t>
  </si>
  <si>
    <t>Laser vision correction: types of operations One of the methods of vision restoration is laser correction. Currently, this is one of the most popular types of treatment for the visual organ.</t>
  </si>
  <si>
    <t>Treatment of optic nerve atrophy with folk remedies Optic atrophy occurs in both children and adults. This is a complex disease that can lead to vision loss.</t>
  </si>
  <si>
    <t>In what cases is a cadastral engineer’s opinion necessary? Cadastral work is very important, since the correctness of registration of the land plot and the possibility of its future use depend on them. If during such...</t>
  </si>
  <si>
    <t xml:space="preserve">Treatment of eye diseases with folk remedies Traditional medicine is rich in its folk remedies for treating eye diseases, and in this article I want to give an example of complex treatment of eye diseases with folk remedies - this... </t>
  </si>
  <si>
    <t>Treatment of lacrimation from the eyes with folk remedies Some people face such a problem as involuntary tearing from the eyes, especially in the cold. At the same time, the eyes are very itchy.</t>
  </si>
  <si>
    <t>Do you have cataracts? Cataract is a disease that involves clouding of the lens of the eye and causes varying degrees of visual impairment. The lens will allow us to clearly see objects both at a short distance and those...</t>
  </si>
  <si>
    <t>Eyebright for the eyes - application This grass is called differently: eye grass, toad grass, eye grass, barn grass, crow's tears, magpie's tears, twelve-footed grass, meadow heather. Its botanical name is eyebright...</t>
  </si>
  <si>
    <t>Methods for improving vision - folk recipes At the age of 35-40 pets, the aging of the lens begins, which contributes to the deterioration of vision. Therefore, your diet must include foods that slow down aging: cottage cheese, pumpkin, sweets...</t>
  </si>
  <si>
    <t>Glaucoma - treatment with folk remedies Glaucoma is a disease that affects the eyes. Glaucoma is characterized by increased intraocular pressure and damage to the optic nerve.</t>
  </si>
  <si>
    <t>EYE DISEASES</t>
  </si>
  <si>
    <t>https://narmedicyna.ru/lechenie-faringita/</t>
  </si>
  <si>
    <t>https://narmedicyna.ru/wp-content/uploads/2022/05/ee90f54476a72ba1c880a8b352cc7c2d-218x150.jpg</t>
  </si>
  <si>
    <t>Treatment of pharyngitis</t>
  </si>
  <si>
    <t>Pharyngitis is an inflammation of the pharyngeal mucosa, acute or chronic.</t>
  </si>
  <si>
    <t>Among the main symptoms are pain, discomfort in the throat, and sore throat.</t>
  </si>
  <si>
    <t>https://narmedicyna.ru/ambroksol-reneval-pokazaniya-dlya-primeneniya-preparata/</t>
  </si>
  <si>
    <t>https://narmedicyna.ru/wp-content/uploads/2022/02/foto-ambroksol-218x150.jpg</t>
  </si>
  <si>
    <t>Ambroxol Renewal: indications for use of the drug</t>
  </si>
  <si>
    <t>Breathing is a function of a living organism that maintains the constancy of its internal environment, ensuring normal metabolism and energy balance.</t>
  </si>
  <si>
    <t>Acute respiratory diseases require immediate treatment, otherwise...</t>
  </si>
  <si>
    <t>https://narmedicyna.ru/reabilitaciya-posle-koronavirusa-kak-proisxodit/</t>
  </si>
  <si>
    <t>https://narmedicyna.ru/wp-content/uploads/2021/12/sa-5-218x150.jpg</t>
  </si>
  <si>
    <t>Rehabilitation after coronavirus: how does it happen?</t>
  </si>
  <si>
    <t>Coronavirus infection can have a severe and long-term course, and after recovery, it can remind itself of the so-called “post-Covid syndrome”, so many patients are in the process of recovery...</t>
  </si>
  <si>
    <t>https://narmedicyna.ru/apparat-iskusstvennoj-ventilyacii-legkix/</t>
  </si>
  <si>
    <t>https://narmedicyna.ru/wp-content/uploads/2021/11/1-1-218x150.webp</t>
  </si>
  <si>
    <t>Ventilator</t>
  </si>
  <si>
    <t>Mechanical ventilators are mandatory medical equipment for any intensive care unit.</t>
  </si>
  <si>
    <t>It is necessary for forced breathing when the patient cannot breathe on his own....</t>
  </si>
  <si>
    <t>https://narmedicyna.ru/plevralnaya-punkcziya-chto-eto-za-proczedura-kak-ee-provodyat/</t>
  </si>
  <si>
    <t>https://narmedicyna.ru/wp-content/uploads/2023/11/plevralnaya-punkciya-218x150.png</t>
  </si>
  <si>
    <t>Pleural puncture: what is this procedure and how is it performed?</t>
  </si>
  <si>
    <t>Pleural puncture or thoracentesis is a minimally invasive procedure.</t>
  </si>
  <si>
    <t>The procedure involves inserting a needle or special instrument into the pleural cavity using a puncture of the chest...</t>
  </si>
  <si>
    <t>https://narmedicyna.ru/narusheno-obonyanie-vozmozhnye-prichiny/</t>
  </si>
  <si>
    <t>https://narmedicyna.ru/wp-content/uploads/2021/04/narusheno_obonyaniye-218x150.png</t>
  </si>
  <si>
    <t>Impaired sense of smell: possible causes</t>
  </si>
  <si>
    <t>Some of us may not realize the correlation between our sense of smell and taste.</t>
  </si>
  <si>
    <t>The more important fact to remember is that they can change...</t>
  </si>
  <si>
    <t>https://narmedicyna.ru/uslugi-po-perevozke-lezhachix-bolnyx/</t>
  </si>
  <si>
    <t>https://narmedicyna.ru/wp-content/uploads/2021/01/perevozka-218x150.jpg</t>
  </si>
  <si>
    <t>Transportation services for bedridden patients</t>
  </si>
  <si>
    <t>Are you immobile for a long time after a serious illness, injury or surgery?</t>
  </si>
  <si>
    <t>Are you dependent on a crutch or wheelchair?</t>
  </si>
  <si>
    <t>https://narmedicyna.ru/kashel-kak-vybrat-sredstvo-ot-kashlya-na-ozone/</t>
  </si>
  <si>
    <t>https://narmedicyna.ru/wp-content/uploads/2023/05/kashel-218x150.jpg</t>
  </si>
  <si>
    <t>Cough: how to choose a cough remedy on Ozone?</t>
  </si>
  <si>
    <t>Coughing is a natural reaction of the body that occurs when foreign substances or dust enter the respiratory tract.</t>
  </si>
  <si>
    <t>It can also be caused by tumors...</t>
  </si>
  <si>
    <t>https://narmedicyna.ru/lechenie-vospaleniya-legkix-narodnymi-sredstvami/</t>
  </si>
  <si>
    <t>Treatment of pneumonia with folk remedies</t>
  </si>
  <si>
    <t>Pneumonia is a rather serious disease that cannot be left without special treatment.</t>
  </si>
  <si>
    <t>Basic treatment should always be prescribed only by a doctor.</t>
  </si>
  <si>
    <t>https://narmedicyna.ru/silikoz-legkix-lechenie-narodnymi-sredstvami/</t>
  </si>
  <si>
    <t>https://narmedicyna.ru/wp-content/uploads/2020/11/0-72-218x150.jpg</t>
  </si>
  <si>
    <t>Pulmonary silicosis - treatment with folk remedies</t>
  </si>
  <si>
    <t>Pulmonary silicosis is an occupational disease that develops as a result of prolonged inhalation of dust from quartzite, granite, sandstone, etc. Symptoms of pulmonary silicosis: rare dry cough, pain in the area...</t>
  </si>
  <si>
    <t>https://narmedicyna.ru/narodnoe-lechenie-bronxialnoj-astmy-dlya-vsex-vozrastov/</t>
  </si>
  <si>
    <t>https://narmedicyna.ru/wp-content/uploads/2020/11/0-75-218x150.jpg</t>
  </si>
  <si>
    <t>Traditional treatment of bronchial asthma for all ages</t>
  </si>
  <si>
    <t>Bronchial asthma is a chronic disease in which attacks of breathlessness occur periodically.</t>
  </si>
  <si>
    <t>This is a rather complex disease that is difficult to treat.</t>
  </si>
  <si>
    <t>https://narmedicyna.ru/lechebnoe-pitanie-pri-pnevmonii-dieta/</t>
  </si>
  <si>
    <t>https://narmedicyna.ru/wp-content/uploads/2020/11/0-79-218x150.jpg</t>
  </si>
  <si>
    <t>Therapeutic nutrition for Pneumonia (diet)</t>
  </si>
  <si>
    <t>During the treatment of pneumonia, a high-calorie diet with a high content of free fluid is necessary.</t>
  </si>
  <si>
    <t>It is recommended to eat little and often during pneumonia.</t>
  </si>
  <si>
    <t>https://narmedicyna.ru/lechenie-abscessa-legkix-v-domashnix-usloviyax/</t>
  </si>
  <si>
    <t>https://narmedicyna.ru/wp-content/uploads/2012/05/abscess.jpg</t>
  </si>
  <si>
    <t>Treatment of lung abscess at home</t>
  </si>
  <si>
    <t>Abscess is the medical name for boils or ulcers.</t>
  </si>
  <si>
    <t>Most often, an abscess occurs as a result of microflora invasion.</t>
  </si>
  <si>
    <t>https://narmedicyna.ru/lechenie-pnevmonii-v-domashnix-usloviyax/</t>
  </si>
  <si>
    <t>Treating pneumonia at home</t>
  </si>
  <si>
    <t>Pneumonia is a disease of the lungs.</t>
  </si>
  <si>
    <t>It can occur as an independent disease or as a complication.</t>
  </si>
  <si>
    <t>https://narmedicyna.ru/plevrit-simptomy-i-narodnoe-lechenie/</t>
  </si>
  <si>
    <t>Pleurisy - symptoms and alternative treatment</t>
  </si>
  <si>
    <t>Pleurisy is a disease in which the pleura becomes inflamed.</t>
  </si>
  <si>
    <t>Most often it appears as a complication of another disease (for example: heart attack, gangrene, pneumonia, etc.).</t>
  </si>
  <si>
    <t>https://narmedicyna.ru/kashel-lechenie-dlya-vsex/</t>
  </si>
  <si>
    <t>https://narmedicyna.ru/wp-content/uploads/2010/03/kashel.jpg</t>
  </si>
  <si>
    <t>Cough - treatment for everyone</t>
  </si>
  <si>
    <t>If you or your child are bothered by a cough, the folk remedies discussed below will help cure it, which can be used at any time convenient for you...</t>
  </si>
  <si>
    <t>https://narmedicyna.ru/universalnoe-lecheniya-bronxita-i-bolnyx-sustavov/</t>
  </si>
  <si>
    <t>Universal treatment of bronchitis and painful joints</t>
  </si>
  <si>
    <t>In folk medicine, there are often universal remedies that can treat several diseases at once.</t>
  </si>
  <si>
    <t>An example of this is compresses made from garlic and butter.</t>
  </si>
  <si>
    <t>https://narmedicyna.ru/bronxit-lechenie-narodnymi-sredstvami/</t>
  </si>
  <si>
    <t>https://narmedicyna.ru/wp-content/uploads/2020/11/0-186-218x150.jpg</t>
  </si>
  <si>
    <t>Bronchitis - treatment with folk remedies</t>
  </si>
  <si>
    <t>For bronchitis, the best traditional treatment is all kinds of warming and therapeutic compresses.</t>
  </si>
  <si>
    <t>Therefore, we offer you folk remedies for the treatment of bronchitis.</t>
  </si>
  <si>
    <t>https://narmedicyna.ru/lechim-tuberkulez/</t>
  </si>
  <si>
    <t>Treatment of tuberculosis with folk remedies</t>
  </si>
  <si>
    <t>We offer you methods of treating tuberculosis with folk remedies at home.</t>
  </si>
  <si>
    <t>Contents: 1. Aloe 2. Honey 3. Birch leaves 4. Black radish 5. Propolis Aloe Take a champagne bottle, crumble aloe into it, add...</t>
  </si>
  <si>
    <t>Treatment of pharyngitis Pharyngitis is an inflammation of the pharyngeal mucosa, acute or chronic. Among the main symptoms are pain, discomfort in the throat, and sore throat.</t>
  </si>
  <si>
    <t>Ambroxol Renewal: indications for use of the drug Breathing is a function of a living organism that maintains the constancy of its internal environment, ensuring normal metabolism and energy balance. Acute respiratory diseases require immediate treatment, otherwise...</t>
  </si>
  <si>
    <t xml:space="preserve">Rehabilitation after coronavirus: how does it happen? Coronavirus infection can have a severe and long-term course, and after recovery, it can remind itself of the so-called “post-Covid syndrome”, so many patients are in the process of recovery... </t>
  </si>
  <si>
    <t>Ventilator Mechanical ventilators are mandatory medical equipment for any intensive care unit. It is necessary for forced breathing when the patient cannot breathe on his own....</t>
  </si>
  <si>
    <t>Pleural puncture: what is this procedure and how is it performed? Pleural puncture or thoracentesis is a minimally invasive procedure. The procedure involves inserting a needle or special instrument into the pleural cavity using a puncture of the chest...</t>
  </si>
  <si>
    <t>Impaired sense of smell: possible causes Some of us may not realize the correlation between our sense of smell and taste. The more important fact to remember is that they can change...</t>
  </si>
  <si>
    <t>Transportation services for bedridden patients Are you immobile for a long time after a serious illness, injury or surgery? Are you dependent on a crutch or wheelchair?</t>
  </si>
  <si>
    <t>Cough: how to choose a cough remedy on Ozone? Coughing is a natural reaction of the body that occurs when foreign substances or dust enter the respiratory tract. It can also be caused by tumors...</t>
  </si>
  <si>
    <t>Treatment of pneumonia with folk remedies Pneumonia is a rather serious disease that cannot be left without special treatment. Basic treatment should always be prescribed only by a doctor.</t>
  </si>
  <si>
    <t xml:space="preserve">Pulmonary silicosis - treatment with folk remedies Pulmonary silicosis is an occupational disease that develops as a result of prolonged inhalation of dust from quartzite, granite, sandstone, etc. Symptoms of pulmonary silicosis: rare dry cough, pain in the area... </t>
  </si>
  <si>
    <t>Traditional treatment of bronchial asthma for all ages Bronchial asthma is a chronic disease in which attacks of breathlessness occur periodically. This is a rather complex disease that is difficult to treat.</t>
  </si>
  <si>
    <t>Therapeutic nutrition for Pneumonia (diet) During the treatment of pneumonia, a high-calorie diet with a high content of free fluid is necessary. It is recommended to eat little and often during pneumonia.</t>
  </si>
  <si>
    <t>Treatment of lung abscess at home Abscess is the medical name for boils or ulcers. Most often, an abscess occurs as a result of microflora invasion.</t>
  </si>
  <si>
    <t>Treating pneumonia at home Pneumonia is a disease of the lungs. It can occur as an independent disease or as a complication.</t>
  </si>
  <si>
    <t>Pleurisy - symptoms and alternative treatment Pleurisy is a disease in which the pleura becomes inflamed. Most often it appears as a complication of another disease (for example: heart attack, gangrene, pneumonia, etc.).</t>
  </si>
  <si>
    <t xml:space="preserve">Cough - treatment for everyone If you or your child are bothered by a cough, the folk remedies discussed below will help cure it, which can be used at any time convenient for you... </t>
  </si>
  <si>
    <t>Universal treatment of bronchitis and painful joints In folk medicine, there are often universal remedies that can treat several diseases at once. An example of this is compresses made from garlic and butter.</t>
  </si>
  <si>
    <t>Bronchitis - treatment with folk remedies For bronchitis, the best traditional treatment is all kinds of warming and therapeutic compresses. Therefore, we offer you folk remedies for the treatment of bronchitis.</t>
  </si>
  <si>
    <t>Treatment of tuberculosis with folk remedies We offer you methods of treating tuberculosis with folk remedies at home. Contents: 1. Aloe 2. Honey 3. Birch leaves 4. Black radish 5. Propolis Aloe Take a champagne bottle, crumble aloe into it, add...</t>
  </si>
  <si>
    <t>BRONCHOPULMONARY DISEASES</t>
  </si>
  <si>
    <t>https://narmedicyna.ru/kontaktnye</t>
  </si>
  <si>
    <t>https://narmedicyna.ru/opasnye-oslozhneniya-blizorukosti</t>
  </si>
  <si>
    <t>https://sit-ly.com/q/?u=</t>
  </si>
  <si>
    <t>https://sit-ly.com/q/?u=https://exe.io/3dPWCy</t>
  </si>
  <si>
    <t>https://sit-ly.com/q/?u=https://exe.io/tAuMog</t>
  </si>
  <si>
    <t>https://sit-ly.com/q/?u=https://exe.io/PjbJE9m</t>
  </si>
  <si>
    <t>https://sit-ly.com/q/?u=https://exe.io/yQ8oDvwm</t>
  </si>
  <si>
    <t>https://sit-ly.com/q/?u=https://exe.io/rTLo7w4</t>
  </si>
  <si>
    <t>https://sit-ly.com/q/?u=https://exe.io/1QckX6l5</t>
  </si>
  <si>
    <t>https://sit-ly.com/q/?u=https://exe.io/ovXf</t>
  </si>
  <si>
    <t>https://sit-ly.com/q/?u=https://exe.io/5BJmu</t>
  </si>
  <si>
    <t>https://sit-ly.com/q/?u=https://exe.io/KU8P</t>
  </si>
  <si>
    <t>https://sit-ly.com/q/?u=https://exe.io/f4YmxzE</t>
  </si>
  <si>
    <t>https://sit-ly.com/q/?u=https://exe.io/PRz8Kw</t>
  </si>
  <si>
    <t>https://sit-ly.com/q/?u=https://exe.io/yeczrm</t>
  </si>
  <si>
    <t>https://sit-ly.com/q/?u=https://exe.io/csKT8W7</t>
  </si>
  <si>
    <t>https://sit-ly.com/q/?u=https://exe.io/4Gxd</t>
  </si>
  <si>
    <t>https://sit-ly.com/q/?u=https://exe.io/AN8eTOxx</t>
  </si>
  <si>
    <t>https://sit-ly.com/q/?u=https://exe.io/jTjTTzAH</t>
  </si>
  <si>
    <t>https://sit-ly.com/q/?u=https://exe.io/EqbRR</t>
  </si>
  <si>
    <t>https://sit-ly.com/q/?u=https://exe.io/xZ7Ermh</t>
  </si>
  <si>
    <t>https://sit-ly.com/q/?u=https://exe.io/bJpLfQ</t>
  </si>
  <si>
    <t>https://sit-ly.com/q/?u=https://exe.io/aW9zD_OF_SITE</t>
  </si>
  <si>
    <t>new href</t>
  </si>
  <si>
    <t>new src</t>
  </si>
  <si>
    <t>new_title</t>
  </si>
  <si>
    <t>https://narmedicyna.ru/kontaktnye&amp;ref=</t>
  </si>
  <si>
    <t>https://narmedicyna.ru/opasnye-oslozhneniya-blizorukosti&amp;ref=</t>
  </si>
  <si>
    <t>https://narmedicyna.ru/acuvue-oasys-with-hydraclear-plus-osnovnye-preimushhestva-kontaktnyh-linz/&amp;ref=</t>
  </si>
  <si>
    <t>https://narmedicyna.ru/sposoby-lecheniya-katarakty/&amp;ref=</t>
  </si>
  <si>
    <t>https://narmedicyna.ru/lazernaya-korrekcziya-pokazaniya-preimushhestva/&amp;ref=</t>
  </si>
  <si>
    <t>https://narmedicyna.ru/pochemu-opuxayut-verxnie-veki-glaz-vozmozhnye-prichiny/&amp;ref=</t>
  </si>
  <si>
    <t>Why the upper eyelids of the eyes swell: possible causes Currently, every person tries to be as attentive as possible to their health, monitor their well-being, nourish and fill it with exclusively useful components and elements....</t>
  </si>
  <si>
    <t>https://narmedicyna.ru/chto-takoe-nepronikayushhaya-glubokaya-sklerektomiya-ngse/&amp;ref=</t>
  </si>
  <si>
    <t>https://narmedicyna.ru/gimnastika-dlya-glaz-uluchshenie-zreniya/&amp;ref=</t>
  </si>
  <si>
    <t>Gymnastics for the eyes: improving vision In modern conditions of life and activity, a great influence is exerted directly on the state of health, which in turn leads to the development of various problems and ailments,...</t>
  </si>
  <si>
    <t>https://narmedicyna.ru/udalenie-katarakty-ultrazvukom-bezopasna-li-procedura/&amp;ref=</t>
  </si>
  <si>
    <t>https://narmedicyna.ru/kakie-kapli-pomogut-pri-vospalenii-glaz/&amp;ref=</t>
  </si>
  <si>
    <t>https://narmedicyna.ru/kak-vylechit-blizorukost-narodnymi-sredstvami/&amp;ref=</t>
  </si>
  <si>
    <t>https://narmedicyna.ru/lazernaya-korrekciya-zreniya-vidy-operacij/&amp;ref=</t>
  </si>
  <si>
    <t>https://narmedicyna.ru/lechenie-atrofii-zritelnogo-nerva-narodnymi-sredstvami/&amp;ref=</t>
  </si>
  <si>
    <t>https://narmedicyna.ru/eti-glaza-naprotiv-kompyutera-i-kak-im-mozhno-pomoch/&amp;ref=</t>
  </si>
  <si>
    <t>https://narmedicyna.ru/lechenie-glaznyx-boleznej-narodnymi-sredstvami/&amp;ref=</t>
  </si>
  <si>
    <t>Treatment of eye diseases with folk remedies Traditional medicine is rich in its folk remedies for treating eye diseases, and in this article I want to give an example of complex treatment of eye diseases with folk remedies - this...</t>
  </si>
  <si>
    <t>https://narmedicyna.ru/lechenie-slezotecheniya-iz-glaz-narodnymi-sredstvami/&amp;ref=</t>
  </si>
  <si>
    <t>https://narmedicyna.ru/u-vas-katarakta-narodnye-sredstva-dlya-lecheniya-katarakty/&amp;ref=</t>
  </si>
  <si>
    <t>https://narmedicyna.ru/ochanka-lekarstvennaya-dlya-glaz-primenenie/&amp;ref=</t>
  </si>
  <si>
    <t>https://narmedicyna.ru/metody-uluchsheniya-zreniya/&amp;ref=</t>
  </si>
  <si>
    <t>https://narmedicyna.ru/glaukoma-lechenie-narodnymi-sredstvami/&amp;ref=</t>
  </si>
  <si>
    <t>/////////////////////////////////////////////////</t>
  </si>
  <si>
    <t>Treatment of pharyngitis Pharyngitis is an inflammation of the pharyngeal mucosa, acute or chronic. Among the main symptoms are pain, discomfort in the throat, and sore throat. https://exe.io/ziggR3j /////////////////////////////////////////////////</t>
  </si>
  <si>
    <t>Ambroxol Renewal: indications for use of the drug Breathing is a function of a living organism that maintains the constancy of its internal environment, ensuring normal metabolism and energy balance. Acute respiratory diseases require immediate treatment, otherwise... https://exe.io/3QFST /////////////////////////////////////////////////</t>
  </si>
  <si>
    <t>Rehabilitation after coronavirus: how does it happen? Coronavirus infection can have a severe and long-term course, and after recovery, it can remind itself of the so-called “post-Covid syndrome”, so many patients are in the process of recovery... https://exe.io/9SwPJD /////////////////////////////////////////////////</t>
  </si>
  <si>
    <t>Ventilator Mechanical ventilators are mandatory medical equipment for any intensive care unit. It is necessary for forced breathing when the patient cannot breathe on his own.... https://exe.io/qVeuY /////////////////////////////////////////////////</t>
  </si>
  <si>
    <t>Pleural puncture: what is this procedure and how is it performed? Pleural puncture or thoracentesis is a minimally invasive procedure. The procedure involves inserting a needle or special instrument into the pleural cavity using a puncture of the chest... https://exe.io/iG7nqz0G /////////////////////////////////////////////////</t>
  </si>
  <si>
    <t>Impaired sense of smell: possible causes Some of us may not realize the correlation between our sense of smell and taste. The more important fact to remember is that they can change... https://exe.io/PB8bApvy /////////////////////////////////////////////////</t>
  </si>
  <si>
    <t>Transportation services for bedridden patients Are you immobile for a long time after a serious illness, injury or surgery? Are you dependent on a crutch or wheelchair? https://exe.io/W9YnFzEK /////////////////////////////////////////////////</t>
  </si>
  <si>
    <t>Cough: how to choose a cough remedy on Ozone? Coughing is a natural reaction of the body that occurs when foreign substances or dust enter the respiratory tract. It can also be caused by tumors... https://exe.io/qoMO0 /////////////////////////////////////////////////</t>
  </si>
  <si>
    <t>Treatment of pneumonia with folk remedies Pneumonia is a rather serious disease that cannot be left without special treatment. Basic treatment should always be prescribed only by a doctor. https://exe.io/UchqVRCJ /////////////////////////////////////////////////</t>
  </si>
  <si>
    <t>Pulmonary silicosis - treatment with folk remedies Pulmonary silicosis is an occupational disease that develops as a result of prolonged inhalation of dust from quartzite, granite, sandstone, etc. Symptoms of pulmonary silicosis: rare dry cough, pain in the area... https://exe.io/XFyk2d /////////////////////////////////////////////////</t>
  </si>
  <si>
    <t>Traditional treatment of bronchial asthma for all ages Bronchial asthma is a chronic disease in which attacks of breathlessness occur periodically. This is a rather complex disease that is difficult to treat. https://exe.io/MdhxQ0Et /////////////////////////////////////////////////</t>
  </si>
  <si>
    <t>Therapeutic nutrition for Pneumonia (diet) During the treatment of pneumonia, a high-calorie diet with a high content of free fluid is necessary. It is recommended to eat little and often during pneumonia. https://exe.io/s2UV /////////////////////////////////////////////////</t>
  </si>
  <si>
    <t>Treatment of lung abscess at home Abscess is the medical name for boils or ulcers. Most often, an abscess occurs as a result of microflora invasion. https://exe.io/CWTJAFdG</t>
  </si>
  <si>
    <t>Treating pneumonia at home Pneumonia is a disease of the lungs. It can occur as an independent disease or as a complication. https://exe.io/h39zctZ /////////////////////////////////////////////////</t>
  </si>
  <si>
    <t>Pleurisy - symptoms and alternative treatment Pleurisy is a disease in which the pleura becomes inflamed. Most often it appears as a complication of another disease (for example: heart attack, gangrene, pneumonia, etc.). https://exe.io/ZKzo8so</t>
  </si>
  <si>
    <t>Cough - treatment for everyone If you or your child are bothered by a cough, the folk remedies discussed below will help cure it, which can be used at any time convenient for you... https://exe.io/3CsnG2B /////////////////////////////////////////////////</t>
  </si>
  <si>
    <t>Universal treatment of bronchitis and painful joints In folk medicine, there are often universal remedies that can treat several diseases at once. An example of this is compresses made from garlic and butter. https://exe.io/2VWHF /////////////////////////////////////////////////</t>
  </si>
  <si>
    <t>Bronchitis - treatment with folk remedies For bronchitis, the best traditional treatment is all kinds of warming and therapeutic compresses. Therefore, we offer you folk remedies for the treatment of bronchitis. https://exe.io/2AO6S /////////////////////////////////////////////////</t>
  </si>
  <si>
    <t>Treatment of tuberculosis with folk remedies We offer you methods of treating tuberculosis with folk remedies at home. Contents: 1. Aloe 2. Honey 3. Birch leaves 4. Black radish 5. Propolis Aloe Take a champagne bottle, crumble aloe into it, add... https://exe.io/wcS7JWq</t>
  </si>
  <si>
    <t>https://exe.io/st?api=a480072bd98881bdfc23c75aa2f815ea2428344e&amp;url=https://narmedicyna.ru/lechenie-faringita/</t>
  </si>
  <si>
    <t>https://exe.io/st?api=a480072bd98881bdfc23c75aa2f815ea2428344e&amp;url=https://narmedicyna.ru/ambroksol-reneval-pokazaniya-dlya-primeneniya-preparata/</t>
  </si>
  <si>
    <t>https://exe.io/st?api=a480072bd98881bdfc23c75aa2f815ea2428344e&amp;url=https://narmedicyna.ru/reabilitaciya-posle-koronavirusa-kak-proisxodit/</t>
  </si>
  <si>
    <t>https://exe.io/st?api=a480072bd98881bdfc23c75aa2f815ea2428344e&amp;url=https://narmedicyna.ru/apparat-iskusstvennoj-ventilyacii-legkix/</t>
  </si>
  <si>
    <t>https://exe.io/st?api=a480072bd98881bdfc23c75aa2f815ea2428344e&amp;url=https://narmedicyna.ru/plevralnaya-punkcziya-chto-eto-za-proczedura-kak-ee-provodyat/</t>
  </si>
  <si>
    <t>https://exe.io/st?api=a480072bd98881bdfc23c75aa2f815ea2428344e&amp;url=https://narmedicyna.ru/narusheno-obonyanie-vozmozhnye-prichiny/</t>
  </si>
  <si>
    <t>https://exe.io/st?api=a480072bd98881bdfc23c75aa2f815ea2428344e&amp;url=https://narmedicyna.ru/uslugi-po-perevozke-lezhachix-bolnyx/</t>
  </si>
  <si>
    <t>https://exe.io/st?api=a480072bd98881bdfc23c75aa2f815ea2428344e&amp;url=https://narmedicyna.ru/kashel-kak-vybrat-sredstvo-ot-kashlya-na-ozone/</t>
  </si>
  <si>
    <t>https://exe.io/st?api=a480072bd98881bdfc23c75aa2f815ea2428344e&amp;url=https://narmedicyna.ru/lechenie-vospaleniya-legkix-narodnymi-sredstvami/</t>
  </si>
  <si>
    <t>https://exe.io/st?api=a480072bd98881bdfc23c75aa2f815ea2428344e&amp;url=https://narmedicyna.ru/silikoz-legkix-lechenie-narodnymi-sredstvami/</t>
  </si>
  <si>
    <t>https://exe.io/st?api=a480072bd98881bdfc23c75aa2f815ea2428344e&amp;url=https://narmedicyna.ru/narodnoe-lechenie-bronxialnoj-astmy-dlya-vsex-vozrastov/</t>
  </si>
  <si>
    <t>https://exe.io/st?api=a480072bd98881bdfc23c75aa2f815ea2428344e&amp;url=https://narmedicyna.ru/lechebnoe-pitanie-pri-pnevmonii-dieta/</t>
  </si>
  <si>
    <t>https://exe.io/st?api=a480072bd98881bdfc23c75aa2f815ea2428344e&amp;url=https://narmedicyna.ru/lechenie-abscessa-legkix-v-domashnix-usloviyax/</t>
  </si>
  <si>
    <t>https://exe.io/st?api=a480072bd98881bdfc23c75aa2f815ea2428344e&amp;url=https://narmedicyna.ru/lechenie-pnevmonii-v-domashnix-usloviyax/</t>
  </si>
  <si>
    <t>https://exe.io/st?api=a480072bd98881bdfc23c75aa2f815ea2428344e&amp;url=https://narmedicyna.ru/plevrit-simptomy-i-narodnoe-lechenie/</t>
  </si>
  <si>
    <t>https://exe.io/st?api=a480072bd98881bdfc23c75aa2f815ea2428344e&amp;url=https://narmedicyna.ru/kashel-lechenie-dlya-vsex/</t>
  </si>
  <si>
    <t>https://exe.io/st?api=a480072bd98881bdfc23c75aa2f815ea2428344e&amp;url=https://narmedicyna.ru/universalnoe-lecheniya-bronxita-i-bolnyx-sustavov/</t>
  </si>
  <si>
    <t>https://exe.io/st?api=a480072bd98881bdfc23c75aa2f815ea2428344e&amp;url=https://narmedicyna.ru/bronxit-lechenie-narodnymi-sredstvami/</t>
  </si>
  <si>
    <t>https://exe.io/st?api=a480072bd98881bdfc23c75aa2f815ea2428344e&amp;url=https://narmedicyna.ru/lechim-tuberkulez/</t>
  </si>
  <si>
    <t>https://exe.io/st?api=a480072bd98881bdfc23c75aa2f815ea2428344e&amp;url=https://narmedicyna.ru/glaukoma-lechenie-narodnymi-sredstvami/</t>
  </si>
  <si>
    <t>ProductGridCard-module__cardThumbnail--KnbAe href</t>
  </si>
  <si>
    <t>https://www.teacherspayteachers.com/Product/Science-of-Reading-Guided-Phonics-Beyond-Curriculum-SOR-DECODABLES-SOUND-WALL-6967851?st=0c6e7fc6bcd88cde45b4c311578a996a</t>
  </si>
  <si>
    <t>https://ecdn.teacherspayteachers.com/thumbitem/Science-of-Reading-Guided-Phonics-Beyond-Curriculum-SOR-DECODABLES-SOUND-WALL-6967851-1707962760/large-6967851-1.jpg</t>
  </si>
  <si>
    <t>Science of Reading Guided Phonics + Beyond Curriculum SOR DECODABLES +SOUND WALL</t>
  </si>
  <si>
    <t>https://www.teacherspayteachers.com/Product/One-Stop-Teacher-Planner-2023-2024-EDITABLE-Digital-Printable-Lesson-Binder-1083937?st=0c6e7fc6bcd88cde45b4c311578a996a</t>
  </si>
  <si>
    <t>https://ecdn.teacherspayteachers.com/thumbitem/One-Stop-Teacher-Planner-2023-2024-EDITABLE-Digital-Printable-Lesson-Binder-1083937-1699875165/large-1083937-1.jpg</t>
  </si>
  <si>
    <t>One Stop Teacher Planner 2023-2024 - EDITABLE Digital &amp; Printable Lesson Binder</t>
  </si>
  <si>
    <t>https://www.teacherspayteachers.com/Product/Sight-Word-Practice-Activities-Sentences-Games-Books-Science-of-Reading-3150071?st=0c6e7fc6bcd88cde45b4c311578a996a</t>
  </si>
  <si>
    <t>https://ecdn.teacherspayteachers.com/thumbitem/Endless-Sight-Word-Stories-6-During-SALE--3150071-1708000673/large-3150071-1.jpg</t>
  </si>
  <si>
    <t>Sight Word Practice, Activities, Sentences, Games, Books, Science of Reading</t>
  </si>
  <si>
    <t>https://www.teacherspayteachers.com/Product/Decodable-Readers-Passages-Science-of-Reading-Comprehension-Reading-Fluency-ELA-8054553?st=0c6e7fc6bcd88cde45b4c311578a996a</t>
  </si>
  <si>
    <t>https://ecdn.teacherspayteachers.com/thumbitem/Decodable-Readers-Passages-Science-of-Reading-Comprehension-Reading-Fluency-8054553-1710653004/large-8054553-1.jpg</t>
  </si>
  <si>
    <t>Decodable Readers Passages Science of Reading Comprehension Reading Fluency ELA</t>
  </si>
  <si>
    <t>https://www.teacherspayteachers.com/Product/Modern-Calm-Colors-Classroom-Decor-Bundle-Editable-Pastel-6558647?st=0c6e7fc6bcd88cde45b4c311578a996a</t>
  </si>
  <si>
    <t>https://ecdn.teacherspayteachers.com/thumbitem/Modern-Calm-Colors-Classroom-Decor-Bundle-Editable-6558647-1709742110/large-6558647-1.jpg</t>
  </si>
  <si>
    <t>Modern Calm Colors Classroom Decor Bundle Editable | Pastel</t>
  </si>
  <si>
    <t>https://www.teacherspayteachers.com/Product/STEM-Bins-STEAM-Bins-Elementary-STEM-Activities-Morning-WorkFast-Finishers-2719619?st=0c6e7fc6bcd88cde45b4c311578a996a</t>
  </si>
  <si>
    <t>https://ecdn.teacherspayteachers.com/thumbitem/STEM-Bins-STEAM-Bins-STEM-Activities-2719619-1704359369/large-2719619-1.jpg</t>
  </si>
  <si>
    <t>STEM Bins® / STEAM Bins® Elementary STEM Activities: Morning Work,Fast Finishers</t>
  </si>
  <si>
    <t>https://www.teacherspayteachers.com/Product/Morning-Adapted-Work-Binder-for-Special-Needs-Adapted-Morning-Work-2068837?st=0c6e7fc6bcd88cde45b4c311578a996a</t>
  </si>
  <si>
    <t>https://ecdn.teacherspayteachers.com/thumbitem/Adapted-Calendar-Notebook-for-Students-with-Special-Needs--2068837-1596037228/large-2068837-1.jpg</t>
  </si>
  <si>
    <t>Morning Adapted Work Binder® (for Special Needs) | Adapted Morning Work</t>
  </si>
  <si>
    <t>https://www.teacherspayteachers.com/Product/First-Grade-Phonics-Reading-Fluency-Comprehension-Passages-Questions-Worksheets-1723565?st=0c6e7fc6bcd88cde45b4c311578a996a</t>
  </si>
  <si>
    <t>https://ecdn.teacherspayteachers.com/thumbitem/Phonics-Reading-Comprehension-Passages-Worksheets-1723565-1709638927/large-1723565-1.jpg</t>
  </si>
  <si>
    <t>First Grade Phonics Reading Fluency Comprehension Passages Questions Worksheets</t>
  </si>
  <si>
    <t>https://www.teacherspayteachers.com/Product/Paragraph-of-the-Week-Writing-Prompts-for-Paragraph-Writing-Editing-Practice-953007?st=0c6e7fc6bcd88cde45b4c311578a996a</t>
  </si>
  <si>
    <t>https://ecdn.teacherspayteachers.com/thumbitem/Paragraph-of-the-Week-Paragraph-Writing-PRINT-DIGITAL-GOOGLE-Classroom-953007-1701720933/large-953007-1.jpg</t>
  </si>
  <si>
    <t>Paragraph of the Week - Writing Prompts for Paragraph Writing &amp; Editing Practice</t>
  </si>
  <si>
    <t>https://www.teacherspayteachers.com/Product/End-of-the-Year-Memory-Book-Print-and-Digital-End-of-the-Year-Activities-1856804?st=0c6e7fc6bcd88cde45b4c311578a996a</t>
  </si>
  <si>
    <t>https://ecdn.teacherspayteachers.com/thumbitem/End-of-the-Year-Memory-Book-Print-and-Digital-End-of-the-Year-Activities-1856804-1684877597/large-1856804-1.jpg</t>
  </si>
  <si>
    <t>End of the Year Memory Book Print and Digital | End of the Year Activities</t>
  </si>
  <si>
    <t>https://www.teacherspayteachers.com/Product/Mothers-Day-Craft-Flower-Bouquet-Card-Writing-Activity-3137522?st=0c6e7fc6bcd88cde45b4c311578a996a</t>
  </si>
  <si>
    <t>https://ecdn.teacherspayteachers.com/thumbitem/Mother-s-Day-Craft-Flower-Bouquet-Card-Writing-Activity-3137522-1683417478/large-3137522-1.jpg</t>
  </si>
  <si>
    <t>Mother's Day Craft - Flower Bouquet Card Writing Activity</t>
  </si>
  <si>
    <t>https://www.teacherspayteachers.com/Product/Addition-Subtraction-Coloring-Pages-Winter-St-Patricks-Day-Math-Activity-450593?st=0c6e7fc6bcd88cde45b4c311578a996a</t>
  </si>
  <si>
    <t>https://ecdn.teacherspayteachers.com/thumbitem/Kissing-Penguins-Christmas-Color-by-Number-Coloring-Page-1708012615/large-450593-1.jpg</t>
  </si>
  <si>
    <t>Addition &amp; Subtraction Coloring Pages - Winter &amp; St. Patrick's Day Math Activity</t>
  </si>
  <si>
    <t>https://www.teacherspayteachers.com/Product/Figurative-Language-Worksheets-and-Google-Slides-Idiom-Simile-Hyperbole-etc-171493?st=0c6e7fc6bcd88cde45b4c311578a996a</t>
  </si>
  <si>
    <t>https://ecdn.teacherspayteachers.com/thumbitem/Figurative-Language-Worksheets-and-Google-Slides-Idiom-Simile-Hyperbole-etc-171493-1708017521/large-171493-1.jpg</t>
  </si>
  <si>
    <t>Figurative Language Worksheets and Google Slides - Idiom, Simile, Hyperbole etc</t>
  </si>
  <si>
    <t>https://www.teacherspayteachers.com/Product/Grammar-Worksheet-Bundle-Nouns-Adjectives-Verbs-Punctuation-and-more-4326988?st=0c6e7fc6bcd88cde45b4c311578a996a</t>
  </si>
  <si>
    <t>https://ecdn.teacherspayteachers.com/thumbitem/Grammar-Worksheet-Bundle-Nouns-Adjectives-Verbs-Punctuation-and-more--4326988-1657234711/large-4326988-1.jpg</t>
  </si>
  <si>
    <t>Grammar Worksheet Bundle - Nouns, Adjectives, Verbs, Punctuation and more!</t>
  </si>
  <si>
    <t>https://www.teacherspayteachers.com/Product/Writing-Prompt-Units-Bundle-Narrative-Opinion-St-Patricks-Day-Spring-Activities-7404247?st=0c6e7fc6bcd88cde45b4c311578a996a</t>
  </si>
  <si>
    <t>https://ecdn.teacherspayteachers.com/thumbitem/Writing-Prompt-Units-Bundle-Narrative-Morning-Work-Thanksgiving-Fall-Activities-7404247-1710653019/large-7404247-1.jpg</t>
  </si>
  <si>
    <t>Writing Prompt Units Bundle Narrative Opinion St Patricks Day Spring Activities</t>
  </si>
  <si>
    <t>https://www.teacherspayteachers.com/Product/1st-Grade-Morning-Work-1st-Grade-Writing-Prompts-For-the-Year-Writing-Center-2671276?st=0c6e7fc6bcd88cde45b4c311578a996a</t>
  </si>
  <si>
    <t>https://ecdn.teacherspayteachers.com/thumbitem/1st-Grade-Morning-Work-1st-Grade-Writing-Prompts-For-the-Entire-Year-2671276-1707310181/large-2671276-1.jpg</t>
  </si>
  <si>
    <t>1st Grade Morning Work - 1st Grade Writing Prompts For the Year - Writing Center</t>
  </si>
  <si>
    <t>https://www.teacherspayteachers.com/Product/Behavior-Management-Green-and-Red-Choices-Preschool-Pre-K-and-Kindergarten-1931820?st=0c6e7fc6bcd88cde45b4c311578a996a</t>
  </si>
  <si>
    <t>https://ecdn.teacherspayteachers.com/thumbitem/Behavior-Management-Green-and-Red-Choices-Preschool-Pre-K-and-Kindergarten-1931820-1674050806/large-1931820-1.jpg</t>
  </si>
  <si>
    <t>Behavior Management Green and Red Choices®️ Preschool, Pre-K, and Kindergarten</t>
  </si>
  <si>
    <t>https://www.teacherspayteachers.com/Product/Decodable-Passages-with-Comprehension-Questions-2nd-Grade-Phonics-Fluency-3432044?st=0c6e7fc6bcd88cde45b4c311578a996a</t>
  </si>
  <si>
    <t>https://ecdn.teacherspayteachers.com/thumbitem/Decodable-Passages-Science-of-Reading-Comprehension-Reading-Fluency-2nd-Grade-3432044-1708038167/large-3432044-1.jpg</t>
  </si>
  <si>
    <t>Decodable Passages with Comprehension Questions - 2nd Grade Phonics &amp; Fluency</t>
  </si>
  <si>
    <t>https://www.teacherspayteachers.com/Product/How-to-Catch-a-Leprechaun-craft-St-Patricks-Day-activities-writing-prompt-paper-105282?st=0c6e7fc6bcd88cde45b4c311578a996a</t>
  </si>
  <si>
    <t>https://ecdn.teacherspayteachers.com/thumbitem/Christmas-Craft-Activity-How-to-Catch-an-Elf-December-Bulletin-Board-105282-1710423836/large-105282-1.jpg</t>
  </si>
  <si>
    <t>How to Catch a Leprechaun craft St Patricks Day activities writing prompt paper</t>
  </si>
  <si>
    <t>https://www.teacherspayteachers.com/Product/Summer-Packet-NO-PREP-Review-Kindergarten-699193?st=0c6e7fc6bcd88cde45b4c311578a996a</t>
  </si>
  <si>
    <t>https://ecdn.teacherspayteachers.com/thumbitem/Summer-Packet-NO-PREP-Review-Kindergarten--699193-1668243853/large-699193-1.jpg</t>
  </si>
  <si>
    <t>Summer Packet NO PREP Review (Kindergarten)</t>
  </si>
  <si>
    <t>https://www.teacherspayteachers.com/Product/Main-Idea-Reading-Comprehension-w-Spring-St-Patricks-Day-Easter-Activities--2122542?st=0c6e7fc6bcd88cde45b4c311578a996a</t>
  </si>
  <si>
    <t>https://ecdn.teacherspayteachers.com/thumbitem/Main-Idea-Christmas-Around-the-World-Reading-Comprehension-Passages-and-Question-2122542-1710329153/large-2122542-1.jpg</t>
  </si>
  <si>
    <t>Main Idea Reading Comprehension w/ Spring St. Patrick's Day Easter Activities +</t>
  </si>
  <si>
    <t>https://www.teacherspayteachers.com/Product/Phonics-Reading-Intervention-Decodable-Passage-Readers-Science-of-Reading-Center-8550259?st=0c6e7fc6bcd88cde45b4c311578a996a</t>
  </si>
  <si>
    <t>https://ecdn.teacherspayteachers.com/thumbitem/Phonics-Reading-Intervention-Decodable-Passages-Readers-Science-of-Reading-Sheet-8550259-1708314990/large-8550259-1.jpg</t>
  </si>
  <si>
    <t>Phonics Reading Intervention Decodable Passage Readers Science of Reading Center</t>
  </si>
  <si>
    <t>https://www.teacherspayteachers.com/Product/Science-of-Reading-Comprehension-Phonics-Decodable-Passages-Worksheets-Readers-1639608?st=0c6e7fc6bcd88cde45b4c311578a996a</t>
  </si>
  <si>
    <t>https://ecdn.teacherspayteachers.com/thumbitem/Science-of-Reading-Comprehension-Decodable-Fall-Phonics-Passage-Activities-1639608-1708384565/large-1639608-1.jpg</t>
  </si>
  <si>
    <t>Science of Reading Comprehension Phonics Decodable Passages Worksheets Readers</t>
  </si>
  <si>
    <t>https://www.teacherspayteachers.com/Product/35-NO-PREP-Multiplication-Math-Games-for-Multiplication-Practice-Fact-Fluency-1197085?st=0c6e7fc6bcd88cde45b4c311578a996a</t>
  </si>
  <si>
    <t>https://ecdn.teacherspayteachers.com/thumbitem/35-NO-PREP-Multiplication-Math-Games-for-Multiplication-Practice-Fact-Fluency-1197085-1708387787/large-1197085-1.jpg</t>
  </si>
  <si>
    <t>35 NO PREP Multiplication Math Games for Multiplication Practice &amp; Fact Fluency</t>
  </si>
  <si>
    <t>https://www.teacherspayteachers.com/Product/Fine-Motor-Journals-for-Preschool-Pre-K-and-Kindergarten-5187612?st=e325fc680052302fbbafa7ed1bc2175b</t>
  </si>
  <si>
    <t>https://ecdn.teacherspayteachers.com/thumbitem/Fine-Motor-Journals-for-Preschool-Pre-K-and-Kindergarten-5187612-1690453412/large-5187612-1.jpg</t>
  </si>
  <si>
    <t>Fine Motor Journals for Preschool, Pre-K, and Kindergarten</t>
  </si>
  <si>
    <t>https://www.teacherspayteachers.com/Product/Editable-Teacher-Planner-Teacher-Binder-2023-2024-Back-to-School-2493038?st=e325fc680052302fbbafa7ed1bc2175b</t>
  </si>
  <si>
    <t>https://ecdn.teacherspayteachers.com/thumbitem/Editable-Teacher-Planner-Teacher-Binder-2023-2024-Back-to-School-2493038-1700238054/large-2493038-1.jpg</t>
  </si>
  <si>
    <t>Editable Teacher Planner | Teacher Binder 2023-2024 | Back to School</t>
  </si>
  <si>
    <t>https://www.teacherspayteachers.com/Product/Classroom-Labels-Real-Photos-for-Preschool-Pre-K-Kinder-1st-Grade-3945694?st=e325fc680052302fbbafa7ed1bc2175b</t>
  </si>
  <si>
    <t>https://ecdn.teacherspayteachers.com/thumbitem/Classroom-Labels-Real-Photos-for-Preschool-Pre-K-Kinder-1st-Grade-3945694-1685809997/large-3945694-1.jpg</t>
  </si>
  <si>
    <t>Classroom Labels - Real Photos for Preschool, Pre-K, Kinder, &amp; 1st Grade</t>
  </si>
  <si>
    <t>https://www.teacherspayteachers.com/Product/Paragraph-Writing-How-to-Write-a-Complete-Paragraph-Graphic-Organizer-Posters-862543?st=e325fc680052302fbbafa7ed1bc2175b</t>
  </si>
  <si>
    <t>https://ecdn.teacherspayteachers.com/thumbitem/Complete-Paragraph-Writing-Bundle-030807300-1378447928-1709472937/large-862543-1.jpg</t>
  </si>
  <si>
    <t>Paragraph Writing - How to Write a Complete Paragraph Graphic Organizer Posters</t>
  </si>
  <si>
    <t>https://www.teacherspayteachers.com/Product/Kindergarten-Illustration-Unit-I-Can-Draw-With-Shapes-Draw-and-Color-7158722?st=e325fc680052302fbbafa7ed1bc2175b</t>
  </si>
  <si>
    <t>https://ecdn.teacherspayteachers.com/thumbitem/Kindergarten-Illustration-Unit-I-Can-Draw-With-Shapes-Draw-and-Color-7158722-1689863162/large-7158722-1.jpg</t>
  </si>
  <si>
    <t>Kindergarten Illustration Unit | I Can Draw With Shapes | Draw and Color</t>
  </si>
  <si>
    <t>https://www.teacherspayteachers.com/Product/Back-to-School-Activities-First-Week-of-School-Beginning-of-the-Year-BUNDLE-1282776?st=e325fc680052302fbbafa7ed1bc2175b</t>
  </si>
  <si>
    <t>https://ecdn.teacherspayteachers.com/thumbitem/Back-to-School-Activities-First-Week-of-School-Beginning-of-the-Year-BUNDLE-1282776-1694877511/large-1282776-1.jpg</t>
  </si>
  <si>
    <t>Back to School Activities | First Week of School | Beginning of the Year BUNDLE</t>
  </si>
  <si>
    <t>https://www.teacherspayteachers.com/Product/Life-Cycle-of-Plants-Unit-Investigations-Plant-Life-Cycle-PowerPoint-NGSS-224144?st=e325fc680052302fbbafa7ed1bc2175b</t>
  </si>
  <si>
    <t>https://ecdn.teacherspayteachers.com/thumbitem/Life-Cycle-of-Plants-Unit-Investigations-Plant-Life-Cycle-PowerPoint-NGSS-224144-1708365590/large-224144-1.jpg</t>
  </si>
  <si>
    <t>Life Cycle of Plants Unit, Investigations &amp; Plant Life Cycle PowerPoint NGSS</t>
  </si>
  <si>
    <t>https://www.teacherspayteachers.com/Product/Sight-Word-Practice-Mystery-Coloring-Pages-Spring-St-Patricks-Day-Activity-592311?st=e325fc680052302fbbafa7ed1bc2175b</t>
  </si>
  <si>
    <t>https://ecdn.teacherspayteachers.com/thumbitem/Free-Gangnam-Style-Mystery-Picture-Math-Activity-1708012473/large-592311-1.jpg</t>
  </si>
  <si>
    <t>Sight Word Practice Mystery Coloring Pages - Spring &amp; St. Patrick's Day Activity</t>
  </si>
  <si>
    <t>https://www.teacherspayteachers.com/Product/Sound-Wall-4192803?st=e325fc680052302fbbafa7ed1bc2175b</t>
  </si>
  <si>
    <t>https://ecdn.teacherspayteachers.com/thumbitem/Sound-Wall-4192803-1692056821/large-4192803-1.jpg</t>
  </si>
  <si>
    <t>Sound Wall</t>
  </si>
  <si>
    <t>https://www.teacherspayteachers.com/Product/3rd-Grade-Math-Spiral-Review-Morning-Work-Math-Homework-or-Warm-Ups-BUNDLE-1048011?st=e325fc680052302fbbafa7ed1bc2175b</t>
  </si>
  <si>
    <t>https://ecdn.teacherspayteachers.com/thumbitem/3rd-Grade-Math-Spiral-Review-Morning-Work-Math-Homework-Progress-Monitoring-1048011-1682250448/large-1048011-1.jpg</t>
  </si>
  <si>
    <t>3rd Grade Math Spiral Review - Morning Work, Math Homework, or Warm Ups BUNDLE</t>
  </si>
  <si>
    <t>https://www.teacherspayteachers.com/Product/St-Patricks-Day-Craft-Leprechaun-March-Writing-Prompts-Paper-Spring-Craftivity-158880?st=e325fc680052302fbbafa7ed1bc2175b</t>
  </si>
  <si>
    <t>https://ecdn.teacherspayteachers.com/thumbitem/Haunted-House-for-Sale-OCTOBER-WRITING-PROMPTS-Halloween-Activities-and-Crafts-158880-1708409899/large-158880-1.jpg</t>
  </si>
  <si>
    <t>St. Patrick's Day Craft Leprechaun March Writing Prompts Paper Spring Craftivity</t>
  </si>
  <si>
    <t>https://www.teacherspayteachers.com/Product/Nonfiction-Text-Structures-Unit-Passages-Worksheets-Anchor-Chart-Task-Cards-528637?st=e325fc680052302fbbafa7ed1bc2175b</t>
  </si>
  <si>
    <t>https://ecdn.teacherspayteachers.com/thumbitem/Text-Structure-Language-Arts-Practice-Sheets-Anchor-Chart-Review-Game-Test-1701721073/large-528637-1.jpg</t>
  </si>
  <si>
    <t>Nonfiction Text Structures Unit: Passages, Worksheets, Anchor Chart, Task Cards</t>
  </si>
  <si>
    <t>https://www.teacherspayteachers.com/Product/Science-of-Reading-Guided-Curriculum-Phonics-Decodables-Readers-SOUND-WALL-6896126?st=e325fc680052302fbbafa7ed1bc2175b</t>
  </si>
  <si>
    <t>https://ecdn.teacherspayteachers.com/thumbitem/Science-of-Reading-Guided-Curriculum-Phonics-Decodables-Readers-SOUND-WALL-6896126-1705078089/large-6896126-1.jpg</t>
  </si>
  <si>
    <t>Science of Reading Guided Curriculum Phonics Decodables Readers + SOUND WALL</t>
  </si>
  <si>
    <t>https://www.teacherspayteachers.com/Product/Kindergarten-High-Frequency-Sight-Word-Practice-Sentences-Guided-Reading-Game-1048713?st=e325fc680052302fbbafa7ed1bc2175b</t>
  </si>
  <si>
    <t>https://ecdn.teacherspayteachers.com/thumbitem/Very-First-Sight-Word-Sentences-Guided-Reading-Levels-A-and-B-1048713-1708772484/large-1048713-1.jpg</t>
  </si>
  <si>
    <t>Kindergarten High Frequency Sight Word Practice Sentences &amp; Guided Reading Game</t>
  </si>
  <si>
    <t>https://www.teacherspayteachers.com/Product/Summer-Packet-NO-PREP-Review-1st-Grade-702342?st=e325fc680052302fbbafa7ed1bc2175b</t>
  </si>
  <si>
    <t>https://ecdn.teacherspayteachers.com/thumbitem/Summer-Packet-NO-PREP-Review-1st-Grade--702342-1668243861/large-702342-1.jpg</t>
  </si>
  <si>
    <t>Summer Packet NO PREP Review (1st Grade)</t>
  </si>
  <si>
    <t>https://www.teacherspayteachers.com/Product/First-Then-Board-Visual-Schedule-Flipbooks-EDITABLE-for-Special-Education-3253360?st=e325fc680052302fbbafa7ed1bc2175b</t>
  </si>
  <si>
    <t>https://ecdn.teacherspayteachers.com/thumbitem/First-Then-Flip-Book-3253360-1701081082/large-3253360-1.jpg</t>
  </si>
  <si>
    <t>First Then Board &amp; Visual Schedule Flipbooks (EDITABLE) for Special Education</t>
  </si>
  <si>
    <t>https://www.teacherspayteachers.com/Product/1st-2nd-Grade-Math-Centers-and-Review-Games-Toothy-Task-Cards-3037141?st=e325fc680052302fbbafa7ed1bc2175b</t>
  </si>
  <si>
    <t>https://ecdn.teacherspayteachers.com/thumbitem/1st-and-2nd-Grade-Math-Games-Centers-Stations-Review-Toothy-Bundle-3037141-1692103156/large-3037141-1.jpg</t>
  </si>
  <si>
    <t>1st &amp; 2nd Grade Math Centers and Review Games - Toothy® Task Cards</t>
  </si>
  <si>
    <t>https://www.teacherspayteachers.com/Product/Making-Inferences-Task-Cards-Digital-and-Print-Passages-Inferencing-Activities-192996?st=e325fc680052302fbbafa7ed1bc2175b</t>
  </si>
  <si>
    <t>https://ecdn.teacherspayteachers.com/thumbitem/Making-Inferences-Task-Cards-Google-Digital-Inferencing-Reading-Activity-192996-1704897665/large-192996-1.jpg</t>
  </si>
  <si>
    <t>Making Inferences Task Cards - Digital and Print Passages Inferencing Activities</t>
  </si>
  <si>
    <t>https://www.teacherspayteachers.com/Product/Paragraph-Writing-How-to-Write-a-Paragraph-of-the-Week-Writing-Prompts-Narrative-2827947?st=e325fc680052302fbbafa7ed1bc2175b</t>
  </si>
  <si>
    <t>https://ecdn.teacherspayteachers.com/thumbitem/Paragraph-Writing-How-to-Write-a-Paragraph-of-the-Week-Digital-or-Print-2827947-1705660342/large-2827947-1.jpg</t>
  </si>
  <si>
    <t>Paragraph Writing How to Write a Paragraph of the Week Writing Prompts Narrative</t>
  </si>
  <si>
    <t>https://www.teacherspayteachers.com/Product/First-Grade-Math-Worksheet-Bundle-Addition-Shapes-Place-Value-More-4410468?st=e325fc680052302fbbafa7ed1bc2175b</t>
  </si>
  <si>
    <t>https://ecdn.teacherspayteachers.com/thumbitem/First-Grade-Math-Worksheet-Bundle-Addition-Shapes-Place-Value-More--4410468-1581138680/large-4410468-1.jpg</t>
  </si>
  <si>
    <t>First Grade Math Worksheet Bundle - Addition, Shapes, Place Value &amp; More!</t>
  </si>
  <si>
    <t>https://www.teacherspayteachers.com/Product/End-of-the-Year-Awards-249960?st=e325fc680052302fbbafa7ed1bc2175b</t>
  </si>
  <si>
    <t>https://ecdn.teacherspayteachers.com/thumbitem/End-of-Year-Awards-Classroom-Superlatives-Positive-for-ALL-students-1683043125/large-249960-1.jpg</t>
  </si>
  <si>
    <t>End of the Year Awards</t>
  </si>
  <si>
    <t>https://www.teacherspayteachers.com/Product/Editable-Sight-Word-High-Frequency-Words-Worksheets-Any-List-Kinder-First-Grade-3230314?st=e325fc680052302fbbafa7ed1bc2175b</t>
  </si>
  <si>
    <t>https://ecdn.teacherspayteachers.com/thumbitem/Editable-Sight-Word-High-Frequency-Words-Worksheets-3230314-1707124773/large-3230314-1.jpg</t>
  </si>
  <si>
    <t>Editable Sight Word High Frequency Words Worksheets Any List Kinder First Grade</t>
  </si>
  <si>
    <t>https://www.teacherspayteachers.com/Product/Reading-Intervention-Binder-for-Beginning-Readers-No-Prep-ELA-SOR-Aligned-1457657?st=e325fc680052302fbbafa7ed1bc2175b</t>
  </si>
  <si>
    <t>https://ecdn.teacherspayteachers.com/thumbitem/Reading-Intervention-Binder-for-Beginning-Readers-No-Prep-ELA-SOR-Aligned-1457657-1657745492/large-1457657-1.jpg</t>
  </si>
  <si>
    <t>Reading Intervention Binder for Beginning Readers No Prep ELA SOR Aligned</t>
  </si>
  <si>
    <t>https://www.teacherspayteachers.com/Product/Close-Reading-Comprehension-Passages-and-Questions-Reading-Strategies-Audio-1987225?st=e325fc680052302fbbafa7ed1bc2175b</t>
  </si>
  <si>
    <t>https://ecdn.teacherspayteachers.com/thumbitem/Close-Reading-Comprehension-Passages-and-Questions-Reading-Strategies-Audio-1987225-1707220084/large-1987225-1.jpg</t>
  </si>
  <si>
    <t>Close Reading Comprehension Passages and Questions - Reading Strategies - Audio</t>
  </si>
  <si>
    <t>https://www.teacherspayteachers.com/Product/4th-Grade-Math-Spiral-Review-Morning-Work-Math-Homework-or-Warm-Ups-BUNDLE-1056966?st=c79d99316587943081977051b10c3cb8</t>
  </si>
  <si>
    <t>https://ecdn.teacherspayteachers.com/thumbitem/4th-Grade-Math-Spiral-Review-Morning-Work-Math-Homework-Progress-Monitoring-1056966-1682250679/large-1056966-1.jpg</t>
  </si>
  <si>
    <t>4th Grade Math Spiral Review - Morning Work, Math Homework, or Warm Ups BUNDLE</t>
  </si>
  <si>
    <t>https://www.teacherspayteachers.com/Product/Theme-Task-Cards-with-Print-Digital-Versions-Activity-Reading-Differentiation-375245?st=c79d99316587943081977051b10c3cb8</t>
  </si>
  <si>
    <t>https://ecdn.teacherspayteachers.com/thumbitem/Theme-Task-Cards-and-Google-Slides-Reading-Differentiation-with-Audio-files-375245-1709497045/large-375245-1.jpg</t>
  </si>
  <si>
    <t>Theme Task Cards with Print &amp; Digital Versions Activity Reading Differentiation</t>
  </si>
  <si>
    <t>https://www.teacherspayteachers.com/Product/ORIGINAL-Peanut-Butter-and-Jelly-Partner-Pairing-Cards-Classroom-Management-7258796?st=c79d99316587943081977051b10c3cb8</t>
  </si>
  <si>
    <t>https://ecdn.teacherspayteachers.com/thumbitem/Peanut-Butter-and-Jelly-Partners-Cooperative-Learning-Partner-Pairing-Cards-7258796-1698676756/large-7258796-1.jpg</t>
  </si>
  <si>
    <t>ORIGINAL Peanut Butter and Jelly Partner Pairing Cards | Classroom Management</t>
  </si>
  <si>
    <t>https://www.teacherspayteachers.com/Product/Amy-Groesbeck-Fonts-Vol-4-3160533?st=c79d99316587943081977051b10c3cb8</t>
  </si>
  <si>
    <t>https://ecdn.teacherspayteachers.com/thumbitem/Amy-Groesbeck-Fonts-Volume-Four-3160533-1690761627/large-3160533-1.jpg</t>
  </si>
  <si>
    <t>Amy Groesbeck Fonts: Vol. 4</t>
  </si>
  <si>
    <t>https://www.teacherspayteachers.com/Product/Decodable-Readers-Passages-Books-Word-Work-Science-of-Reading-Decodables-7616801?st=c79d99316587943081977051b10c3cb8</t>
  </si>
  <si>
    <t>https://ecdn.teacherspayteachers.com/thumbitem/Decodable-Readers-Passages-Books-Word-Work-Science-of-Reading-Decodables-7616801-1709504181/large-7616801-1.jpg</t>
  </si>
  <si>
    <t>Decodable Readers, Passages, Books &amp; Word Work, Science of Reading, Decodables</t>
  </si>
  <si>
    <t>https://www.teacherspayteachers.com/Product/A-T-Shirt-All-About-Me-Back-to-School-Art-Goal-Setting-and-Writing-Activities-3769152?st=c79d99316587943081977051b10c3cb8</t>
  </si>
  <si>
    <t>https://ecdn.teacherspayteachers.com/thumbitem/A-T-Shirt-All-About-Me-Back-to-School-Art-Writing-and-Goal-Setting-Activity-3769152-1708058980/large-3769152-1.jpg</t>
  </si>
  <si>
    <t>A T-Shirt All About Me, Back to School Art, Goal Setting and Writing Activities</t>
  </si>
  <si>
    <t>https://www.teacherspayteachers.com/Product/2nd-Grade-Leveled-Reading-Comprehension-Passages-Questions-for-Reading-Fluency-294350?st=c79d99316587943081977051b10c3cb8</t>
  </si>
  <si>
    <t>https://ecdn.teacherspayteachers.com/thumbitem/2nd-Grade-Reading-Comprehension-Passages-Fluency-Practice-Google-Classroom-294350-1678468791/large-294350-1.jpg</t>
  </si>
  <si>
    <t>2nd Grade Leveled Reading Comprehension Passages &amp; Questions for Reading Fluency</t>
  </si>
  <si>
    <t>https://www.teacherspayteachers.com/Product/Simple-Fractions-NO-PREP-Packet-Math-1309186?st=c79d99316587943081977051b10c3cb8</t>
  </si>
  <si>
    <t>https://ecdn.teacherspayteachers.com/thumbitem/Simple-Fractions-NO-PREP-Packet-1309186-1678882453/large-1309186-1.jpg</t>
  </si>
  <si>
    <t>Simple Fractions NO PREP Packet | Math</t>
  </si>
  <si>
    <t>https://www.teacherspayteachers.com/Product/Kindergarten-Math-Worksheet-Bundle-Addition-Subtraction-Place-Value-Shapes-3715906?st=c79d99316587943081977051b10c3cb8</t>
  </si>
  <si>
    <t>https://ecdn.teacherspayteachers.com/thumbitem/Kindergarten-Math-Worksheet-Bundle-Addition-Subtraction-Place-Value-Shapes-3715906-1657315038/large-3715906-1.jpg</t>
  </si>
  <si>
    <t>Kindergarten Math Worksheet Bundle - Addition, Subtraction, Place Value, Shapes</t>
  </si>
  <si>
    <t>https://www.teacherspayteachers.com/Product/Arrays-Arrays-Arrays-Including-Multiplication-as-Repeated-Addition-Worksheets-1030359?st=c79d99316587943081977051b10c3cb8</t>
  </si>
  <si>
    <t>https://ecdn.teacherspayteachers.com/thumbitem/Arrays-Arrays-Arrays-1030359-1664409048/large-1030359-1.jpg</t>
  </si>
  <si>
    <t>Arrays Arrays Arrays! (Including Multiplication as Repeated Addition Worksheets)</t>
  </si>
  <si>
    <t>https://www.teacherspayteachers.com/Product/Spring-Math-and-Literacy-Packet-NO-PREP-Kindergarten-1128712?st=c79d99316587943081977051b10c3cb8</t>
  </si>
  <si>
    <t>https://ecdn.teacherspayteachers.com/thumbitem/Spring-Math-and-Literacy-Packet-Kindergarten-1128712-1666351509/large-1128712-1.jpg</t>
  </si>
  <si>
    <t>Spring Math and Literacy Packet NO PREP (Kindergarten)</t>
  </si>
  <si>
    <t>https://www.teacherspayteachers.com/Product/Phonics-Reading-Comprehension-Passages-Phonics-Worksheets-With-Digital-Resources-1778030?st=c79d99316587943081977051b10c3cb8</t>
  </si>
  <si>
    <t>https://ecdn.teacherspayteachers.com/thumbitem/Fluency-and-Skill-Based-Comprehension-Notebook-GROWING-BUNDLE-1778030-1704233024/large-1778030-1.jpg</t>
  </si>
  <si>
    <t>Phonics Reading Comprehension Passages Phonics Worksheets With Digital Resources</t>
  </si>
  <si>
    <t>https://www.teacherspayteachers.com/Product/100th-Day-of-School-22-No-Prep-100th-Day-Activities-Crafts-2347126?st=c79d99316587943081977051b10c3cb8</t>
  </si>
  <si>
    <t>https://ecdn.teacherspayteachers.com/thumbitem/100th-Day-of-School-20-No-Prep-100th-Day-Activities-Crafts-2347126-1709373392/large-2347126-1.jpg</t>
  </si>
  <si>
    <t>100th Day of School | 22 No Prep 100th Day Activities &amp; Crafts</t>
  </si>
  <si>
    <t>https://www.teacherspayteachers.com/Product/Decodable-Readers-Phonics-Books-HUGE-BUNDLE-Science-of-Reading-7129591?st=c79d99316587943081977051b10c3cb8</t>
  </si>
  <si>
    <t>https://ecdn.teacherspayteachers.com/thumbitem/Decodable-Readers-Phonics-Books-HUGE-BUNDLE-Science-of-Reading--7129591-1669056685/large-7129591-1.jpg</t>
  </si>
  <si>
    <t>Decodable Readers - Phonics Books - HUGE BUNDLE (Science of Reading)</t>
  </si>
  <si>
    <t>https://www.teacherspayteachers.com/Product/Figurative-Language-Stories-Close-Reading-for-Common-Core-Grades-4-8-749661?st=c79d99316587943081977051b10c3cb8</t>
  </si>
  <si>
    <t>https://ecdn.teacherspayteachers.com/thumbitem/Figurative-Language-Stories-Close-Reading-for-Common-Core-Grades-4-8-085813000-1372573764-1552852380/large-749661-1.jpg</t>
  </si>
  <si>
    <t>Figurative Language Stories ~ Close Reading for Common Core Grades 4-8</t>
  </si>
  <si>
    <t>https://www.teacherspayteachers.com/Product/Greek-and-Latin-Root-Words-Prefixes-Suffixes-Interactive-Notebook-Vocabulary-2076811?st=c79d99316587943081977051b10c3cb8</t>
  </si>
  <si>
    <t>https://ecdn.teacherspayteachers.com/thumbitem/Interactive-Vocabulary-Notebooks-Greek-Latin-Roots-Prefixes-Suffixes-2076811-1661943925/large-2076811-1.jpg</t>
  </si>
  <si>
    <t>Greek and Latin Root Words, Prefixes, &amp; Suffixes Interactive Notebook Vocabulary</t>
  </si>
  <si>
    <t>https://www.teacherspayteachers.com/Product/Phonics-Worksheet-Bundle-CVC-Long-Vowels-Digraphs-Blends-and-More-7034433?st=c79d99316587943081977051b10c3cb8</t>
  </si>
  <si>
    <t>https://ecdn.teacherspayteachers.com/thumbitem/Phonics-Worksheet-Bundle-CVC-Long-Vowels-Digraphs-Blends-and-More--7034433-1629699563/large-7034433-1.jpg</t>
  </si>
  <si>
    <t>Phonics Worksheet Bundle - CVC, Long Vowels, Digraphs, Blends and More!</t>
  </si>
  <si>
    <t>https://www.teacherspayteachers.com/Product/Spelling-Activities-and-Practice-Worksheets-Any-List-Spelling-Word-Practice-998948?st=c79d99316587943081977051b10c3cb8</t>
  </si>
  <si>
    <t>https://ecdn.teacherspayteachers.com/thumbitem/Spelling-Activities-Word-Work-for-ANY-list-with-Back-to-School-Pages-998948-1693176473/large-998948-1.jpg</t>
  </si>
  <si>
    <t>Spelling Activities and Practice Worksheets - Any List - Spelling Word Practice</t>
  </si>
  <si>
    <t>https://www.teacherspayteachers.com/Product/All-About-Me-Selfie-Includes-End-of-School-Reflection-Activity-1390047?st=c79d99316587943081977051b10c3cb8</t>
  </si>
  <si>
    <t>https://ecdn.teacherspayteachers.com/thumbitem/Back-to-School-Selfie-with-text-message-writing-prompts-1390047-1709300755/large-1390047-1.jpg</t>
  </si>
  <si>
    <t>All About Me Selfie | Includes End of School Reflection Activity!</t>
  </si>
  <si>
    <t>https://www.teacherspayteachers.com/Product/Fraction-Activities-Fractions-Unit-Printable-Worksheets-Lesson-Assessments-1016354?st=c79d99316587943081977051b10c3cb8</t>
  </si>
  <si>
    <t>https://ecdn.teacherspayteachers.com/thumbitem/Fraction-Activities-Fraction-Unit-Printable-Worksheets-Lessons-Assessments-1016354-1705332688/large-1016354-1.jpg</t>
  </si>
  <si>
    <t>Fraction Activities - Fractions Unit - Printable Worksheets - Lesson Assessments</t>
  </si>
  <si>
    <t>https://www.teacherspayteachers.com/Product/Alphabet-Worksheet-Bundle-Letter-Work-and-Beginning-Sounds-4088611?st=c79d99316587943081977051b10c3cb8</t>
  </si>
  <si>
    <t>https://ecdn.teacherspayteachers.com/thumbitem/Alphabet-Worksheet-Bundle-Letter-Work-and-Beginning-Sounds-4088611-1630271541/large-4088611-1.jpg</t>
  </si>
  <si>
    <t>Alphabet Worksheet Bundle - Letter Work and Beginning Sounds</t>
  </si>
  <si>
    <t>https://www.teacherspayteachers.com/Product/Area-and-Perimeter-Robot-Craft-628420?st=c79d99316587943081977051b10c3cb8</t>
  </si>
  <si>
    <t>https://ecdn.teacherspayteachers.com/thumbitem/Area-and-Perimeter-Robot-Craft-1673609915/large-628420-1.jpg</t>
  </si>
  <si>
    <t>Area and Perimeter Robot Craft</t>
  </si>
  <si>
    <t>https://www.teacherspayteachers.com/Product/Digraph-Worksheet-Packet-Ch-Sh-Th-Wh-Ph-4042663?st=c79d99316587943081977051b10c3cb8</t>
  </si>
  <si>
    <t>https://ecdn.teacherspayteachers.com/thumbitem/Digraph-Worksheet-Packet-Ch-Sh-Th-Wh-Ph-4042663-1657232028/large-4042663-1.jpg</t>
  </si>
  <si>
    <t>Digraph Worksheet Packet - Ch, Sh, Th, Wh, Ph</t>
  </si>
  <si>
    <t>https://www.teacherspayteachers.com/Product/Telling-Time-NO-PREP-Packet-Math-1397276?st=c79d99316587943081977051b10c3cb8</t>
  </si>
  <si>
    <t>https://ecdn.teacherspayteachers.com/thumbitem/Telling-Time-NO-PREP-Packet-1397276-1666352797/large-1397276-1.jpg</t>
  </si>
  <si>
    <t>Telling Time NO PREP Packet | Math</t>
  </si>
  <si>
    <t>https://www.teacherspayteachers.com/Product/End-of-the-Year-Awards-EDITABLE-Printable-Digital-1248295?st=e26bc01cf67804c38fd503255e7cb915</t>
  </si>
  <si>
    <t>https://ecdn.teacherspayteachers.com/thumbitem/End-of-the-Year-Awards-EDITABLE-Printable-Digital-1248295-1706813710/large-1248295-1.jpg</t>
  </si>
  <si>
    <t>End of the Year Awards - EDITABLE | Printable | Digital</t>
  </si>
  <si>
    <t>https://www.teacherspayteachers.com/Product/Happy-Mail-Classroom-Management-Parent-Communication-Positive-Notes-Home-7741727?st=e26bc01cf67804c38fd503255e7cb915</t>
  </si>
  <si>
    <t>https://ecdn.teacherspayteachers.com/thumbitem/Happy-Mail-Classroom-Management-Parent-Communication-Positive-Notes-Home-7741727-1705439623/large-7741727-1.jpg</t>
  </si>
  <si>
    <t>Happy Mail | Classroom Management | Parent Communication | Positive Notes Home</t>
  </si>
  <si>
    <t>https://www.teacherspayteachers.com/Product/Editable-Spelling-Activities-Practice-Sheets-Engaging-Word-Work-for-Any-List-5309158?st=e26bc01cf67804c38fd503255e7cb915</t>
  </si>
  <si>
    <t>https://ecdn.teacherspayteachers.com/thumbitem/Editable-Spelling-Activities-Practice-Sheets-Word-Work-for-Any-List-5309158-1706833111/large-5309158-1.jpg</t>
  </si>
  <si>
    <t>Editable Spelling Activities &amp; Practice Sheets - Engaging Word Work for Any List</t>
  </si>
  <si>
    <t>https://www.teacherspayteachers.com/Product/Money-Worksheets-Games-Activities-HUGE-Unit-Identifying-Counting-Coins-2373308?st=e26bc01cf67804c38fd503255e7cb915</t>
  </si>
  <si>
    <t>https://ecdn.teacherspayteachers.com/thumbitem/First-Grade-Math-Unit-19-MONEY-2373308-1672964562/large-2373308-1.jpg</t>
  </si>
  <si>
    <t>Money Worksheets Games &amp; Activities HUGE Unit (Identifying &amp; Counting Coins)</t>
  </si>
  <si>
    <t>https://www.teacherspayteachers.com/Product/Multiplication-Centers-Activities-and-Games-to-Practice-Math-Facts-1302461?st=e26bc01cf67804c38fd503255e7cb915</t>
  </si>
  <si>
    <t>https://ecdn.teacherspayteachers.com/thumbitem/Multiplication-Centers-Activities-and-Games-to-Practice-Math-Facts-1302461-1705359746/large-1302461-1.jpg</t>
  </si>
  <si>
    <t>Multiplication Centers - Activities and Games to Practice Math Facts</t>
  </si>
  <si>
    <t>https://www.teacherspayteachers.com/Product/Decodable-Passages-with-Comprehension-Questions-First-Grade-Phonics-Fluency-3507746?st=e26bc01cf67804c38fd503255e7cb915</t>
  </si>
  <si>
    <t>https://ecdn.teacherspayteachers.com/thumbitem/1st-Grade-Decodable-Phonics-Reading-Comprehension-Passages-Phonics-Mats-Bundle-3507746-1706460701/large-3507746-1.jpg</t>
  </si>
  <si>
    <t>Decodable Passages with Comprehension Questions - First Grade Phonics &amp; Fluency</t>
  </si>
  <si>
    <t>https://www.teacherspayteachers.com/Product/Editable-Classroom-Newsletter-Templates-Weekly-Monthly-Parent-Communication-2752710?st=e26bc01cf67804c38fd503255e7cb915</t>
  </si>
  <si>
    <t>https://ecdn.teacherspayteachers.com/thumbitem/Editable-Classroom-Newsletter-Templates-Weekly-Monthly-Parent-Communication-2752710-1688552060/large-2752710-1.jpg</t>
  </si>
  <si>
    <t>Editable Classroom Newsletter Templates Weekly Monthly Parent Communication</t>
  </si>
  <si>
    <t>https://www.teacherspayteachers.com/Product/Handwriting-Practice-Sheets-Jokes-Facts-Letter-Sentence-Writing-Morning-Work-7365614?st=e26bc01cf67804c38fd503255e7cb915</t>
  </si>
  <si>
    <t>https://ecdn.teacherspayteachers.com/thumbitem/Handwriting-Practice-Sheets-with-Jokes-and-Facts-Morning-Work-Manuscript-7365614-1707172199/large-7365614-1.jpg</t>
  </si>
  <si>
    <t>Handwriting Practice Sheets Jokes Facts Letter &amp; Sentence Writing - Morning Work</t>
  </si>
  <si>
    <t>https://www.teacherspayteachers.com/Product/Digital-Calendar-Morning-Meeting-Google-Slides-PowerPoint-5617892?st=e26bc01cf67804c38fd503255e7cb915</t>
  </si>
  <si>
    <t>https://ecdn.teacherspayteachers.com/thumbitem/Digital-Calendar-Morning-Meeting-Google-Slides-PowerPoint-5617892-1690857403/large-5617892-1.jpg</t>
  </si>
  <si>
    <t>Digital Calendar Morning Meeting | Google Slides | PowerPoint</t>
  </si>
  <si>
    <t>https://www.teacherspayteachers.com/Product/Monsters-Lines-of-Symmetry-Drawing-Activity-Math-Art-Center-or-Early-Finisher-1221960?st=e26bc01cf67804c38fd503255e7cb915</t>
  </si>
  <si>
    <t>https://ecdn.teacherspayteachers.com/thumbitem/Symmetry-Monsters-Math-Activity-1221960-1698866033/large-1221960-1.jpg</t>
  </si>
  <si>
    <t>Monsters Lines of Symmetry Drawing Activity - Math Art Center or Early Finisher</t>
  </si>
  <si>
    <t>https://www.teacherspayteachers.com/Product/Sentence-Writing-Complete-Sentences-Sentence-Structure-Sentence-Building-2401310?st=e26bc01cf67804c38fd503255e7cb915</t>
  </si>
  <si>
    <t>https://ecdn.teacherspayteachers.com/thumbitem/Sentence-Writing-Complete-Sentences-Sentence-Structure-Sentence-Building-2401310-1704797367/large-2401310-1.jpg</t>
  </si>
  <si>
    <t>Sentence Writing Complete Sentences | Sentence Structure | Sentence Building</t>
  </si>
  <si>
    <t>https://www.teacherspayteachers.com/Product/2nd-Grade-Math-Spiral-Review-Morning-Work-Math-Homework-or-Warm-Ups-BUNDLE-1261539?st=e26bc01cf67804c38fd503255e7cb915</t>
  </si>
  <si>
    <t>https://ecdn.teacherspayteachers.com/thumbitem/2nd-Grade-Math-Spiral-Review-Morning-Work-Math-Homework-Progress-Monitoring-1261539-1679159966/large-1261539-1.jpg</t>
  </si>
  <si>
    <t>2nd Grade Math Spiral Review - Morning Work, Math Homework, or Warm Ups BUNDLE</t>
  </si>
  <si>
    <t>https://www.teacherspayteachers.com/Product/Me-on-the-Map-Project-Activities-Flip-Book-Circle-Craft-Map-Skills-and-Globes-154228?st=e26bc01cf67804c38fd503255e7cb915</t>
  </si>
  <si>
    <t>https://ecdn.teacherspayteachers.com/thumbitem/Me-on-the-Map-A-Social-Studies-Language-Arts-Project-1696352273/large-154228-1.jpg</t>
  </si>
  <si>
    <t>Me on the Map Project Activities Flip Book Circle Craft Map Skills and Globes</t>
  </si>
  <si>
    <t>https://www.teacherspayteachers.com/Product/Calm-Down-Techniques-Calm-Down-Corner-Books-Posters-and-Supports-2734315?st=e26bc01cf67804c38fd503255e7cb915</t>
  </si>
  <si>
    <t>https://ecdn.teacherspayteachers.com/thumbitem/Calm-Down-Techniques-Calm-Down-Corner-Books-Posters-and-Supports-2734315-1658859127/large-2734315-1.jpg</t>
  </si>
  <si>
    <t>Calm Down Techniques - Calm Down Corner, Books, Posters, and Supports</t>
  </si>
  <si>
    <t>https://www.teacherspayteachers.com/Product/2nd-Grade-Morning-Work-Bell-Ringers-Language-Arts-Math-Daily-Review-BUNDLE-256434?st=e26bc01cf67804c38fd503255e7cb915</t>
  </si>
  <si>
    <t>https://ecdn.teacherspayteachers.com/thumbitem/2nd-Grade-Morning-Work-Back-to-School-Second-Spiral-Review-Google-Classroom-256434-1673629258/large-256434-1.jpg</t>
  </si>
  <si>
    <t>2nd Grade Morning Work &amp; Bell Ringers Language Arts &amp; Math Daily Review BUNDLE</t>
  </si>
  <si>
    <t>https://www.teacherspayteachers.com/Product/Book-Tasting-Introduce-Your-Students-to-New-Books-and-Genres-2741616?st=e26bc01cf67804c38fd503255e7cb915</t>
  </si>
  <si>
    <t>https://ecdn.teacherspayteachers.com/thumbitem/Book-Tasting-Introduce-Your-Students-to-New-Books-and-Genres-2741616-1678927971/large-2741616-1.jpg</t>
  </si>
  <si>
    <t>Book Tasting: Introduce Your Students to New Books and Genres</t>
  </si>
  <si>
    <t>https://www.teacherspayteachers.com/Product/Summer-Packet-NO-PREP-Review-2nd-Grade-1859445?st=e26bc01cf67804c38fd503255e7cb915</t>
  </si>
  <si>
    <t>https://ecdn.teacherspayteachers.com/thumbitem/Summer-Packet-NO-PREP-Review-2nd-Grade--1859445-1668243868/large-1859445-1.jpg</t>
  </si>
  <si>
    <t>Summer Packet NO PREP Review (2nd Grade)</t>
  </si>
  <si>
    <t>https://exe.io/st?api=a480072bd98881bdfc23c75aa2f815ea2428344e&amp;url=https://www.teacherspayteachers.com/Product/Science-of-Reading-Guided-Phonics-Beyond-Curriculum-SOR-DECODABLES-SOUND-WALL-6967851?st=0c6e7fc6bcd88cde45b4c311578a996a</t>
  </si>
  <si>
    <t>https://exe.io/st?api=a480072bd98881bdfc23c75aa2f815ea2428344e&amp;url=https://www.teacherspayteachers.com/Product/One-Stop-Teacher-Planner-2023-2024-EDITABLE-Digital-Printable-Lesson-Binder-1083937?st=0c6e7fc6bcd88cde45b4c311578a996a</t>
  </si>
  <si>
    <t>https://exe.io/st?api=a480072bd98881bdfc23c75aa2f815ea2428344e&amp;url=https://www.teacherspayteachers.com/Product/Sight-Word-Practice-Activities-Sentences-Games-Books-Science-of-Reading-3150071?st=0c6e7fc6bcd88cde45b4c311578a996a</t>
  </si>
  <si>
    <t>https://exe.io/st?api=a480072bd98881bdfc23c75aa2f815ea2428344e&amp;url=https://www.teacherspayteachers.com/Product/Decodable-Readers-Passages-Science-of-Reading-Comprehension-Reading-Fluency-ELA-8054553?st=0c6e7fc6bcd88cde45b4c311578a996a</t>
  </si>
  <si>
    <t>https://exe.io/st?api=a480072bd98881bdfc23c75aa2f815ea2428344e&amp;url=https://www.teacherspayteachers.com/Product/Modern-Calm-Colors-Classroom-Decor-Bundle-Editable-Pastel-6558647?st=0c6e7fc6bcd88cde45b4c311578a996a</t>
  </si>
  <si>
    <t>https://exe.io/st?api=a480072bd98881bdfc23c75aa2f815ea2428344e&amp;url=https://www.teacherspayteachers.com/Product/STEM-Bins-STEAM-Bins-Elementary-STEM-Activities-Morning-WorkFast-Finishers-2719619?st=0c6e7fc6bcd88cde45b4c311578a996a</t>
  </si>
  <si>
    <t>https://exe.io/st?api=a480072bd98881bdfc23c75aa2f815ea2428344e&amp;url=https://www.teacherspayteachers.com/Product/Morning-Adapted-Work-Binder-for-Special-Needs-Adapted-Morning-Work-2068837?st=0c6e7fc6bcd88cde45b4c311578a996a</t>
  </si>
  <si>
    <t>https://exe.io/st?api=a480072bd98881bdfc23c75aa2f815ea2428344e&amp;url=https://www.teacherspayteachers.com/Product/First-Grade-Phonics-Reading-Fluency-Comprehension-Passages-Questions-Worksheets-1723565?st=0c6e7fc6bcd88cde45b4c311578a996a</t>
  </si>
  <si>
    <t>https://exe.io/st?api=a480072bd98881bdfc23c75aa2f815ea2428344e&amp;url=https://www.teacherspayteachers.com/Product/Paragraph-of-the-Week-Writing-Prompts-for-Paragraph-Writing-Editing-Practice-953007?st=0c6e7fc6bcd88cde45b4c311578a996a</t>
  </si>
  <si>
    <t>https://exe.io/st?api=a480072bd98881bdfc23c75aa2f815ea2428344e&amp;url=https://www.teacherspayteachers.com/Product/End-of-the-Year-Memory-Book-Print-and-Digital-End-of-the-Year-Activities-1856804?st=0c6e7fc6bcd88cde45b4c311578a996a</t>
  </si>
  <si>
    <t>https://exe.io/st?api=a480072bd98881bdfc23c75aa2f815ea2428344e&amp;url=https://www.teacherspayteachers.com/Product/Mothers-Day-Craft-Flower-Bouquet-Card-Writing-Activity-3137522?st=0c6e7fc6bcd88cde45b4c311578a996a</t>
  </si>
  <si>
    <t>https://exe.io/st?api=a480072bd98881bdfc23c75aa2f815ea2428344e&amp;url=https://www.teacherspayteachers.com/Product/Addition-Subtraction-Coloring-Pages-Winter-St-Patricks-Day-Math-Activity-450593?st=0c6e7fc6bcd88cde45b4c311578a996a</t>
  </si>
  <si>
    <t>https://exe.io/st?api=a480072bd98881bdfc23c75aa2f815ea2428344e&amp;url=https://www.teacherspayteachers.com/Product/Figurative-Language-Worksheets-and-Google-Slides-Idiom-Simile-Hyperbole-etc-171493?st=0c6e7fc6bcd88cde45b4c311578a996a</t>
  </si>
  <si>
    <t>https://exe.io/st?api=a480072bd98881bdfc23c75aa2f815ea2428344e&amp;url=https://www.teacherspayteachers.com/Product/Grammar-Worksheet-Bundle-Nouns-Adjectives-Verbs-Punctuation-and-more-4326988?st=0c6e7fc6bcd88cde45b4c311578a996a</t>
  </si>
  <si>
    <t>https://exe.io/st?api=a480072bd98881bdfc23c75aa2f815ea2428344e&amp;url=https://www.teacherspayteachers.com/Product/Writing-Prompt-Units-Bundle-Narrative-Opinion-St-Patricks-Day-Spring-Activities-7404247?st=0c6e7fc6bcd88cde45b4c311578a996a</t>
  </si>
  <si>
    <t>https://exe.io/st?api=a480072bd98881bdfc23c75aa2f815ea2428344e&amp;url=https://www.teacherspayteachers.com/Product/1st-Grade-Morning-Work-1st-Grade-Writing-Prompts-For-the-Year-Writing-Center-2671276?st=0c6e7fc6bcd88cde45b4c311578a996a</t>
  </si>
  <si>
    <t>https://exe.io/st?api=a480072bd98881bdfc23c75aa2f815ea2428344e&amp;url=https://www.teacherspayteachers.com/Product/Behavior-Management-Green-and-Red-Choices-Preschool-Pre-K-and-Kindergarten-1931820?st=0c6e7fc6bcd88cde45b4c311578a996a</t>
  </si>
  <si>
    <t>https://exe.io/st?api=a480072bd98881bdfc23c75aa2f815ea2428344e&amp;url=https://www.teacherspayteachers.com/Product/Decodable-Passages-with-Comprehension-Questions-2nd-Grade-Phonics-Fluency-3432044?st=0c6e7fc6bcd88cde45b4c311578a996a</t>
  </si>
  <si>
    <t>https://exe.io/st?api=a480072bd98881bdfc23c75aa2f815ea2428344e&amp;url=https://www.teacherspayteachers.com/Product/How-to-Catch-a-Leprechaun-craft-St-Patricks-Day-activities-writing-prompt-paper-105282?st=0c6e7fc6bcd88cde45b4c311578a996a</t>
  </si>
  <si>
    <t>https://exe.io/st?api=a480072bd98881bdfc23c75aa2f815ea2428344e&amp;url=https://www.teacherspayteachers.com/Product/Summer-Packet-NO-PREP-Review-Kindergarten-699193?st=0c6e7fc6bcd88cde45b4c311578a996a</t>
  </si>
  <si>
    <t>https://exe.io/st?api=a480072bd98881bdfc23c75aa2f815ea2428344e&amp;url=https://www.teacherspayteachers.com/Product/Main-Idea-Reading-Comprehension-w-Spring-St-Patricks-Day-Easter-Activities--2122542?st=0c6e7fc6bcd88cde45b4c311578a996a</t>
  </si>
  <si>
    <t>https://exe.io/st?api=a480072bd98881bdfc23c75aa2f815ea2428344e&amp;url=https://www.teacherspayteachers.com/Product/Phonics-Reading-Intervention-Decodable-Passage-Readers-Science-of-Reading-Center-8550259?st=0c6e7fc6bcd88cde45b4c311578a996a</t>
  </si>
  <si>
    <t>https://exe.io/st?api=a480072bd98881bdfc23c75aa2f815ea2428344e&amp;url=https://www.teacherspayteachers.com/Product/Science-of-Reading-Comprehension-Phonics-Decodable-Passages-Worksheets-Readers-1639608?st=0c6e7fc6bcd88cde45b4c311578a996a</t>
  </si>
  <si>
    <t>https://exe.io/st?api=a480072bd98881bdfc23c75aa2f815ea2428344e&amp;url=https://www.teacherspayteachers.com/Product/35-NO-PREP-Multiplication-Math-Games-for-Multiplication-Practice-Fact-Fluency-1197085?st=0c6e7fc6bcd88cde45b4c311578a996a</t>
  </si>
  <si>
    <t>https://exe.io/st?api=a480072bd98881bdfc23c75aa2f815ea2428344e&amp;url=https://www.teacherspayteachers.com/Product/Fine-Motor-Journals-for-Preschool-Pre-K-and-Kindergarten-5187612?st=e325fc680052302fbbafa7ed1bc2175b</t>
  </si>
  <si>
    <t>https://exe.io/st?api=a480072bd98881bdfc23c75aa2f815ea2428344e&amp;url=https://www.teacherspayteachers.com/Product/Editable-Teacher-Planner-Teacher-Binder-2023-2024-Back-to-School-2493038?st=e325fc680052302fbbafa7ed1bc2175b</t>
  </si>
  <si>
    <t>https://exe.io/st?api=a480072bd98881bdfc23c75aa2f815ea2428344e&amp;url=https://www.teacherspayteachers.com/Product/Classroom-Labels-Real-Photos-for-Preschool-Pre-K-Kinder-1st-Grade-3945694?st=e325fc680052302fbbafa7ed1bc2175b</t>
  </si>
  <si>
    <t>https://exe.io/st?api=a480072bd98881bdfc23c75aa2f815ea2428344e&amp;url=https://www.teacherspayteachers.com/Product/Paragraph-Writing-How-to-Write-a-Complete-Paragraph-Graphic-Organizer-Posters-862543?st=e325fc680052302fbbafa7ed1bc2175b</t>
  </si>
  <si>
    <t>https://exe.io/st?api=a480072bd98881bdfc23c75aa2f815ea2428344e&amp;url=https://www.teacherspayteachers.com/Product/Kindergarten-Illustration-Unit-I-Can-Draw-With-Shapes-Draw-and-Color-7158722?st=e325fc680052302fbbafa7ed1bc2175b</t>
  </si>
  <si>
    <t>https://exe.io/st?api=a480072bd98881bdfc23c75aa2f815ea2428344e&amp;url=https://www.teacherspayteachers.com/Product/Back-to-School-Activities-First-Week-of-School-Beginning-of-the-Year-BUNDLE-1282776?st=e325fc680052302fbbafa7ed1bc2175b</t>
  </si>
  <si>
    <t>https://exe.io/st?api=a480072bd98881bdfc23c75aa2f815ea2428344e&amp;url=https://www.teacherspayteachers.com/Product/Life-Cycle-of-Plants-Unit-Investigations-Plant-Life-Cycle-PowerPoint-NGSS-224144?st=e325fc680052302fbbafa7ed1bc2175b</t>
  </si>
  <si>
    <t>https://exe.io/st?api=a480072bd98881bdfc23c75aa2f815ea2428344e&amp;url=https://www.teacherspayteachers.com/Product/Sight-Word-Practice-Mystery-Coloring-Pages-Spring-St-Patricks-Day-Activity-592311?st=e325fc680052302fbbafa7ed1bc2175b</t>
  </si>
  <si>
    <t>https://exe.io/st?api=a480072bd98881bdfc23c75aa2f815ea2428344e&amp;url=https://www.teacherspayteachers.com/Product/Sound-Wall-4192803?st=e325fc680052302fbbafa7ed1bc2175b</t>
  </si>
  <si>
    <t>https://exe.io/st?api=a480072bd98881bdfc23c75aa2f815ea2428344e&amp;url=https://www.teacherspayteachers.com/Product/3rd-Grade-Math-Spiral-Review-Morning-Work-Math-Homework-or-Warm-Ups-BUNDLE-1048011?st=e325fc680052302fbbafa7ed1bc2175b</t>
  </si>
  <si>
    <t>https://exe.io/st?api=a480072bd98881bdfc23c75aa2f815ea2428344e&amp;url=https://www.teacherspayteachers.com/Product/St-Patricks-Day-Craft-Leprechaun-March-Writing-Prompts-Paper-Spring-Craftivity-158880?st=e325fc680052302fbbafa7ed1bc2175b</t>
  </si>
  <si>
    <t>https://exe.io/st?api=a480072bd98881bdfc23c75aa2f815ea2428344e&amp;url=https://www.teacherspayteachers.com/Product/Nonfiction-Text-Structures-Unit-Passages-Worksheets-Anchor-Chart-Task-Cards-528637?st=e325fc680052302fbbafa7ed1bc2175b</t>
  </si>
  <si>
    <t>https://exe.io/st?api=a480072bd98881bdfc23c75aa2f815ea2428344e&amp;url=https://www.teacherspayteachers.com/Product/Science-of-Reading-Guided-Curriculum-Phonics-Decodables-Readers-SOUND-WALL-6896126?st=e325fc680052302fbbafa7ed1bc2175b</t>
  </si>
  <si>
    <t>https://exe.io/st?api=a480072bd98881bdfc23c75aa2f815ea2428344e&amp;url=https://www.teacherspayteachers.com/Product/Kindergarten-High-Frequency-Sight-Word-Practice-Sentences-Guided-Reading-Game-1048713?st=e325fc680052302fbbafa7ed1bc2175b</t>
  </si>
  <si>
    <t>https://exe.io/st?api=a480072bd98881bdfc23c75aa2f815ea2428344e&amp;url=https://www.teacherspayteachers.com/Product/Summer-Packet-NO-PREP-Review-1st-Grade-702342?st=e325fc680052302fbbafa7ed1bc2175b</t>
  </si>
  <si>
    <t>https://exe.io/st?api=a480072bd98881bdfc23c75aa2f815ea2428344e&amp;url=https://www.teacherspayteachers.com/Product/First-Then-Board-Visual-Schedule-Flipbooks-EDITABLE-for-Special-Education-3253360?st=e325fc680052302fbbafa7ed1bc2175b</t>
  </si>
  <si>
    <t>https://exe.io/st?api=a480072bd98881bdfc23c75aa2f815ea2428344e&amp;url=https://www.teacherspayteachers.com/Product/1st-2nd-Grade-Math-Centers-and-Review-Games-Toothy-Task-Cards-3037141?st=e325fc680052302fbbafa7ed1bc2175b</t>
  </si>
  <si>
    <t>https://exe.io/st?api=a480072bd98881bdfc23c75aa2f815ea2428344e&amp;url=https://www.teacherspayteachers.com/Product/Making-Inferences-Task-Cards-Digital-and-Print-Passages-Inferencing-Activities-192996?st=e325fc680052302fbbafa7ed1bc2175b</t>
  </si>
  <si>
    <t>https://exe.io/st?api=a480072bd98881bdfc23c75aa2f815ea2428344e&amp;url=https://www.teacherspayteachers.com/Product/Paragraph-Writing-How-to-Write-a-Paragraph-of-the-Week-Writing-Prompts-Narrative-2827947?st=e325fc680052302fbbafa7ed1bc2175b</t>
  </si>
  <si>
    <t>https://exe.io/st?api=a480072bd98881bdfc23c75aa2f815ea2428344e&amp;url=https://www.teacherspayteachers.com/Product/First-Grade-Math-Worksheet-Bundle-Addition-Shapes-Place-Value-More-4410468?st=e325fc680052302fbbafa7ed1bc2175b</t>
  </si>
  <si>
    <t>https://exe.io/st?api=a480072bd98881bdfc23c75aa2f815ea2428344e&amp;url=https://www.teacherspayteachers.com/Product/End-of-the-Year-Awards-249960?st=e325fc680052302fbbafa7ed1bc2175b</t>
  </si>
  <si>
    <t>https://exe.io/st?api=a480072bd98881bdfc23c75aa2f815ea2428344e&amp;url=https://www.teacherspayteachers.com/Product/Editable-Sight-Word-High-Frequency-Words-Worksheets-Any-List-Kinder-First-Grade-3230314?st=e325fc680052302fbbafa7ed1bc2175b</t>
  </si>
  <si>
    <t>https://exe.io/st?api=a480072bd98881bdfc23c75aa2f815ea2428344e&amp;url=https://www.teacherspayteachers.com/Product/Reading-Intervention-Binder-for-Beginning-Readers-No-Prep-ELA-SOR-Aligned-1457657?st=e325fc680052302fbbafa7ed1bc2175b</t>
  </si>
  <si>
    <t>https://exe.io/st?api=a480072bd98881bdfc23c75aa2f815ea2428344e&amp;url=https://www.teacherspayteachers.com/Product/Close-Reading-Comprehension-Passages-and-Questions-Reading-Strategies-Audio-1987225?st=e325fc680052302fbbafa7ed1bc2175b</t>
  </si>
  <si>
    <t>https://exe.io/st?api=a480072bd98881bdfc23c75aa2f815ea2428344e&amp;url=https://www.teacherspayteachers.com/Product/4th-Grade-Math-Spiral-Review-Morning-Work-Math-Homework-or-Warm-Ups-BUNDLE-1056966?st=c79d99316587943081977051b10c3cb8</t>
  </si>
  <si>
    <t>https://exe.io/st?api=a480072bd98881bdfc23c75aa2f815ea2428344e&amp;url=https://www.teacherspayteachers.com/Product/Theme-Task-Cards-with-Print-Digital-Versions-Activity-Reading-Differentiation-375245?st=c79d99316587943081977051b10c3cb8</t>
  </si>
  <si>
    <t>https://exe.io/st?api=a480072bd98881bdfc23c75aa2f815ea2428344e&amp;url=https://www.teacherspayteachers.com/Product/ORIGINAL-Peanut-Butter-and-Jelly-Partner-Pairing-Cards-Classroom-Management-7258796?st=c79d99316587943081977051b10c3cb8</t>
  </si>
  <si>
    <t>https://exe.io/st?api=a480072bd98881bdfc23c75aa2f815ea2428344e&amp;url=https://www.teacherspayteachers.com/Product/Amy-Groesbeck-Fonts-Vol-4-3160533?st=c79d99316587943081977051b10c3cb8</t>
  </si>
  <si>
    <t>https://exe.io/st?api=a480072bd98881bdfc23c75aa2f815ea2428344e&amp;url=https://www.teacherspayteachers.com/Product/Decodable-Readers-Passages-Books-Word-Work-Science-of-Reading-Decodables-7616801?st=c79d99316587943081977051b10c3cb8</t>
  </si>
  <si>
    <t>https://exe.io/st?api=a480072bd98881bdfc23c75aa2f815ea2428344e&amp;url=https://www.teacherspayteachers.com/Product/A-T-Shirt-All-About-Me-Back-to-School-Art-Goal-Setting-and-Writing-Activities-3769152?st=c79d99316587943081977051b10c3cb8</t>
  </si>
  <si>
    <t>https://exe.io/st?api=a480072bd98881bdfc23c75aa2f815ea2428344e&amp;url=https://www.teacherspayteachers.com/Product/2nd-Grade-Leveled-Reading-Comprehension-Passages-Questions-for-Reading-Fluency-294350?st=c79d99316587943081977051b10c3cb8</t>
  </si>
  <si>
    <t>https://exe.io/st?api=a480072bd98881bdfc23c75aa2f815ea2428344e&amp;url=https://www.teacherspayteachers.com/Product/Simple-Fractions-NO-PREP-Packet-Math-1309186?st=c79d99316587943081977051b10c3cb8</t>
  </si>
  <si>
    <t>https://exe.io/st?api=a480072bd98881bdfc23c75aa2f815ea2428344e&amp;url=https://www.teacherspayteachers.com/Product/Kindergarten-Math-Worksheet-Bundle-Addition-Subtraction-Place-Value-Shapes-3715906?st=c79d99316587943081977051b10c3cb8</t>
  </si>
  <si>
    <t>https://exe.io/st?api=a480072bd98881bdfc23c75aa2f815ea2428344e&amp;url=https://www.teacherspayteachers.com/Product/Arrays-Arrays-Arrays-Including-Multiplication-as-Repeated-Addition-Worksheets-1030359?st=c79d99316587943081977051b10c3cb8</t>
  </si>
  <si>
    <t>https://exe.io/st?api=a480072bd98881bdfc23c75aa2f815ea2428344e&amp;url=https://www.teacherspayteachers.com/Product/Spring-Math-and-Literacy-Packet-NO-PREP-Kindergarten-1128712?st=c79d99316587943081977051b10c3cb8</t>
  </si>
  <si>
    <t>https://exe.io/st?api=a480072bd98881bdfc23c75aa2f815ea2428344e&amp;url=https://www.teacherspayteachers.com/Product/Phonics-Reading-Comprehension-Passages-Phonics-Worksheets-With-Digital-Resources-1778030?st=c79d99316587943081977051b10c3cb8</t>
  </si>
  <si>
    <t>https://exe.io/st?api=a480072bd98881bdfc23c75aa2f815ea2428344e&amp;url=https://www.teacherspayteachers.com/Product/100th-Day-of-School-22-No-Prep-100th-Day-Activities-Crafts-2347126?st=c79d99316587943081977051b10c3cb8</t>
  </si>
  <si>
    <t>https://exe.io/st?api=a480072bd98881bdfc23c75aa2f815ea2428344e&amp;url=https://www.teacherspayteachers.com/Product/Decodable-Readers-Phonics-Books-HUGE-BUNDLE-Science-of-Reading-7129591?st=c79d99316587943081977051b10c3cb8</t>
  </si>
  <si>
    <t>https://exe.io/st?api=a480072bd98881bdfc23c75aa2f815ea2428344e&amp;url=https://www.teacherspayteachers.com/Product/Figurative-Language-Stories-Close-Reading-for-Common-Core-Grades-4-8-749661?st=c79d99316587943081977051b10c3cb8</t>
  </si>
  <si>
    <t>https://exe.io/st?api=a480072bd98881bdfc23c75aa2f815ea2428344e&amp;url=https://www.teacherspayteachers.com/Product/Greek-and-Latin-Root-Words-Prefixes-Suffixes-Interactive-Notebook-Vocabulary-2076811?st=c79d99316587943081977051b10c3cb8</t>
  </si>
  <si>
    <t>https://exe.io/st?api=a480072bd98881bdfc23c75aa2f815ea2428344e&amp;url=https://www.teacherspayteachers.com/Product/Phonics-Worksheet-Bundle-CVC-Long-Vowels-Digraphs-Blends-and-More-7034433?st=c79d99316587943081977051b10c3cb8</t>
  </si>
  <si>
    <t>https://exe.io/st?api=a480072bd98881bdfc23c75aa2f815ea2428344e&amp;url=https://www.teacherspayteachers.com/Product/Spelling-Activities-and-Practice-Worksheets-Any-List-Spelling-Word-Practice-998948?st=c79d99316587943081977051b10c3cb8</t>
  </si>
  <si>
    <t>https://exe.io/st?api=a480072bd98881bdfc23c75aa2f815ea2428344e&amp;url=https://www.teacherspayteachers.com/Product/All-About-Me-Selfie-Includes-End-of-School-Reflection-Activity-1390047?st=c79d99316587943081977051b10c3cb8</t>
  </si>
  <si>
    <t>https://exe.io/st?api=a480072bd98881bdfc23c75aa2f815ea2428344e&amp;url=https://www.teacherspayteachers.com/Product/Fraction-Activities-Fractions-Unit-Printable-Worksheets-Lesson-Assessments-1016354?st=c79d99316587943081977051b10c3cb8</t>
  </si>
  <si>
    <t>https://exe.io/st?api=a480072bd98881bdfc23c75aa2f815ea2428344e&amp;url=https://www.teacherspayteachers.com/Product/Alphabet-Worksheet-Bundle-Letter-Work-and-Beginning-Sounds-4088611?st=c79d99316587943081977051b10c3cb8</t>
  </si>
  <si>
    <t>https://exe.io/st?api=a480072bd98881bdfc23c75aa2f815ea2428344e&amp;url=https://www.teacherspayteachers.com/Product/Area-and-Perimeter-Robot-Craft-628420?st=c79d99316587943081977051b10c3cb8</t>
  </si>
  <si>
    <t>https://exe.io/st?api=a480072bd98881bdfc23c75aa2f815ea2428344e&amp;url=https://www.teacherspayteachers.com/Product/Digraph-Worksheet-Packet-Ch-Sh-Th-Wh-Ph-4042663?st=c79d99316587943081977051b10c3cb8</t>
  </si>
  <si>
    <t>https://exe.io/st?api=a480072bd98881bdfc23c75aa2f815ea2428344e&amp;url=https://www.teacherspayteachers.com/Product/Telling-Time-NO-PREP-Packet-Math-1397276?st=c79d99316587943081977051b10c3cb8</t>
  </si>
  <si>
    <t>https://exe.io/st?api=a480072bd98881bdfc23c75aa2f815ea2428344e&amp;url=https://www.teacherspayteachers.com/Product/End-of-the-Year-Awards-EDITABLE-Printable-Digital-1248295?st=e26bc01cf67804c38fd503255e7cb915</t>
  </si>
  <si>
    <t>https://exe.io/st?api=a480072bd98881bdfc23c75aa2f815ea2428344e&amp;url=https://www.teacherspayteachers.com/Product/Happy-Mail-Classroom-Management-Parent-Communication-Positive-Notes-Home-7741727?st=e26bc01cf67804c38fd503255e7cb915</t>
  </si>
  <si>
    <t>https://exe.io/st?api=a480072bd98881bdfc23c75aa2f815ea2428344e&amp;url=https://www.teacherspayteachers.com/Product/Editable-Spelling-Activities-Practice-Sheets-Engaging-Word-Work-for-Any-List-5309158?st=e26bc01cf67804c38fd503255e7cb915</t>
  </si>
  <si>
    <t>https://exe.io/st?api=a480072bd98881bdfc23c75aa2f815ea2428344e&amp;url=https://www.teacherspayteachers.com/Product/Money-Worksheets-Games-Activities-HUGE-Unit-Identifying-Counting-Coins-2373308?st=e26bc01cf67804c38fd503255e7cb915</t>
  </si>
  <si>
    <t>https://exe.io/st?api=a480072bd98881bdfc23c75aa2f815ea2428344e&amp;url=https://www.teacherspayteachers.com/Product/Multiplication-Centers-Activities-and-Games-to-Practice-Math-Facts-1302461?st=e26bc01cf67804c38fd503255e7cb915</t>
  </si>
  <si>
    <t>https://exe.io/st?api=a480072bd98881bdfc23c75aa2f815ea2428344e&amp;url=https://www.teacherspayteachers.com/Product/Decodable-Passages-with-Comprehension-Questions-First-Grade-Phonics-Fluency-3507746?st=e26bc01cf67804c38fd503255e7cb915</t>
  </si>
  <si>
    <t>https://exe.io/st?api=a480072bd98881bdfc23c75aa2f815ea2428344e&amp;url=https://www.teacherspayteachers.com/Product/Editable-Classroom-Newsletter-Templates-Weekly-Monthly-Parent-Communication-2752710?st=e26bc01cf67804c38fd503255e7cb915</t>
  </si>
  <si>
    <t>https://exe.io/st?api=a480072bd98881bdfc23c75aa2f815ea2428344e&amp;url=https://www.teacherspayteachers.com/Product/Handwriting-Practice-Sheets-Jokes-Facts-Letter-Sentence-Writing-Morning-Work-7365614?st=e26bc01cf67804c38fd503255e7cb915</t>
  </si>
  <si>
    <t>https://exe.io/st?api=a480072bd98881bdfc23c75aa2f815ea2428344e&amp;url=https://www.teacherspayteachers.com/Product/Digital-Calendar-Morning-Meeting-Google-Slides-PowerPoint-5617892?st=e26bc01cf67804c38fd503255e7cb915</t>
  </si>
  <si>
    <t>https://exe.io/st?api=a480072bd98881bdfc23c75aa2f815ea2428344e&amp;url=https://www.teacherspayteachers.com/Product/Monsters-Lines-of-Symmetry-Drawing-Activity-Math-Art-Center-or-Early-Finisher-1221960?st=e26bc01cf67804c38fd503255e7cb915</t>
  </si>
  <si>
    <t>https://exe.io/st?api=a480072bd98881bdfc23c75aa2f815ea2428344e&amp;url=https://www.teacherspayteachers.com/Product/Sentence-Writing-Complete-Sentences-Sentence-Structure-Sentence-Building-2401310?st=e26bc01cf67804c38fd503255e7cb915</t>
  </si>
  <si>
    <t>https://exe.io/st?api=a480072bd98881bdfc23c75aa2f815ea2428344e&amp;url=https://www.teacherspayteachers.com/Product/2nd-Grade-Math-Spiral-Review-Morning-Work-Math-Homework-or-Warm-Ups-BUNDLE-1261539?st=e26bc01cf67804c38fd503255e7cb915</t>
  </si>
  <si>
    <t>https://exe.io/st?api=a480072bd98881bdfc23c75aa2f815ea2428344e&amp;url=https://www.teacherspayteachers.com/Product/Me-on-the-Map-Project-Activities-Flip-Book-Circle-Craft-Map-Skills-and-Globes-154228?st=e26bc01cf67804c38fd503255e7cb915</t>
  </si>
  <si>
    <t>https://exe.io/st?api=a480072bd98881bdfc23c75aa2f815ea2428344e&amp;url=https://www.teacherspayteachers.com/Product/Calm-Down-Techniques-Calm-Down-Corner-Books-Posters-and-Supports-2734315?st=e26bc01cf67804c38fd503255e7cb915</t>
  </si>
  <si>
    <t>https://exe.io/st?api=a480072bd98881bdfc23c75aa2f815ea2428344e&amp;url=https://www.teacherspayteachers.com/Product/2nd-Grade-Morning-Work-Bell-Ringers-Language-Arts-Math-Daily-Review-BUNDLE-256434?st=e26bc01cf67804c38fd503255e7cb915</t>
  </si>
  <si>
    <t>https://exe.io/st?api=a480072bd98881bdfc23c75aa2f815ea2428344e&amp;url=https://www.teacherspayteachers.com/Product/Book-Tasting-Introduce-Your-Students-to-New-Books-and-Genres-2741616?st=e26bc01cf67804c38fd503255e7cb915</t>
  </si>
  <si>
    <t>https://exe.io/st?api=a480072bd98881bdfc23c75aa2f815ea2428344e&amp;url=https://www.teacherspayteachers.com/Product/Summer-Packet-NO-PREP-Review-2nd-Grade-1859445?st=e26bc01cf67804c38fd503255e7cb915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</si>
</sst>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B1dd/mmm/yy"/>
  </numFmts>
  <fonts count="4" x14ac:knownFonts="1">
    <font>
      <sz val="11"/>
      <color theme="1"/>
      <name val="Calibri"/>
      <family val="2"/>
      <scheme val="minor"/>
    </font>
    <font>
      <u/>
      <sz val="11"/>
      <color theme="10"/>
      <name val="Calibri"/>
      <family val="2"/>
    </font>
    <font>
      <sz val="11"/>
      <color rgb="FFFF0000"/>
      <name val="Calibri"/>
      <family val="2"/>
      <scheme val="minor"/>
    </font>
    <font>
      <b/>
      <sz val="11"/>
      <color rgb="FF3C763D"/>
      <name val="Arial"/>
      <family val="2"/>
    </font>
  </fonts>
  <fills count="4">
    <fill>
      <patternFill patternType="none"/>
    </fill>
    <fill>
      <patternFill patternType="gray125"/>
    </fill>
    <fill>
      <patternFill patternType="solid">
        <fgColor rgb="FFFFFF00"/>
        <bgColor indexed="64"/>
      </patternFill>
    </fill>
    <fill>
      <patternFill patternType="solid">
        <fgColor rgb="FFFF00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alignment vertical="top"/>
      <protection locked="0"/>
    </xf>
  </cellStyleXfs>
  <cellXfs count="19">
    <xf numFmtId="0" fontId="0" fillId="0" borderId="0" xfId="0"/>
    <xf numFmtId="0" fontId="0" fillId="0" borderId="0" xfId="0"/>
    <xf numFmtId="0" fontId="1" fillId="0" borderId="0" xfId="1" applyAlignment="1" applyProtection="1"/>
    <xf numFmtId="14" fontId="0" fillId="0" borderId="0" xfId="0" applyNumberFormat="1"/>
    <xf numFmtId="0" fontId="0" fillId="2" borderId="0" xfId="0" applyFill="1"/>
    <xf numFmtId="0" fontId="0" fillId="2" borderId="0" xfId="0" applyFill="1" applyAlignment="1">
      <alignment horizontal="left"/>
    </xf>
    <xf numFmtId="0" fontId="0" fillId="3" borderId="0" xfId="0" applyFill="1"/>
    <xf numFmtId="0" fontId="2" fillId="0" borderId="0" xfId="0" applyFont="1"/>
    <xf numFmtId="0" fontId="1" fillId="2" borderId="0" xfId="1" applyFill="1" applyAlignment="1" applyProtection="1"/>
    <xf numFmtId="0" fontId="0" fillId="0" borderId="0" xfId="0" applyAlignment="1">
      <alignment horizontal="center"/>
    </xf>
    <xf numFmtId="0" fontId="0" fillId="0" borderId="1" xfId="0" applyBorder="1"/>
    <xf numFmtId="0" fontId="0" fillId="0" borderId="1" xfId="0" applyBorder="1" applyAlignment="1">
      <alignment horizontal="center"/>
    </xf>
    <xf numFmtId="0" fontId="0" fillId="2" borderId="0" xfId="0" applyFill="1" applyAlignment="1">
      <alignment horizontal="center"/>
    </xf>
    <xf numFmtId="0" fontId="0" fillId="0" borderId="0" xfId="0" applyFill="1"/>
    <xf numFmtId="0" fontId="0" fillId="0" borderId="0" xfId="0" applyFill="1" applyAlignment="1">
      <alignment wrapText="1"/>
    </xf>
    <xf numFmtId="164" fontId="0" fillId="0" borderId="0" xfId="0" applyNumberFormat="1" applyFill="1"/>
    <xf numFmtId="0" fontId="1" fillId="0" borderId="0" xfId="1" applyFill="1" applyAlignment="1" applyProtection="1"/>
    <xf numFmtId="0" fontId="1" fillId="0" borderId="1" xfId="1" applyBorder="1" applyAlignment="1" applyProtection="1"/>
    <xf numFmtId="0" fontId="3"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نسق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hyperlink" Target="https://www.thorntons.co.uk/" TargetMode="External"/><Relationship Id="rId3182" Type="http://schemas.openxmlformats.org/officeDocument/2006/relationships/hyperlink" Target="https://store.admitad.com/webmaster/websites/2166760/offers/26323-christ-de/" TargetMode="External"/><Relationship Id="rId4026" Type="http://schemas.openxmlformats.org/officeDocument/2006/relationships/hyperlink" Target="https://store.admitad.com/webmaster/websites/2166760/offers/19992-patpat-ww/" TargetMode="External"/><Relationship Id="rId4233" Type="http://schemas.openxmlformats.org/officeDocument/2006/relationships/hyperlink" Target="https://www.cotosen.com/" TargetMode="External"/><Relationship Id="rId3042" Type="http://schemas.openxmlformats.org/officeDocument/2006/relationships/hyperlink" Target="https://store.admitad.com/webmaster/websites/2166760/offers/22814-icici-prudential-life-insurance-cpl-in/" TargetMode="External"/><Relationship Id="rId3999" Type="http://schemas.openxmlformats.org/officeDocument/2006/relationships/hyperlink" Target="https://profi.ru/" TargetMode="External"/><Relationship Id="rId170" Type="http://schemas.openxmlformats.org/officeDocument/2006/relationships/hyperlink" Target="https://store.admitad.com/webmaster/websites/2166760/offers/22759-lastminute-it/" TargetMode="External"/><Relationship Id="rId3859" Type="http://schemas.openxmlformats.org/officeDocument/2006/relationships/hyperlink" Target="https://goodwine.com.ua/" TargetMode="External"/><Relationship Id="rId987" Type="http://schemas.openxmlformats.org/officeDocument/2006/relationships/hyperlink" Target="https://gorillas.io/de" TargetMode="External"/><Relationship Id="rId2668" Type="http://schemas.openxmlformats.org/officeDocument/2006/relationships/hyperlink" Target="https://store.admitad.com/webmaster/websites/2166760/offers/20543-redmagic-ww/" TargetMode="External"/><Relationship Id="rId2875" Type="http://schemas.openxmlformats.org/officeDocument/2006/relationships/hyperlink" Target="https://plarium.com/ja/game/raid-shadow-legends/" TargetMode="External"/><Relationship Id="rId3719" Type="http://schemas.openxmlformats.org/officeDocument/2006/relationships/hyperlink" Target="https://www.posthaus.com.br/" TargetMode="External"/><Relationship Id="rId3926" Type="http://schemas.openxmlformats.org/officeDocument/2006/relationships/hyperlink" Target="https://store.admitad.com/webmaster/websites/2166760/offers/25331-html-academy/" TargetMode="External"/><Relationship Id="rId4090" Type="http://schemas.openxmlformats.org/officeDocument/2006/relationships/hyperlink" Target="https://store.admitad.com/webmaster/websites/2166760/offers/27010-happy-beds-uk/" TargetMode="External"/><Relationship Id="rId847" Type="http://schemas.openxmlformats.org/officeDocument/2006/relationships/hyperlink" Target="https://www.magix.com/nl/" TargetMode="External"/><Relationship Id="rId1477" Type="http://schemas.openxmlformats.org/officeDocument/2006/relationships/hyperlink" Target="https://www.clarosa.fr/" TargetMode="External"/><Relationship Id="rId1684" Type="http://schemas.openxmlformats.org/officeDocument/2006/relationships/hyperlink" Target="https://store.admitad.com/webmaster/websites/2166760/offers/27599-kuchenlandru/" TargetMode="External"/><Relationship Id="rId1891" Type="http://schemas.openxmlformats.org/officeDocument/2006/relationships/hyperlink" Target="https://www.miracleofdenim.com/" TargetMode="External"/><Relationship Id="rId2528" Type="http://schemas.openxmlformats.org/officeDocument/2006/relationships/hyperlink" Target="https://store.admitad.com/webmaster/websites/2166760/offers/26513-zooplus-it/" TargetMode="External"/><Relationship Id="rId2735" Type="http://schemas.openxmlformats.org/officeDocument/2006/relationships/hyperlink" Target="https://thedermaco.com/" TargetMode="External"/><Relationship Id="rId2942" Type="http://schemas.openxmlformats.org/officeDocument/2006/relationships/hyperlink" Target="https://store.admitad.com/webmaster/websites/2166760/offers/18296-megazip/" TargetMode="External"/><Relationship Id="rId707" Type="http://schemas.openxmlformats.org/officeDocument/2006/relationships/hyperlink" Target="https://www.acnecide.co.uk/" TargetMode="External"/><Relationship Id="rId914" Type="http://schemas.openxmlformats.org/officeDocument/2006/relationships/hyperlink" Target="https://store.admitad.com/webmaster/websites/2166760/offers/26551-watchmaster-fr/" TargetMode="External"/><Relationship Id="rId1337" Type="http://schemas.openxmlformats.org/officeDocument/2006/relationships/hyperlink" Target="https://www.soliver.de/" TargetMode="External"/><Relationship Id="rId1544" Type="http://schemas.openxmlformats.org/officeDocument/2006/relationships/hyperlink" Target="https://store.admitad.com/webmaster/websites/2166760/offers/27425-the-great-courses-us/" TargetMode="External"/><Relationship Id="rId1751" Type="http://schemas.openxmlformats.org/officeDocument/2006/relationships/hyperlink" Target="https://gamenet.ru/games/aika/" TargetMode="External"/><Relationship Id="rId2802" Type="http://schemas.openxmlformats.org/officeDocument/2006/relationships/hyperlink" Target="https://store.admitad.com/webmaster/websites/2166760/offers/26104-micuento-cps-es/" TargetMode="External"/><Relationship Id="rId43" Type="http://schemas.openxmlformats.org/officeDocument/2006/relationships/hyperlink" Target="https://www.myglamm.com/" TargetMode="External"/><Relationship Id="rId1404" Type="http://schemas.openxmlformats.org/officeDocument/2006/relationships/hyperlink" Target="https://store.admitad.com/webmaster/websites/2166760/offers/27251-inspire-uplift-us-ca/" TargetMode="External"/><Relationship Id="rId1611" Type="http://schemas.openxmlformats.org/officeDocument/2006/relationships/hyperlink" Target="https://www.livpuresleep.com/" TargetMode="External"/><Relationship Id="rId3369" Type="http://schemas.openxmlformats.org/officeDocument/2006/relationships/hyperlink" Target="https://www.bancobmg.com.br/corinthians/" TargetMode="External"/><Relationship Id="rId3576" Type="http://schemas.openxmlformats.org/officeDocument/2006/relationships/hyperlink" Target="https://store.admitad.com/webmaster/websites/2166760/offers/27026-serenata-flowers-uk/" TargetMode="External"/><Relationship Id="rId497" Type="http://schemas.openxmlformats.org/officeDocument/2006/relationships/hyperlink" Target="https://www.walmart.com/" TargetMode="External"/><Relationship Id="rId2178" Type="http://schemas.openxmlformats.org/officeDocument/2006/relationships/hyperlink" Target="https://store.admitad.com/webmaster/websites/2166760/offers/23540-wartime-soi-many-geos/" TargetMode="External"/><Relationship Id="rId2385" Type="http://schemas.openxmlformats.org/officeDocument/2006/relationships/hyperlink" Target="https://www.floweraura.com/" TargetMode="External"/><Relationship Id="rId3229" Type="http://schemas.openxmlformats.org/officeDocument/2006/relationships/hyperlink" Target="https://www.qr-code-generator.com/" TargetMode="External"/><Relationship Id="rId3783" Type="http://schemas.openxmlformats.org/officeDocument/2006/relationships/hyperlink" Target="https://credit365.kz/" TargetMode="External"/><Relationship Id="rId3990" Type="http://schemas.openxmlformats.org/officeDocument/2006/relationships/hyperlink" Target="https://store.admitad.com/webmaster/websites/2166760/offers/25695-left-to-survive-cpp-rucis/" TargetMode="External"/><Relationship Id="rId357" Type="http://schemas.openxmlformats.org/officeDocument/2006/relationships/hyperlink" Target="https://www.emp.co.uk/" TargetMode="External"/><Relationship Id="rId1194" Type="http://schemas.openxmlformats.org/officeDocument/2006/relationships/hyperlink" Target="https://store.admitad.com/webmaster/websites/2166760/offers/26994-samsung-es/" TargetMode="External"/><Relationship Id="rId2038" Type="http://schemas.openxmlformats.org/officeDocument/2006/relationships/hyperlink" Target="https://store.admitad.com/webmaster/websites/2166760/offers/24806-farmacia-baricentro-cpa-es/" TargetMode="External"/><Relationship Id="rId2592" Type="http://schemas.openxmlformats.org/officeDocument/2006/relationships/hyperlink" Target="https://store.admitad.com/webmaster/websites/2166760/offers/27143-coolstays-uk/" TargetMode="External"/><Relationship Id="rId3436" Type="http://schemas.openxmlformats.org/officeDocument/2006/relationships/hyperlink" Target="https://store.admitad.com/webmaster/websites/2166760/offers/26366-poco-onlineshop-de/" TargetMode="External"/><Relationship Id="rId3643" Type="http://schemas.openxmlformats.org/officeDocument/2006/relationships/hyperlink" Target="https://envato.com/" TargetMode="External"/><Relationship Id="rId3850" Type="http://schemas.openxmlformats.org/officeDocument/2006/relationships/hyperlink" Target="https://store.admitad.com/webmaster/websites/2166760/offers/18429-boutiquefeel-ww/" TargetMode="External"/><Relationship Id="rId217" Type="http://schemas.openxmlformats.org/officeDocument/2006/relationships/hyperlink" Target="https://www.redcarpetup.com/" TargetMode="External"/><Relationship Id="rId564" Type="http://schemas.openxmlformats.org/officeDocument/2006/relationships/hyperlink" Target="https://store.admitad.com/webmaster/websites/2166760/offers/25295-cjdropshipping-int/" TargetMode="External"/><Relationship Id="rId771" Type="http://schemas.openxmlformats.org/officeDocument/2006/relationships/hyperlink" Target="https://www.theauric.com/" TargetMode="External"/><Relationship Id="rId2245" Type="http://schemas.openxmlformats.org/officeDocument/2006/relationships/hyperlink" Target="https://www.legimi.pl/" TargetMode="External"/><Relationship Id="rId2452" Type="http://schemas.openxmlformats.org/officeDocument/2006/relationships/hyperlink" Target="https://store.admitad.com/webmaster/websites/2166760/offers/23920-sanctuary-spa-uk/" TargetMode="External"/><Relationship Id="rId3503" Type="http://schemas.openxmlformats.org/officeDocument/2006/relationships/hyperlink" Target="https://prego.ua/" TargetMode="External"/><Relationship Id="rId3710" Type="http://schemas.openxmlformats.org/officeDocument/2006/relationships/hyperlink" Target="https://store.admitad.com/webmaster/websites/2166760/offers/23467-satty-zhuldyz-kz/" TargetMode="External"/><Relationship Id="rId424" Type="http://schemas.openxmlformats.org/officeDocument/2006/relationships/hyperlink" Target="https://store.admitad.com/webmaster/websites/2166760/offers/24703-jabra-many-geos/" TargetMode="External"/><Relationship Id="rId631" Type="http://schemas.openxmlformats.org/officeDocument/2006/relationships/hyperlink" Target="http://www.bergdorfgoodman.com/" TargetMode="External"/><Relationship Id="rId1054" Type="http://schemas.openxmlformats.org/officeDocument/2006/relationships/hyperlink" Target="https://store.admitad.com/webmaster/websites/2166760/offers/26775-the-body-shop-kw/" TargetMode="External"/><Relationship Id="rId1261" Type="http://schemas.openxmlformats.org/officeDocument/2006/relationships/hyperlink" Target="https://www.goldsmiths.co.uk/" TargetMode="External"/><Relationship Id="rId2105" Type="http://schemas.openxmlformats.org/officeDocument/2006/relationships/hyperlink" Target="https://www.macxdvd.com/" TargetMode="External"/><Relationship Id="rId2312" Type="http://schemas.openxmlformats.org/officeDocument/2006/relationships/hyperlink" Target="https://store.admitad.com/webmaster/websites/2166760/offers/27066-farmae-it/" TargetMode="External"/><Relationship Id="rId1121" Type="http://schemas.openxmlformats.org/officeDocument/2006/relationships/hyperlink" Target="https://alhabibshop.com/" TargetMode="External"/><Relationship Id="rId3086" Type="http://schemas.openxmlformats.org/officeDocument/2006/relationships/hyperlink" Target="https://store.admitad.com/webmaster/websites/2166760/offers/23825-buywow-cps-in/" TargetMode="External"/><Relationship Id="rId3293" Type="http://schemas.openxmlformats.org/officeDocument/2006/relationships/hyperlink" Target="https://bagland.com.ua/" TargetMode="External"/><Relationship Id="rId4137" Type="http://schemas.openxmlformats.org/officeDocument/2006/relationships/hyperlink" Target="https://www.novakid.es/" TargetMode="External"/><Relationship Id="rId1938" Type="http://schemas.openxmlformats.org/officeDocument/2006/relationships/hyperlink" Target="https://store.admitad.com/webmaster/websites/2166760/offers/26403-gabestore-cps-ru-cis/" TargetMode="External"/><Relationship Id="rId3153" Type="http://schemas.openxmlformats.org/officeDocument/2006/relationships/hyperlink" Target="http://fanwars.ru/" TargetMode="External"/><Relationship Id="rId3360" Type="http://schemas.openxmlformats.org/officeDocument/2006/relationships/hyperlink" Target="https://store.admitad.com/webmaster/websites/2166760/offers/24118-zte-many-geos/" TargetMode="External"/><Relationship Id="rId4204" Type="http://schemas.openxmlformats.org/officeDocument/2006/relationships/hyperlink" Target="https://store.admitad.com/webmaster/websites/2166760/offers/13623-banggood-ww/" TargetMode="External"/><Relationship Id="rId281" Type="http://schemas.openxmlformats.org/officeDocument/2006/relationships/hyperlink" Target="https://www.dancenter.de/" TargetMode="External"/><Relationship Id="rId3013" Type="http://schemas.openxmlformats.org/officeDocument/2006/relationships/hyperlink" Target="https://www.hdfcergo.com/" TargetMode="External"/><Relationship Id="rId141" Type="http://schemas.openxmlformats.org/officeDocument/2006/relationships/hyperlink" Target="https://www.lacoste.cz/" TargetMode="External"/><Relationship Id="rId3220" Type="http://schemas.openxmlformats.org/officeDocument/2006/relationships/hyperlink" Target="https://store.admitad.com/webmaster/websites/2166760/offers/27131-zooplus-uk/" TargetMode="External"/><Relationship Id="rId7" Type="http://schemas.openxmlformats.org/officeDocument/2006/relationships/hyperlink" Target="https://www.pepperfry.com/" TargetMode="External"/><Relationship Id="rId2779" Type="http://schemas.openxmlformats.org/officeDocument/2006/relationships/hyperlink" Target="https://ae.loccitane.com/" TargetMode="External"/><Relationship Id="rId2986" Type="http://schemas.openxmlformats.org/officeDocument/2006/relationships/hyperlink" Target="https://store.admitad.com/webmaster/websites/2166760/offers/20865-goibibo-hotels-cps-in/" TargetMode="External"/><Relationship Id="rId958" Type="http://schemas.openxmlformats.org/officeDocument/2006/relationships/hyperlink" Target="https://store.admitad.com/webmaster/websites/2166760/offers/26640-oral-b-nl/" TargetMode="External"/><Relationship Id="rId1588" Type="http://schemas.openxmlformats.org/officeDocument/2006/relationships/hyperlink" Target="https://store.admitad.com/webmaster/websites/2166760/offers/27474-claires-uk/" TargetMode="External"/><Relationship Id="rId1795" Type="http://schemas.openxmlformats.org/officeDocument/2006/relationships/hyperlink" Target="https://www.freddiesflowers.com/" TargetMode="External"/><Relationship Id="rId2639" Type="http://schemas.openxmlformats.org/officeDocument/2006/relationships/hyperlink" Target="http://xiaomi.ua/" TargetMode="External"/><Relationship Id="rId2846" Type="http://schemas.openxmlformats.org/officeDocument/2006/relationships/hyperlink" Target="https://store.admitad.com/webmaster/websites/2166760/offers/26953-meshki-us/" TargetMode="External"/><Relationship Id="rId87" Type="http://schemas.openxmlformats.org/officeDocument/2006/relationships/hyperlink" Target="https://www.hostinger.com/" TargetMode="External"/><Relationship Id="rId818" Type="http://schemas.openxmlformats.org/officeDocument/2006/relationships/hyperlink" Target="https://store.admitad.com/webmaster/websites/2166760/offers/26378-clawgames-cps-many-geos/" TargetMode="External"/><Relationship Id="rId1448" Type="http://schemas.openxmlformats.org/officeDocument/2006/relationships/hyperlink" Target="https://store.admitad.com/webmaster/websites/2166760/offers/27295-vivantis-sk/" TargetMode="External"/><Relationship Id="rId1655" Type="http://schemas.openxmlformats.org/officeDocument/2006/relationships/hyperlink" Target="https://startselect.com/de-de" TargetMode="External"/><Relationship Id="rId2706" Type="http://schemas.openxmlformats.org/officeDocument/2006/relationships/hyperlink" Target="https://store.admitad.com/webmaster/websites/2166760/offers/22673-battle-for-the-galaxy-cps-many-geos/" TargetMode="External"/><Relationship Id="rId4061" Type="http://schemas.openxmlformats.org/officeDocument/2006/relationships/hyperlink" Target="https://ic-misto.com.ua/ru" TargetMode="External"/><Relationship Id="rId1308" Type="http://schemas.openxmlformats.org/officeDocument/2006/relationships/hyperlink" Target="https://store.admitad.com/webmaster/websites/2166760/offers/27111-buycarparts-uk/" TargetMode="External"/><Relationship Id="rId1862" Type="http://schemas.openxmlformats.org/officeDocument/2006/relationships/hyperlink" Target="https://store.admitad.com/webmaster/websites/2166760/offers/22883-satel-kz/" TargetMode="External"/><Relationship Id="rId2913" Type="http://schemas.openxmlformats.org/officeDocument/2006/relationships/hyperlink" Target="https://www.floraexpress.ru/" TargetMode="External"/><Relationship Id="rId1515" Type="http://schemas.openxmlformats.org/officeDocument/2006/relationships/hyperlink" Target="https://www.footpatrol.nl/" TargetMode="External"/><Relationship Id="rId1722" Type="http://schemas.openxmlformats.org/officeDocument/2006/relationships/hyperlink" Target="https://store.admitad.com/webmaster/websites/2166760/offers/27725-vanheusen-intimates-cps-in/" TargetMode="External"/><Relationship Id="rId14" Type="http://schemas.openxmlformats.org/officeDocument/2006/relationships/hyperlink" Target="https://store.admitad.com/webmaster/websites/2166760/offers/15433-adidas-cps-in/" TargetMode="External"/><Relationship Id="rId3687" Type="http://schemas.openxmlformats.org/officeDocument/2006/relationships/hyperlink" Target="https://nextrp.ru/" TargetMode="External"/><Relationship Id="rId3894" Type="http://schemas.openxmlformats.org/officeDocument/2006/relationships/hyperlink" Target="https://store.admitad.com/webmaster/websites/2166760/offers/23125-mihyar-many-geos/" TargetMode="External"/><Relationship Id="rId2289" Type="http://schemas.openxmlformats.org/officeDocument/2006/relationships/hyperlink" Target="https://offerte.linkem.com/promo-internet-veloce-affiliation/" TargetMode="External"/><Relationship Id="rId2496" Type="http://schemas.openxmlformats.org/officeDocument/2006/relationships/hyperlink" Target="https://store.admitad.com/webmaster/websites/2166760/offers/25861-difmark-ww/" TargetMode="External"/><Relationship Id="rId3547" Type="http://schemas.openxmlformats.org/officeDocument/2006/relationships/hyperlink" Target="https://www.minutoseguros.com.br/" TargetMode="External"/><Relationship Id="rId3754" Type="http://schemas.openxmlformats.org/officeDocument/2006/relationships/hyperlink" Target="https://store.admitad.com/webmaster/websites/2166760/offers/24574-panda-uk/" TargetMode="External"/><Relationship Id="rId3961" Type="http://schemas.openxmlformats.org/officeDocument/2006/relationships/hyperlink" Target="https://eyewa.com/" TargetMode="External"/><Relationship Id="rId468" Type="http://schemas.openxmlformats.org/officeDocument/2006/relationships/hyperlink" Target="https://store.admitad.com/webmaster/websites/2166760/offers/24893-charles-keith-uk-eu/" TargetMode="External"/><Relationship Id="rId675" Type="http://schemas.openxmlformats.org/officeDocument/2006/relationships/hyperlink" Target="https://www.brooksbrothers.mx/" TargetMode="External"/><Relationship Id="rId882" Type="http://schemas.openxmlformats.org/officeDocument/2006/relationships/hyperlink" Target="https://store.admitad.com/webmaster/websites/2166760/offers/26498-eon-de/" TargetMode="External"/><Relationship Id="rId1098" Type="http://schemas.openxmlformats.org/officeDocument/2006/relationships/hyperlink" Target="https://store.admitad.com/webmaster/websites/2166760/offers/26859-gobi-cashmere-dach-ru/" TargetMode="External"/><Relationship Id="rId2149" Type="http://schemas.openxmlformats.org/officeDocument/2006/relationships/hyperlink" Target="https://it.bidoo.com/" TargetMode="External"/><Relationship Id="rId2356" Type="http://schemas.openxmlformats.org/officeDocument/2006/relationships/hyperlink" Target="https://store.admitad.com/webmaster/websites/2166760/offers/5711-miniinthebox-ww/" TargetMode="External"/><Relationship Id="rId2563" Type="http://schemas.openxmlformats.org/officeDocument/2006/relationships/hyperlink" Target="https://www.coopersofstortford.co.uk/" TargetMode="External"/><Relationship Id="rId2770" Type="http://schemas.openxmlformats.org/officeDocument/2006/relationships/hyperlink" Target="https://store.admitad.com/webmaster/websites/2166760/offers/24609-mackeeper-many-geos/" TargetMode="External"/><Relationship Id="rId3407" Type="http://schemas.openxmlformats.org/officeDocument/2006/relationships/hyperlink" Target="https://cooker.net.ua/" TargetMode="External"/><Relationship Id="rId3614" Type="http://schemas.openxmlformats.org/officeDocument/2006/relationships/hyperlink" Target="https://store.admitad.com/webmaster/websites/2166760/offers/16214-imarket-by/" TargetMode="External"/><Relationship Id="rId3821" Type="http://schemas.openxmlformats.org/officeDocument/2006/relationships/hyperlink" Target="https://www.camif.fr/" TargetMode="External"/><Relationship Id="rId328" Type="http://schemas.openxmlformats.org/officeDocument/2006/relationships/hyperlink" Target="https://store.admitad.com/webmaster/websites/2166760/offers/24127-robocash-eu/" TargetMode="External"/><Relationship Id="rId535" Type="http://schemas.openxmlformats.org/officeDocument/2006/relationships/hyperlink" Target="https://aignermunich.ae/en_ae" TargetMode="External"/><Relationship Id="rId742" Type="http://schemas.openxmlformats.org/officeDocument/2006/relationships/hyperlink" Target="https://store.admitad.com/webmaster/websites/2166760/offers/26164-price-backers-ww/" TargetMode="External"/><Relationship Id="rId1165" Type="http://schemas.openxmlformats.org/officeDocument/2006/relationships/hyperlink" Target="https://www.glossybox.de/" TargetMode="External"/><Relationship Id="rId1372" Type="http://schemas.openxmlformats.org/officeDocument/2006/relationships/hyperlink" Target="https://store.admitad.com/webmaster/websites/2166760/offers/27180-lulu-guinness-uk/" TargetMode="External"/><Relationship Id="rId2009" Type="http://schemas.openxmlformats.org/officeDocument/2006/relationships/hyperlink" Target="https://domicad.com.ua/ua" TargetMode="External"/><Relationship Id="rId2216" Type="http://schemas.openxmlformats.org/officeDocument/2006/relationships/hyperlink" Target="https://store.admitad.com/webmaster/websites/2166760/offers/25155-defacto-cpa-kz/" TargetMode="External"/><Relationship Id="rId2423" Type="http://schemas.openxmlformats.org/officeDocument/2006/relationships/hyperlink" Target="https://www.superstep.com.ua/" TargetMode="External"/><Relationship Id="rId2630" Type="http://schemas.openxmlformats.org/officeDocument/2006/relationships/hyperlink" Target="https://store.admitad.com/webmaster/websites/2166760/offers/2742-lamoda-kz/" TargetMode="External"/><Relationship Id="rId602" Type="http://schemas.openxmlformats.org/officeDocument/2006/relationships/hyperlink" Target="https://store.admitad.com/webmaster/websites/2166760/offers/25489-nike-br/" TargetMode="External"/><Relationship Id="rId1025" Type="http://schemas.openxmlformats.org/officeDocument/2006/relationships/hyperlink" Target="https://www.airtel.in/myplan-infinity/submit-form" TargetMode="External"/><Relationship Id="rId1232" Type="http://schemas.openxmlformats.org/officeDocument/2006/relationships/hyperlink" Target="https://store.admitad.com/webmaster/websites/2166760/offers/27040-flaconi-pl/" TargetMode="External"/><Relationship Id="rId3197" Type="http://schemas.openxmlformats.org/officeDocument/2006/relationships/hyperlink" Target="https://www.marionnaud.fr/" TargetMode="External"/><Relationship Id="rId3057" Type="http://schemas.openxmlformats.org/officeDocument/2006/relationships/hyperlink" Target="https://wowbodyslim.com/" TargetMode="External"/><Relationship Id="rId4108" Type="http://schemas.openxmlformats.org/officeDocument/2006/relationships/hyperlink" Target="https://store.admitad.com/webmaster/websites/2166760/offers/22799-billiger-de/" TargetMode="External"/><Relationship Id="rId185" Type="http://schemas.openxmlformats.org/officeDocument/2006/relationships/hyperlink" Target="https://www.resellerclub.com/" TargetMode="External"/><Relationship Id="rId1909" Type="http://schemas.openxmlformats.org/officeDocument/2006/relationships/hyperlink" Target="https://www.easysmx.com/" TargetMode="External"/><Relationship Id="rId3264" Type="http://schemas.openxmlformats.org/officeDocument/2006/relationships/hyperlink" Target="https://store.admitad.com/webmaster/websites/2166760/offers/14291-aliexpress-in/" TargetMode="External"/><Relationship Id="rId3471" Type="http://schemas.openxmlformats.org/officeDocument/2006/relationships/hyperlink" Target="https://voltmarket.ru/" TargetMode="External"/><Relationship Id="rId392" Type="http://schemas.openxmlformats.org/officeDocument/2006/relationships/hyperlink" Target="https://store.admitad.com/webmaster/websites/2166760/offers/24562-bmg-galo-cpa-ios-br/" TargetMode="External"/><Relationship Id="rId2073" Type="http://schemas.openxmlformats.org/officeDocument/2006/relationships/hyperlink" Target="https://www.vermietet.de/" TargetMode="External"/><Relationship Id="rId2280" Type="http://schemas.openxmlformats.org/officeDocument/2006/relationships/hyperlink" Target="https://store.admitad.com/webmaster/websites/2166760/offers/26784-jeans-fritz-de/" TargetMode="External"/><Relationship Id="rId3124" Type="http://schemas.openxmlformats.org/officeDocument/2006/relationships/hyperlink" Target="https://store.admitad.com/webmaster/websites/2166760/offers/24683-dark-genesis-soi-rucis/" TargetMode="External"/><Relationship Id="rId3331" Type="http://schemas.openxmlformats.org/officeDocument/2006/relationships/hyperlink" Target="https://www.redwolf.in/" TargetMode="External"/><Relationship Id="rId252" Type="http://schemas.openxmlformats.org/officeDocument/2006/relationships/hyperlink" Target="https://store.admitad.com/webmaster/websites/2166760/offers/23464-mcafee-us-ca-br-mx-cl/" TargetMode="External"/><Relationship Id="rId2140" Type="http://schemas.openxmlformats.org/officeDocument/2006/relationships/hyperlink" Target="https://store.admitad.com/webmaster/websites/2166760/offers/19710-whatwears-ww/" TargetMode="External"/><Relationship Id="rId112" Type="http://schemas.openxmlformats.org/officeDocument/2006/relationships/hyperlink" Target="https://store.admitad.com/webmaster/websites/2166760/offers/21918-iparts-pl/" TargetMode="External"/><Relationship Id="rId1699" Type="http://schemas.openxmlformats.org/officeDocument/2006/relationships/hyperlink" Target="https://worldoftanks.com/" TargetMode="External"/><Relationship Id="rId2000" Type="http://schemas.openxmlformats.org/officeDocument/2006/relationships/hyperlink" Target="https://store.admitad.com/webmaster/websites/2166760/offers/27238-world-of-chaos-soi-pl/" TargetMode="External"/><Relationship Id="rId2957" Type="http://schemas.openxmlformats.org/officeDocument/2006/relationships/hyperlink" Target="https://www.bombayshavingcompany.com/" TargetMode="External"/><Relationship Id="rId4172" Type="http://schemas.openxmlformats.org/officeDocument/2006/relationships/hyperlink" Target="https://store.admitad.com/webmaster/websites/2166760/offers/15787-emirates-cps-ww/" TargetMode="External"/><Relationship Id="rId929" Type="http://schemas.openxmlformats.org/officeDocument/2006/relationships/hyperlink" Target="https://www.designersofas4u.co.uk/" TargetMode="External"/><Relationship Id="rId1559" Type="http://schemas.openxmlformats.org/officeDocument/2006/relationships/hyperlink" Target="https://www.nexplay.fr/" TargetMode="External"/><Relationship Id="rId1766" Type="http://schemas.openxmlformats.org/officeDocument/2006/relationships/hyperlink" Target="https://store.admitad.com/webmaster/websites/2166760/offers/23240-sunglasses-shop-uk/" TargetMode="External"/><Relationship Id="rId1973" Type="http://schemas.openxmlformats.org/officeDocument/2006/relationships/hyperlink" Target="https://wordery.com/" TargetMode="External"/><Relationship Id="rId2817" Type="http://schemas.openxmlformats.org/officeDocument/2006/relationships/hyperlink" Target="https://www.scapino.nl/" TargetMode="External"/><Relationship Id="rId4032" Type="http://schemas.openxmlformats.org/officeDocument/2006/relationships/hyperlink" Target="https://store.admitad.com/webmaster/websites/2166760/offers/21466-dokua/" TargetMode="External"/><Relationship Id="rId58" Type="http://schemas.openxmlformats.org/officeDocument/2006/relationships/hyperlink" Target="https://store.admitad.com/webmaster/websites/2166760/offers/19813-livingkool-ae/" TargetMode="External"/><Relationship Id="rId1419" Type="http://schemas.openxmlformats.org/officeDocument/2006/relationships/hyperlink" Target="https://www.sexshop112.pl/" TargetMode="External"/><Relationship Id="rId1626" Type="http://schemas.openxmlformats.org/officeDocument/2006/relationships/hyperlink" Target="https://store.admitad.com/webmaster/websites/2166760/offers/27534-the-towel-shop-uk/" TargetMode="External"/><Relationship Id="rId1833" Type="http://schemas.openxmlformats.org/officeDocument/2006/relationships/hyperlink" Target="https://www.revolutionbeauty.com/" TargetMode="External"/><Relationship Id="rId1900" Type="http://schemas.openxmlformats.org/officeDocument/2006/relationships/hyperlink" Target="https://store.admitad.com/webmaster/websites/2166760/offers/24532-streetprorunning-cps-es/" TargetMode="External"/><Relationship Id="rId3798" Type="http://schemas.openxmlformats.org/officeDocument/2006/relationships/hyperlink" Target="https://store.admitad.com/webmaster/websites/2166760/offers/26321-buecher-de/" TargetMode="External"/><Relationship Id="rId3658" Type="http://schemas.openxmlformats.org/officeDocument/2006/relationships/hyperlink" Target="https://store.admitad.com/webmaster/websites/2166760/offers/19977-kachay-cps-api-ua/" TargetMode="External"/><Relationship Id="rId3865" Type="http://schemas.openxmlformats.org/officeDocument/2006/relationships/hyperlink" Target="https://www.trainline.eu/" TargetMode="External"/><Relationship Id="rId579" Type="http://schemas.openxmlformats.org/officeDocument/2006/relationships/hyperlink" Target="https://www.deciem.com/" TargetMode="External"/><Relationship Id="rId786" Type="http://schemas.openxmlformats.org/officeDocument/2006/relationships/hyperlink" Target="https://store.admitad.com/webmaster/websites/2166760/offers/26270-sanfe-cps-in/" TargetMode="External"/><Relationship Id="rId993" Type="http://schemas.openxmlformats.org/officeDocument/2006/relationships/hyperlink" Target="https://www.radonline.de/" TargetMode="External"/><Relationship Id="rId2467" Type="http://schemas.openxmlformats.org/officeDocument/2006/relationships/hyperlink" Target="https://inet.equitasbank.com/Selfe/" TargetMode="External"/><Relationship Id="rId2674" Type="http://schemas.openxmlformats.org/officeDocument/2006/relationships/hyperlink" Target="https://store.admitad.com/webmaster/websites/2166760/offers/21029-ancestry-us-ca-uk-au/" TargetMode="External"/><Relationship Id="rId3518" Type="http://schemas.openxmlformats.org/officeDocument/2006/relationships/hyperlink" Target="https://store.admitad.com/webmaster/websites/2166760/offers/22743-sheta-and-saif-sa/" TargetMode="External"/><Relationship Id="rId439" Type="http://schemas.openxmlformats.org/officeDocument/2006/relationships/hyperlink" Target="https://caviar-phone.ru/" TargetMode="External"/><Relationship Id="rId646" Type="http://schemas.openxmlformats.org/officeDocument/2006/relationships/hyperlink" Target="https://store.admitad.com/webmaster/websites/2166760/offers/25773-airarabiacom-many-geos/" TargetMode="External"/><Relationship Id="rId1069" Type="http://schemas.openxmlformats.org/officeDocument/2006/relationships/hyperlink" Target="https://www.aosom.it/" TargetMode="External"/><Relationship Id="rId1276" Type="http://schemas.openxmlformats.org/officeDocument/2006/relationships/hyperlink" Target="https://store.admitad.com/webmaster/websites/2166760/offers/27075-kidly-uk/" TargetMode="External"/><Relationship Id="rId1483" Type="http://schemas.openxmlformats.org/officeDocument/2006/relationships/hyperlink" Target="https://www.bueromoebel-experte.de/" TargetMode="External"/><Relationship Id="rId2327" Type="http://schemas.openxmlformats.org/officeDocument/2006/relationships/hyperlink" Target="https://earthhero.com/" TargetMode="External"/><Relationship Id="rId2881" Type="http://schemas.openxmlformats.org/officeDocument/2006/relationships/hyperlink" Target="http://tmgame.ru/" TargetMode="External"/><Relationship Id="rId3725" Type="http://schemas.openxmlformats.org/officeDocument/2006/relationships/hyperlink" Target="https://www.boat-lifestyle.com/" TargetMode="External"/><Relationship Id="rId3932" Type="http://schemas.openxmlformats.org/officeDocument/2006/relationships/hyperlink" Target="https://store.admitad.com/webmaster/websites/2166760/offers/26167-zolucky-ww/" TargetMode="External"/><Relationship Id="rId506" Type="http://schemas.openxmlformats.org/officeDocument/2006/relationships/hyperlink" Target="https://store.admitad.com/webmaster/websites/2166760/offers/25057-red-by-sfr-fr/" TargetMode="External"/><Relationship Id="rId853" Type="http://schemas.openxmlformats.org/officeDocument/2006/relationships/hyperlink" Target="https://www.benetton.com/" TargetMode="External"/><Relationship Id="rId1136" Type="http://schemas.openxmlformats.org/officeDocument/2006/relationships/hyperlink" Target="https://store.admitad.com/webmaster/websites/2166760/offers/26911-weber-fr/" TargetMode="External"/><Relationship Id="rId1690" Type="http://schemas.openxmlformats.org/officeDocument/2006/relationships/hyperlink" Target="https://store.admitad.com/webmaster/websites/2166760/offers/27646-cook-unity/" TargetMode="External"/><Relationship Id="rId2534" Type="http://schemas.openxmlformats.org/officeDocument/2006/relationships/hyperlink" Target="https://store.admitad.com/webmaster/websites/2166760/offers/26536-spartoo-uk/" TargetMode="External"/><Relationship Id="rId2741" Type="http://schemas.openxmlformats.org/officeDocument/2006/relationships/hyperlink" Target="https://www.wiggle.fr/" TargetMode="External"/><Relationship Id="rId713" Type="http://schemas.openxmlformats.org/officeDocument/2006/relationships/hyperlink" Target="https://serpstat.com/" TargetMode="External"/><Relationship Id="rId920" Type="http://schemas.openxmlformats.org/officeDocument/2006/relationships/hyperlink" Target="https://store.admitad.com/webmaster/websites/2166760/offers/26554-grandado-fr/" TargetMode="External"/><Relationship Id="rId1343" Type="http://schemas.openxmlformats.org/officeDocument/2006/relationships/hyperlink" Target="https://www.eset.com/de/" TargetMode="External"/><Relationship Id="rId1550" Type="http://schemas.openxmlformats.org/officeDocument/2006/relationships/hyperlink" Target="https://store.admitad.com/webmaster/websites/2166760/offers/27429-tiqets-es/" TargetMode="External"/><Relationship Id="rId2601" Type="http://schemas.openxmlformats.org/officeDocument/2006/relationships/hyperlink" Target="https://www.topresume.com/" TargetMode="External"/><Relationship Id="rId1203" Type="http://schemas.openxmlformats.org/officeDocument/2006/relationships/hyperlink" Target="https://www.furniturevillage.co.uk/" TargetMode="External"/><Relationship Id="rId1410" Type="http://schemas.openxmlformats.org/officeDocument/2006/relationships/hyperlink" Target="https://store.admitad.com/webmaster/websites/2166760/offers/27256-watt24-de/" TargetMode="External"/><Relationship Id="rId3168" Type="http://schemas.openxmlformats.org/officeDocument/2006/relationships/hyperlink" Target="https://store.admitad.com/webmaster/websites/2166760/offers/26218-supersim/" TargetMode="External"/><Relationship Id="rId3375" Type="http://schemas.openxmlformats.org/officeDocument/2006/relationships/hyperlink" Target="https://ae.clarins.com/" TargetMode="External"/><Relationship Id="rId3582" Type="http://schemas.openxmlformats.org/officeDocument/2006/relationships/hyperlink" Target="https://store.admitad.com/webmaster/websites/2166760/offers/2381-kaspersky/" TargetMode="External"/><Relationship Id="rId4219" Type="http://schemas.openxmlformats.org/officeDocument/2006/relationships/hyperlink" Target="https://in.norton.com/" TargetMode="External"/><Relationship Id="rId296" Type="http://schemas.openxmlformats.org/officeDocument/2006/relationships/hyperlink" Target="https://store.admitad.com/webmaster/websites/2166760/offers/23887-sharekhan-cpr-in/" TargetMode="External"/><Relationship Id="rId2184" Type="http://schemas.openxmlformats.org/officeDocument/2006/relationships/hyperlink" Target="https://store.admitad.com/webmaster/websites/2166760/offers/23740-mc-donalds-cps-in/" TargetMode="External"/><Relationship Id="rId2391" Type="http://schemas.openxmlformats.org/officeDocument/2006/relationships/hyperlink" Target="https://buslik.by/" TargetMode="External"/><Relationship Id="rId3028" Type="http://schemas.openxmlformats.org/officeDocument/2006/relationships/hyperlink" Target="https://store.admitad.com/webmaster/websites/2166760/offers/22504-alfa-bank-cpl-kz-api/" TargetMode="External"/><Relationship Id="rId3235" Type="http://schemas.openxmlformats.org/officeDocument/2006/relationships/hyperlink" Target="https://samp-net.com/" TargetMode="External"/><Relationship Id="rId3442" Type="http://schemas.openxmlformats.org/officeDocument/2006/relationships/hyperlink" Target="https://store.admitad.com/webmaster/websites/2166760/offers/26570-jd-sports-de/" TargetMode="External"/><Relationship Id="rId156" Type="http://schemas.openxmlformats.org/officeDocument/2006/relationships/hyperlink" Target="https://store.admitad.com/webmaster/websites/2166760/offers/22675-galaxus-de/" TargetMode="External"/><Relationship Id="rId363" Type="http://schemas.openxmlformats.org/officeDocument/2006/relationships/hyperlink" Target="https://freelancehunt.com/" TargetMode="External"/><Relationship Id="rId570" Type="http://schemas.openxmlformats.org/officeDocument/2006/relationships/hyperlink" Target="https://store.admitad.com/webmaster/websites/2166760/offers/25339-mymoney-karma-home-loan-cpl-in/" TargetMode="External"/><Relationship Id="rId2044" Type="http://schemas.openxmlformats.org/officeDocument/2006/relationships/hyperlink" Target="https://store.admitad.com/webmaster/websites/2166760/offers/25138-dghelp-ae/" TargetMode="External"/><Relationship Id="rId2251" Type="http://schemas.openxmlformats.org/officeDocument/2006/relationships/hyperlink" Target="https://www.decathlon.it/" TargetMode="External"/><Relationship Id="rId3302" Type="http://schemas.openxmlformats.org/officeDocument/2006/relationships/hyperlink" Target="https://store.admitad.com/webmaster/websites/2166760/offers/20364-letyshops-lifetime-int/" TargetMode="External"/><Relationship Id="rId223" Type="http://schemas.openxmlformats.org/officeDocument/2006/relationships/hyperlink" Target="https://www.reliancegeneral.co.in/Insurance/Home.aspx" TargetMode="External"/><Relationship Id="rId430" Type="http://schemas.openxmlformats.org/officeDocument/2006/relationships/hyperlink" Target="https://store.admitad.com/webmaster/websites/2166760/offers/24725-cuemath-many-geos-cpl-ww/" TargetMode="External"/><Relationship Id="rId1060" Type="http://schemas.openxmlformats.org/officeDocument/2006/relationships/hyperlink" Target="https://store.admitad.com/webmaster/websites/2166760/offers/26785-office-partner-de/" TargetMode="External"/><Relationship Id="rId2111" Type="http://schemas.openxmlformats.org/officeDocument/2006/relationships/hyperlink" Target="http://fxclub.org/" TargetMode="External"/><Relationship Id="rId4076" Type="http://schemas.openxmlformats.org/officeDocument/2006/relationships/hyperlink" Target="https://store.admitad.com/webmaster/websites/2166760/offers/26129-ewacash-cps-ua/" TargetMode="External"/><Relationship Id="rId1877" Type="http://schemas.openxmlformats.org/officeDocument/2006/relationships/hyperlink" Target="https://www.magix.com/" TargetMode="External"/><Relationship Id="rId2928" Type="http://schemas.openxmlformats.org/officeDocument/2006/relationships/hyperlink" Target="https://store.admitad.com/webmaster/websites/2166760/offers/17523-world-of-tanks-soi-many-geos/" TargetMode="External"/><Relationship Id="rId1737" Type="http://schemas.openxmlformats.org/officeDocument/2006/relationships/hyperlink" Target="https://atlasvpn.com/" TargetMode="External"/><Relationship Id="rId1944" Type="http://schemas.openxmlformats.org/officeDocument/2006/relationships/hyperlink" Target="https://store.admitad.com/webmaster/websites/2166760/offers/26481-space-engineers-cps-many-geos/" TargetMode="External"/><Relationship Id="rId3092" Type="http://schemas.openxmlformats.org/officeDocument/2006/relationships/hyperlink" Target="https://store.admitad.com/webmaster/websites/2166760/offers/24049-world-of-chaos-soi-rucis/" TargetMode="External"/><Relationship Id="rId4143" Type="http://schemas.openxmlformats.org/officeDocument/2006/relationships/hyperlink" Target="https://hillary-shop.com.ua/" TargetMode="External"/><Relationship Id="rId29" Type="http://schemas.openxmlformats.org/officeDocument/2006/relationships/hyperlink" Target="http://sivvi.com/" TargetMode="External"/><Relationship Id="rId4003" Type="http://schemas.openxmlformats.org/officeDocument/2006/relationships/hyperlink" Target="http://ajio.com/" TargetMode="External"/><Relationship Id="rId4210" Type="http://schemas.openxmlformats.org/officeDocument/2006/relationships/hyperlink" Target="https://store.admitad.com/webmaster/websites/2166760/offers/18487-alexcredit-cps-ua/" TargetMode="External"/><Relationship Id="rId1804" Type="http://schemas.openxmlformats.org/officeDocument/2006/relationships/hyperlink" Target="https://store.admitad.com/webmaster/websites/2166760/offers/26600-lycamobile-fr/" TargetMode="External"/><Relationship Id="rId3769" Type="http://schemas.openxmlformats.org/officeDocument/2006/relationships/hyperlink" Target="https://vitalia.pl/" TargetMode="External"/><Relationship Id="rId3976" Type="http://schemas.openxmlformats.org/officeDocument/2006/relationships/hyperlink" Target="https://store.admitad.com/webmaster/websites/2166760/offers/23347-linio-cl/" TargetMode="External"/><Relationship Id="rId897" Type="http://schemas.openxmlformats.org/officeDocument/2006/relationships/hyperlink" Target="https://www.footlocker.it/" TargetMode="External"/><Relationship Id="rId2578" Type="http://schemas.openxmlformats.org/officeDocument/2006/relationships/hyperlink" Target="https://store.admitad.com/webmaster/websites/2166760/offers/27065-colvin-es/" TargetMode="External"/><Relationship Id="rId2785" Type="http://schemas.openxmlformats.org/officeDocument/2006/relationships/hyperlink" Target="https://www.krc.com.tr/" TargetMode="External"/><Relationship Id="rId2992" Type="http://schemas.openxmlformats.org/officeDocument/2006/relationships/hyperlink" Target="https://store.admitad.com/webmaster/websites/2166760/offers/20969-intercars-tickets-many-geos/" TargetMode="External"/><Relationship Id="rId3629" Type="http://schemas.openxmlformats.org/officeDocument/2006/relationships/hyperlink" Target="https://www.beardo.in/" TargetMode="External"/><Relationship Id="rId3836" Type="http://schemas.openxmlformats.org/officeDocument/2006/relationships/hyperlink" Target="https://store.admitad.com/webmaster/websites/2166760/offers/5365-citytravel-many-geos/" TargetMode="External"/><Relationship Id="rId757" Type="http://schemas.openxmlformats.org/officeDocument/2006/relationships/hyperlink" Target="https://polisonline.kz/" TargetMode="External"/><Relationship Id="rId964" Type="http://schemas.openxmlformats.org/officeDocument/2006/relationships/hyperlink" Target="https://store.admitad.com/webmaster/websites/2166760/offers/26647-doktorabc-de/" TargetMode="External"/><Relationship Id="rId1387" Type="http://schemas.openxmlformats.org/officeDocument/2006/relationships/hyperlink" Target="https://www.bee.pl/" TargetMode="External"/><Relationship Id="rId1594" Type="http://schemas.openxmlformats.org/officeDocument/2006/relationships/hyperlink" Target="https://store.admitad.com/webmaster/websites/2166760/offers/27477-piecesauto24-fr/" TargetMode="External"/><Relationship Id="rId2438" Type="http://schemas.openxmlformats.org/officeDocument/2006/relationships/hyperlink" Target="https://store.admitad.com/webmaster/websites/2166760/offers/23306-cunt-empire-doi-many-geos/" TargetMode="External"/><Relationship Id="rId2645" Type="http://schemas.openxmlformats.org/officeDocument/2006/relationships/hyperlink" Target="https://itunes.apple.com/ru/app/joom-pokupaj-i-ekonom-!/id1117424833?mt=8" TargetMode="External"/><Relationship Id="rId2852" Type="http://schemas.openxmlformats.org/officeDocument/2006/relationships/hyperlink" Target="https://store.admitad.com/webmaster/websites/2166760/offers/27070-nominalia-es/" TargetMode="External"/><Relationship Id="rId3903" Type="http://schemas.openxmlformats.org/officeDocument/2006/relationships/hyperlink" Target="https://www.jiomart.com/" TargetMode="External"/><Relationship Id="rId93" Type="http://schemas.openxmlformats.org/officeDocument/2006/relationships/hyperlink" Target="https://fabelio.com/" TargetMode="External"/><Relationship Id="rId617" Type="http://schemas.openxmlformats.org/officeDocument/2006/relationships/hyperlink" Target="https://www.vimcar.de/" TargetMode="External"/><Relationship Id="rId824" Type="http://schemas.openxmlformats.org/officeDocument/2006/relationships/hyperlink" Target="https://store.admitad.com/webmaster/websites/2166760/offers/26399-paulas-choice-nlbe/" TargetMode="External"/><Relationship Id="rId1247" Type="http://schemas.openxmlformats.org/officeDocument/2006/relationships/hyperlink" Target="https://www.autoersatzteile.de/" TargetMode="External"/><Relationship Id="rId1454" Type="http://schemas.openxmlformats.org/officeDocument/2006/relationships/hyperlink" Target="https://store.admitad.com/webmaster/websites/2166760/offers/27320-the-viator-uk/" TargetMode="External"/><Relationship Id="rId1661" Type="http://schemas.openxmlformats.org/officeDocument/2006/relationships/hyperlink" Target="https://www.myprotein.pl/" TargetMode="External"/><Relationship Id="rId2505" Type="http://schemas.openxmlformats.org/officeDocument/2006/relationships/hyperlink" Target="https://www.meetic.es/" TargetMode="External"/><Relationship Id="rId2712" Type="http://schemas.openxmlformats.org/officeDocument/2006/relationships/hyperlink" Target="https://store.admitad.com/webmaster/websites/2166760/offers/22887-namecheap-cps-ww/" TargetMode="External"/><Relationship Id="rId1107" Type="http://schemas.openxmlformats.org/officeDocument/2006/relationships/hyperlink" Target="https://www.conte.it/mi-fido-fq/" TargetMode="External"/><Relationship Id="rId1314" Type="http://schemas.openxmlformats.org/officeDocument/2006/relationships/hyperlink" Target="https://store.admitad.com/webmaster/websites/2166760/offers/27116-tom-tailor-de/" TargetMode="External"/><Relationship Id="rId1521" Type="http://schemas.openxmlformats.org/officeDocument/2006/relationships/hyperlink" Target="https://www.larise.com/de/" TargetMode="External"/><Relationship Id="rId3279" Type="http://schemas.openxmlformats.org/officeDocument/2006/relationships/hyperlink" Target="https://hidemyna.me/ru/vpn/" TargetMode="External"/><Relationship Id="rId3486" Type="http://schemas.openxmlformats.org/officeDocument/2006/relationships/hyperlink" Target="https://store.admitad.com/webmaster/websites/2166760/offers/18670-gap-ae-sa-kw-offline-codes-links/" TargetMode="External"/><Relationship Id="rId3693" Type="http://schemas.openxmlformats.org/officeDocument/2006/relationships/hyperlink" Target="https://apps.apple.com/ru/app/letyshops-%D0%BA%D1%8D%D1%88%D0%B1%D1%8D%D0%BA-%D0%BD%D0%B0-%D0%BF%D0%BE%D0%BA%D1%83%D0%BF%D0%BA%D0%B8/id1363956566" TargetMode="External"/><Relationship Id="rId20" Type="http://schemas.openxmlformats.org/officeDocument/2006/relationships/hyperlink" Target="https://store.admitad.com/webmaster/websites/2166760/offers/16801-yoox-many-geos/" TargetMode="External"/><Relationship Id="rId2088" Type="http://schemas.openxmlformats.org/officeDocument/2006/relationships/hyperlink" Target="https://store.admitad.com/webmaster/websites/2166760/offers/27096-mytyres-uk/" TargetMode="External"/><Relationship Id="rId2295" Type="http://schemas.openxmlformats.org/officeDocument/2006/relationships/hyperlink" Target="https://www.coggles.com/" TargetMode="External"/><Relationship Id="rId3139" Type="http://schemas.openxmlformats.org/officeDocument/2006/relationships/hyperlink" Target="https://www.voxfurniture.ae/" TargetMode="External"/><Relationship Id="rId3346" Type="http://schemas.openxmlformats.org/officeDocument/2006/relationships/hyperlink" Target="https://store.admitad.com/webmaster/websites/2166760/offers/23197-edrawsoft-ww/" TargetMode="External"/><Relationship Id="rId267" Type="http://schemas.openxmlformats.org/officeDocument/2006/relationships/hyperlink" Target="https://events.flipkart.net/tarakki-ke-paanch-din" TargetMode="External"/><Relationship Id="rId474" Type="http://schemas.openxmlformats.org/officeDocument/2006/relationships/hyperlink" Target="https://store.admitad.com/webmaster/websites/2166760/offers/24939-monstrum-2-cps-many-geos/" TargetMode="External"/><Relationship Id="rId2155" Type="http://schemas.openxmlformats.org/officeDocument/2006/relationships/hyperlink" Target="https://dengiclick.kz/" TargetMode="External"/><Relationship Id="rId3553" Type="http://schemas.openxmlformats.org/officeDocument/2006/relationships/hyperlink" Target="https://www.bajajfinserv.in/insta-emi-network-card-apply-online" TargetMode="External"/><Relationship Id="rId3760" Type="http://schemas.openxmlformats.org/officeDocument/2006/relationships/hyperlink" Target="https://store.admitad.com/webmaster/websites/2166760/offers/24584-donttellmama-il/" TargetMode="External"/><Relationship Id="rId127" Type="http://schemas.openxmlformats.org/officeDocument/2006/relationships/hyperlink" Target="https://www.revolut.com/" TargetMode="External"/><Relationship Id="rId681" Type="http://schemas.openxmlformats.org/officeDocument/2006/relationships/hyperlink" Target="https://www.viator.com/it-IT/" TargetMode="External"/><Relationship Id="rId2362" Type="http://schemas.openxmlformats.org/officeDocument/2006/relationships/hyperlink" Target="https://store.admitad.com/webmaster/websites/2166760/offers/15041-timeweb-many-geos/" TargetMode="External"/><Relationship Id="rId3206" Type="http://schemas.openxmlformats.org/officeDocument/2006/relationships/hyperlink" Target="https://store.admitad.com/webmaster/websites/2166760/offers/26752-gear-4-music-uk/" TargetMode="External"/><Relationship Id="rId3413" Type="http://schemas.openxmlformats.org/officeDocument/2006/relationships/hyperlink" Target="https://healthandglow.com/" TargetMode="External"/><Relationship Id="rId3620" Type="http://schemas.openxmlformats.org/officeDocument/2006/relationships/hyperlink" Target="https://store.admitad.com/webmaster/websites/2166760/offers/17400-mamasandpapas-ae-sa-offline-codes-links/" TargetMode="External"/><Relationship Id="rId334" Type="http://schemas.openxmlformats.org/officeDocument/2006/relationships/hyperlink" Target="https://store.admitad.com/webmaster/websites/2166760/offers/24184-braun-uk/" TargetMode="External"/><Relationship Id="rId541" Type="http://schemas.openxmlformats.org/officeDocument/2006/relationships/hyperlink" Target="https://www.saa.co.uk/" TargetMode="External"/><Relationship Id="rId1171" Type="http://schemas.openxmlformats.org/officeDocument/2006/relationships/hyperlink" Target="https://www.scottsdalegolf.co.uk/" TargetMode="External"/><Relationship Id="rId2015" Type="http://schemas.openxmlformats.org/officeDocument/2006/relationships/hyperlink" Target="https://dengiclick.kz/" TargetMode="External"/><Relationship Id="rId2222" Type="http://schemas.openxmlformats.org/officeDocument/2006/relationships/hyperlink" Target="https://store.admitad.com/webmaster/websites/2166760/offers/25878-lab24-ua/" TargetMode="External"/><Relationship Id="rId401" Type="http://schemas.openxmlformats.org/officeDocument/2006/relationships/hyperlink" Target="https://www.feelunique.com/" TargetMode="External"/><Relationship Id="rId1031" Type="http://schemas.openxmlformats.org/officeDocument/2006/relationships/hyperlink" Target="https://www.forumsport.com/es-es/" TargetMode="External"/><Relationship Id="rId1988" Type="http://schemas.openxmlformats.org/officeDocument/2006/relationships/hyperlink" Target="https://store.admitad.com/webmaster/websites/2166760/offers/27068-foot-locker-uk/" TargetMode="External"/><Relationship Id="rId4187" Type="http://schemas.openxmlformats.org/officeDocument/2006/relationships/hyperlink" Target="https://letyshops.com/" TargetMode="External"/><Relationship Id="rId4047" Type="http://schemas.openxmlformats.org/officeDocument/2006/relationships/hyperlink" Target="http://skyeng.es/aprenderingles" TargetMode="External"/><Relationship Id="rId1848" Type="http://schemas.openxmlformats.org/officeDocument/2006/relationships/hyperlink" Target="https://store.admitad.com/webmaster/websites/2166760/offers/20836-blackshark-ww/" TargetMode="External"/><Relationship Id="rId3063" Type="http://schemas.openxmlformats.org/officeDocument/2006/relationships/hyperlink" Target="https://www.zavvi.com/" TargetMode="External"/><Relationship Id="rId3270" Type="http://schemas.openxmlformats.org/officeDocument/2006/relationships/hyperlink" Target="https://store.admitad.com/webmaster/websites/2166760/offers/16236-biba-cps-in/" TargetMode="External"/><Relationship Id="rId4114" Type="http://schemas.openxmlformats.org/officeDocument/2006/relationships/hyperlink" Target="https://store.admitad.com/webmaster/websites/2166760/offers/26704-tyre-shopper-uk/" TargetMode="External"/><Relationship Id="rId191" Type="http://schemas.openxmlformats.org/officeDocument/2006/relationships/hyperlink" Target="https://www.adda52.com/poker/campaign/partners/welcome150" TargetMode="External"/><Relationship Id="rId1708" Type="http://schemas.openxmlformats.org/officeDocument/2006/relationships/hyperlink" Target="https://store.admitad.com/webmaster/websites/2166760/offers/27674-santander-pj/" TargetMode="External"/><Relationship Id="rId1915" Type="http://schemas.openxmlformats.org/officeDocument/2006/relationships/hyperlink" Target="https://pandavpnpro.com/" TargetMode="External"/><Relationship Id="rId3130" Type="http://schemas.openxmlformats.org/officeDocument/2006/relationships/hyperlink" Target="https://store.admitad.com/webmaster/websites/2166760/offers/24867-ofour-many-geos/" TargetMode="External"/><Relationship Id="rId2689" Type="http://schemas.openxmlformats.org/officeDocument/2006/relationships/hyperlink" Target="https://www.arcgames.com/de/games/star-trek-online" TargetMode="External"/><Relationship Id="rId2896" Type="http://schemas.openxmlformats.org/officeDocument/2006/relationships/hyperlink" Target="https://store.admitad.com/webmaster/websites/2166760/offers/7997-star-conflict-cpp-ru-cis/" TargetMode="External"/><Relationship Id="rId3947" Type="http://schemas.openxmlformats.org/officeDocument/2006/relationships/hyperlink" Target="http://adheart.ru/" TargetMode="External"/><Relationship Id="rId868" Type="http://schemas.openxmlformats.org/officeDocument/2006/relationships/hyperlink" Target="https://store.admitad.com/webmaster/websites/2166760/offers/26475-waikiki-tr/" TargetMode="External"/><Relationship Id="rId1498" Type="http://schemas.openxmlformats.org/officeDocument/2006/relationships/hyperlink" Target="https://store.admitad.com/webmaster/websites/2166760/offers/27362-eqvvs-women-uk/" TargetMode="External"/><Relationship Id="rId2549" Type="http://schemas.openxmlformats.org/officeDocument/2006/relationships/hyperlink" Target="https://www.bitiba.es/" TargetMode="External"/><Relationship Id="rId2756" Type="http://schemas.openxmlformats.org/officeDocument/2006/relationships/hyperlink" Target="https://store.admitad.com/webmaster/websites/2166760/offers/24179-armada-deals-many-geos/" TargetMode="External"/><Relationship Id="rId2963" Type="http://schemas.openxmlformats.org/officeDocument/2006/relationships/hyperlink" Target="https://www.massdrop.com/" TargetMode="External"/><Relationship Id="rId3807" Type="http://schemas.openxmlformats.org/officeDocument/2006/relationships/hyperlink" Target="https://www.jdsports.it/" TargetMode="External"/><Relationship Id="rId728" Type="http://schemas.openxmlformats.org/officeDocument/2006/relationships/hyperlink" Target="https://store.admitad.com/webmaster/websites/2166760/offers/26152-kontakto-cz/" TargetMode="External"/><Relationship Id="rId935" Type="http://schemas.openxmlformats.org/officeDocument/2006/relationships/hyperlink" Target="https://www.auto-doc.fr/" TargetMode="External"/><Relationship Id="rId1358" Type="http://schemas.openxmlformats.org/officeDocument/2006/relationships/hyperlink" Target="https://store.admitad.com/webmaster/websites/2166760/offers/27167-pop-in-a-box-uk/" TargetMode="External"/><Relationship Id="rId1565" Type="http://schemas.openxmlformats.org/officeDocument/2006/relationships/hyperlink" Target="https://www.ullapopken.de/" TargetMode="External"/><Relationship Id="rId1772" Type="http://schemas.openxmlformats.org/officeDocument/2006/relationships/hyperlink" Target="https://store.admitad.com/webmaster/websites/2166760/offers/23853-f1-store-many-geos/" TargetMode="External"/><Relationship Id="rId2409" Type="http://schemas.openxmlformats.org/officeDocument/2006/relationships/hyperlink" Target="http://www.valuedopinions.co.in/join" TargetMode="External"/><Relationship Id="rId2616" Type="http://schemas.openxmlformats.org/officeDocument/2006/relationships/hyperlink" Target="https://store.admitad.com/webmaster/websites/2166760/offers/27351-bitiba-uk/" TargetMode="External"/><Relationship Id="rId64" Type="http://schemas.openxmlformats.org/officeDocument/2006/relationships/hyperlink" Target="https://store.admitad.com/webmaster/websites/2166760/offers/20021-levelshoes-ae-sa-kw-bh-qt-om-offline-codes-and-links/" TargetMode="External"/><Relationship Id="rId1218" Type="http://schemas.openxmlformats.org/officeDocument/2006/relationships/hyperlink" Target="https://store.admitad.com/webmaster/websites/2166760/offers/27018-europcar-international-uk-ie/" TargetMode="External"/><Relationship Id="rId1425" Type="http://schemas.openxmlformats.org/officeDocument/2006/relationships/hyperlink" Target="https://simplypaving.com/" TargetMode="External"/><Relationship Id="rId2823" Type="http://schemas.openxmlformats.org/officeDocument/2006/relationships/hyperlink" Target="https://www.aspinaloflondon.com/" TargetMode="External"/><Relationship Id="rId1632" Type="http://schemas.openxmlformats.org/officeDocument/2006/relationships/hyperlink" Target="https://store.admitad.com/webmaster/websites/2166760/offers/27537-mills-ua/" TargetMode="External"/><Relationship Id="rId2199" Type="http://schemas.openxmlformats.org/officeDocument/2006/relationships/hyperlink" Target="https://www.decathlon.kz/" TargetMode="External"/><Relationship Id="rId3597" Type="http://schemas.openxmlformats.org/officeDocument/2006/relationships/hyperlink" Target="https://kasta.ua/" TargetMode="External"/><Relationship Id="rId3457" Type="http://schemas.openxmlformats.org/officeDocument/2006/relationships/hyperlink" Target="https://www.deporte-outlet.es/" TargetMode="External"/><Relationship Id="rId3664" Type="http://schemas.openxmlformats.org/officeDocument/2006/relationships/hyperlink" Target="https://store.admitad.com/webmaster/websites/2166760/offers/20563-krediton-cps-ua/" TargetMode="External"/><Relationship Id="rId3871" Type="http://schemas.openxmlformats.org/officeDocument/2006/relationships/hyperlink" Target="https://www.asics.com/in/en-in" TargetMode="External"/><Relationship Id="rId378" Type="http://schemas.openxmlformats.org/officeDocument/2006/relationships/hyperlink" Target="https://store.admitad.com/webmaster/websites/2166760/offers/24491-searush-ae/" TargetMode="External"/><Relationship Id="rId585" Type="http://schemas.openxmlformats.org/officeDocument/2006/relationships/hyperlink" Target="https://www.coronadirect.be/" TargetMode="External"/><Relationship Id="rId792" Type="http://schemas.openxmlformats.org/officeDocument/2006/relationships/hyperlink" Target="https://store.admitad.com/webmaster/websites/2166760/offers/26302-preisvergleich-de/" TargetMode="External"/><Relationship Id="rId2059" Type="http://schemas.openxmlformats.org/officeDocument/2006/relationships/hyperlink" Target="http://www.zooplus.es/" TargetMode="External"/><Relationship Id="rId2266" Type="http://schemas.openxmlformats.org/officeDocument/2006/relationships/hyperlink" Target="https://store.admitad.com/webmaster/websites/2166760/offers/26664-zaochnik/" TargetMode="External"/><Relationship Id="rId2473" Type="http://schemas.openxmlformats.org/officeDocument/2006/relationships/hyperlink" Target="https://www.publicdesire.com/" TargetMode="External"/><Relationship Id="rId2680" Type="http://schemas.openxmlformats.org/officeDocument/2006/relationships/hyperlink" Target="https://store.admitad.com/webmaster/websites/2166760/offers/21220-spartoo-many-geos/" TargetMode="External"/><Relationship Id="rId3317" Type="http://schemas.openxmlformats.org/officeDocument/2006/relationships/hyperlink" Target="https://www.compensair.com/en/check-flight.html" TargetMode="External"/><Relationship Id="rId3524" Type="http://schemas.openxmlformats.org/officeDocument/2006/relationships/hyperlink" Target="https://store.admitad.com/webmaster/websites/2166760/offers/23225-thebar-br/" TargetMode="External"/><Relationship Id="rId3731" Type="http://schemas.openxmlformats.org/officeDocument/2006/relationships/hyperlink" Target="https://www.darienzocollezioni.it/" TargetMode="External"/><Relationship Id="rId238" Type="http://schemas.openxmlformats.org/officeDocument/2006/relationships/hyperlink" Target="https://store.admitad.com/webmaster/websites/2166760/offers/23352-hidemyass-ww/" TargetMode="External"/><Relationship Id="rId445" Type="http://schemas.openxmlformats.org/officeDocument/2006/relationships/hyperlink" Target="https://store.govee.com/" TargetMode="External"/><Relationship Id="rId652" Type="http://schemas.openxmlformats.org/officeDocument/2006/relationships/hyperlink" Target="https://store.admitad.com/webmaster/websites/2166760/offers/25828-cecil-de/" TargetMode="External"/><Relationship Id="rId1075" Type="http://schemas.openxmlformats.org/officeDocument/2006/relationships/hyperlink" Target="https://www.archiproducts.com/fr" TargetMode="External"/><Relationship Id="rId1282" Type="http://schemas.openxmlformats.org/officeDocument/2006/relationships/hyperlink" Target="https://store.admitad.com/webmaster/websites/2166760/offers/27082-europcar-us-canada/" TargetMode="External"/><Relationship Id="rId2126" Type="http://schemas.openxmlformats.org/officeDocument/2006/relationships/hyperlink" Target="https://store.admitad.com/webmaster/websites/2166760/offers/17470-namshi-gcc-offline-codes/" TargetMode="External"/><Relationship Id="rId2333" Type="http://schemas.openxmlformats.org/officeDocument/2006/relationships/hyperlink" Target="https://www.zoohit.cz/" TargetMode="External"/><Relationship Id="rId2540" Type="http://schemas.openxmlformats.org/officeDocument/2006/relationships/hyperlink" Target="https://store.admitad.com/webmaster/websites/2166760/offers/26626-walklondonshoes-ww/" TargetMode="External"/><Relationship Id="rId305" Type="http://schemas.openxmlformats.org/officeDocument/2006/relationships/hyperlink" Target="https://www.tataaig.com/" TargetMode="External"/><Relationship Id="rId512" Type="http://schemas.openxmlformats.org/officeDocument/2006/relationships/hyperlink" Target="https://store.admitad.com/webmaster/websites/2166760/offers/25082-the-telegraph-uk/" TargetMode="External"/><Relationship Id="rId1142" Type="http://schemas.openxmlformats.org/officeDocument/2006/relationships/hyperlink" Target="https://store.admitad.com/webmaster/websites/2166760/offers/26914-docmorris-fr/" TargetMode="External"/><Relationship Id="rId2400" Type="http://schemas.openxmlformats.org/officeDocument/2006/relationships/hyperlink" Target="https://store.admitad.com/webmaster/websites/2166760/offers/22066-mondelez-cadbury-cps-in/" TargetMode="External"/><Relationship Id="rId1002" Type="http://schemas.openxmlformats.org/officeDocument/2006/relationships/hyperlink" Target="https://store.admitad.com/webmaster/websites/2166760/offers/26685-qatar-nl/" TargetMode="External"/><Relationship Id="rId4158" Type="http://schemas.openxmlformats.org/officeDocument/2006/relationships/hyperlink" Target="https://store.admitad.com/webmaster/websites/2166760/offers/25873-datacampww/" TargetMode="External"/><Relationship Id="rId1959" Type="http://schemas.openxmlformats.org/officeDocument/2006/relationships/hyperlink" Target="https://www.lablue.de/" TargetMode="External"/><Relationship Id="rId3174" Type="http://schemas.openxmlformats.org/officeDocument/2006/relationships/hyperlink" Target="https://store.admitad.com/webmaster/websites/2166760/offers/26297-stoffe-hemmers-de/" TargetMode="External"/><Relationship Id="rId4018" Type="http://schemas.openxmlformats.org/officeDocument/2006/relationships/hyperlink" Target="https://store.admitad.com/webmaster/websites/2166760/offers/18218-seikoclub/" TargetMode="External"/><Relationship Id="rId1819" Type="http://schemas.openxmlformats.org/officeDocument/2006/relationships/hyperlink" Target="https://www.bakerross.co.uk/" TargetMode="External"/><Relationship Id="rId3381" Type="http://schemas.openxmlformats.org/officeDocument/2006/relationships/hyperlink" Target="https://www.made-in-china.com/" TargetMode="External"/><Relationship Id="rId4225" Type="http://schemas.openxmlformats.org/officeDocument/2006/relationships/hyperlink" Target="https://plarium.com/landings/en/desktop/raid/icegolem_f036_a_rdoapp?plid=150227" TargetMode="External"/><Relationship Id="rId2190" Type="http://schemas.openxmlformats.org/officeDocument/2006/relationships/hyperlink" Target="https://store.admitad.com/webmaster/websites/2166760/offers/23932-optifast-uk/" TargetMode="External"/><Relationship Id="rId3034" Type="http://schemas.openxmlformats.org/officeDocument/2006/relationships/hyperlink" Target="https://store.admitad.com/webmaster/websites/2166760/offers/22723-letyshops-cpllifetime-android-many-geos/" TargetMode="External"/><Relationship Id="rId3241" Type="http://schemas.openxmlformats.org/officeDocument/2006/relationships/hyperlink" Target="https://www.weekendesk.es/" TargetMode="External"/><Relationship Id="rId162" Type="http://schemas.openxmlformats.org/officeDocument/2006/relationships/hyperlink" Target="https://store.admitad.com/webmaster/websites/2166760/offers/22722-weg-de/" TargetMode="External"/><Relationship Id="rId2050" Type="http://schemas.openxmlformats.org/officeDocument/2006/relationships/hyperlink" Target="https://store.admitad.com/webmaster/websites/2166760/offers/26294-showtime-us/" TargetMode="External"/><Relationship Id="rId3101" Type="http://schemas.openxmlformats.org/officeDocument/2006/relationships/hyperlink" Target="https://fashion.sa/" TargetMode="External"/><Relationship Id="rId979" Type="http://schemas.openxmlformats.org/officeDocument/2006/relationships/hyperlink" Target="https://www.global.jdsports.com/" TargetMode="External"/><Relationship Id="rId839" Type="http://schemas.openxmlformats.org/officeDocument/2006/relationships/hyperlink" Target="https://www.ltfs.com/companies/lnt-investment-management/lnt-mutual-fund.html" TargetMode="External"/><Relationship Id="rId1469" Type="http://schemas.openxmlformats.org/officeDocument/2006/relationships/hyperlink" Target="https://www.osnatel.de/" TargetMode="External"/><Relationship Id="rId2867" Type="http://schemas.openxmlformats.org/officeDocument/2006/relationships/hyperlink" Target="https://www.chainreactioncycles.com/" TargetMode="External"/><Relationship Id="rId3918" Type="http://schemas.openxmlformats.org/officeDocument/2006/relationships/hyperlink" Target="https://store.admitad.com/webmaster/websites/2166760/offers/24855-mahzooz-many-geos/" TargetMode="External"/><Relationship Id="rId4082" Type="http://schemas.openxmlformats.org/officeDocument/2006/relationships/hyperlink" Target="https://store.admitad.com/webmaster/websites/2166760/offers/26423-bilder-de/" TargetMode="External"/><Relationship Id="rId1676" Type="http://schemas.openxmlformats.org/officeDocument/2006/relationships/hyperlink" Target="https://store.admitad.com/webmaster/websites/2166760/offers/27577-mechwarrior-cps-ru-cis/" TargetMode="External"/><Relationship Id="rId1883" Type="http://schemas.openxmlformats.org/officeDocument/2006/relationships/hyperlink" Target="https://www.gardenoflife.co.uk/" TargetMode="External"/><Relationship Id="rId2727" Type="http://schemas.openxmlformats.org/officeDocument/2006/relationships/hyperlink" Target="https://www.luisbien.fr/" TargetMode="External"/><Relationship Id="rId2934" Type="http://schemas.openxmlformats.org/officeDocument/2006/relationships/hyperlink" Target="https://store.admitad.com/webmaster/websites/2166760/offers/17823-sima-lend/" TargetMode="External"/><Relationship Id="rId906" Type="http://schemas.openxmlformats.org/officeDocument/2006/relationships/hyperlink" Target="https://store.admitad.com/webmaster/websites/2166760/offers/26545-watchmaster-uk/" TargetMode="External"/><Relationship Id="rId1329" Type="http://schemas.openxmlformats.org/officeDocument/2006/relationships/hyperlink" Target="https://www.top1toys.nl/" TargetMode="External"/><Relationship Id="rId1536" Type="http://schemas.openxmlformats.org/officeDocument/2006/relationships/hyperlink" Target="https://store.admitad.com/webmaster/websites/2166760/offers/27420-womensecret-pt/" TargetMode="External"/><Relationship Id="rId1743" Type="http://schemas.openxmlformats.org/officeDocument/2006/relationships/hyperlink" Target="https://shopee.in/" TargetMode="External"/><Relationship Id="rId1950" Type="http://schemas.openxmlformats.org/officeDocument/2006/relationships/hyperlink" Target="https://store.admitad.com/webmaster/websites/2166760/offers/26584-justpark-uk/" TargetMode="External"/><Relationship Id="rId35" Type="http://schemas.openxmlformats.org/officeDocument/2006/relationships/hyperlink" Target="https://www.maxfashion.com/ae/en/" TargetMode="External"/><Relationship Id="rId1603" Type="http://schemas.openxmlformats.org/officeDocument/2006/relationships/hyperlink" Target="https://www.nadula.com/" TargetMode="External"/><Relationship Id="rId1810" Type="http://schemas.openxmlformats.org/officeDocument/2006/relationships/hyperlink" Target="https://store.admitad.com/webmaster/websites/2166760/offers/26760-interdit-au-public-fr/" TargetMode="External"/><Relationship Id="rId3568" Type="http://schemas.openxmlformats.org/officeDocument/2006/relationships/hyperlink" Target="https://store.admitad.com/webmaster/websites/2166760/offers/26593-cadbury-gifts-direct-uk/" TargetMode="External"/><Relationship Id="rId3775" Type="http://schemas.openxmlformats.org/officeDocument/2006/relationships/hyperlink" Target="https://planner5d.com/" TargetMode="External"/><Relationship Id="rId3982" Type="http://schemas.openxmlformats.org/officeDocument/2006/relationships/hyperlink" Target="https://store.admitad.com/webmaster/websites/2166760/offers/23698-bellelily-ww/" TargetMode="External"/><Relationship Id="rId489" Type="http://schemas.openxmlformats.org/officeDocument/2006/relationships/hyperlink" Target="https://www.computeruniverse.net/" TargetMode="External"/><Relationship Id="rId696" Type="http://schemas.openxmlformats.org/officeDocument/2006/relationships/hyperlink" Target="https://store.admitad.com/webmaster/websites/2166760/offers/26074-valmano-many-geos/" TargetMode="External"/><Relationship Id="rId2377" Type="http://schemas.openxmlformats.org/officeDocument/2006/relationships/hyperlink" Target="http://zaimer.kz/" TargetMode="External"/><Relationship Id="rId2584" Type="http://schemas.openxmlformats.org/officeDocument/2006/relationships/hyperlink" Target="https://store.admitad.com/webmaster/websites/2166760/offers/27097-high-street-tv-uk/" TargetMode="External"/><Relationship Id="rId2791" Type="http://schemas.openxmlformats.org/officeDocument/2006/relationships/hyperlink" Target="https://www.fastandup.in/" TargetMode="External"/><Relationship Id="rId3428" Type="http://schemas.openxmlformats.org/officeDocument/2006/relationships/hyperlink" Target="https://store.admitad.com/webmaster/websites/2166760/offers/26077-aurum-ua/" TargetMode="External"/><Relationship Id="rId3635" Type="http://schemas.openxmlformats.org/officeDocument/2006/relationships/hyperlink" Target="https://www.lovelywholesale.com/" TargetMode="External"/><Relationship Id="rId349" Type="http://schemas.openxmlformats.org/officeDocument/2006/relationships/hyperlink" Target="https://www.kappastore.co.uk/" TargetMode="External"/><Relationship Id="rId556" Type="http://schemas.openxmlformats.org/officeDocument/2006/relationships/hyperlink" Target="https://store.admitad.com/webmaster/websites/2166760/offers/25265-belvilla-es/" TargetMode="External"/><Relationship Id="rId763" Type="http://schemas.openxmlformats.org/officeDocument/2006/relationships/hyperlink" Target="https://www.plesk.com/" TargetMode="External"/><Relationship Id="rId1186" Type="http://schemas.openxmlformats.org/officeDocument/2006/relationships/hyperlink" Target="https://store.admitad.com/webmaster/websites/2166760/offers/26983-smartbuyglasses-de/" TargetMode="External"/><Relationship Id="rId1393" Type="http://schemas.openxmlformats.org/officeDocument/2006/relationships/hyperlink" Target="https://www.maxpeedingrods.com/" TargetMode="External"/><Relationship Id="rId2237" Type="http://schemas.openxmlformats.org/officeDocument/2006/relationships/hyperlink" Target="https://www.glasswire.com/" TargetMode="External"/><Relationship Id="rId2444" Type="http://schemas.openxmlformats.org/officeDocument/2006/relationships/hyperlink" Target="https://store.admitad.com/webmaster/websites/2166760/offers/23598-kriminalnaia-rossiia-amazing-russia-cpp-rucis/" TargetMode="External"/><Relationship Id="rId3842" Type="http://schemas.openxmlformats.org/officeDocument/2006/relationships/hyperlink" Target="https://store.admitad.com/webmaster/websites/2166760/offers/14958-elvenar-soi-many-geos/" TargetMode="External"/><Relationship Id="rId209" Type="http://schemas.openxmlformats.org/officeDocument/2006/relationships/hyperlink" Target="https://shop.adidas.com.sa/en/" TargetMode="External"/><Relationship Id="rId416" Type="http://schemas.openxmlformats.org/officeDocument/2006/relationships/hyperlink" Target="https://store.admitad.com/webmaster/websites/2166760/offers/24634-ffin-coronatravel-cps-kz/" TargetMode="External"/><Relationship Id="rId970" Type="http://schemas.openxmlformats.org/officeDocument/2006/relationships/hyperlink" Target="https://store.admitad.com/webmaster/websites/2166760/offers/26658-glossybox-fr/" TargetMode="External"/><Relationship Id="rId1046" Type="http://schemas.openxmlformats.org/officeDocument/2006/relationships/hyperlink" Target="https://store.admitad.com/webmaster/websites/2166760/offers/26745-alltours-de/" TargetMode="External"/><Relationship Id="rId1253" Type="http://schemas.openxmlformats.org/officeDocument/2006/relationships/hyperlink" Target="https://www.mappinandwebb.com/" TargetMode="External"/><Relationship Id="rId2651" Type="http://schemas.openxmlformats.org/officeDocument/2006/relationships/hyperlink" Target="https://travelist.pl/" TargetMode="External"/><Relationship Id="rId3702" Type="http://schemas.openxmlformats.org/officeDocument/2006/relationships/hyperlink" Target="https://store.admitad.com/webmaster/websites/2166760/offers/23229-creditplus-cps-kz/" TargetMode="External"/><Relationship Id="rId623" Type="http://schemas.openxmlformats.org/officeDocument/2006/relationships/hyperlink" Target="https://www.nelson.nl/" TargetMode="External"/><Relationship Id="rId830" Type="http://schemas.openxmlformats.org/officeDocument/2006/relationships/hyperlink" Target="https://store.admitad.com/webmaster/websites/2166760/offers/26410-nitrado-dach-fr-usa-ru-und-pl/" TargetMode="External"/><Relationship Id="rId1460" Type="http://schemas.openxmlformats.org/officeDocument/2006/relationships/hyperlink" Target="https://store.admitad.com/webmaster/websites/2166760/offers/27326-fitmart-de/" TargetMode="External"/><Relationship Id="rId2304" Type="http://schemas.openxmlformats.org/officeDocument/2006/relationships/hyperlink" Target="https://store.admitad.com/webmaster/websites/2166760/offers/27005-snapfish-uk/" TargetMode="External"/><Relationship Id="rId2511" Type="http://schemas.openxmlformats.org/officeDocument/2006/relationships/hyperlink" Target="https://www.idee-shop.com/" TargetMode="External"/><Relationship Id="rId1113" Type="http://schemas.openxmlformats.org/officeDocument/2006/relationships/hyperlink" Target="https://www.5vorflug.de/?utm_term=home&amp;utm_campaign=ongoing" TargetMode="External"/><Relationship Id="rId1320" Type="http://schemas.openxmlformats.org/officeDocument/2006/relationships/hyperlink" Target="https://store.admitad.com/webmaster/websites/2166760/offers/27123-liebeskind-de/" TargetMode="External"/><Relationship Id="rId3078" Type="http://schemas.openxmlformats.org/officeDocument/2006/relationships/hyperlink" Target="https://store.admitad.com/webmaster/websites/2166760/offers/23537-kiehls-cps-in/" TargetMode="External"/><Relationship Id="rId3285" Type="http://schemas.openxmlformats.org/officeDocument/2006/relationships/hyperlink" Target="http://kiwi.com/" TargetMode="External"/><Relationship Id="rId3492" Type="http://schemas.openxmlformats.org/officeDocument/2006/relationships/hyperlink" Target="https://store.admitad.com/webmaster/websites/2166760/offers/19509-aromacode/" TargetMode="External"/><Relationship Id="rId4129" Type="http://schemas.openxmlformats.org/officeDocument/2006/relationships/hyperlink" Target="https://cashpoint.com.ua/" TargetMode="External"/><Relationship Id="rId2094" Type="http://schemas.openxmlformats.org/officeDocument/2006/relationships/hyperlink" Target="https://store.admitad.com/webmaster/websites/2166760/offers/27154-wilhelm-buchner-hochschule-de/" TargetMode="External"/><Relationship Id="rId3145" Type="http://schemas.openxmlformats.org/officeDocument/2006/relationships/hyperlink" Target="https://sleepycat.in/" TargetMode="External"/><Relationship Id="rId3352" Type="http://schemas.openxmlformats.org/officeDocument/2006/relationships/hyperlink" Target="https://store.admitad.com/webmaster/websites/2166760/offers/23644-mac-sales-other-world-computing-us/" TargetMode="External"/><Relationship Id="rId273" Type="http://schemas.openxmlformats.org/officeDocument/2006/relationships/hyperlink" Target="https://www.belvilla.fr/" TargetMode="External"/><Relationship Id="rId480" Type="http://schemas.openxmlformats.org/officeDocument/2006/relationships/hyperlink" Target="https://store.admitad.com/webmaster/websites/2166760/offers/24981-turnbull-asser-ww/" TargetMode="External"/><Relationship Id="rId2161" Type="http://schemas.openxmlformats.org/officeDocument/2006/relationships/hyperlink" Target="https://mikyajy.com/en-sa" TargetMode="External"/><Relationship Id="rId3005" Type="http://schemas.openxmlformats.org/officeDocument/2006/relationships/hyperlink" Target="https://sloncredit.com.ua/ru" TargetMode="External"/><Relationship Id="rId3212" Type="http://schemas.openxmlformats.org/officeDocument/2006/relationships/hyperlink" Target="https://store.admitad.com/webmaster/websites/2166760/offers/26917-giordano-shop-it/" TargetMode="External"/><Relationship Id="rId133" Type="http://schemas.openxmlformats.org/officeDocument/2006/relationships/hyperlink" Target="https://www.potterybarn.ae/en/" TargetMode="External"/><Relationship Id="rId340" Type="http://schemas.openxmlformats.org/officeDocument/2006/relationships/hyperlink" Target="https://store.admitad.com/webmaster/websites/2166760/offers/24210-surfshark-ww/" TargetMode="External"/><Relationship Id="rId2021" Type="http://schemas.openxmlformats.org/officeDocument/2006/relationships/hyperlink" Target="https://www.ucando.pl/" TargetMode="External"/><Relationship Id="rId200" Type="http://schemas.openxmlformats.org/officeDocument/2006/relationships/hyperlink" Target="https://store.admitad.com/webmaster/websites/2166760/offers/22971-best-buy-us/" TargetMode="External"/><Relationship Id="rId2978" Type="http://schemas.openxmlformats.org/officeDocument/2006/relationships/hyperlink" Target="https://store.admitad.com/webmaster/websites/2166760/offers/20389-mrmoney-cps-ua/" TargetMode="External"/><Relationship Id="rId4193" Type="http://schemas.openxmlformats.org/officeDocument/2006/relationships/hyperlink" Target="https://sokolov.ru/" TargetMode="External"/><Relationship Id="rId1787" Type="http://schemas.openxmlformats.org/officeDocument/2006/relationships/hyperlink" Target="https://www.flormar.com.tr/" TargetMode="External"/><Relationship Id="rId1994" Type="http://schemas.openxmlformats.org/officeDocument/2006/relationships/hyperlink" Target="https://store.admitad.com/webmaster/websites/2166760/offers/27114-lavazza-it/" TargetMode="External"/><Relationship Id="rId2838" Type="http://schemas.openxmlformats.org/officeDocument/2006/relationships/hyperlink" Target="https://store.admitad.com/webmaster/websites/2166760/offers/26751-la-redoute-uk/" TargetMode="External"/><Relationship Id="rId79" Type="http://schemas.openxmlformats.org/officeDocument/2006/relationships/hyperlink" Target="https://www.greca.co/es" TargetMode="External"/><Relationship Id="rId1647" Type="http://schemas.openxmlformats.org/officeDocument/2006/relationships/hyperlink" Target="https://www.momox.fr/" TargetMode="External"/><Relationship Id="rId1854" Type="http://schemas.openxmlformats.org/officeDocument/2006/relationships/hyperlink" Target="https://store.admitad.com/webmaster/websites/2166760/offers/21911-momondo-ru-pl/" TargetMode="External"/><Relationship Id="rId2905" Type="http://schemas.openxmlformats.org/officeDocument/2006/relationships/hyperlink" Target="http://www.my-karnaval.ru/" TargetMode="External"/><Relationship Id="rId4053" Type="http://schemas.openxmlformats.org/officeDocument/2006/relationships/hyperlink" Target="https://myglo.com.ua/" TargetMode="External"/><Relationship Id="rId1507" Type="http://schemas.openxmlformats.org/officeDocument/2006/relationships/hyperlink" Target="https://www.oberoihotels.com/" TargetMode="External"/><Relationship Id="rId1714" Type="http://schemas.openxmlformats.org/officeDocument/2006/relationships/hyperlink" Target="https://store.admitad.com/webmaster/websites/2166760/offers/27714-spartan-poker-web-cpl-in/" TargetMode="External"/><Relationship Id="rId4120" Type="http://schemas.openxmlformats.org/officeDocument/2006/relationships/hyperlink" Target="https://store.admitad.com/webmaster/websites/2166760/offers/3444-letual/" TargetMode="External"/><Relationship Id="rId1921" Type="http://schemas.openxmlformats.org/officeDocument/2006/relationships/hyperlink" Target="https://ekdum.co.in/order-online/menu" TargetMode="External"/><Relationship Id="rId3679" Type="http://schemas.openxmlformats.org/officeDocument/2006/relationships/hyperlink" Target="https://markformelle.by/" TargetMode="External"/><Relationship Id="rId2488" Type="http://schemas.openxmlformats.org/officeDocument/2006/relationships/hyperlink" Target="https://store.admitad.com/webmaster/websites/2166760/offers/24994-hawalili-ww/" TargetMode="External"/><Relationship Id="rId3886" Type="http://schemas.openxmlformats.org/officeDocument/2006/relationships/hyperlink" Target="https://store.admitad.com/webmaster/websites/2166760/offers/22842-oh-cps-ua/" TargetMode="External"/><Relationship Id="rId1297" Type="http://schemas.openxmlformats.org/officeDocument/2006/relationships/hyperlink" Target="https://www.autodoc.nl/" TargetMode="External"/><Relationship Id="rId2695" Type="http://schemas.openxmlformats.org/officeDocument/2006/relationships/hyperlink" Target="https://www.wakacje.pl/" TargetMode="External"/><Relationship Id="rId3539" Type="http://schemas.openxmlformats.org/officeDocument/2006/relationships/hyperlink" Target="https://www.italojewelry.com/" TargetMode="External"/><Relationship Id="rId3746" Type="http://schemas.openxmlformats.org/officeDocument/2006/relationships/hyperlink" Target="https://store.admitad.com/webmaster/websites/2166760/offers/24333-contented/" TargetMode="External"/><Relationship Id="rId3953" Type="http://schemas.openxmlformats.org/officeDocument/2006/relationships/hyperlink" Target="https://www.movavi.ru/" TargetMode="External"/><Relationship Id="rId667" Type="http://schemas.openxmlformats.org/officeDocument/2006/relationships/hyperlink" Target="https://www.adl.com.tr/" TargetMode="External"/><Relationship Id="rId874" Type="http://schemas.openxmlformats.org/officeDocument/2006/relationships/hyperlink" Target="https://store.admitad.com/webmaster/websites/2166760/offers/26483-chernobylite-cps-many-geos/" TargetMode="External"/><Relationship Id="rId2348" Type="http://schemas.openxmlformats.org/officeDocument/2006/relationships/hyperlink" Target="https://store.admitad.com/webmaster/websites/2166760/offers/27410-mutuisupermarket-it/" TargetMode="External"/><Relationship Id="rId2555" Type="http://schemas.openxmlformats.org/officeDocument/2006/relationships/hyperlink" Target="https://www.aosom.de/" TargetMode="External"/><Relationship Id="rId2762" Type="http://schemas.openxmlformats.org/officeDocument/2006/relationships/hyperlink" Target="https://store.admitad.com/webmaster/websites/2166760/offers/24444-paramount-us/" TargetMode="External"/><Relationship Id="rId3606" Type="http://schemas.openxmlformats.org/officeDocument/2006/relationships/hyperlink" Target="https://store.admitad.com/webmaster/websites/2166760/offers/14971-a-bank-cps-api-ua/" TargetMode="External"/><Relationship Id="rId3813" Type="http://schemas.openxmlformats.org/officeDocument/2006/relationships/hyperlink" Target="https://www.aktivshop.de/" TargetMode="External"/><Relationship Id="rId527" Type="http://schemas.openxmlformats.org/officeDocument/2006/relationships/hyperlink" Target="https://saffola.marico.in/" TargetMode="External"/><Relationship Id="rId734" Type="http://schemas.openxmlformats.org/officeDocument/2006/relationships/hyperlink" Target="https://store.admitad.com/webmaster/websites/2166760/offers/26158-focus-camera-us/" TargetMode="External"/><Relationship Id="rId941" Type="http://schemas.openxmlformats.org/officeDocument/2006/relationships/hyperlink" Target="https://www.smartbuyglasses.co.uk/" TargetMode="External"/><Relationship Id="rId1157" Type="http://schemas.openxmlformats.org/officeDocument/2006/relationships/hyperlink" Target="https://www.suitdirect.co.uk/" TargetMode="External"/><Relationship Id="rId1364" Type="http://schemas.openxmlformats.org/officeDocument/2006/relationships/hyperlink" Target="https://store.admitad.com/webmaster/websites/2166760/offers/27175-london-mint-office-uk/" TargetMode="External"/><Relationship Id="rId1571" Type="http://schemas.openxmlformats.org/officeDocument/2006/relationships/hyperlink" Target="https://zattoo.com/de" TargetMode="External"/><Relationship Id="rId2208" Type="http://schemas.openxmlformats.org/officeDocument/2006/relationships/hyperlink" Target="https://store.admitad.com/webmaster/websites/2166760/offers/24620-lebs-ae-sa-kw-eg-offline-codes/" TargetMode="External"/><Relationship Id="rId2415" Type="http://schemas.openxmlformats.org/officeDocument/2006/relationships/hyperlink" Target="https://play.google.com/store/apps/details?id=ua.raketa.app" TargetMode="External"/><Relationship Id="rId2622" Type="http://schemas.openxmlformats.org/officeDocument/2006/relationships/hyperlink" Target="https://store.admitad.com/webmaster/websites/2166760/offers/27402-cupshe-de/" TargetMode="External"/><Relationship Id="rId70" Type="http://schemas.openxmlformats.org/officeDocument/2006/relationships/hyperlink" Target="https://store.admitad.com/webmaster/websites/2166760/offers/20839-farfetch-many-geos/" TargetMode="External"/><Relationship Id="rId801" Type="http://schemas.openxmlformats.org/officeDocument/2006/relationships/hyperlink" Target="https://apetete.pl/" TargetMode="External"/><Relationship Id="rId1017" Type="http://schemas.openxmlformats.org/officeDocument/2006/relationships/hyperlink" Target="https://www.crocs.de/" TargetMode="External"/><Relationship Id="rId1224" Type="http://schemas.openxmlformats.org/officeDocument/2006/relationships/hyperlink" Target="https://store.admitad.com/webmaster/websites/2166760/offers/27030-emma-mattress-us/" TargetMode="External"/><Relationship Id="rId1431" Type="http://schemas.openxmlformats.org/officeDocument/2006/relationships/hyperlink" Target="https://deals.getcompressa.com/interstitial/c/" TargetMode="External"/><Relationship Id="rId3189" Type="http://schemas.openxmlformats.org/officeDocument/2006/relationships/hyperlink" Target="https://jingus.com/" TargetMode="External"/><Relationship Id="rId3396" Type="http://schemas.openxmlformats.org/officeDocument/2006/relationships/hyperlink" Target="https://store.admitad.com/webmaster/websites/2166760/offers/24924-oll-tv-cpl/" TargetMode="External"/><Relationship Id="rId3049" Type="http://schemas.openxmlformats.org/officeDocument/2006/relationships/hyperlink" Target="https://delivio.by/" TargetMode="External"/><Relationship Id="rId3256" Type="http://schemas.openxmlformats.org/officeDocument/2006/relationships/hyperlink" Target="https://store.admitad.com/webmaster/websites/2166760/offers/9869-secunda-ua/" TargetMode="External"/><Relationship Id="rId3463" Type="http://schemas.openxmlformats.org/officeDocument/2006/relationships/hyperlink" Target="https://hexclad.com/" TargetMode="External"/><Relationship Id="rId177" Type="http://schemas.openxmlformats.org/officeDocument/2006/relationships/hyperlink" Target="https://www.macys.com/" TargetMode="External"/><Relationship Id="rId384" Type="http://schemas.openxmlformats.org/officeDocument/2006/relationships/hyperlink" Target="https://store.admitad.com/webmaster/websites/2166760/offers/24517-yoox-uk/" TargetMode="External"/><Relationship Id="rId591" Type="http://schemas.openxmlformats.org/officeDocument/2006/relationships/hyperlink" Target="http://www.matchesfashion.com/" TargetMode="External"/><Relationship Id="rId2065" Type="http://schemas.openxmlformats.org/officeDocument/2006/relationships/hyperlink" Target="https://www.feelgoodcontacts.com/" TargetMode="External"/><Relationship Id="rId2272" Type="http://schemas.openxmlformats.org/officeDocument/2006/relationships/hyperlink" Target="https://store.admitad.com/webmaster/websites/2166760/offers/26742-the-cake-decorating-company-uk/" TargetMode="External"/><Relationship Id="rId3116" Type="http://schemas.openxmlformats.org/officeDocument/2006/relationships/hyperlink" Target="https://store.admitad.com/webmaster/websites/2166760/offers/24615-bedfolk-uk/" TargetMode="External"/><Relationship Id="rId3670" Type="http://schemas.openxmlformats.org/officeDocument/2006/relationships/hyperlink" Target="https://store.admitad.com/webmaster/websites/2166760/offers/21478-repka-ua/" TargetMode="External"/><Relationship Id="rId244" Type="http://schemas.openxmlformats.org/officeDocument/2006/relationships/hyperlink" Target="https://store.admitad.com/webmaster/websites/2166760/offers/23386-recognsurvey-cpl-in/" TargetMode="External"/><Relationship Id="rId1081" Type="http://schemas.openxmlformats.org/officeDocument/2006/relationships/hyperlink" Target="https://www.angelone.in/" TargetMode="External"/><Relationship Id="rId3323" Type="http://schemas.openxmlformats.org/officeDocument/2006/relationships/hyperlink" Target="https://uolhost.uol.com.br/" TargetMode="External"/><Relationship Id="rId3530" Type="http://schemas.openxmlformats.org/officeDocument/2006/relationships/hyperlink" Target="https://store.admitad.com/webmaster/websites/2166760/offers/23423-oniks-cps-ua/" TargetMode="External"/><Relationship Id="rId451" Type="http://schemas.openxmlformats.org/officeDocument/2006/relationships/hyperlink" Target="https://www.redletterdays.co.uk/" TargetMode="External"/><Relationship Id="rId2132" Type="http://schemas.openxmlformats.org/officeDocument/2006/relationships/hyperlink" Target="https://store.admitad.com/webmaster/websites/2166760/offers/18071-teknistore-ww/" TargetMode="External"/><Relationship Id="rId104" Type="http://schemas.openxmlformats.org/officeDocument/2006/relationships/hyperlink" Target="https://store.admitad.com/webmaster/websites/2166760/offers/21667-mothercare-ae-sa-kw/" TargetMode="External"/><Relationship Id="rId311" Type="http://schemas.openxmlformats.org/officeDocument/2006/relationships/hyperlink" Target="https://www.fasthosts.co.uk/" TargetMode="External"/><Relationship Id="rId1898" Type="http://schemas.openxmlformats.org/officeDocument/2006/relationships/hyperlink" Target="https://store.admitad.com/webmaster/websites/2166760/offers/24474-fonu-nl/" TargetMode="External"/><Relationship Id="rId2949" Type="http://schemas.openxmlformats.org/officeDocument/2006/relationships/hyperlink" Target="https://dfsport.ru/" TargetMode="External"/><Relationship Id="rId4097" Type="http://schemas.openxmlformats.org/officeDocument/2006/relationships/hyperlink" Target="http://www.adidas.ru/" TargetMode="External"/><Relationship Id="rId1758" Type="http://schemas.openxmlformats.org/officeDocument/2006/relationships/hyperlink" Target="https://store.admitad.com/webmaster/websites/2166760/offers/22921-alamy-ww/" TargetMode="External"/><Relationship Id="rId2809" Type="http://schemas.openxmlformats.org/officeDocument/2006/relationships/hyperlink" Target="https://blushmark.com/" TargetMode="External"/><Relationship Id="rId4164" Type="http://schemas.openxmlformats.org/officeDocument/2006/relationships/hyperlink" Target="https://store.admitad.com/webmaster/websites/2166760/offers/26425-eis-de/" TargetMode="External"/><Relationship Id="rId1965" Type="http://schemas.openxmlformats.org/officeDocument/2006/relationships/hyperlink" Target="https://www.footlocker.de/" TargetMode="External"/><Relationship Id="rId3180" Type="http://schemas.openxmlformats.org/officeDocument/2006/relationships/hyperlink" Target="https://store.admitad.com/webmaster/websites/2166760/offers/26315-deindesign-de/" TargetMode="External"/><Relationship Id="rId4024" Type="http://schemas.openxmlformats.org/officeDocument/2006/relationships/hyperlink" Target="https://store.admitad.com/webmaster/websites/2166760/offers/19857-fairyseason-ww/" TargetMode="External"/><Relationship Id="rId4231" Type="http://schemas.openxmlformats.org/officeDocument/2006/relationships/hyperlink" Target="https://ar.patpat.com/" TargetMode="External"/><Relationship Id="rId1618" Type="http://schemas.openxmlformats.org/officeDocument/2006/relationships/hyperlink" Target="https://store.admitad.com/webmaster/websites/2166760/offers/27525-litactivewear-ww/" TargetMode="External"/><Relationship Id="rId1825" Type="http://schemas.openxmlformats.org/officeDocument/2006/relationships/hyperlink" Target="https://www.cartridgepeople.com/" TargetMode="External"/><Relationship Id="rId3040" Type="http://schemas.openxmlformats.org/officeDocument/2006/relationships/hyperlink" Target="https://store.admitad.com/webmaster/websites/2166760/offers/22811-raid-shadow-legends-cpp-ww/" TargetMode="External"/><Relationship Id="rId3997" Type="http://schemas.openxmlformats.org/officeDocument/2006/relationships/hyperlink" Target="http://flipkart.com/" TargetMode="External"/><Relationship Id="rId2599" Type="http://schemas.openxmlformats.org/officeDocument/2006/relationships/hyperlink" Target="https://www.demon-tweeks.com/" TargetMode="External"/><Relationship Id="rId3857" Type="http://schemas.openxmlformats.org/officeDocument/2006/relationships/hyperlink" Target="https://auchan.ua/" TargetMode="External"/><Relationship Id="rId778" Type="http://schemas.openxmlformats.org/officeDocument/2006/relationships/hyperlink" Target="https://store.admitad.com/webmaster/websites/2166760/offers/26251-unelefante_ae/" TargetMode="External"/><Relationship Id="rId985" Type="http://schemas.openxmlformats.org/officeDocument/2006/relationships/hyperlink" Target="https://www.sport-thieme.de/" TargetMode="External"/><Relationship Id="rId2459" Type="http://schemas.openxmlformats.org/officeDocument/2006/relationships/hyperlink" Target="https://www.afbshop.fr/" TargetMode="External"/><Relationship Id="rId2666" Type="http://schemas.openxmlformats.org/officeDocument/2006/relationships/hyperlink" Target="https://store.admitad.com/webmaster/websites/2166760/offers/19838-desertcart-ww/" TargetMode="External"/><Relationship Id="rId2873" Type="http://schemas.openxmlformats.org/officeDocument/2006/relationships/hyperlink" Target="https://www.screencast-o-matic.com/" TargetMode="External"/><Relationship Id="rId3717" Type="http://schemas.openxmlformats.org/officeDocument/2006/relationships/hyperlink" Target="http://ringoo.ua/" TargetMode="External"/><Relationship Id="rId3924" Type="http://schemas.openxmlformats.org/officeDocument/2006/relationships/hyperlink" Target="https://store.admitad.com/webmaster/websites/2166760/offers/25007-techwearclub-ww/" TargetMode="External"/><Relationship Id="rId638" Type="http://schemas.openxmlformats.org/officeDocument/2006/relationships/hyperlink" Target="https://store.admitad.com/webmaster/websites/2166760/offers/25733-cotton-traders/" TargetMode="External"/><Relationship Id="rId845" Type="http://schemas.openxmlformats.org/officeDocument/2006/relationships/hyperlink" Target="https://fr.coach.com/" TargetMode="External"/><Relationship Id="rId1268" Type="http://schemas.openxmlformats.org/officeDocument/2006/relationships/hyperlink" Target="https://store.admitad.com/webmaster/websites/2166760/offers/27063-saldi-privati-it/" TargetMode="External"/><Relationship Id="rId1475" Type="http://schemas.openxmlformats.org/officeDocument/2006/relationships/hyperlink" Target="https://www.mi.com/it" TargetMode="External"/><Relationship Id="rId1682" Type="http://schemas.openxmlformats.org/officeDocument/2006/relationships/hyperlink" Target="https://store.admitad.com/webmaster/websites/2166760/offers/27593-rolidas-auto-ua/" TargetMode="External"/><Relationship Id="rId2319" Type="http://schemas.openxmlformats.org/officeDocument/2006/relationships/hyperlink" Target="http://www.panorabanques.com/" TargetMode="External"/><Relationship Id="rId2526" Type="http://schemas.openxmlformats.org/officeDocument/2006/relationships/hyperlink" Target="https://store.admitad.com/webmaster/websites/2166760/offers/26379-lineage-2-eu-cpp-many-geos/" TargetMode="External"/><Relationship Id="rId2733" Type="http://schemas.openxmlformats.org/officeDocument/2006/relationships/hyperlink" Target="https://fragstore.ru/" TargetMode="External"/><Relationship Id="rId705" Type="http://schemas.openxmlformats.org/officeDocument/2006/relationships/hyperlink" Target="https://www.currentbody.com/" TargetMode="External"/><Relationship Id="rId1128" Type="http://schemas.openxmlformats.org/officeDocument/2006/relationships/hyperlink" Target="https://store.admitad.com/webmaster/websites/2166760/offers/26905-bloomscape-us/" TargetMode="External"/><Relationship Id="rId1335" Type="http://schemas.openxmlformats.org/officeDocument/2006/relationships/hyperlink" Target="https://www.comma-store.de/" TargetMode="External"/><Relationship Id="rId1542" Type="http://schemas.openxmlformats.org/officeDocument/2006/relationships/hyperlink" Target="https://store.admitad.com/webmaster/websites/2166760/offers/27424-terrys-fabrics-uk/" TargetMode="External"/><Relationship Id="rId2940" Type="http://schemas.openxmlformats.org/officeDocument/2006/relationships/hyperlink" Target="https://store.admitad.com/webmaster/websites/2166760/offers/18153-economybookings-many-geos/" TargetMode="External"/><Relationship Id="rId912" Type="http://schemas.openxmlformats.org/officeDocument/2006/relationships/hyperlink" Target="https://store.admitad.com/webmaster/websites/2166760/offers/26550-sonova-it/" TargetMode="External"/><Relationship Id="rId2800" Type="http://schemas.openxmlformats.org/officeDocument/2006/relationships/hyperlink" Target="https://store.admitad.com/webmaster/websites/2166760/offers/26045-myposternl-nl/" TargetMode="External"/><Relationship Id="rId41" Type="http://schemas.openxmlformats.org/officeDocument/2006/relationships/hyperlink" Target="https://www.noon.com/en-ae/" TargetMode="External"/><Relationship Id="rId1402" Type="http://schemas.openxmlformats.org/officeDocument/2006/relationships/hyperlink" Target="https://store.admitad.com/webmaster/websites/2166760/offers/27248-nap-us/" TargetMode="External"/><Relationship Id="rId288" Type="http://schemas.openxmlformats.org/officeDocument/2006/relationships/hyperlink" Target="https://store.admitad.com/webmaster/websites/2166760/offers/23850-alerabat-pl/" TargetMode="External"/><Relationship Id="rId3367" Type="http://schemas.openxmlformats.org/officeDocument/2006/relationships/hyperlink" Target="https://www.stylewe.com/" TargetMode="External"/><Relationship Id="rId3574" Type="http://schemas.openxmlformats.org/officeDocument/2006/relationships/hyperlink" Target="https://store.admitad.com/webmaster/websites/2166760/offers/26972-beerwulf-uk/" TargetMode="External"/><Relationship Id="rId3781" Type="http://schemas.openxmlformats.org/officeDocument/2006/relationships/hyperlink" Target="https://www.privatesportshop.de/" TargetMode="External"/><Relationship Id="rId495" Type="http://schemas.openxmlformats.org/officeDocument/2006/relationships/hyperlink" Target="https://myshaky.nl/" TargetMode="External"/><Relationship Id="rId2176" Type="http://schemas.openxmlformats.org/officeDocument/2006/relationships/hyperlink" Target="https://store.admitad.com/webmaster/websites/2166760/offers/23529-tbdress-ww/" TargetMode="External"/><Relationship Id="rId2383" Type="http://schemas.openxmlformats.org/officeDocument/2006/relationships/hyperlink" Target="https://horacredit.ro/" TargetMode="External"/><Relationship Id="rId2590" Type="http://schemas.openxmlformats.org/officeDocument/2006/relationships/hyperlink" Target="https://store.admitad.com/webmaster/websites/2166760/offers/27132-mobiles-uk/" TargetMode="External"/><Relationship Id="rId3227" Type="http://schemas.openxmlformats.org/officeDocument/2006/relationships/hyperlink" Target="https://www.pyszne.pl/" TargetMode="External"/><Relationship Id="rId3434" Type="http://schemas.openxmlformats.org/officeDocument/2006/relationships/hyperlink" Target="https://store.admitad.com/webmaster/websites/2166760/offers/26253-goboo-cps-many-geos/" TargetMode="External"/><Relationship Id="rId3641" Type="http://schemas.openxmlformats.org/officeDocument/2006/relationships/hyperlink" Target="https://www.fiverr.com/" TargetMode="External"/><Relationship Id="rId148" Type="http://schemas.openxmlformats.org/officeDocument/2006/relationships/hyperlink" Target="https://store.admitad.com/webmaster/websites/2166760/offers/22477-supermoney-cps-it/" TargetMode="External"/><Relationship Id="rId355" Type="http://schemas.openxmlformats.org/officeDocument/2006/relationships/hyperlink" Target="https://butterflytwists.com/" TargetMode="External"/><Relationship Id="rId562" Type="http://schemas.openxmlformats.org/officeDocument/2006/relationships/hyperlink" Target="https://store.admitad.com/webmaster/websites/2166760/offers/25282-banco-inter-cpa-android/" TargetMode="External"/><Relationship Id="rId1192" Type="http://schemas.openxmlformats.org/officeDocument/2006/relationships/hyperlink" Target="https://store.admitad.com/webmaster/websites/2166760/offers/26988-tooled-up-uk/" TargetMode="External"/><Relationship Id="rId2036" Type="http://schemas.openxmlformats.org/officeDocument/2006/relationships/hyperlink" Target="https://store.admitad.com/webmaster/websites/2166760/offers/24723-kotak-cherry-cpl-in/" TargetMode="External"/><Relationship Id="rId2243" Type="http://schemas.openxmlformats.org/officeDocument/2006/relationships/hyperlink" Target="https://www.m-net.de/" TargetMode="External"/><Relationship Id="rId2450" Type="http://schemas.openxmlformats.org/officeDocument/2006/relationships/hyperlink" Target="https://store.admitad.com/webmaster/websites/2166760/offers/23869-transferwise-ww/" TargetMode="External"/><Relationship Id="rId3501" Type="http://schemas.openxmlformats.org/officeDocument/2006/relationships/hyperlink" Target="https://winetime.com.ua/" TargetMode="External"/><Relationship Id="rId215" Type="http://schemas.openxmlformats.org/officeDocument/2006/relationships/hyperlink" Target="https://www.myprotein.co.in/" TargetMode="External"/><Relationship Id="rId422" Type="http://schemas.openxmlformats.org/officeDocument/2006/relationships/hyperlink" Target="https://store.admitad.com/webmaster/websites/2166760/offers/24687-olephone-cpl-es/" TargetMode="External"/><Relationship Id="rId1052" Type="http://schemas.openxmlformats.org/officeDocument/2006/relationships/hyperlink" Target="https://store.admitad.com/webmaster/websites/2166760/offers/26765-purina-direct-uk/" TargetMode="External"/><Relationship Id="rId2103" Type="http://schemas.openxmlformats.org/officeDocument/2006/relationships/hyperlink" Target="https://www.kombo.co/fr" TargetMode="External"/><Relationship Id="rId2310" Type="http://schemas.openxmlformats.org/officeDocument/2006/relationships/hyperlink" Target="https://store.admitad.com/webmaster/websites/2166760/offers/27062-bitiba-nl/" TargetMode="External"/><Relationship Id="rId4068" Type="http://schemas.openxmlformats.org/officeDocument/2006/relationships/hyperlink" Target="https://store.admitad.com/webmaster/websites/2166760/offers/24818-komily-ww/" TargetMode="External"/><Relationship Id="rId1869" Type="http://schemas.openxmlformats.org/officeDocument/2006/relationships/hyperlink" Target="https://www.luisbien.com/" TargetMode="External"/><Relationship Id="rId3084" Type="http://schemas.openxmlformats.org/officeDocument/2006/relationships/hyperlink" Target="https://store.admitad.com/webmaster/websites/2166760/offers/23718-forenzi-cpl-kz/" TargetMode="External"/><Relationship Id="rId3291" Type="http://schemas.openxmlformats.org/officeDocument/2006/relationships/hyperlink" Target="https://shop4reebok.com/" TargetMode="External"/><Relationship Id="rId4135" Type="http://schemas.openxmlformats.org/officeDocument/2006/relationships/hyperlink" Target="https://www.reliancedigital.in/" TargetMode="External"/><Relationship Id="rId1729" Type="http://schemas.openxmlformats.org/officeDocument/2006/relationships/hyperlink" Target="https://www.janabank.com/" TargetMode="External"/><Relationship Id="rId1936" Type="http://schemas.openxmlformats.org/officeDocument/2006/relationships/hyperlink" Target="https://store.admitad.com/webmaster/websites/2166760/offers/26360-douglas-pl/" TargetMode="External"/><Relationship Id="rId3151" Type="http://schemas.openxmlformats.org/officeDocument/2006/relationships/hyperlink" Target="https://www.desigual.com/" TargetMode="External"/><Relationship Id="rId4202" Type="http://schemas.openxmlformats.org/officeDocument/2006/relationships/hyperlink" Target="https://store.admitad.com/webmaster/websites/2166760/offers/12026-bookingcom-many-geos/" TargetMode="External"/><Relationship Id="rId3011" Type="http://schemas.openxmlformats.org/officeDocument/2006/relationships/hyperlink" Target="https://www.radissonhotelgroup.com/" TargetMode="External"/><Relationship Id="rId3968" Type="http://schemas.openxmlformats.org/officeDocument/2006/relationships/hyperlink" Target="https://store.admitad.com/webmaster/websites/2166760/offers/22931-canva-many-geos/" TargetMode="External"/><Relationship Id="rId5" Type="http://schemas.openxmlformats.org/officeDocument/2006/relationships/hyperlink" Target="http://agoda.com/" TargetMode="External"/><Relationship Id="rId889" Type="http://schemas.openxmlformats.org/officeDocument/2006/relationships/hyperlink" Target="https://www.soultree.in/" TargetMode="External"/><Relationship Id="rId2777" Type="http://schemas.openxmlformats.org/officeDocument/2006/relationships/hyperlink" Target="https://www.weightworld.uk/" TargetMode="External"/><Relationship Id="rId749" Type="http://schemas.openxmlformats.org/officeDocument/2006/relationships/hyperlink" Target="https://www.underarmour.ie/en-ie/" TargetMode="External"/><Relationship Id="rId1379" Type="http://schemas.openxmlformats.org/officeDocument/2006/relationships/hyperlink" Target="https://popinabox.us/" TargetMode="External"/><Relationship Id="rId1586" Type="http://schemas.openxmlformats.org/officeDocument/2006/relationships/hyperlink" Target="https://store.admitad.com/webmaster/websites/2166760/offers/27473-long-tall-sally-uk/" TargetMode="External"/><Relationship Id="rId2984" Type="http://schemas.openxmlformats.org/officeDocument/2006/relationships/hyperlink" Target="https://store.admitad.com/webmaster/websites/2166760/offers/20827-world-of-warships-cpp-ru-cis/" TargetMode="External"/><Relationship Id="rId3828" Type="http://schemas.openxmlformats.org/officeDocument/2006/relationships/hyperlink" Target="https://store.admitad.com/webmaster/websites/2166760/offers/27431-lieferando-de/" TargetMode="External"/><Relationship Id="rId609" Type="http://schemas.openxmlformats.org/officeDocument/2006/relationships/hyperlink" Target="http://www.spacenk.com/uk/en_GB/women/" TargetMode="External"/><Relationship Id="rId956" Type="http://schemas.openxmlformats.org/officeDocument/2006/relationships/hyperlink" Target="https://store.admitad.com/webmaster/websites/2166760/offers/26635-reefi-sa-offline-codes/" TargetMode="External"/><Relationship Id="rId1239" Type="http://schemas.openxmlformats.org/officeDocument/2006/relationships/hyperlink" Target="https://www.hrs.de/" TargetMode="External"/><Relationship Id="rId1793" Type="http://schemas.openxmlformats.org/officeDocument/2006/relationships/hyperlink" Target="https://www.51015kids.eu/" TargetMode="External"/><Relationship Id="rId2637" Type="http://schemas.openxmlformats.org/officeDocument/2006/relationships/hyperlink" Target="https://www.yves-rocher-kz.com/" TargetMode="External"/><Relationship Id="rId2844" Type="http://schemas.openxmlformats.org/officeDocument/2006/relationships/hyperlink" Target="https://store.admitad.com/webmaster/websites/2166760/offers/26916-under-armour-ca/" TargetMode="External"/><Relationship Id="rId85" Type="http://schemas.openxmlformats.org/officeDocument/2006/relationships/hyperlink" Target="https://www.mandmdirect.pl/" TargetMode="External"/><Relationship Id="rId816" Type="http://schemas.openxmlformats.org/officeDocument/2006/relationships/hyperlink" Target="https://store.admitad.com/webmaster/websites/2166760/offers/26377-isawitfirst-uk/" TargetMode="External"/><Relationship Id="rId1446" Type="http://schemas.openxmlformats.org/officeDocument/2006/relationships/hyperlink" Target="https://store.admitad.com/webmaster/websites/2166760/offers/27294-kodak-photo-printer-many-geos/" TargetMode="External"/><Relationship Id="rId1653" Type="http://schemas.openxmlformats.org/officeDocument/2006/relationships/hyperlink" Target="https://startselect.com/fr-fr" TargetMode="External"/><Relationship Id="rId1860" Type="http://schemas.openxmlformats.org/officeDocument/2006/relationships/hyperlink" Target="https://store.admitad.com/webmaster/websites/2166760/offers/22347-uol-esporte-clube-br/" TargetMode="External"/><Relationship Id="rId2704" Type="http://schemas.openxmlformats.org/officeDocument/2006/relationships/hyperlink" Target="https://store.admitad.com/webmaster/websites/2166760/offers/22571-puma-ua/" TargetMode="External"/><Relationship Id="rId2911" Type="http://schemas.openxmlformats.org/officeDocument/2006/relationships/hyperlink" Target="https://ruvds.com/" TargetMode="External"/><Relationship Id="rId1306" Type="http://schemas.openxmlformats.org/officeDocument/2006/relationships/hyperlink" Target="https://store.admitad.com/webmaster/websites/2166760/offers/27110-lacoste-fr/" TargetMode="External"/><Relationship Id="rId1513" Type="http://schemas.openxmlformats.org/officeDocument/2006/relationships/hyperlink" Target="https://us.currentbody.com/" TargetMode="External"/><Relationship Id="rId1720" Type="http://schemas.openxmlformats.org/officeDocument/2006/relationships/hyperlink" Target="https://store.admitad.com/webmaster/websites/2166760/offers/27724-icici-lombard-car-cpl-in/" TargetMode="External"/><Relationship Id="rId12" Type="http://schemas.openxmlformats.org/officeDocument/2006/relationships/hyperlink" Target="https://store.admitad.com/webmaster/websites/2166760/offers/15387-myrentacar-ww/" TargetMode="External"/><Relationship Id="rId3478" Type="http://schemas.openxmlformats.org/officeDocument/2006/relationships/hyperlink" Target="https://store.admitad.com/webmaster/websites/2166760/offers/15435-itsell-ua/" TargetMode="External"/><Relationship Id="rId3685" Type="http://schemas.openxmlformats.org/officeDocument/2006/relationships/hyperlink" Target="https://www.novakid.com.tr/" TargetMode="External"/><Relationship Id="rId3892" Type="http://schemas.openxmlformats.org/officeDocument/2006/relationships/hyperlink" Target="https://store.admitad.com/webmaster/websites/2166760/offers/22919-fitstars-ru/" TargetMode="External"/><Relationship Id="rId399" Type="http://schemas.openxmlformats.org/officeDocument/2006/relationships/hyperlink" Target="https://www.rathi.com/" TargetMode="External"/><Relationship Id="rId2287" Type="http://schemas.openxmlformats.org/officeDocument/2006/relationships/hyperlink" Target="https://anticafarmaciaorlandi.it/" TargetMode="External"/><Relationship Id="rId2494" Type="http://schemas.openxmlformats.org/officeDocument/2006/relationships/hyperlink" Target="https://store.admitad.com/webmaster/websites/2166760/offers/25273-ayakkabi-dunyasi/" TargetMode="External"/><Relationship Id="rId3338" Type="http://schemas.openxmlformats.org/officeDocument/2006/relationships/hyperlink" Target="https://store.admitad.com/webmaster/websites/2166760/offers/22917-preply-cpscpl-many-geos/" TargetMode="External"/><Relationship Id="rId3545" Type="http://schemas.openxmlformats.org/officeDocument/2006/relationships/hyperlink" Target="https://sex-shop.ua/" TargetMode="External"/><Relationship Id="rId3752" Type="http://schemas.openxmlformats.org/officeDocument/2006/relationships/hyperlink" Target="https://store.admitad.com/webmaster/websites/2166760/offers/24411-brandshopru/" TargetMode="External"/><Relationship Id="rId259" Type="http://schemas.openxmlformats.org/officeDocument/2006/relationships/hyperlink" Target="https://www.zavvi.com/" TargetMode="External"/><Relationship Id="rId466" Type="http://schemas.openxmlformats.org/officeDocument/2006/relationships/hyperlink" Target="https://store.admitad.com/webmaster/websites/2166760/offers/24887-gant-cps-es-nl-it/" TargetMode="External"/><Relationship Id="rId673" Type="http://schemas.openxmlformats.org/officeDocument/2006/relationships/hyperlink" Target="https://play.google.com/store/apps/details?id=app.getorca.b2c" TargetMode="External"/><Relationship Id="rId880" Type="http://schemas.openxmlformats.org/officeDocument/2006/relationships/hyperlink" Target="https://store.admitad.com/webmaster/websites/2166760/offers/26494-belvilla-de/" TargetMode="External"/><Relationship Id="rId1096" Type="http://schemas.openxmlformats.org/officeDocument/2006/relationships/hyperlink" Target="https://store.admitad.com/webmaster/websites/2166760/offers/26857-smarty-uk/" TargetMode="External"/><Relationship Id="rId2147" Type="http://schemas.openxmlformats.org/officeDocument/2006/relationships/hyperlink" Target="https://www.caspitours.co.il/" TargetMode="External"/><Relationship Id="rId2354" Type="http://schemas.openxmlformats.org/officeDocument/2006/relationships/hyperlink" Target="https://store.admitad.com/webmaster/websites/2166760/offers/5700-travian-legends-doi-ru-many-geos/" TargetMode="External"/><Relationship Id="rId2561" Type="http://schemas.openxmlformats.org/officeDocument/2006/relationships/hyperlink" Target="https://www.bajajfinservmarkets.in/apply-for-personal-loan/" TargetMode="External"/><Relationship Id="rId3405" Type="http://schemas.openxmlformats.org/officeDocument/2006/relationships/hyperlink" Target="https://www.orto-line.com.ua/" TargetMode="External"/><Relationship Id="rId119" Type="http://schemas.openxmlformats.org/officeDocument/2006/relationships/hyperlink" Target="https://apps.apple.com/ru/app/autodoc-quality-auto-parts/id1014949597" TargetMode="External"/><Relationship Id="rId326" Type="http://schemas.openxmlformats.org/officeDocument/2006/relationships/hyperlink" Target="https://store.admitad.com/webmaster/websites/2166760/offers/24103-exante-uk/" TargetMode="External"/><Relationship Id="rId533" Type="http://schemas.openxmlformats.org/officeDocument/2006/relationships/hyperlink" Target="https://www.kenzo.com/" TargetMode="External"/><Relationship Id="rId1163" Type="http://schemas.openxmlformats.org/officeDocument/2006/relationships/hyperlink" Target="https://www.fashioneyewear.co.uk/" TargetMode="External"/><Relationship Id="rId1370" Type="http://schemas.openxmlformats.org/officeDocument/2006/relationships/hyperlink" Target="https://store.admitad.com/webmaster/websites/2166760/offers/27179-body-fit-nl-be/" TargetMode="External"/><Relationship Id="rId2007" Type="http://schemas.openxmlformats.org/officeDocument/2006/relationships/hyperlink" Target="http://peers.tv/" TargetMode="External"/><Relationship Id="rId2214" Type="http://schemas.openxmlformats.org/officeDocument/2006/relationships/hyperlink" Target="https://store.admitad.com/webmaster/websites/2166760/offers/24876-shytobuy-uk-de/" TargetMode="External"/><Relationship Id="rId3612" Type="http://schemas.openxmlformats.org/officeDocument/2006/relationships/hyperlink" Target="https://store.admitad.com/webmaster/websites/2166760/offers/16145-tvc-mall-ww/" TargetMode="External"/><Relationship Id="rId740" Type="http://schemas.openxmlformats.org/officeDocument/2006/relationships/hyperlink" Target="https://store.admitad.com/webmaster/websites/2166760/offers/26162-body-cupid-cps-in/" TargetMode="External"/><Relationship Id="rId1023" Type="http://schemas.openxmlformats.org/officeDocument/2006/relationships/hyperlink" Target="https://gorillas.io/en" TargetMode="External"/><Relationship Id="rId2421" Type="http://schemas.openxmlformats.org/officeDocument/2006/relationships/hyperlink" Target="https://deadhaussonata.com/store/" TargetMode="External"/><Relationship Id="rId4179" Type="http://schemas.openxmlformats.org/officeDocument/2006/relationships/hyperlink" Target="https://www.bigcommerce.com/" TargetMode="External"/><Relationship Id="rId600" Type="http://schemas.openxmlformats.org/officeDocument/2006/relationships/hyperlink" Target="https://store.admitad.com/webmaster/websites/2166760/offers/25486-cult-beauty-ltd-uk/" TargetMode="External"/><Relationship Id="rId1230" Type="http://schemas.openxmlformats.org/officeDocument/2006/relationships/hyperlink" Target="https://store.admitad.com/webmaster/websites/2166760/offers/27037-lw-theatres-uk/" TargetMode="External"/><Relationship Id="rId3195" Type="http://schemas.openxmlformats.org/officeDocument/2006/relationships/hyperlink" Target="https://www.debenhams.com/" TargetMode="External"/><Relationship Id="rId4039" Type="http://schemas.openxmlformats.org/officeDocument/2006/relationships/hyperlink" Target="https://eva.ua/" TargetMode="External"/><Relationship Id="rId3055" Type="http://schemas.openxmlformats.org/officeDocument/2006/relationships/hyperlink" Target="https://www.wondershare.com/" TargetMode="External"/><Relationship Id="rId3262" Type="http://schemas.openxmlformats.org/officeDocument/2006/relationships/hyperlink" Target="https://store.admitad.com/webmaster/websites/2166760/offers/14289-aliexpress-tr/" TargetMode="External"/><Relationship Id="rId4106" Type="http://schemas.openxmlformats.org/officeDocument/2006/relationships/hyperlink" Target="https://store.admitad.com/webmaster/websites/2166760/offers/21788-otus/" TargetMode="External"/><Relationship Id="rId183" Type="http://schemas.openxmlformats.org/officeDocument/2006/relationships/hyperlink" Target="https://apps.apple.com/ru/app/skyeng/id1065290732" TargetMode="External"/><Relationship Id="rId390" Type="http://schemas.openxmlformats.org/officeDocument/2006/relationships/hyperlink" Target="https://store.admitad.com/webmaster/websites/2166760/offers/24560-bmg-corinthians-cpa-ios-br/" TargetMode="External"/><Relationship Id="rId1907" Type="http://schemas.openxmlformats.org/officeDocument/2006/relationships/hyperlink" Target="https://www.slimcenter.de/" TargetMode="External"/><Relationship Id="rId2071" Type="http://schemas.openxmlformats.org/officeDocument/2006/relationships/hyperlink" Target="https://www.wayrates.com/" TargetMode="External"/><Relationship Id="rId3122" Type="http://schemas.openxmlformats.org/officeDocument/2006/relationships/hyperlink" Target="https://store.admitad.com/webmaster/websites/2166760/offers/24677-megotravel/" TargetMode="External"/><Relationship Id="rId250" Type="http://schemas.openxmlformats.org/officeDocument/2006/relationships/hyperlink" Target="https://store.admitad.com/webmaster/websites/2166760/offers/23458-hp-cps-in/" TargetMode="External"/><Relationship Id="rId110" Type="http://schemas.openxmlformats.org/officeDocument/2006/relationships/hyperlink" Target="https://store.admitad.com/webmaster/websites/2166760/offers/21878-finanzcheck-de/" TargetMode="External"/><Relationship Id="rId2888" Type="http://schemas.openxmlformats.org/officeDocument/2006/relationships/hyperlink" Target="https://store.admitad.com/webmaster/websites/2166760/offers/2277-nethouse/" TargetMode="External"/><Relationship Id="rId3939" Type="http://schemas.openxmlformats.org/officeDocument/2006/relationships/hyperlink" Target="https://www.street-one.de/" TargetMode="External"/><Relationship Id="rId1697" Type="http://schemas.openxmlformats.org/officeDocument/2006/relationships/hyperlink" Target="https://worldoftanks.com/" TargetMode="External"/><Relationship Id="rId2748" Type="http://schemas.openxmlformats.org/officeDocument/2006/relationships/hyperlink" Target="https://store.admitad.com/webmaster/websites/2166760/offers/24072-petzz-shop-tr/" TargetMode="External"/><Relationship Id="rId2955" Type="http://schemas.openxmlformats.org/officeDocument/2006/relationships/hyperlink" Target="https://oma.by/" TargetMode="External"/><Relationship Id="rId927" Type="http://schemas.openxmlformats.org/officeDocument/2006/relationships/hyperlink" Target="https://thebodyshop.pl/" TargetMode="External"/><Relationship Id="rId1557" Type="http://schemas.openxmlformats.org/officeDocument/2006/relationships/hyperlink" Target="https://www.swarovski.com/en-US/" TargetMode="External"/><Relationship Id="rId1764" Type="http://schemas.openxmlformats.org/officeDocument/2006/relationships/hyperlink" Target="https://store.admitad.com/webmaster/websites/2166760/offers/23074-udyan-tea-cps-in/" TargetMode="External"/><Relationship Id="rId1971" Type="http://schemas.openxmlformats.org/officeDocument/2006/relationships/hyperlink" Target="http://www.bodyandfit.com/de-de" TargetMode="External"/><Relationship Id="rId2608" Type="http://schemas.openxmlformats.org/officeDocument/2006/relationships/hyperlink" Target="https://store.admitad.com/webmaster/websites/2166760/offers/27245-worldremit-us/" TargetMode="External"/><Relationship Id="rId2815" Type="http://schemas.openxmlformats.org/officeDocument/2006/relationships/hyperlink" Target="https://grand-rp.su/" TargetMode="External"/><Relationship Id="rId4170" Type="http://schemas.openxmlformats.org/officeDocument/2006/relationships/hyperlink" Target="https://store.admitad.com/webmaster/websites/2166760/offers/27197-besthosting-ua/" TargetMode="External"/><Relationship Id="rId56" Type="http://schemas.openxmlformats.org/officeDocument/2006/relationships/hyperlink" Target="https://store.admitad.com/webmaster/websites/2166760/offers/19744-smartpozyczka-cps-pl/" TargetMode="External"/><Relationship Id="rId1417" Type="http://schemas.openxmlformats.org/officeDocument/2006/relationships/hyperlink" Target="https://megafoodstunter.nl/" TargetMode="External"/><Relationship Id="rId1624" Type="http://schemas.openxmlformats.org/officeDocument/2006/relationships/hyperlink" Target="https://store.admitad.com/webmaster/websites/2166760/offers/27533-cupshe-fr/" TargetMode="External"/><Relationship Id="rId1831" Type="http://schemas.openxmlformats.org/officeDocument/2006/relationships/hyperlink" Target="https://www.farmamia.net/" TargetMode="External"/><Relationship Id="rId4030" Type="http://schemas.openxmlformats.org/officeDocument/2006/relationships/hyperlink" Target="https://store.admitad.com/webmaster/websites/2166760/offers/20999-americanas-br/" TargetMode="External"/><Relationship Id="rId3589" Type="http://schemas.openxmlformats.org/officeDocument/2006/relationships/hyperlink" Target="http://printbar.ru/" TargetMode="External"/><Relationship Id="rId3796" Type="http://schemas.openxmlformats.org/officeDocument/2006/relationships/hyperlink" Target="https://store.admitad.com/webmaster/websites/2166760/offers/26252-war-robots-soi-uk-us-dach/" TargetMode="External"/><Relationship Id="rId2398" Type="http://schemas.openxmlformats.org/officeDocument/2006/relationships/hyperlink" Target="https://store.admitad.com/webmaster/websites/2166760/offers/22053-neverwinter-cpp-de-at-ch/" TargetMode="External"/><Relationship Id="rId3449" Type="http://schemas.openxmlformats.org/officeDocument/2006/relationships/hyperlink" Target="https://www.betreut.de/" TargetMode="External"/><Relationship Id="rId577" Type="http://schemas.openxmlformats.org/officeDocument/2006/relationships/hyperlink" Target="http://www.udacity.com/" TargetMode="External"/><Relationship Id="rId2258" Type="http://schemas.openxmlformats.org/officeDocument/2006/relationships/hyperlink" Target="https://store.admitad.com/webmaster/websites/2166760/offers/26579-lookfantastic-dach/" TargetMode="External"/><Relationship Id="rId3656" Type="http://schemas.openxmlformats.org/officeDocument/2006/relationships/hyperlink" Target="https://store.admitad.com/webmaster/websites/2166760/offers/19622-tengo-cps-kz/" TargetMode="External"/><Relationship Id="rId3863" Type="http://schemas.openxmlformats.org/officeDocument/2006/relationships/hyperlink" Target="https://www.uniplaces.com/" TargetMode="External"/><Relationship Id="rId784" Type="http://schemas.openxmlformats.org/officeDocument/2006/relationships/hyperlink" Target="https://store.admitad.com/webmaster/websites/2166760/offers/26266-2collab_-br/" TargetMode="External"/><Relationship Id="rId991" Type="http://schemas.openxmlformats.org/officeDocument/2006/relationships/hyperlink" Target="https://www.rueden.de/" TargetMode="External"/><Relationship Id="rId1067" Type="http://schemas.openxmlformats.org/officeDocument/2006/relationships/hyperlink" Target="https://wellnessforever.com/" TargetMode="External"/><Relationship Id="rId2465" Type="http://schemas.openxmlformats.org/officeDocument/2006/relationships/hyperlink" Target="https://basicslife.com/" TargetMode="External"/><Relationship Id="rId2672" Type="http://schemas.openxmlformats.org/officeDocument/2006/relationships/hyperlink" Target="https://store.admitad.com/webmaster/websites/2166760/offers/20774-ubuy-many-geos-offline-codes-links/" TargetMode="External"/><Relationship Id="rId3309" Type="http://schemas.openxmlformats.org/officeDocument/2006/relationships/hyperlink" Target="https://www.submarino.com.br/" TargetMode="External"/><Relationship Id="rId3516" Type="http://schemas.openxmlformats.org/officeDocument/2006/relationships/hyperlink" Target="https://store.admitad.com/webmaster/websites/2166760/offers/22478-war-thunder-cpp-many-geos/" TargetMode="External"/><Relationship Id="rId3723" Type="http://schemas.openxmlformats.org/officeDocument/2006/relationships/hyperlink" Target="https://www.vinhofacil.com.br/" TargetMode="External"/><Relationship Id="rId3930" Type="http://schemas.openxmlformats.org/officeDocument/2006/relationships/hyperlink" Target="https://store.admitad.com/webmaster/websites/2166760/offers/25976-escapeweltde-many-geos/" TargetMode="External"/><Relationship Id="rId437" Type="http://schemas.openxmlformats.org/officeDocument/2006/relationships/hyperlink" Target="https://www.ralphlauren.it/" TargetMode="External"/><Relationship Id="rId644" Type="http://schemas.openxmlformats.org/officeDocument/2006/relationships/hyperlink" Target="https://store.admitad.com/webmaster/websites/2166760/offers/25767-medpets-tierapotheke-online-de-1/" TargetMode="External"/><Relationship Id="rId851" Type="http://schemas.openxmlformats.org/officeDocument/2006/relationships/hyperlink" Target="https://nuawoman.com/?utm_source=admitad&amp;utm_medium=cps&amp;utm_campaign=aff_oct2021_admitad" TargetMode="External"/><Relationship Id="rId1274" Type="http://schemas.openxmlformats.org/officeDocument/2006/relationships/hyperlink" Target="https://store.admitad.com/webmaster/websites/2166760/offers/27071-berge-meer-de/" TargetMode="External"/><Relationship Id="rId1481" Type="http://schemas.openxmlformats.org/officeDocument/2006/relationships/hyperlink" Target="https://www.footpatrol.de/" TargetMode="External"/><Relationship Id="rId2118" Type="http://schemas.openxmlformats.org/officeDocument/2006/relationships/hyperlink" Target="https://store.admitad.com/webmaster/websites/2166760/offers/16283-wigsbuy-ww/" TargetMode="External"/><Relationship Id="rId2325" Type="http://schemas.openxmlformats.org/officeDocument/2006/relationships/hyperlink" Target="https://egoshoes.com/" TargetMode="External"/><Relationship Id="rId2532" Type="http://schemas.openxmlformats.org/officeDocument/2006/relationships/hyperlink" Target="https://store.admitad.com/webmaster/websites/2166760/offers/26535-robert-dyas-uk/" TargetMode="External"/><Relationship Id="rId504" Type="http://schemas.openxmlformats.org/officeDocument/2006/relationships/hyperlink" Target="https://store.admitad.com/webmaster/websites/2166760/offers/25053-grover-de-at-4/" TargetMode="External"/><Relationship Id="rId711" Type="http://schemas.openxmlformats.org/officeDocument/2006/relationships/hyperlink" Target="https://www.godrejproperties.com/mumbai/residential/coming-soon-to-exquisite/landingpage?utm_source=Admitad&amp;campid=75717&amp;utm_medium=CPMailer&amp;Publisher_Id=test1234" TargetMode="External"/><Relationship Id="rId1134" Type="http://schemas.openxmlformats.org/officeDocument/2006/relationships/hyperlink" Target="https://store.admitad.com/webmaster/websites/2166760/offers/26910-coast-uk/" TargetMode="External"/><Relationship Id="rId1341" Type="http://schemas.openxmlformats.org/officeDocument/2006/relationships/hyperlink" Target="https://www.enviedefraise.fr/" TargetMode="External"/><Relationship Id="rId1201" Type="http://schemas.openxmlformats.org/officeDocument/2006/relationships/hyperlink" Target="https://www.thebodyshop.com/fr-fr/" TargetMode="External"/><Relationship Id="rId3099" Type="http://schemas.openxmlformats.org/officeDocument/2006/relationships/hyperlink" Target="https://lilicloth.com/" TargetMode="External"/><Relationship Id="rId3166" Type="http://schemas.openxmlformats.org/officeDocument/2006/relationships/hyperlink" Target="https://store.admitad.com/webmaster/websites/2166760/offers/26148-maudau-ua/" TargetMode="External"/><Relationship Id="rId3373" Type="http://schemas.openxmlformats.org/officeDocument/2006/relationships/hyperlink" Target="https://www.gardeningdirect.co.uk/" TargetMode="External"/><Relationship Id="rId3580" Type="http://schemas.openxmlformats.org/officeDocument/2006/relationships/hyperlink" Target="https://store.admitad.com/webmaster/websites/2166760/offers/27224-id-market-fr/" TargetMode="External"/><Relationship Id="rId4217" Type="http://schemas.openxmlformats.org/officeDocument/2006/relationships/hyperlink" Target="https://www.admitad.com/" TargetMode="External"/><Relationship Id="rId294" Type="http://schemas.openxmlformats.org/officeDocument/2006/relationships/hyperlink" Target="https://store.admitad.com/webmaster/websites/2166760/offers/23884-gant-pl/" TargetMode="External"/><Relationship Id="rId2182" Type="http://schemas.openxmlformats.org/officeDocument/2006/relationships/hyperlink" Target="https://store.admitad.com/webmaster/websites/2166760/offers/23732-himalaya-wellness-cps-in/" TargetMode="External"/><Relationship Id="rId3026" Type="http://schemas.openxmlformats.org/officeDocument/2006/relationships/hyperlink" Target="https://store.admitad.com/webmaster/websites/2166760/offers/22233-game-of-thrones-cpp-rucis/" TargetMode="External"/><Relationship Id="rId3233" Type="http://schemas.openxmlformats.org/officeDocument/2006/relationships/hyperlink" Target="https://ultimatepetnutrition.com/" TargetMode="External"/><Relationship Id="rId154" Type="http://schemas.openxmlformats.org/officeDocument/2006/relationships/hyperlink" Target="https://store.admitad.com/webmaster/websites/2166760/offers/22660-credy-cpl-cps-mx/" TargetMode="External"/><Relationship Id="rId361" Type="http://schemas.openxmlformats.org/officeDocument/2006/relationships/hyperlink" Target="https://www.wish.com/" TargetMode="External"/><Relationship Id="rId2042" Type="http://schemas.openxmlformats.org/officeDocument/2006/relationships/hyperlink" Target="https://store.admitad.com/webmaster/websites/2166760/offers/24899-disfrazzes-cpa-many-geos/" TargetMode="External"/><Relationship Id="rId3440" Type="http://schemas.openxmlformats.org/officeDocument/2006/relationships/hyperlink" Target="https://store.admitad.com/webmaster/websites/2166760/offers/26533-nkuku-uk/" TargetMode="External"/><Relationship Id="rId2999" Type="http://schemas.openxmlformats.org/officeDocument/2006/relationships/hyperlink" Target="https://www.ticketmaster.pl/" TargetMode="External"/><Relationship Id="rId3300" Type="http://schemas.openxmlformats.org/officeDocument/2006/relationships/hyperlink" Target="https://store.admitad.com/webmaster/websites/2166760/offers/19861-blackview-ww/" TargetMode="External"/><Relationship Id="rId221" Type="http://schemas.openxmlformats.org/officeDocument/2006/relationships/hyperlink" Target="https://www.westelm.ae/en/" TargetMode="External"/><Relationship Id="rId2859" Type="http://schemas.openxmlformats.org/officeDocument/2006/relationships/hyperlink" Target="https://www.bootsphoto.com/" TargetMode="External"/><Relationship Id="rId1668" Type="http://schemas.openxmlformats.org/officeDocument/2006/relationships/hyperlink" Target="https://store.admitad.com/webmaster/websites/2166760/offers/27573-bob-personal-loan-cpl-in/" TargetMode="External"/><Relationship Id="rId1875" Type="http://schemas.openxmlformats.org/officeDocument/2006/relationships/hyperlink" Target="http://www.luisbien.org/" TargetMode="External"/><Relationship Id="rId2719" Type="http://schemas.openxmlformats.org/officeDocument/2006/relationships/hyperlink" Target="https://shop.adidas.co.id/" TargetMode="External"/><Relationship Id="rId4074" Type="http://schemas.openxmlformats.org/officeDocument/2006/relationships/hyperlink" Target="https://store.admitad.com/webmaster/websites/2166760/offers/26060-imrb-grocery-android-apk-cpr/" TargetMode="External"/><Relationship Id="rId1528" Type="http://schemas.openxmlformats.org/officeDocument/2006/relationships/hyperlink" Target="https://store.admitad.com/webmaster/websites/2166760/offers/27409-jochen-schweizer-de-at/" TargetMode="External"/><Relationship Id="rId2926" Type="http://schemas.openxmlformats.org/officeDocument/2006/relationships/hyperlink" Target="https://store.admitad.com/webmaster/websites/2166760/offers/17413-kwork/" TargetMode="External"/><Relationship Id="rId3090" Type="http://schemas.openxmlformats.org/officeDocument/2006/relationships/hyperlink" Target="https://store.admitad.com/webmaster/websites/2166760/offers/24011-raid-shadow-legends-soi-ww/" TargetMode="External"/><Relationship Id="rId4141" Type="http://schemas.openxmlformats.org/officeDocument/2006/relationships/hyperlink" Target="https://www.iubenda.com/it/" TargetMode="External"/><Relationship Id="rId1735" Type="http://schemas.openxmlformats.org/officeDocument/2006/relationships/hyperlink" Target="https://www.playship.com/" TargetMode="External"/><Relationship Id="rId1942" Type="http://schemas.openxmlformats.org/officeDocument/2006/relationships/hyperlink" Target="https://store.admitad.com/webmaster/websites/2166760/offers/26439-timberland-many-geos/" TargetMode="External"/><Relationship Id="rId4001" Type="http://schemas.openxmlformats.org/officeDocument/2006/relationships/hyperlink" Target="https://play.google.com/store/apps/details?id=com.imrbint.mam2020" TargetMode="External"/><Relationship Id="rId27" Type="http://schemas.openxmlformats.org/officeDocument/2006/relationships/hyperlink" Target="https://www.plus.pl/" TargetMode="External"/><Relationship Id="rId1802" Type="http://schemas.openxmlformats.org/officeDocument/2006/relationships/hyperlink" Target="https://store.admitad.com/webmaster/websites/2166760/offers/26590-hughes-uk/" TargetMode="External"/><Relationship Id="rId3767" Type="http://schemas.openxmlformats.org/officeDocument/2006/relationships/hyperlink" Target="https://neocredit.com.ua/" TargetMode="External"/><Relationship Id="rId3974" Type="http://schemas.openxmlformats.org/officeDocument/2006/relationships/hyperlink" Target="https://store.admitad.com/webmaster/websites/2166760/offers/23326-indusind-saving-account-cpl-in/" TargetMode="External"/><Relationship Id="rId688" Type="http://schemas.openxmlformats.org/officeDocument/2006/relationships/hyperlink" Target="https://store.admitad.com/webmaster/websites/2166760/offers/26040-mijnidealekussennl-nl/" TargetMode="External"/><Relationship Id="rId895" Type="http://schemas.openxmlformats.org/officeDocument/2006/relationships/hyperlink" Target="https://www.yoursclothing.co.uk/" TargetMode="External"/><Relationship Id="rId2369" Type="http://schemas.openxmlformats.org/officeDocument/2006/relationships/hyperlink" Target="https://www.firsat.me/" TargetMode="External"/><Relationship Id="rId2576" Type="http://schemas.openxmlformats.org/officeDocument/2006/relationships/hyperlink" Target="https://store.admitad.com/webmaster/websites/2166760/offers/27051-mobilcom-debitel-de/" TargetMode="External"/><Relationship Id="rId2783" Type="http://schemas.openxmlformats.org/officeDocument/2006/relationships/hyperlink" Target="https://www.intimo.com.ua/" TargetMode="External"/><Relationship Id="rId2990" Type="http://schemas.openxmlformats.org/officeDocument/2006/relationships/hyperlink" Target="https://store.admitad.com/webmaster/websites/2166760/offers/20949-ericdress-ww/" TargetMode="External"/><Relationship Id="rId3627" Type="http://schemas.openxmlformats.org/officeDocument/2006/relationships/hyperlink" Target="https://store.pobedavkusa.ru/" TargetMode="External"/><Relationship Id="rId3834" Type="http://schemas.openxmlformats.org/officeDocument/2006/relationships/hyperlink" Target="https://store.admitad.com/webmaster/websites/2166760/offers/1816-labirint/" TargetMode="External"/><Relationship Id="rId548" Type="http://schemas.openxmlformats.org/officeDocument/2006/relationships/hyperlink" Target="https://store.admitad.com/webmaster/websites/2166760/offers/25200-lampenonline-eu/" TargetMode="External"/><Relationship Id="rId755" Type="http://schemas.openxmlformats.org/officeDocument/2006/relationships/hyperlink" Target="https://www.dyson.hu/" TargetMode="External"/><Relationship Id="rId962" Type="http://schemas.openxmlformats.org/officeDocument/2006/relationships/hyperlink" Target="https://store.admitad.com/webmaster/websites/2166760/offers/26645-savetv-de/" TargetMode="External"/><Relationship Id="rId1178" Type="http://schemas.openxmlformats.org/officeDocument/2006/relationships/hyperlink" Target="https://store.admitad.com/webmaster/websites/2166760/offers/26975-yumove-uk/" TargetMode="External"/><Relationship Id="rId1385" Type="http://schemas.openxmlformats.org/officeDocument/2006/relationships/hyperlink" Target="https://www.neweracap.eu/de-de/" TargetMode="External"/><Relationship Id="rId1592" Type="http://schemas.openxmlformats.org/officeDocument/2006/relationships/hyperlink" Target="https://store.admitad.com/webmaster/websites/2166760/offers/27476-mashvisor-us/" TargetMode="External"/><Relationship Id="rId2229" Type="http://schemas.openxmlformats.org/officeDocument/2006/relationships/hyperlink" Target="https://www.victoriassecretbeauty.mx/" TargetMode="External"/><Relationship Id="rId2436" Type="http://schemas.openxmlformats.org/officeDocument/2006/relationships/hyperlink" Target="https://store.admitad.com/webmaster/websites/2166760/offers/23290-perfect-world-cpp-rucis/" TargetMode="External"/><Relationship Id="rId2643" Type="http://schemas.openxmlformats.org/officeDocument/2006/relationships/hyperlink" Target="http://clovia.com/" TargetMode="External"/><Relationship Id="rId2850" Type="http://schemas.openxmlformats.org/officeDocument/2006/relationships/hyperlink" Target="https://store.admitad.com/webmaster/websites/2166760/offers/27036-mattress-online-uk/" TargetMode="External"/><Relationship Id="rId91" Type="http://schemas.openxmlformats.org/officeDocument/2006/relationships/hyperlink" Target="https://www.groupon.ae/" TargetMode="External"/><Relationship Id="rId408" Type="http://schemas.openxmlformats.org/officeDocument/2006/relationships/hyperlink" Target="https://store.admitad.com/webmaster/websites/2166760/offers/24626-everton-us-uk/" TargetMode="External"/><Relationship Id="rId615" Type="http://schemas.openxmlformats.org/officeDocument/2006/relationships/hyperlink" Target="http://speedline.dk/" TargetMode="External"/><Relationship Id="rId822" Type="http://schemas.openxmlformats.org/officeDocument/2006/relationships/hyperlink" Target="https://store.admitad.com/webmaster/websites/2166760/offers/26396-insurejoy-health-insurance-cpl-in/" TargetMode="External"/><Relationship Id="rId1038" Type="http://schemas.openxmlformats.org/officeDocument/2006/relationships/hyperlink" Target="https://store.admitad.com/webmaster/websites/2166760/offers/26729-badrhino-uk/" TargetMode="External"/><Relationship Id="rId1245" Type="http://schemas.openxmlformats.org/officeDocument/2006/relationships/hyperlink" Target="https://www.repuestoscoches24.es/" TargetMode="External"/><Relationship Id="rId1452" Type="http://schemas.openxmlformats.org/officeDocument/2006/relationships/hyperlink" Target="https://store.admitad.com/webmaster/websites/2166760/offers/27310-mothercare-cps-id/" TargetMode="External"/><Relationship Id="rId2503" Type="http://schemas.openxmlformats.org/officeDocument/2006/relationships/hyperlink" Target="https://www.santander.com.br/hotsite/elite-platinum/" TargetMode="External"/><Relationship Id="rId3901" Type="http://schemas.openxmlformats.org/officeDocument/2006/relationships/hyperlink" Target="https://plarium.com/landings/en/desktop/raid/dragon_fire_a_m_f038_droapp" TargetMode="External"/><Relationship Id="rId1105" Type="http://schemas.openxmlformats.org/officeDocument/2006/relationships/hyperlink" Target="https://www.noon.com/saudi-en/" TargetMode="External"/><Relationship Id="rId1312" Type="http://schemas.openxmlformats.org/officeDocument/2006/relationships/hyperlink" Target="https://store.admitad.com/webmaster/websites/2166760/offers/27115-body-fit-fr/" TargetMode="External"/><Relationship Id="rId2710" Type="http://schemas.openxmlformats.org/officeDocument/2006/relationships/hyperlink" Target="https://store.admitad.com/webmaster/websites/2166760/offers/22850-fk-by/" TargetMode="External"/><Relationship Id="rId3277" Type="http://schemas.openxmlformats.org/officeDocument/2006/relationships/hyperlink" Target="https://www.thebodyshop.in/" TargetMode="External"/><Relationship Id="rId198" Type="http://schemas.openxmlformats.org/officeDocument/2006/relationships/hyperlink" Target="https://store.admitad.com/webmaster/websites/2166760/offers/22962-banana-republic-us/" TargetMode="External"/><Relationship Id="rId2086" Type="http://schemas.openxmlformats.org/officeDocument/2006/relationships/hyperlink" Target="https://store.admitad.com/webmaster/websites/2166760/offers/27073-startriteshoes-uk/" TargetMode="External"/><Relationship Id="rId3484" Type="http://schemas.openxmlformats.org/officeDocument/2006/relationships/hyperlink" Target="https://store.admitad.com/webmaster/websites/2166760/offers/17167-cafago-ww/" TargetMode="External"/><Relationship Id="rId3691" Type="http://schemas.openxmlformats.org/officeDocument/2006/relationships/hyperlink" Target="https://www.elctoys.com/" TargetMode="External"/><Relationship Id="rId2293" Type="http://schemas.openxmlformats.org/officeDocument/2006/relationships/hyperlink" Target="https://abekker.by/" TargetMode="External"/><Relationship Id="rId3137" Type="http://schemas.openxmlformats.org/officeDocument/2006/relationships/hyperlink" Target="https://kenzwoman.com/" TargetMode="External"/><Relationship Id="rId3344" Type="http://schemas.openxmlformats.org/officeDocument/2006/relationships/hyperlink" Target="https://store.admitad.com/webmaster/websites/2166760/offers/23077-tutoronline-ru/" TargetMode="External"/><Relationship Id="rId3551" Type="http://schemas.openxmlformats.org/officeDocument/2006/relationships/hyperlink" Target="https://www.bluehost.in/hosting/shared" TargetMode="External"/><Relationship Id="rId265" Type="http://schemas.openxmlformats.org/officeDocument/2006/relationships/hyperlink" Target="https://society6.com/" TargetMode="External"/><Relationship Id="rId472" Type="http://schemas.openxmlformats.org/officeDocument/2006/relationships/hyperlink" Target="https://store.admitad.com/webmaster/websites/2166760/offers/24937-asterix-friends-cps-many-geos/" TargetMode="External"/><Relationship Id="rId2153" Type="http://schemas.openxmlformats.org/officeDocument/2006/relationships/hyperlink" Target="https://www.babbel.com/" TargetMode="External"/><Relationship Id="rId2360" Type="http://schemas.openxmlformats.org/officeDocument/2006/relationships/hyperlink" Target="https://store.admitad.com/webmaster/websites/2166760/offers/14719-firstcry-cps-in/" TargetMode="External"/><Relationship Id="rId3204" Type="http://schemas.openxmlformats.org/officeDocument/2006/relationships/hyperlink" Target="https://store.admitad.com/webmaster/websites/2166760/offers/26750-fhinds-jewellers-uk/" TargetMode="External"/><Relationship Id="rId3411" Type="http://schemas.openxmlformats.org/officeDocument/2006/relationships/hyperlink" Target="https://bebodywise.com/" TargetMode="External"/><Relationship Id="rId125" Type="http://schemas.openxmlformats.org/officeDocument/2006/relationships/hyperlink" Target="https://www.secretescapes.de/" TargetMode="External"/><Relationship Id="rId332" Type="http://schemas.openxmlformats.org/officeDocument/2006/relationships/hyperlink" Target="https://store.admitad.com/webmaster/websites/2166760/offers/24137-marriott-cps-many-geos/" TargetMode="External"/><Relationship Id="rId2013" Type="http://schemas.openxmlformats.org/officeDocument/2006/relationships/hyperlink" Target="https://cashdo.co.il/" TargetMode="External"/><Relationship Id="rId2220" Type="http://schemas.openxmlformats.org/officeDocument/2006/relationships/hyperlink" Target="https://store.admitad.com/webmaster/websites/2166760/offers/25234-naploungewear-many-geos/" TargetMode="External"/><Relationship Id="rId4185" Type="http://schemas.openxmlformats.org/officeDocument/2006/relationships/hyperlink" Target="https://alfabank.ua/" TargetMode="External"/><Relationship Id="rId1779" Type="http://schemas.openxmlformats.org/officeDocument/2006/relationships/hyperlink" Target="https://www.visionexpress.in/" TargetMode="External"/><Relationship Id="rId1986" Type="http://schemas.openxmlformats.org/officeDocument/2006/relationships/hyperlink" Target="https://store.admitad.com/webmaster/websites/2166760/offers/27038-pandora-it/" TargetMode="External"/><Relationship Id="rId4045" Type="http://schemas.openxmlformats.org/officeDocument/2006/relationships/hyperlink" Target="https://www.marksandspencer.in/" TargetMode="External"/><Relationship Id="rId1639" Type="http://schemas.openxmlformats.org/officeDocument/2006/relationships/hyperlink" Target="https://www.citarella.com/" TargetMode="External"/><Relationship Id="rId1846" Type="http://schemas.openxmlformats.org/officeDocument/2006/relationships/hyperlink" Target="https://store.admitad.com/webmaster/websites/2166760/offers/20181-pokupon-cps-ua/" TargetMode="External"/><Relationship Id="rId3061" Type="http://schemas.openxmlformats.org/officeDocument/2006/relationships/hyperlink" Target="https://www.boddess.com/" TargetMode="External"/><Relationship Id="rId1706" Type="http://schemas.openxmlformats.org/officeDocument/2006/relationships/hyperlink" Target="https://store.admitad.com/webmaster/websites/2166760/offers/27673-raid-shadow-legends-cpp-ru-many-geos-new/" TargetMode="External"/><Relationship Id="rId1913" Type="http://schemas.openxmlformats.org/officeDocument/2006/relationships/hyperlink" Target="https://cloud.my.games/" TargetMode="External"/><Relationship Id="rId4112" Type="http://schemas.openxmlformats.org/officeDocument/2006/relationships/hyperlink" Target="https://store.admitad.com/webmaster/websites/2166760/offers/26059-pura-vida-br/" TargetMode="External"/><Relationship Id="rId3878" Type="http://schemas.openxmlformats.org/officeDocument/2006/relationships/hyperlink" Target="https://store.admitad.com/webmaster/websites/2166760/offers/22113-joigifts-mena/" TargetMode="External"/><Relationship Id="rId799" Type="http://schemas.openxmlformats.org/officeDocument/2006/relationships/hyperlink" Target="https://www.afbshop.de/" TargetMode="External"/><Relationship Id="rId2687" Type="http://schemas.openxmlformats.org/officeDocument/2006/relationships/hyperlink" Target="https://www.arcgames.com/fr/games/neverwinter" TargetMode="External"/><Relationship Id="rId2894" Type="http://schemas.openxmlformats.org/officeDocument/2006/relationships/hyperlink" Target="https://store.admitad.com/webmaster/websites/2166760/offers/7442-otto-trade-ua/" TargetMode="External"/><Relationship Id="rId3738" Type="http://schemas.openxmlformats.org/officeDocument/2006/relationships/hyperlink" Target="https://store.admitad.com/webmaster/websites/2166760/offers/24074-rulez-by/" TargetMode="External"/><Relationship Id="rId659" Type="http://schemas.openxmlformats.org/officeDocument/2006/relationships/hyperlink" Target="https://www.eprolo.com/" TargetMode="External"/><Relationship Id="rId866" Type="http://schemas.openxmlformats.org/officeDocument/2006/relationships/hyperlink" Target="https://store.admitad.com/webmaster/websites/2166760/offers/26471-new-balance-czsk/" TargetMode="External"/><Relationship Id="rId1289" Type="http://schemas.openxmlformats.org/officeDocument/2006/relationships/hyperlink" Target="https://www.neumaticos-online.es/cgi-bin/rshop.pl?" TargetMode="External"/><Relationship Id="rId1496" Type="http://schemas.openxmlformats.org/officeDocument/2006/relationships/hyperlink" Target="https://store.admitad.com/webmaster/websites/2166760/offers/27361-merlin-pl/" TargetMode="External"/><Relationship Id="rId2547" Type="http://schemas.openxmlformats.org/officeDocument/2006/relationships/hyperlink" Target="https://www.iwantoneofthose.com/" TargetMode="External"/><Relationship Id="rId3945" Type="http://schemas.openxmlformats.org/officeDocument/2006/relationships/hyperlink" Target="https://www.furnitureinfashion.net/" TargetMode="External"/><Relationship Id="rId519" Type="http://schemas.openxmlformats.org/officeDocument/2006/relationships/hyperlink" Target="https://shop.ee.co.uk/partner-deals" TargetMode="External"/><Relationship Id="rId1149" Type="http://schemas.openxmlformats.org/officeDocument/2006/relationships/hyperlink" Target="https://www.anotah.com/" TargetMode="External"/><Relationship Id="rId1356" Type="http://schemas.openxmlformats.org/officeDocument/2006/relationships/hyperlink" Target="https://store.admitad.com/webmaster/websites/2166760/offers/27166-123pneus-fr/" TargetMode="External"/><Relationship Id="rId2754" Type="http://schemas.openxmlformats.org/officeDocument/2006/relationships/hyperlink" Target="https://store.admitad.com/webmaster/websites/2166760/offers/24156-mothercare-cps-in/" TargetMode="External"/><Relationship Id="rId2961" Type="http://schemas.openxmlformats.org/officeDocument/2006/relationships/hyperlink" Target="https://uae.sharafdg.com/" TargetMode="External"/><Relationship Id="rId3805" Type="http://schemas.openxmlformats.org/officeDocument/2006/relationships/hyperlink" Target="http://www.jdsports.es/" TargetMode="External"/><Relationship Id="rId726" Type="http://schemas.openxmlformats.org/officeDocument/2006/relationships/hyperlink" Target="https://store.admitad.com/webmaster/websites/2166760/offers/26146-euronova-shop-cz/" TargetMode="External"/><Relationship Id="rId933" Type="http://schemas.openxmlformats.org/officeDocument/2006/relationships/hyperlink" Target="https://www.auto-doc.it/" TargetMode="External"/><Relationship Id="rId1009" Type="http://schemas.openxmlformats.org/officeDocument/2006/relationships/hyperlink" Target="https://www.autodoc.de/" TargetMode="External"/><Relationship Id="rId1563" Type="http://schemas.openxmlformats.org/officeDocument/2006/relationships/hyperlink" Target="https://www.ribble.de/" TargetMode="External"/><Relationship Id="rId1770" Type="http://schemas.openxmlformats.org/officeDocument/2006/relationships/hyperlink" Target="https://store.admitad.com/webmaster/websites/2166760/offers/23528-jusan-garant-cps-kz/" TargetMode="External"/><Relationship Id="rId2407" Type="http://schemas.openxmlformats.org/officeDocument/2006/relationships/hyperlink" Target="https://www.opinionworld.in/" TargetMode="External"/><Relationship Id="rId2614" Type="http://schemas.openxmlformats.org/officeDocument/2006/relationships/hyperlink" Target="https://store.admitad.com/webmaster/websites/2166760/offers/27275-esr-gear-us/" TargetMode="External"/><Relationship Id="rId2821" Type="http://schemas.openxmlformats.org/officeDocument/2006/relationships/hyperlink" Target="https://www.edreams.es/" TargetMode="External"/><Relationship Id="rId62" Type="http://schemas.openxmlformats.org/officeDocument/2006/relationships/hyperlink" Target="https://store.admitad.com/webmaster/websites/2166760/offers/19893-allegro-pl/" TargetMode="External"/><Relationship Id="rId1216" Type="http://schemas.openxmlformats.org/officeDocument/2006/relationships/hyperlink" Target="https://store.admitad.com/webmaster/websites/2166760/offers/27017-zooplus-fr/" TargetMode="External"/><Relationship Id="rId1423" Type="http://schemas.openxmlformats.org/officeDocument/2006/relationships/hyperlink" Target="https://womensecret.com/fr/fr" TargetMode="External"/><Relationship Id="rId1630" Type="http://schemas.openxmlformats.org/officeDocument/2006/relationships/hyperlink" Target="https://store.admitad.com/webmaster/websites/2166760/offers/27536-the-cambridge-satchel-co/" TargetMode="External"/><Relationship Id="rId3388" Type="http://schemas.openxmlformats.org/officeDocument/2006/relationships/hyperlink" Target="https://store.admitad.com/webmaster/websites/2166760/offers/24832-tucom-cps-es/" TargetMode="External"/><Relationship Id="rId3595" Type="http://schemas.openxmlformats.org/officeDocument/2006/relationships/hyperlink" Target="https://lamoda.by/" TargetMode="External"/><Relationship Id="rId2197" Type="http://schemas.openxmlformats.org/officeDocument/2006/relationships/hyperlink" Target="https://www.netmeds.com/" TargetMode="External"/><Relationship Id="rId3248" Type="http://schemas.openxmlformats.org/officeDocument/2006/relationships/hyperlink" Target="https://store.admitad.com/webmaster/websites/2166760/offers/27463-fitnessfirst-de/" TargetMode="External"/><Relationship Id="rId3455" Type="http://schemas.openxmlformats.org/officeDocument/2006/relationships/hyperlink" Target="https://gbr.grandado.com/" TargetMode="External"/><Relationship Id="rId3662" Type="http://schemas.openxmlformats.org/officeDocument/2006/relationships/hyperlink" Target="https://store.admitad.com/webmaster/websites/2166760/offers/20487-sushiya-ua/" TargetMode="External"/><Relationship Id="rId169" Type="http://schemas.openxmlformats.org/officeDocument/2006/relationships/hyperlink" Target="https://www.it.lastminute.com/" TargetMode="External"/><Relationship Id="rId376" Type="http://schemas.openxmlformats.org/officeDocument/2006/relationships/hyperlink" Target="https://store.admitad.com/webmaster/websites/2166760/offers/24490-feverup-many-geos/" TargetMode="External"/><Relationship Id="rId583" Type="http://schemas.openxmlformats.org/officeDocument/2006/relationships/hyperlink" Target="https://www.segmueller.de/" TargetMode="External"/><Relationship Id="rId790" Type="http://schemas.openxmlformats.org/officeDocument/2006/relationships/hyperlink" Target="https://store.admitad.com/webmaster/websites/2166760/offers/26299-druckerpatronen-de/" TargetMode="External"/><Relationship Id="rId2057" Type="http://schemas.openxmlformats.org/officeDocument/2006/relationships/hyperlink" Target="https://www.intersport.de/" TargetMode="External"/><Relationship Id="rId2264" Type="http://schemas.openxmlformats.org/officeDocument/2006/relationships/hyperlink" Target="https://store.admitad.com/webmaster/websites/2166760/offers/26660-parcel2go-uk/" TargetMode="External"/><Relationship Id="rId2471" Type="http://schemas.openxmlformats.org/officeDocument/2006/relationships/hyperlink" Target="https://arsenaldirect.arsenal.com/" TargetMode="External"/><Relationship Id="rId3108" Type="http://schemas.openxmlformats.org/officeDocument/2006/relationships/hyperlink" Target="https://store.admitad.com/webmaster/websites/2166760/offers/24380-bmg-galo-cpa-android-br/" TargetMode="External"/><Relationship Id="rId3315" Type="http://schemas.openxmlformats.org/officeDocument/2006/relationships/hyperlink" Target="https://www.ceneo.pl/" TargetMode="External"/><Relationship Id="rId3522" Type="http://schemas.openxmlformats.org/officeDocument/2006/relationships/hyperlink" Target="https://store.admitad.com/webmaster/websites/2166760/offers/23111-knowfashionstyle-ww/" TargetMode="External"/><Relationship Id="rId236" Type="http://schemas.openxmlformats.org/officeDocument/2006/relationships/hyperlink" Target="https://store.admitad.com/webmaster/websites/2166760/offers/23315-tata-aia-life-cpl-in/" TargetMode="External"/><Relationship Id="rId443" Type="http://schemas.openxmlformats.org/officeDocument/2006/relationships/hyperlink" Target="https://fila.ae/" TargetMode="External"/><Relationship Id="rId650" Type="http://schemas.openxmlformats.org/officeDocument/2006/relationships/hyperlink" Target="https://store.admitad.com/webmaster/websites/2166760/offers/25815-vivino/" TargetMode="External"/><Relationship Id="rId1073" Type="http://schemas.openxmlformats.org/officeDocument/2006/relationships/hyperlink" Target="https://www.aosom.es/" TargetMode="External"/><Relationship Id="rId1280" Type="http://schemas.openxmlformats.org/officeDocument/2006/relationships/hyperlink" Target="https://store.admitad.com/webmaster/websites/2166760/offers/27080-t-h-baker-uk/" TargetMode="External"/><Relationship Id="rId2124" Type="http://schemas.openxmlformats.org/officeDocument/2006/relationships/hyperlink" Target="https://store.admitad.com/webmaster/websites/2166760/offers/17175-g2a-many-geos/" TargetMode="External"/><Relationship Id="rId2331" Type="http://schemas.openxmlformats.org/officeDocument/2006/relationships/hyperlink" Target="http://triverna.pl/" TargetMode="External"/><Relationship Id="rId303" Type="http://schemas.openxmlformats.org/officeDocument/2006/relationships/hyperlink" Target="https://www.bodum.com/" TargetMode="External"/><Relationship Id="rId1140" Type="http://schemas.openxmlformats.org/officeDocument/2006/relationships/hyperlink" Target="https://store.admitad.com/webmaster/websites/2166760/offers/26913-perfume-click-uk/" TargetMode="External"/><Relationship Id="rId4089" Type="http://schemas.openxmlformats.org/officeDocument/2006/relationships/hyperlink" Target="https://www.happybeds.co.uk/" TargetMode="External"/><Relationship Id="rId510" Type="http://schemas.openxmlformats.org/officeDocument/2006/relationships/hyperlink" Target="https://store.admitad.com/webmaster/websites/2166760/offers/25073-oppo-cps-id/" TargetMode="External"/><Relationship Id="rId1000" Type="http://schemas.openxmlformats.org/officeDocument/2006/relationships/hyperlink" Target="https://store.admitad.com/webmaster/websites/2166760/offers/26682-brille24-de/" TargetMode="External"/><Relationship Id="rId1305" Type="http://schemas.openxmlformats.org/officeDocument/2006/relationships/hyperlink" Target="https://www.lacoste.com/fr/" TargetMode="External"/><Relationship Id="rId1957" Type="http://schemas.openxmlformats.org/officeDocument/2006/relationships/hyperlink" Target="https://www.bestwestern.co.uk/" TargetMode="External"/><Relationship Id="rId2703" Type="http://schemas.openxmlformats.org/officeDocument/2006/relationships/hyperlink" Target="https://ua.puma.com/" TargetMode="External"/><Relationship Id="rId2910" Type="http://schemas.openxmlformats.org/officeDocument/2006/relationships/hyperlink" Target="https://store.admitad.com/webmaster/websites/2166760/offers/15170-cleartrip-cps-in/" TargetMode="External"/><Relationship Id="rId4156" Type="http://schemas.openxmlformats.org/officeDocument/2006/relationships/hyperlink" Target="https://store.admitad.com/webmaster/websites/2166760/offers/25369-vevor-many-geos/" TargetMode="External"/><Relationship Id="rId1512" Type="http://schemas.openxmlformats.org/officeDocument/2006/relationships/hyperlink" Target="https://store.admitad.com/webmaster/websites/2166760/offers/27387-archies-beauty-cps-in/" TargetMode="External"/><Relationship Id="rId1817" Type="http://schemas.openxmlformats.org/officeDocument/2006/relationships/hyperlink" Target="https://www.laroche-posay.co.uk/" TargetMode="External"/><Relationship Id="rId3172" Type="http://schemas.openxmlformats.org/officeDocument/2006/relationships/hyperlink" Target="https://store.admitad.com/webmaster/websites/2166760/offers/26268-organic-india-cps-in/" TargetMode="External"/><Relationship Id="rId4016" Type="http://schemas.openxmlformats.org/officeDocument/2006/relationships/hyperlink" Target="https://store.admitad.com/webmaster/websites/2166760/offers/18201-lenovo-many-geos/" TargetMode="External"/><Relationship Id="rId4223" Type="http://schemas.openxmlformats.org/officeDocument/2006/relationships/hyperlink" Target="https://www.shop2gether.com.br/" TargetMode="External"/><Relationship Id="rId11" Type="http://schemas.openxmlformats.org/officeDocument/2006/relationships/hyperlink" Target="https://myrentacar.com/" TargetMode="External"/><Relationship Id="rId398" Type="http://schemas.openxmlformats.org/officeDocument/2006/relationships/hyperlink" Target="https://store.admitad.com/webmaster/websites/2166760/offers/24589-wingly-uk/" TargetMode="External"/><Relationship Id="rId2079" Type="http://schemas.openxmlformats.org/officeDocument/2006/relationships/hyperlink" Target="https://www.europcar.it/" TargetMode="External"/><Relationship Id="rId3032" Type="http://schemas.openxmlformats.org/officeDocument/2006/relationships/hyperlink" Target="https://store.admitad.com/webmaster/websites/2166760/offers/22720-godaddy-cps-many-geos/" TargetMode="External"/><Relationship Id="rId3477" Type="http://schemas.openxmlformats.org/officeDocument/2006/relationships/hyperlink" Target="https://itsell.ua/" TargetMode="External"/><Relationship Id="rId3684" Type="http://schemas.openxmlformats.org/officeDocument/2006/relationships/hyperlink" Target="https://store.admitad.com/webmaster/websites/2166760/offers/21873-rivolishop-ae-bh-om-qa-offline-codes-links/" TargetMode="External"/><Relationship Id="rId3891" Type="http://schemas.openxmlformats.org/officeDocument/2006/relationships/hyperlink" Target="https://fitstars.ru/" TargetMode="External"/><Relationship Id="rId160" Type="http://schemas.openxmlformats.org/officeDocument/2006/relationships/hyperlink" Target="https://store.admitad.com/webmaster/websites/2166760/offers/22719-lastminute-de/" TargetMode="External"/><Relationship Id="rId2286" Type="http://schemas.openxmlformats.org/officeDocument/2006/relationships/hyperlink" Target="https://store.admitad.com/webmaster/websites/2166760/offers/26823-i-am-kamu-many-geos/" TargetMode="External"/><Relationship Id="rId2493" Type="http://schemas.openxmlformats.org/officeDocument/2006/relationships/hyperlink" Target="https://www.ayakkabidunyasi.com.tr/" TargetMode="External"/><Relationship Id="rId3337" Type="http://schemas.openxmlformats.org/officeDocument/2006/relationships/hyperlink" Target="https://preply.com/" TargetMode="External"/><Relationship Id="rId3544" Type="http://schemas.openxmlformats.org/officeDocument/2006/relationships/hyperlink" Target="https://store.admitad.com/webmaster/websites/2166760/offers/24236-primebot-cis/" TargetMode="External"/><Relationship Id="rId3751" Type="http://schemas.openxmlformats.org/officeDocument/2006/relationships/hyperlink" Target="https://brandshop.ru/" TargetMode="External"/><Relationship Id="rId3989" Type="http://schemas.openxmlformats.org/officeDocument/2006/relationships/hyperlink" Target="https://store.my.games/special/lts/1/" TargetMode="External"/><Relationship Id="rId258" Type="http://schemas.openxmlformats.org/officeDocument/2006/relationships/hyperlink" Target="https://store.admitad.com/webmaster/websites/2166760/offers/23508-reporter-young-pl/" TargetMode="External"/><Relationship Id="rId465" Type="http://schemas.openxmlformats.org/officeDocument/2006/relationships/hyperlink" Target="https://es.gant.com/" TargetMode="External"/><Relationship Id="rId672" Type="http://schemas.openxmlformats.org/officeDocument/2006/relationships/hyperlink" Target="https://store.admitad.com/webmaster/websites/2166760/offers/25920-orca-investment-app-cpa-ios-uk/" TargetMode="External"/><Relationship Id="rId1095" Type="http://schemas.openxmlformats.org/officeDocument/2006/relationships/hyperlink" Target="https://smarty.co.uk/" TargetMode="External"/><Relationship Id="rId2146" Type="http://schemas.openxmlformats.org/officeDocument/2006/relationships/hyperlink" Target="https://store.admitad.com/webmaster/websites/2166760/offers/21390-asian-paints-cpl-in/" TargetMode="External"/><Relationship Id="rId2353" Type="http://schemas.openxmlformats.org/officeDocument/2006/relationships/hyperlink" Target="http://travian.ru/" TargetMode="External"/><Relationship Id="rId2560" Type="http://schemas.openxmlformats.org/officeDocument/2006/relationships/hyperlink" Target="https://store.admitad.com/webmaster/websites/2166760/offers/26908-easytoys-pl/" TargetMode="External"/><Relationship Id="rId2798" Type="http://schemas.openxmlformats.org/officeDocument/2006/relationships/hyperlink" Target="https://store.admitad.com/webmaster/websites/2166760/offers/26012-only-cps-in/" TargetMode="External"/><Relationship Id="rId3404" Type="http://schemas.openxmlformats.org/officeDocument/2006/relationships/hyperlink" Target="https://store.admitad.com/webmaster/websites/2166760/offers/25202-ovy-app-de-at-uk-nl-fr/" TargetMode="External"/><Relationship Id="rId3611" Type="http://schemas.openxmlformats.org/officeDocument/2006/relationships/hyperlink" Target="https://www.tvc-mall.com/" TargetMode="External"/><Relationship Id="rId3849" Type="http://schemas.openxmlformats.org/officeDocument/2006/relationships/hyperlink" Target="http://www.boutiquefeel.com/" TargetMode="External"/><Relationship Id="rId118" Type="http://schemas.openxmlformats.org/officeDocument/2006/relationships/hyperlink" Target="https://store.admitad.com/webmaster/websites/2166760/offers/22007-luisaviaroma-cps-many-geos/" TargetMode="External"/><Relationship Id="rId325" Type="http://schemas.openxmlformats.org/officeDocument/2006/relationships/hyperlink" Target="https://www.exantediet.com/" TargetMode="External"/><Relationship Id="rId532" Type="http://schemas.openxmlformats.org/officeDocument/2006/relationships/hyperlink" Target="https://store.admitad.com/webmaster/websites/2166760/offers/25146-avi-8-ww/" TargetMode="External"/><Relationship Id="rId977" Type="http://schemas.openxmlformats.org/officeDocument/2006/relationships/hyperlink" Target="https://www.its.de/" TargetMode="External"/><Relationship Id="rId1162" Type="http://schemas.openxmlformats.org/officeDocument/2006/relationships/hyperlink" Target="https://store.admitad.com/webmaster/websites/2166760/offers/26960-britannia-hotels-uk/" TargetMode="External"/><Relationship Id="rId2006" Type="http://schemas.openxmlformats.org/officeDocument/2006/relationships/hyperlink" Target="https://store.admitad.com/webmaster/websites/2166760/offers/27591-world-of-warships-cpp-winback-many-geos/" TargetMode="External"/><Relationship Id="rId2213" Type="http://schemas.openxmlformats.org/officeDocument/2006/relationships/hyperlink" Target="https://www.shytobuy.uk/" TargetMode="External"/><Relationship Id="rId2420" Type="http://schemas.openxmlformats.org/officeDocument/2006/relationships/hyperlink" Target="https://store.admitad.com/webmaster/websites/2166760/offers/22789-vovk-ua/" TargetMode="External"/><Relationship Id="rId2658" Type="http://schemas.openxmlformats.org/officeDocument/2006/relationships/hyperlink" Target="https://store.admitad.com/webmaster/websites/2166760/offers/18989-qeeq-ww/" TargetMode="External"/><Relationship Id="rId2865" Type="http://schemas.openxmlformats.org/officeDocument/2006/relationships/hyperlink" Target="https://www.clarks.co.uk/" TargetMode="External"/><Relationship Id="rId3709" Type="http://schemas.openxmlformats.org/officeDocument/2006/relationships/hyperlink" Target="https://play.szhuldyz.kz/login" TargetMode="External"/><Relationship Id="rId3916" Type="http://schemas.openxmlformats.org/officeDocument/2006/relationships/hyperlink" Target="https://store.admitad.com/webmaster/websites/2166760/offers/24851-itead-ww/" TargetMode="External"/><Relationship Id="rId4080" Type="http://schemas.openxmlformats.org/officeDocument/2006/relationships/hyperlink" Target="https://store.admitad.com/webmaster/websites/2166760/offers/26291-thalia-at/" TargetMode="External"/><Relationship Id="rId837" Type="http://schemas.openxmlformats.org/officeDocument/2006/relationships/hyperlink" Target="https://www.zeb.be/nl/" TargetMode="External"/><Relationship Id="rId1022" Type="http://schemas.openxmlformats.org/officeDocument/2006/relationships/hyperlink" Target="https://store.admitad.com/webmaster/websites/2166760/offers/26703-rural-retreats-uk/" TargetMode="External"/><Relationship Id="rId1467" Type="http://schemas.openxmlformats.org/officeDocument/2006/relationships/hyperlink" Target="https://www.freshlycosmetics.com/es/" TargetMode="External"/><Relationship Id="rId1674" Type="http://schemas.openxmlformats.org/officeDocument/2006/relationships/hyperlink" Target="https://store.admitad.com/webmaster/websites/2166760/offers/27576-block-n-load-2cps-rucis/" TargetMode="External"/><Relationship Id="rId1881" Type="http://schemas.openxmlformats.org/officeDocument/2006/relationships/hyperlink" Target="https://www.mytrendyphone.eu/" TargetMode="External"/><Relationship Id="rId2518" Type="http://schemas.openxmlformats.org/officeDocument/2006/relationships/hyperlink" Target="https://store.admitad.com/webmaster/websites/2166760/offers/26354-streetstyle24-pl/" TargetMode="External"/><Relationship Id="rId2725" Type="http://schemas.openxmlformats.org/officeDocument/2006/relationships/hyperlink" Target="https://tails.com/" TargetMode="External"/><Relationship Id="rId2932" Type="http://schemas.openxmlformats.org/officeDocument/2006/relationships/hyperlink" Target="https://store.admitad.com/webmaster/websites/2166760/offers/17767-s-tell-ua/" TargetMode="External"/><Relationship Id="rId4178" Type="http://schemas.openxmlformats.org/officeDocument/2006/relationships/hyperlink" Target="https://store.admitad.com/webmaster/websites/2166760/offers/19168-axis-dsa-cpa-in/" TargetMode="External"/><Relationship Id="rId904" Type="http://schemas.openxmlformats.org/officeDocument/2006/relationships/hyperlink" Target="https://store.admitad.com/webmaster/websites/2166760/offers/26544-pharmacy2u-online-doctor/" TargetMode="External"/><Relationship Id="rId1327" Type="http://schemas.openxmlformats.org/officeDocument/2006/relationships/hyperlink" Target="https://www.secretsales.com/" TargetMode="External"/><Relationship Id="rId1534" Type="http://schemas.openxmlformats.org/officeDocument/2006/relationships/hyperlink" Target="https://store.admitad.com/webmaster/websites/2166760/offers/27419-gigaset-de/" TargetMode="External"/><Relationship Id="rId1741" Type="http://schemas.openxmlformats.org/officeDocument/2006/relationships/hyperlink" Target="https://send.dhlparcel.co.uk/" TargetMode="External"/><Relationship Id="rId1979" Type="http://schemas.openxmlformats.org/officeDocument/2006/relationships/hyperlink" Target="https://www.glossybox.co.uk/" TargetMode="External"/><Relationship Id="rId3194" Type="http://schemas.openxmlformats.org/officeDocument/2006/relationships/hyperlink" Target="https://store.admitad.com/webmaster/websites/2166760/offers/26562-street-one-nl/" TargetMode="External"/><Relationship Id="rId4038" Type="http://schemas.openxmlformats.org/officeDocument/2006/relationships/hyperlink" Target="https://store.admitad.com/webmaster/websites/2166760/offers/22259-puccini-pl/" TargetMode="External"/><Relationship Id="rId33" Type="http://schemas.openxmlformats.org/officeDocument/2006/relationships/hyperlink" Target="https://www.liquidweb.com/" TargetMode="External"/><Relationship Id="rId1601" Type="http://schemas.openxmlformats.org/officeDocument/2006/relationships/hyperlink" Target="https://kenkohealth.in/" TargetMode="External"/><Relationship Id="rId1839" Type="http://schemas.openxmlformats.org/officeDocument/2006/relationships/hyperlink" Target="http://www.kaspersky.com/" TargetMode="External"/><Relationship Id="rId3054" Type="http://schemas.openxmlformats.org/officeDocument/2006/relationships/hyperlink" Target="https://store.admitad.com/webmaster/websites/2166760/offers/23122-adidas-cps-ph/" TargetMode="External"/><Relationship Id="rId3499" Type="http://schemas.openxmlformats.org/officeDocument/2006/relationships/hyperlink" Target="https://kontramarka.ua/ru" TargetMode="External"/><Relationship Id="rId182" Type="http://schemas.openxmlformats.org/officeDocument/2006/relationships/hyperlink" Target="https://store.admitad.com/webmaster/websites/2166760/offers/22836-skyeng-cpa-android-ru-by/" TargetMode="External"/><Relationship Id="rId1906" Type="http://schemas.openxmlformats.org/officeDocument/2006/relationships/hyperlink" Target="https://store.admitad.com/webmaster/websites/2166760/offers/24742-loccitane-es/" TargetMode="External"/><Relationship Id="rId3261" Type="http://schemas.openxmlformats.org/officeDocument/2006/relationships/hyperlink" Target="http://tr.aliexpress.com/" TargetMode="External"/><Relationship Id="rId3359" Type="http://schemas.openxmlformats.org/officeDocument/2006/relationships/hyperlink" Target="https://global.ztedevices.com/" TargetMode="External"/><Relationship Id="rId3566" Type="http://schemas.openxmlformats.org/officeDocument/2006/relationships/hyperlink" Target="https://store.admitad.com/webmaster/websites/2166760/offers/26527-fragrance-direct-uk/" TargetMode="External"/><Relationship Id="rId4105" Type="http://schemas.openxmlformats.org/officeDocument/2006/relationships/hyperlink" Target="https://otus.ru/" TargetMode="External"/><Relationship Id="rId487" Type="http://schemas.openxmlformats.org/officeDocument/2006/relationships/hyperlink" Target="https://www.purelydiamonds.co.uk/" TargetMode="External"/><Relationship Id="rId694" Type="http://schemas.openxmlformats.org/officeDocument/2006/relationships/hyperlink" Target="https://store.admitad.com/webmaster/websites/2166760/offers/26073-12-storeez-many-geos/" TargetMode="External"/><Relationship Id="rId2070" Type="http://schemas.openxmlformats.org/officeDocument/2006/relationships/hyperlink" Target="https://store.admitad.com/webmaster/websites/2166760/offers/26786-sanicare-de/" TargetMode="External"/><Relationship Id="rId2168" Type="http://schemas.openxmlformats.org/officeDocument/2006/relationships/hyperlink" Target="https://store.admitad.com/webmaster/websites/2166760/offers/23299-facescanada-cps-in/" TargetMode="External"/><Relationship Id="rId2375" Type="http://schemas.openxmlformats.org/officeDocument/2006/relationships/hyperlink" Target="http://www.adorama.com/" TargetMode="External"/><Relationship Id="rId3121" Type="http://schemas.openxmlformats.org/officeDocument/2006/relationships/hyperlink" Target="https://mego.travel/" TargetMode="External"/><Relationship Id="rId3219" Type="http://schemas.openxmlformats.org/officeDocument/2006/relationships/hyperlink" Target="https://www.zooplus.co.uk/" TargetMode="External"/><Relationship Id="rId3773" Type="http://schemas.openxmlformats.org/officeDocument/2006/relationships/hyperlink" Target="https://artwinery.com.ua/" TargetMode="External"/><Relationship Id="rId3980" Type="http://schemas.openxmlformats.org/officeDocument/2006/relationships/hyperlink" Target="https://store.admitad.com/webmaster/websites/2166760/offers/23646-kapiva-cps-in/" TargetMode="External"/><Relationship Id="rId347" Type="http://schemas.openxmlformats.org/officeDocument/2006/relationships/hyperlink" Target="https://us.no7beauty.com/" TargetMode="External"/><Relationship Id="rId999" Type="http://schemas.openxmlformats.org/officeDocument/2006/relationships/hyperlink" Target="https://www.brille24.de/" TargetMode="External"/><Relationship Id="rId1184" Type="http://schemas.openxmlformats.org/officeDocument/2006/relationships/hyperlink" Target="https://store.admitad.com/webmaster/websites/2166760/offers/26981-french-connection-uk/" TargetMode="External"/><Relationship Id="rId2028" Type="http://schemas.openxmlformats.org/officeDocument/2006/relationships/hyperlink" Target="https://store.admitad.com/webmaster/websites/2166760/offers/23580-world-of-chaos-soi-at-de-ch/" TargetMode="External"/><Relationship Id="rId2582" Type="http://schemas.openxmlformats.org/officeDocument/2006/relationships/hyperlink" Target="https://store.admitad.com/webmaster/websites/2166760/offers/27087-corona-test-centre-uk/" TargetMode="External"/><Relationship Id="rId2887" Type="http://schemas.openxmlformats.org/officeDocument/2006/relationships/hyperlink" Target="http://nethouse.ru/" TargetMode="External"/><Relationship Id="rId3426" Type="http://schemas.openxmlformats.org/officeDocument/2006/relationships/hyperlink" Target="https://store.admitad.com/webmaster/websites/2166760/offers/26053-rotopino-many-geos/" TargetMode="External"/><Relationship Id="rId3633" Type="http://schemas.openxmlformats.org/officeDocument/2006/relationships/hyperlink" Target="https://www.sunsky-online.com/" TargetMode="External"/><Relationship Id="rId3840" Type="http://schemas.openxmlformats.org/officeDocument/2006/relationships/hyperlink" Target="https://store.admitad.com/webmaster/websites/2166760/offers/14852-lotto-sport-ua/" TargetMode="External"/><Relationship Id="rId554" Type="http://schemas.openxmlformats.org/officeDocument/2006/relationships/hyperlink" Target="https://store.admitad.com/webmaster/websites/2166760/offers/25263-stradivarius-pl/" TargetMode="External"/><Relationship Id="rId761" Type="http://schemas.openxmlformats.org/officeDocument/2006/relationships/hyperlink" Target="https://om.leela-game.in/discount" TargetMode="External"/><Relationship Id="rId859" Type="http://schemas.openxmlformats.org/officeDocument/2006/relationships/hyperlink" Target="https://www.lyleandscott.com/" TargetMode="External"/><Relationship Id="rId1391" Type="http://schemas.openxmlformats.org/officeDocument/2006/relationships/hyperlink" Target="https://www.carphonewarehouse.com/" TargetMode="External"/><Relationship Id="rId1489" Type="http://schemas.openxmlformats.org/officeDocument/2006/relationships/hyperlink" Target="https://www.da-direkt.de/" TargetMode="External"/><Relationship Id="rId1696" Type="http://schemas.openxmlformats.org/officeDocument/2006/relationships/hyperlink" Target="https://store.admitad.com/webmaster/websites/2166760/offers/27650-daniel-wellington-cpa-espt/" TargetMode="External"/><Relationship Id="rId2235" Type="http://schemas.openxmlformats.org/officeDocument/2006/relationships/hyperlink" Target="https://fo4tr.101xp.com/landings/landing-5" TargetMode="External"/><Relationship Id="rId2442" Type="http://schemas.openxmlformats.org/officeDocument/2006/relationships/hyperlink" Target="https://store.admitad.com/webmaster/websites/2166760/offers/23515-the-phylife-cps-in/" TargetMode="External"/><Relationship Id="rId3700" Type="http://schemas.openxmlformats.org/officeDocument/2006/relationships/hyperlink" Target="https://store.admitad.com/webmaster/websites/2166760/offers/22915-karazlinen-sa/" TargetMode="External"/><Relationship Id="rId3938" Type="http://schemas.openxmlformats.org/officeDocument/2006/relationships/hyperlink" Target="https://store.admitad.com/webmaster/websites/2166760/offers/26457-favorite-shoes-ua/" TargetMode="External"/><Relationship Id="rId207" Type="http://schemas.openxmlformats.org/officeDocument/2006/relationships/hyperlink" Target="https://www.carandbike.com/" TargetMode="External"/><Relationship Id="rId414" Type="http://schemas.openxmlformats.org/officeDocument/2006/relationships/hyperlink" Target="https://store.admitad.com/webmaster/websites/2166760/offers/24633-crabtree-evelyn-us-uk/" TargetMode="External"/><Relationship Id="rId621" Type="http://schemas.openxmlformats.org/officeDocument/2006/relationships/hyperlink" Target="https://www.credimaxx.de/" TargetMode="External"/><Relationship Id="rId1044" Type="http://schemas.openxmlformats.org/officeDocument/2006/relationships/hyperlink" Target="https://store.admitad.com/webmaster/websites/2166760/offers/26744-lotto-de/" TargetMode="External"/><Relationship Id="rId1251" Type="http://schemas.openxmlformats.org/officeDocument/2006/relationships/hyperlink" Target="https://www.santander.de/" TargetMode="External"/><Relationship Id="rId1349" Type="http://schemas.openxmlformats.org/officeDocument/2006/relationships/hyperlink" Target="https://www.converse.com/es" TargetMode="External"/><Relationship Id="rId2302" Type="http://schemas.openxmlformats.org/officeDocument/2006/relationships/hyperlink" Target="https://store.admitad.com/webmaster/websites/2166760/offers/26996-kaspersky-fr/" TargetMode="External"/><Relationship Id="rId2747" Type="http://schemas.openxmlformats.org/officeDocument/2006/relationships/hyperlink" Target="https://www.petzzshop.com/" TargetMode="External"/><Relationship Id="rId2954" Type="http://schemas.openxmlformats.org/officeDocument/2006/relationships/hyperlink" Target="https://store.admitad.com/webmaster/websites/2166760/offers/18831-vodnik/" TargetMode="External"/><Relationship Id="rId719" Type="http://schemas.openxmlformats.org/officeDocument/2006/relationships/hyperlink" Target="https://www.delonghi.com/cs-cz" TargetMode="External"/><Relationship Id="rId926" Type="http://schemas.openxmlformats.org/officeDocument/2006/relationships/hyperlink" Target="https://store.admitad.com/webmaster/websites/2166760/offers/26557-itch-pet-uk/" TargetMode="External"/><Relationship Id="rId1111" Type="http://schemas.openxmlformats.org/officeDocument/2006/relationships/hyperlink" Target="https://www.sidestep-shoes.de/de/startseite" TargetMode="External"/><Relationship Id="rId1556" Type="http://schemas.openxmlformats.org/officeDocument/2006/relationships/hyperlink" Target="https://store.admitad.com/webmaster/websites/2166760/offers/27439-make-me-royal-nl/" TargetMode="External"/><Relationship Id="rId1763" Type="http://schemas.openxmlformats.org/officeDocument/2006/relationships/hyperlink" Target="https://www.udyantea.com/" TargetMode="External"/><Relationship Id="rId1970" Type="http://schemas.openxmlformats.org/officeDocument/2006/relationships/hyperlink" Target="https://store.admitad.com/webmaster/websites/2166760/offers/26856-shop-bvb-de/" TargetMode="External"/><Relationship Id="rId2607" Type="http://schemas.openxmlformats.org/officeDocument/2006/relationships/hyperlink" Target="https://www.worldremit.com/" TargetMode="External"/><Relationship Id="rId2814" Type="http://schemas.openxmlformats.org/officeDocument/2006/relationships/hyperlink" Target="https://store.admitad.com/webmaster/websites/2166760/offers/26309-floraprima-de/" TargetMode="External"/><Relationship Id="rId55" Type="http://schemas.openxmlformats.org/officeDocument/2006/relationships/hyperlink" Target="https://smartpozyczka.pl/" TargetMode="External"/><Relationship Id="rId1209" Type="http://schemas.openxmlformats.org/officeDocument/2006/relationships/hyperlink" Target="https://www.underarmour.it/it-it" TargetMode="External"/><Relationship Id="rId1416" Type="http://schemas.openxmlformats.org/officeDocument/2006/relationships/hyperlink" Target="https://store.admitad.com/webmaster/websites/2166760/offers/27260-credimaxx-de/" TargetMode="External"/><Relationship Id="rId1623" Type="http://schemas.openxmlformats.org/officeDocument/2006/relationships/hyperlink" Target="https://fr.cupshe.com/" TargetMode="External"/><Relationship Id="rId1830" Type="http://schemas.openxmlformats.org/officeDocument/2006/relationships/hyperlink" Target="https://store.admitad.com/webmaster/websites/2166760/offers/27170-botb-uk/" TargetMode="External"/><Relationship Id="rId3076" Type="http://schemas.openxmlformats.org/officeDocument/2006/relationships/hyperlink" Target="https://store.admitad.com/webmaster/websites/2166760/offers/23527-filewhopper-many-geos/" TargetMode="External"/><Relationship Id="rId3283" Type="http://schemas.openxmlformats.org/officeDocument/2006/relationships/hyperlink" Target="https://deka.ua/" TargetMode="External"/><Relationship Id="rId3490" Type="http://schemas.openxmlformats.org/officeDocument/2006/relationships/hyperlink" Target="https://store.admitad.com/webmaster/websites/2166760/offers/19490-laba-cplrs-many-geos/" TargetMode="External"/><Relationship Id="rId4127" Type="http://schemas.openxmlformats.org/officeDocument/2006/relationships/hyperlink" Target="https://play.google.com/store/apps/details?id=com.joom&amp;hl=ru" TargetMode="External"/><Relationship Id="rId1928" Type="http://schemas.openxmlformats.org/officeDocument/2006/relationships/hyperlink" Target="https://store.admitad.com/webmaster/websites/2166760/offers/26183-rapsodia-mx/" TargetMode="External"/><Relationship Id="rId2092" Type="http://schemas.openxmlformats.org/officeDocument/2006/relationships/hyperlink" Target="https://store.admitad.com/webmaster/websites/2166760/offers/27117-zooplus-nl-be/" TargetMode="External"/><Relationship Id="rId3143" Type="http://schemas.openxmlformats.org/officeDocument/2006/relationships/hyperlink" Target="https://fr.myprotein.com/" TargetMode="External"/><Relationship Id="rId3350" Type="http://schemas.openxmlformats.org/officeDocument/2006/relationships/hyperlink" Target="https://store.admitad.com/webmaster/websites/2166760/offers/23477-kamaayurveda-cps-ww/" TargetMode="External"/><Relationship Id="rId3588" Type="http://schemas.openxmlformats.org/officeDocument/2006/relationships/hyperlink" Target="https://store.admitad.com/webmaster/websites/2166760/offers/8906-na-sviazi-by/" TargetMode="External"/><Relationship Id="rId3795" Type="http://schemas.openxmlformats.org/officeDocument/2006/relationships/hyperlink" Target="https://store.my.games/play/game/war_robots/" TargetMode="External"/><Relationship Id="rId271" Type="http://schemas.openxmlformats.org/officeDocument/2006/relationships/hyperlink" Target="https://www.blinkist.com/en" TargetMode="External"/><Relationship Id="rId2397" Type="http://schemas.openxmlformats.org/officeDocument/2006/relationships/hyperlink" Target="https://www.arcgames.com/de/games/neverwinter" TargetMode="External"/><Relationship Id="rId3003" Type="http://schemas.openxmlformats.org/officeDocument/2006/relationships/hyperlink" Target="https://www.abebooks.it/" TargetMode="External"/><Relationship Id="rId3448" Type="http://schemas.openxmlformats.org/officeDocument/2006/relationships/hyperlink" Target="https://store.admitad.com/webmaster/websites/2166760/offers/26874-pikolin-es/" TargetMode="External"/><Relationship Id="rId3655" Type="http://schemas.openxmlformats.org/officeDocument/2006/relationships/hyperlink" Target="https://www.tengo.kz/" TargetMode="External"/><Relationship Id="rId3862" Type="http://schemas.openxmlformats.org/officeDocument/2006/relationships/hyperlink" Target="https://store.admitad.com/webmaster/websites/2166760/offers/20240-yves-saint-laurent-ru/" TargetMode="External"/><Relationship Id="rId131" Type="http://schemas.openxmlformats.org/officeDocument/2006/relationships/hyperlink" Target="https://ae.hm.com/en/" TargetMode="External"/><Relationship Id="rId369" Type="http://schemas.openxmlformats.org/officeDocument/2006/relationships/hyperlink" Target="https://www.kiwoko.com/" TargetMode="External"/><Relationship Id="rId576" Type="http://schemas.openxmlformats.org/officeDocument/2006/relationships/hyperlink" Target="https://store.admitad.com/webmaster/websites/2166760/offers/25359-sleepit-many-geos/" TargetMode="External"/><Relationship Id="rId783" Type="http://schemas.openxmlformats.org/officeDocument/2006/relationships/hyperlink" Target="https://www.2collab.com.br/" TargetMode="External"/><Relationship Id="rId990" Type="http://schemas.openxmlformats.org/officeDocument/2006/relationships/hyperlink" Target="https://store.admitad.com/webmaster/websites/2166760/offers/26675-modivo-it/" TargetMode="External"/><Relationship Id="rId2257" Type="http://schemas.openxmlformats.org/officeDocument/2006/relationships/hyperlink" Target="https://www.lookfantastic.de/" TargetMode="External"/><Relationship Id="rId2464" Type="http://schemas.openxmlformats.org/officeDocument/2006/relationships/hyperlink" Target="https://store.admitad.com/webmaster/websites/2166760/offers/24373-tailscom-uk/" TargetMode="External"/><Relationship Id="rId2671" Type="http://schemas.openxmlformats.org/officeDocument/2006/relationships/hyperlink" Target="https://www.a.ubuy.com.kw/en/" TargetMode="External"/><Relationship Id="rId3210" Type="http://schemas.openxmlformats.org/officeDocument/2006/relationships/hyperlink" Target="https://store.admitad.com/webmaster/websites/2166760/offers/26840-hummel/" TargetMode="External"/><Relationship Id="rId3308" Type="http://schemas.openxmlformats.org/officeDocument/2006/relationships/hyperlink" Target="https://store.admitad.com/webmaster/websites/2166760/offers/20895-themomsco-cps-in/" TargetMode="External"/><Relationship Id="rId3515" Type="http://schemas.openxmlformats.org/officeDocument/2006/relationships/hyperlink" Target="https://www.warthunder.com/" TargetMode="External"/><Relationship Id="rId229" Type="http://schemas.openxmlformats.org/officeDocument/2006/relationships/hyperlink" Target="https://www.lastminute.com/" TargetMode="External"/><Relationship Id="rId436" Type="http://schemas.openxmlformats.org/officeDocument/2006/relationships/hyperlink" Target="https://store.admitad.com/webmaster/websites/2166760/offers/24733-magix-many-geos/" TargetMode="External"/><Relationship Id="rId643" Type="http://schemas.openxmlformats.org/officeDocument/2006/relationships/hyperlink" Target="https://www.medpets.de/" TargetMode="External"/><Relationship Id="rId1066" Type="http://schemas.openxmlformats.org/officeDocument/2006/relationships/hyperlink" Target="https://store.admitad.com/webmaster/websites/2166760/offers/26792-alternate-fr/" TargetMode="External"/><Relationship Id="rId1273" Type="http://schemas.openxmlformats.org/officeDocument/2006/relationships/hyperlink" Target="https://www.berge-meer.de/" TargetMode="External"/><Relationship Id="rId1480" Type="http://schemas.openxmlformats.org/officeDocument/2006/relationships/hyperlink" Target="https://store.admitad.com/webmaster/websites/2166760/offers/27350-reuter-fr/" TargetMode="External"/><Relationship Id="rId2117" Type="http://schemas.openxmlformats.org/officeDocument/2006/relationships/hyperlink" Target="http://shop.wigsbuy.com/" TargetMode="External"/><Relationship Id="rId2324" Type="http://schemas.openxmlformats.org/officeDocument/2006/relationships/hyperlink" Target="https://store.admitad.com/webmaster/websites/2166760/offers/27222-hamilton-beach-us/" TargetMode="External"/><Relationship Id="rId2769" Type="http://schemas.openxmlformats.org/officeDocument/2006/relationships/hyperlink" Target="http://mackeeper.com/" TargetMode="External"/><Relationship Id="rId2976" Type="http://schemas.openxmlformats.org/officeDocument/2006/relationships/hyperlink" Target="https://store.admitad.com/webmaster/websites/2166760/offers/20365-ibis-ua/" TargetMode="External"/><Relationship Id="rId3722" Type="http://schemas.openxmlformats.org/officeDocument/2006/relationships/hyperlink" Target="https://store.admitad.com/webmaster/websites/2166760/offers/23733-tripcom-ww/" TargetMode="External"/><Relationship Id="rId850" Type="http://schemas.openxmlformats.org/officeDocument/2006/relationships/hyperlink" Target="https://store.admitad.com/webmaster/websites/2166760/offers/26447-medica-plus-ua/" TargetMode="External"/><Relationship Id="rId948" Type="http://schemas.openxmlformats.org/officeDocument/2006/relationships/hyperlink" Target="https://store.admitad.com/webmaster/websites/2166760/offers/26611-kotak-cherry-androidcpr-in/" TargetMode="External"/><Relationship Id="rId1133" Type="http://schemas.openxmlformats.org/officeDocument/2006/relationships/hyperlink" Target="https://www.coastfashion.com/" TargetMode="External"/><Relationship Id="rId1578" Type="http://schemas.openxmlformats.org/officeDocument/2006/relationships/hyperlink" Target="https://store.admitad.com/webmaster/websites/2166760/offers/27464-one-pound-sweets-uk/" TargetMode="External"/><Relationship Id="rId1785" Type="http://schemas.openxmlformats.org/officeDocument/2006/relationships/hyperlink" Target="https://www.topbiz.fr/" TargetMode="External"/><Relationship Id="rId1992" Type="http://schemas.openxmlformats.org/officeDocument/2006/relationships/hyperlink" Target="https://store.admitad.com/webmaster/websites/2166760/offers/27113-notebooksbilliger-de-at/" TargetMode="External"/><Relationship Id="rId2531" Type="http://schemas.openxmlformats.org/officeDocument/2006/relationships/hyperlink" Target="https://www.robertdyas.co.uk/" TargetMode="External"/><Relationship Id="rId2629" Type="http://schemas.openxmlformats.org/officeDocument/2006/relationships/hyperlink" Target="https://lamoda.kz/" TargetMode="External"/><Relationship Id="rId2836" Type="http://schemas.openxmlformats.org/officeDocument/2006/relationships/hyperlink" Target="https://store.admitad.com/webmaster/websites/2166760/offers/26724-away-resorts-uk/" TargetMode="External"/><Relationship Id="rId4191" Type="http://schemas.openxmlformats.org/officeDocument/2006/relationships/hyperlink" Target="https://forzacredit.com.ua/" TargetMode="External"/><Relationship Id="rId77" Type="http://schemas.openxmlformats.org/officeDocument/2006/relationships/hyperlink" Target="https://www.rugsusa.com/" TargetMode="External"/><Relationship Id="rId503" Type="http://schemas.openxmlformats.org/officeDocument/2006/relationships/hyperlink" Target="http://www.grover.com/" TargetMode="External"/><Relationship Id="rId710" Type="http://schemas.openxmlformats.org/officeDocument/2006/relationships/hyperlink" Target="https://store.admitad.com/webmaster/websites/2166760/offers/26097-better-life-uae/" TargetMode="External"/><Relationship Id="rId808" Type="http://schemas.openxmlformats.org/officeDocument/2006/relationships/hyperlink" Target="https://store.admitad.com/webmaster/websites/2166760/offers/26347-new-balance-pl/" TargetMode="External"/><Relationship Id="rId1340" Type="http://schemas.openxmlformats.org/officeDocument/2006/relationships/hyperlink" Target="https://store.admitad.com/webmaster/websites/2166760/offers/27141-weber-de/" TargetMode="External"/><Relationship Id="rId1438" Type="http://schemas.openxmlformats.org/officeDocument/2006/relationships/hyperlink" Target="https://store.admitad.com/webmaster/websites/2166760/offers/27290-defense-siren-us/" TargetMode="External"/><Relationship Id="rId1645" Type="http://schemas.openxmlformats.org/officeDocument/2006/relationships/hyperlink" Target="https://www.cleverbuy.de/" TargetMode="External"/><Relationship Id="rId3098" Type="http://schemas.openxmlformats.org/officeDocument/2006/relationships/hyperlink" Target="https://store.admitad.com/webmaster/websites/2166760/offers/24286-justfashionnow-ww/" TargetMode="External"/><Relationship Id="rId4051" Type="http://schemas.openxmlformats.org/officeDocument/2006/relationships/hyperlink" Target="http://worldofwarships.com/" TargetMode="External"/><Relationship Id="rId1200" Type="http://schemas.openxmlformats.org/officeDocument/2006/relationships/hyperlink" Target="https://store.admitad.com/webmaster/websites/2166760/offers/27002-smartbuyglasses-nl/" TargetMode="External"/><Relationship Id="rId1852" Type="http://schemas.openxmlformats.org/officeDocument/2006/relationships/hyperlink" Target="https://store.admitad.com/webmaster/websites/2166760/offers/21708-paradox-ww/" TargetMode="External"/><Relationship Id="rId2903" Type="http://schemas.openxmlformats.org/officeDocument/2006/relationships/hyperlink" Target="https://vassatrend.ru/" TargetMode="External"/><Relationship Id="rId4149" Type="http://schemas.openxmlformats.org/officeDocument/2006/relationships/hyperlink" Target="https://mca.onlinemanipal.com/" TargetMode="External"/><Relationship Id="rId1505" Type="http://schemas.openxmlformats.org/officeDocument/2006/relationships/hyperlink" Target="https://allinone.hdfcsec.com/lp/open-trading-account13" TargetMode="External"/><Relationship Id="rId1712" Type="http://schemas.openxmlformats.org/officeDocument/2006/relationships/hyperlink" Target="https://store.admitad.com/webmaster/websites/2166760/offers/27696-times-iit-roorkee-cpl-in/" TargetMode="External"/><Relationship Id="rId3165" Type="http://schemas.openxmlformats.org/officeDocument/2006/relationships/hyperlink" Target="https://maudau.com.ua/" TargetMode="External"/><Relationship Id="rId3372" Type="http://schemas.openxmlformats.org/officeDocument/2006/relationships/hyperlink" Target="https://store.admitad.com/webmaster/websites/2166760/offers/24385-daily-objects-cps-in-us/" TargetMode="External"/><Relationship Id="rId4009" Type="http://schemas.openxmlformats.org/officeDocument/2006/relationships/hyperlink" Target="https://www.wizard101.com/wizardcreator" TargetMode="External"/><Relationship Id="rId4216" Type="http://schemas.openxmlformats.org/officeDocument/2006/relationships/hyperlink" Target="https://store.admitad.com/webmaster/websites/2166760/offers/21633-eneba-many-geos/" TargetMode="External"/><Relationship Id="rId293" Type="http://schemas.openxmlformats.org/officeDocument/2006/relationships/hyperlink" Target="https://pl.gant.com/" TargetMode="External"/><Relationship Id="rId2181" Type="http://schemas.openxmlformats.org/officeDocument/2006/relationships/hyperlink" Target="https://himalayawellness.in/" TargetMode="External"/><Relationship Id="rId3025" Type="http://schemas.openxmlformats.org/officeDocument/2006/relationships/hyperlink" Target="https://www.101xp.com/games/game_of_thrones" TargetMode="External"/><Relationship Id="rId3232" Type="http://schemas.openxmlformats.org/officeDocument/2006/relationships/hyperlink" Target="https://store.admitad.com/webmaster/websites/2166760/offers/27236-godrej-professional-cps-in/" TargetMode="External"/><Relationship Id="rId3677" Type="http://schemas.openxmlformats.org/officeDocument/2006/relationships/hyperlink" Target="https://www.koke.kz/" TargetMode="External"/><Relationship Id="rId3884" Type="http://schemas.openxmlformats.org/officeDocument/2006/relationships/hyperlink" Target="https://store.admitad.com/webmaster/websites/2166760/offers/22749-unacademy-cpa-in/" TargetMode="External"/><Relationship Id="rId153" Type="http://schemas.openxmlformats.org/officeDocument/2006/relationships/hyperlink" Target="https://www.credy.com.mx/" TargetMode="External"/><Relationship Id="rId360" Type="http://schemas.openxmlformats.org/officeDocument/2006/relationships/hyperlink" Target="https://store.admitad.com/webmaster/websites/2166760/offers/24330-dinopc-uk/" TargetMode="External"/><Relationship Id="rId598" Type="http://schemas.openxmlformats.org/officeDocument/2006/relationships/hyperlink" Target="https://store.admitad.com/webmaster/websites/2166760/offers/25484-dr-martens-de-uk/" TargetMode="External"/><Relationship Id="rId2041" Type="http://schemas.openxmlformats.org/officeDocument/2006/relationships/hyperlink" Target="https://www.disfrazzes.com/" TargetMode="External"/><Relationship Id="rId2279" Type="http://schemas.openxmlformats.org/officeDocument/2006/relationships/hyperlink" Target="https://www.jeans-fritz.de/" TargetMode="External"/><Relationship Id="rId2486" Type="http://schemas.openxmlformats.org/officeDocument/2006/relationships/hyperlink" Target="https://store.admitad.com/webmaster/websites/2166760/offers/24973-alharam-plaza-sa-offline-codes/" TargetMode="External"/><Relationship Id="rId2693" Type="http://schemas.openxmlformats.org/officeDocument/2006/relationships/hyperlink" Target="https://gameroyale.net/en/ruplay" TargetMode="External"/><Relationship Id="rId3537" Type="http://schemas.openxmlformats.org/officeDocument/2006/relationships/hyperlink" Target="https://www.myvitamins.com/" TargetMode="External"/><Relationship Id="rId3744" Type="http://schemas.openxmlformats.org/officeDocument/2006/relationships/hyperlink" Target="https://store.admitad.com/webmaster/websites/2166760/offers/24198-league-of-angels-heavens-fury-cpp-esprit-enmany-geos/" TargetMode="External"/><Relationship Id="rId3951" Type="http://schemas.openxmlformats.org/officeDocument/2006/relationships/hyperlink" Target="http://www.milanoo.com/" TargetMode="External"/><Relationship Id="rId220" Type="http://schemas.openxmlformats.org/officeDocument/2006/relationships/hyperlink" Target="https://store.admitad.com/webmaster/websites/2166760/offers/23191-tenorshare-cps-ww/" TargetMode="External"/><Relationship Id="rId458" Type="http://schemas.openxmlformats.org/officeDocument/2006/relationships/hyperlink" Target="https://store.admitad.com/webmaster/websites/2166760/offers/24864-askona-kz/" TargetMode="External"/><Relationship Id="rId665" Type="http://schemas.openxmlformats.org/officeDocument/2006/relationships/hyperlink" Target="https://www.lg.com/in" TargetMode="External"/><Relationship Id="rId872" Type="http://schemas.openxmlformats.org/officeDocument/2006/relationships/hyperlink" Target="https://store.admitad.com/webmaster/websites/2166760/offers/26480-xterium-war-of-alliances-cps-many-geos/" TargetMode="External"/><Relationship Id="rId1088" Type="http://schemas.openxmlformats.org/officeDocument/2006/relationships/hyperlink" Target="https://store.admitad.com/webmaster/websites/2166760/offers/26838-hm-ae-sa-kw-eg-qa-offline-codes/" TargetMode="External"/><Relationship Id="rId1295" Type="http://schemas.openxmlformats.org/officeDocument/2006/relationships/hyperlink" Target="https://www.converse.com/it" TargetMode="External"/><Relationship Id="rId2139" Type="http://schemas.openxmlformats.org/officeDocument/2006/relationships/hyperlink" Target="https://www.whatwears.com/" TargetMode="External"/><Relationship Id="rId2346" Type="http://schemas.openxmlformats.org/officeDocument/2006/relationships/hyperlink" Target="https://store.admitad.com/webmaster/websites/2166760/offers/27398-size-official-it/" TargetMode="External"/><Relationship Id="rId2553" Type="http://schemas.openxmlformats.org/officeDocument/2006/relationships/hyperlink" Target="http://www.hansemerkur.de/" TargetMode="External"/><Relationship Id="rId2760" Type="http://schemas.openxmlformats.org/officeDocument/2006/relationships/hyperlink" Target="https://store.admitad.com/webmaster/websites/2166760/offers/24345-bellavka/" TargetMode="External"/><Relationship Id="rId2998" Type="http://schemas.openxmlformats.org/officeDocument/2006/relationships/hyperlink" Target="https://store.admitad.com/webmaster/websites/2166760/offers/21064-durex-cpsin/" TargetMode="External"/><Relationship Id="rId3604" Type="http://schemas.openxmlformats.org/officeDocument/2006/relationships/hyperlink" Target="https://store.admitad.com/webmaster/websites/2166760/offers/14729-zivame-cps-in/" TargetMode="External"/><Relationship Id="rId3811" Type="http://schemas.openxmlformats.org/officeDocument/2006/relationships/hyperlink" Target="https://www.hugendubel.de/" TargetMode="External"/><Relationship Id="rId318" Type="http://schemas.openxmlformats.org/officeDocument/2006/relationships/hyperlink" Target="https://store.admitad.com/webmaster/websites/2166760/offers/24042-ffp2-many-geos/" TargetMode="External"/><Relationship Id="rId525" Type="http://schemas.openxmlformats.org/officeDocument/2006/relationships/hyperlink" Target="https://www.faces.com/ae-en" TargetMode="External"/><Relationship Id="rId732" Type="http://schemas.openxmlformats.org/officeDocument/2006/relationships/hyperlink" Target="https://store.admitad.com/webmaster/websites/2166760/offers/26156-stradivarius-it-fr-nl/" TargetMode="External"/><Relationship Id="rId1155" Type="http://schemas.openxmlformats.org/officeDocument/2006/relationships/hyperlink" Target="https://store.canon.ch/" TargetMode="External"/><Relationship Id="rId1362" Type="http://schemas.openxmlformats.org/officeDocument/2006/relationships/hyperlink" Target="https://store.admitad.com/webmaster/websites/2166760/offers/27174-koi-footwear-us/" TargetMode="External"/><Relationship Id="rId2206" Type="http://schemas.openxmlformats.org/officeDocument/2006/relationships/hyperlink" Target="https://store.admitad.com/webmaster/websites/2166760/offers/24445-kelsey-media-uk/" TargetMode="External"/><Relationship Id="rId2413" Type="http://schemas.openxmlformats.org/officeDocument/2006/relationships/hyperlink" Target="https://www.toprankers.com/" TargetMode="External"/><Relationship Id="rId2620" Type="http://schemas.openxmlformats.org/officeDocument/2006/relationships/hyperlink" Target="https://store.admitad.com/webmaster/websites/2166760/offers/27401-cyclestore-uk/" TargetMode="External"/><Relationship Id="rId2858" Type="http://schemas.openxmlformats.org/officeDocument/2006/relationships/hyperlink" Target="https://store.admitad.com/webmaster/websites/2166760/offers/27095-safestore-uk/" TargetMode="External"/><Relationship Id="rId3909" Type="http://schemas.openxmlformats.org/officeDocument/2006/relationships/hyperlink" Target="https://theoriginals.com.ua/" TargetMode="External"/><Relationship Id="rId4073" Type="http://schemas.openxmlformats.org/officeDocument/2006/relationships/hyperlink" Target="https://winsqdbmeasmtdev01-m.azurewebsites.net/InApp_Plus_Live_DownloadAPK?V=1" TargetMode="External"/><Relationship Id="rId99" Type="http://schemas.openxmlformats.org/officeDocument/2006/relationships/hyperlink" Target="https://www.malabargoldanddiamonds.com/" TargetMode="External"/><Relationship Id="rId1015" Type="http://schemas.openxmlformats.org/officeDocument/2006/relationships/hyperlink" Target="https://www.qatarairways.com/en-us/homepage.html" TargetMode="External"/><Relationship Id="rId1222" Type="http://schemas.openxmlformats.org/officeDocument/2006/relationships/hyperlink" Target="https://store.admitad.com/webmaster/websites/2166760/offers/27027-under-armour-uk/" TargetMode="External"/><Relationship Id="rId1667" Type="http://schemas.openxmlformats.org/officeDocument/2006/relationships/hyperlink" Target="https://dil2.bankofbaroda.co.in/pl/?utm_source=AdmitAds&amp;utm_medium=Publisher.id&amp;utm_campaign=PT_BoB_PL_Admitads" TargetMode="External"/><Relationship Id="rId1874" Type="http://schemas.openxmlformats.org/officeDocument/2006/relationships/hyperlink" Target="https://store.admitad.com/webmaster/websites/2166760/offers/23287-ticketmaster-cps-it/" TargetMode="External"/><Relationship Id="rId2718" Type="http://schemas.openxmlformats.org/officeDocument/2006/relationships/hyperlink" Target="https://store.admitad.com/webmaster/websites/2166760/offers/23002-enjoy-the-wood-tm/" TargetMode="External"/><Relationship Id="rId2925" Type="http://schemas.openxmlformats.org/officeDocument/2006/relationships/hyperlink" Target="https://kwork.ru/" TargetMode="External"/><Relationship Id="rId1527" Type="http://schemas.openxmlformats.org/officeDocument/2006/relationships/hyperlink" Target="https://www.jochen-schweizer.de/" TargetMode="External"/><Relationship Id="rId1734" Type="http://schemas.openxmlformats.org/officeDocument/2006/relationships/hyperlink" Target="https://store.admitad.com/webmaster/websites/2166760/offers/27809-rituals-ae-sa-kw-qa-offline-codes/" TargetMode="External"/><Relationship Id="rId1941" Type="http://schemas.openxmlformats.org/officeDocument/2006/relationships/hyperlink" Target="https://www.timberland.it/" TargetMode="External"/><Relationship Id="rId3187" Type="http://schemas.openxmlformats.org/officeDocument/2006/relationships/hyperlink" Target="http://mariefreshcosmetics.com/" TargetMode="External"/><Relationship Id="rId3394" Type="http://schemas.openxmlformats.org/officeDocument/2006/relationships/hyperlink" Target="https://store.admitad.com/webmaster/websites/2166760/offers/24911-defacto-egy/" TargetMode="External"/><Relationship Id="rId4140" Type="http://schemas.openxmlformats.org/officeDocument/2006/relationships/hyperlink" Target="https://store.admitad.com/webmaster/websites/2166760/offers/22727-stylishop-ae-sa-offline-codes/" TargetMode="External"/><Relationship Id="rId26" Type="http://schemas.openxmlformats.org/officeDocument/2006/relationships/hyperlink" Target="https://store.admitad.com/webmaster/websites/2166760/offers/17989-sucuri-int/" TargetMode="External"/><Relationship Id="rId3047" Type="http://schemas.openxmlformats.org/officeDocument/2006/relationships/hyperlink" Target="https://yesfrukt.com/" TargetMode="External"/><Relationship Id="rId3699" Type="http://schemas.openxmlformats.org/officeDocument/2006/relationships/hyperlink" Target="https://karazlinen.com/" TargetMode="External"/><Relationship Id="rId4000" Type="http://schemas.openxmlformats.org/officeDocument/2006/relationships/hyperlink" Target="https://store.admitad.com/webmaster/websites/2166760/offers/14670-profi/" TargetMode="External"/><Relationship Id="rId175" Type="http://schemas.openxmlformats.org/officeDocument/2006/relationships/hyperlink" Target="https://apps.apple.com/us/app/rebellion-pay-bank-card/id1413270710" TargetMode="External"/><Relationship Id="rId1801" Type="http://schemas.openxmlformats.org/officeDocument/2006/relationships/hyperlink" Target="https://www.hughes.co.uk/" TargetMode="External"/><Relationship Id="rId3254" Type="http://schemas.openxmlformats.org/officeDocument/2006/relationships/hyperlink" Target="https://store.admitad.com/webmaster/websites/2166760/offers/8945-puzzle-english/" TargetMode="External"/><Relationship Id="rId3461" Type="http://schemas.openxmlformats.org/officeDocument/2006/relationships/hyperlink" Target="https://www.wearewild.com/" TargetMode="External"/><Relationship Id="rId3559" Type="http://schemas.openxmlformats.org/officeDocument/2006/relationships/hyperlink" Target="https://www.buser.com.br/" TargetMode="External"/><Relationship Id="rId382" Type="http://schemas.openxmlformats.org/officeDocument/2006/relationships/hyperlink" Target="https://store.admitad.com/webmaster/websites/2166760/offers/24505-vidaxl-us/" TargetMode="External"/><Relationship Id="rId687" Type="http://schemas.openxmlformats.org/officeDocument/2006/relationships/hyperlink" Target="https://www.mijnidealekussen.nl/nl/" TargetMode="External"/><Relationship Id="rId2063" Type="http://schemas.openxmlformats.org/officeDocument/2006/relationships/hyperlink" Target="https://www.ordnancesurvey.co.uk/shop/" TargetMode="External"/><Relationship Id="rId2270" Type="http://schemas.openxmlformats.org/officeDocument/2006/relationships/hyperlink" Target="https://store.admitad.com/webmaster/websites/2166760/offers/26734-eveshop-tr/" TargetMode="External"/><Relationship Id="rId2368" Type="http://schemas.openxmlformats.org/officeDocument/2006/relationships/hyperlink" Target="https://store.admitad.com/webmaster/websites/2166760/offers/16661-lifestyle-cps-in/" TargetMode="External"/><Relationship Id="rId3114" Type="http://schemas.openxmlformats.org/officeDocument/2006/relationships/hyperlink" Target="https://store.admitad.com/webmaster/websites/2166760/offers/24611-itvdn-many-geos/" TargetMode="External"/><Relationship Id="rId3321" Type="http://schemas.openxmlformats.org/officeDocument/2006/relationships/hyperlink" Target="https://fr.shopping.rakuten.com/" TargetMode="External"/><Relationship Id="rId3766" Type="http://schemas.openxmlformats.org/officeDocument/2006/relationships/hyperlink" Target="https://store.admitad.com/webmaster/websites/2166760/offers/24805-niyox-android-cpa-in/" TargetMode="External"/><Relationship Id="rId3973" Type="http://schemas.openxmlformats.org/officeDocument/2006/relationships/hyperlink" Target="https://www.indusind.com/in/en/personal/accounts/saving-account.html" TargetMode="External"/><Relationship Id="rId242" Type="http://schemas.openxmlformats.org/officeDocument/2006/relationships/hyperlink" Target="https://store.admitad.com/webmaster/websites/2166760/offers/23372-agata-meble-pl/" TargetMode="External"/><Relationship Id="rId894" Type="http://schemas.openxmlformats.org/officeDocument/2006/relationships/hyperlink" Target="https://store.admitad.com/webmaster/websites/2166760/offers/26531-julian-charles-uk/" TargetMode="External"/><Relationship Id="rId1177" Type="http://schemas.openxmlformats.org/officeDocument/2006/relationships/hyperlink" Target="https://yumove.co.uk/pages/login-discount" TargetMode="External"/><Relationship Id="rId2130" Type="http://schemas.openxmlformats.org/officeDocument/2006/relationships/hyperlink" Target="https://store.admitad.com/webmaster/websites/2166760/offers/17970-glasseslit-ww/" TargetMode="External"/><Relationship Id="rId2575" Type="http://schemas.openxmlformats.org/officeDocument/2006/relationships/hyperlink" Target="http://www.mobilcom-debitel.de/" TargetMode="External"/><Relationship Id="rId2782" Type="http://schemas.openxmlformats.org/officeDocument/2006/relationships/hyperlink" Target="https://store.admitad.com/webmaster/websites/2166760/offers/24915-lakme-cps-in/" TargetMode="External"/><Relationship Id="rId3419" Type="http://schemas.openxmlformats.org/officeDocument/2006/relationships/hyperlink" Target="https://www.dyson.in/" TargetMode="External"/><Relationship Id="rId3626" Type="http://schemas.openxmlformats.org/officeDocument/2006/relationships/hyperlink" Target="https://store.admitad.com/webmaster/websites/2166760/offers/17658-crossout-cpp-ru-cis/" TargetMode="External"/><Relationship Id="rId3833" Type="http://schemas.openxmlformats.org/officeDocument/2006/relationships/hyperlink" Target="http://labirint.ru/" TargetMode="External"/><Relationship Id="rId102" Type="http://schemas.openxmlformats.org/officeDocument/2006/relationships/hyperlink" Target="https://store.admitad.com/webmaster/websites/2166760/offers/21535-carters-many-geos/" TargetMode="External"/><Relationship Id="rId547" Type="http://schemas.openxmlformats.org/officeDocument/2006/relationships/hyperlink" Target="https://www.lampenonline.de/" TargetMode="External"/><Relationship Id="rId754" Type="http://schemas.openxmlformats.org/officeDocument/2006/relationships/hyperlink" Target="https://store.admitad.com/webmaster/websites/2166760/offers/26178-indusind-pl-cpl-in/" TargetMode="External"/><Relationship Id="rId961" Type="http://schemas.openxmlformats.org/officeDocument/2006/relationships/hyperlink" Target="https://www.save.tv/" TargetMode="External"/><Relationship Id="rId1384" Type="http://schemas.openxmlformats.org/officeDocument/2006/relationships/hyperlink" Target="https://store.admitad.com/webmaster/websites/2166760/offers/27194-currys-mobile-uk/" TargetMode="External"/><Relationship Id="rId1591" Type="http://schemas.openxmlformats.org/officeDocument/2006/relationships/hyperlink" Target="https://www.mashvisor.com/" TargetMode="External"/><Relationship Id="rId1689" Type="http://schemas.openxmlformats.org/officeDocument/2006/relationships/hyperlink" Target="https://www.cookunity.com/" TargetMode="External"/><Relationship Id="rId2228" Type="http://schemas.openxmlformats.org/officeDocument/2006/relationships/hyperlink" Target="https://store.admitad.com/webmaster/websites/2166760/offers/25942-tommy-hilfiger-mx/" TargetMode="External"/><Relationship Id="rId2435" Type="http://schemas.openxmlformats.org/officeDocument/2006/relationships/hyperlink" Target="https://pw.mail.ru/" TargetMode="External"/><Relationship Id="rId2642" Type="http://schemas.openxmlformats.org/officeDocument/2006/relationships/hyperlink" Target="https://store.admitad.com/webmaster/websites/2166760/offers/15019-mmt-hotels-cps-in/" TargetMode="External"/><Relationship Id="rId3900" Type="http://schemas.openxmlformats.org/officeDocument/2006/relationships/hyperlink" Target="https://store.admitad.com/webmaster/websites/2166760/offers/23638-ziprecruiter-us/" TargetMode="External"/><Relationship Id="rId4095" Type="http://schemas.openxmlformats.org/officeDocument/2006/relationships/hyperlink" Target="https://zakaz.ua/ru/" TargetMode="External"/><Relationship Id="rId90" Type="http://schemas.openxmlformats.org/officeDocument/2006/relationships/hyperlink" Target="https://store.admitad.com/webmaster/websites/2166760/offers/21389-footshop-eu/" TargetMode="External"/><Relationship Id="rId407" Type="http://schemas.openxmlformats.org/officeDocument/2006/relationships/hyperlink" Target="https://evertondirect.evertonfc.com/" TargetMode="External"/><Relationship Id="rId614" Type="http://schemas.openxmlformats.org/officeDocument/2006/relationships/hyperlink" Target="https://store.admitad.com/webmaster/websites/2166760/offers/25508-loberon-de/" TargetMode="External"/><Relationship Id="rId821" Type="http://schemas.openxmlformats.org/officeDocument/2006/relationships/hyperlink" Target="https://ethinos73.gotrackier.com/click?campaign_id=104&amp;pub_id=88&amp;p1=%7byour-transaction-id%7d&amp;source=%7byour-sub-aff-id%7d" TargetMode="External"/><Relationship Id="rId1037" Type="http://schemas.openxmlformats.org/officeDocument/2006/relationships/hyperlink" Target="https://www.badrhino.com/" TargetMode="External"/><Relationship Id="rId1244" Type="http://schemas.openxmlformats.org/officeDocument/2006/relationships/hyperlink" Target="https://store.admitad.com/webmaster/websites/2166760/offers/27047-pezzidiricambio24-it/" TargetMode="External"/><Relationship Id="rId1451" Type="http://schemas.openxmlformats.org/officeDocument/2006/relationships/hyperlink" Target="https://www.mothercare.co.id/" TargetMode="External"/><Relationship Id="rId1896" Type="http://schemas.openxmlformats.org/officeDocument/2006/relationships/hyperlink" Target="https://store.admitad.com/webmaster/websites/2166760/offers/24420-rabe-de/" TargetMode="External"/><Relationship Id="rId2502" Type="http://schemas.openxmlformats.org/officeDocument/2006/relationships/hyperlink" Target="https://store.admitad.com/webmaster/websites/2166760/offers/25905-ever-pretty-many-geos/" TargetMode="External"/><Relationship Id="rId2947" Type="http://schemas.openxmlformats.org/officeDocument/2006/relationships/hyperlink" Target="https://www.adobe.com/" TargetMode="External"/><Relationship Id="rId4162" Type="http://schemas.openxmlformats.org/officeDocument/2006/relationships/hyperlink" Target="https://store.admitad.com/webmaster/websites/2166760/offers/26000-donnerdeal-ww/" TargetMode="External"/><Relationship Id="rId919" Type="http://schemas.openxmlformats.org/officeDocument/2006/relationships/hyperlink" Target="https://fra.grandado.com/" TargetMode="External"/><Relationship Id="rId1104" Type="http://schemas.openxmlformats.org/officeDocument/2006/relationships/hyperlink" Target="https://store.admitad.com/webmaster/websites/2166760/offers/26863-mn-store-many-geos/" TargetMode="External"/><Relationship Id="rId1311" Type="http://schemas.openxmlformats.org/officeDocument/2006/relationships/hyperlink" Target="https://www.bodyandfit.com/fr-fr" TargetMode="External"/><Relationship Id="rId1549" Type="http://schemas.openxmlformats.org/officeDocument/2006/relationships/hyperlink" Target="https://www.tiqets.com/es/" TargetMode="External"/><Relationship Id="rId1756" Type="http://schemas.openxmlformats.org/officeDocument/2006/relationships/hyperlink" Target="https://store.admitad.com/webmaster/websites/2166760/offers/22901-go-sport-pl/" TargetMode="External"/><Relationship Id="rId1963" Type="http://schemas.openxmlformats.org/officeDocument/2006/relationships/hyperlink" Target="http://www.alternate.es/" TargetMode="External"/><Relationship Id="rId2807" Type="http://schemas.openxmlformats.org/officeDocument/2006/relationships/hyperlink" Target="https://de.myprotein.com/" TargetMode="External"/><Relationship Id="rId4022" Type="http://schemas.openxmlformats.org/officeDocument/2006/relationships/hyperlink" Target="https://store.admitad.com/webmaster/websites/2166760/offers/18867-nordvpn-ww/" TargetMode="External"/><Relationship Id="rId48" Type="http://schemas.openxmlformats.org/officeDocument/2006/relationships/hyperlink" Target="https://store.admitad.com/webmaster/websites/2166760/offers/19368-guardian-cps-in/" TargetMode="External"/><Relationship Id="rId1409" Type="http://schemas.openxmlformats.org/officeDocument/2006/relationships/hyperlink" Target="https://www.watt24.com/" TargetMode="External"/><Relationship Id="rId1616" Type="http://schemas.openxmlformats.org/officeDocument/2006/relationships/hyperlink" Target="https://store.admitad.com/webmaster/websites/2166760/offers/27512-lastminute-ireland/" TargetMode="External"/><Relationship Id="rId1823" Type="http://schemas.openxmlformats.org/officeDocument/2006/relationships/hyperlink" Target="https://www.esn.com/" TargetMode="External"/><Relationship Id="rId3069" Type="http://schemas.openxmlformats.org/officeDocument/2006/relationships/hyperlink" Target="https://insurance.kotak.com/OnlineTermInsurance/?utm_source=Admitad&amp;utm_medium=email&amp;utmcampaign=email&amp;utm_content=email&amp;lead_group=ip_affiliate" TargetMode="External"/><Relationship Id="rId3276" Type="http://schemas.openxmlformats.org/officeDocument/2006/relationships/hyperlink" Target="https://store.admitad.com/webmaster/websites/2166760/offers/17176-karabas-cps-ua/" TargetMode="External"/><Relationship Id="rId3483" Type="http://schemas.openxmlformats.org/officeDocument/2006/relationships/hyperlink" Target="http://www.cafago.com/" TargetMode="External"/><Relationship Id="rId3690" Type="http://schemas.openxmlformats.org/officeDocument/2006/relationships/hyperlink" Target="https://store.admitad.com/webmaster/websites/2166760/offers/22502-avtmarket-ua/" TargetMode="External"/><Relationship Id="rId197" Type="http://schemas.openxmlformats.org/officeDocument/2006/relationships/hyperlink" Target="https://bananarepublic.com/" TargetMode="External"/><Relationship Id="rId2085" Type="http://schemas.openxmlformats.org/officeDocument/2006/relationships/hyperlink" Target="https://www.startriteshoes.com/" TargetMode="External"/><Relationship Id="rId2292" Type="http://schemas.openxmlformats.org/officeDocument/2006/relationships/hyperlink" Target="https://store.admitad.com/webmaster/websites/2166760/offers/26872-sonic-direct-uk/" TargetMode="External"/><Relationship Id="rId3136" Type="http://schemas.openxmlformats.org/officeDocument/2006/relationships/hyperlink" Target="https://store.admitad.com/webmaster/websites/2166760/offers/24910-defacto-ua/" TargetMode="External"/><Relationship Id="rId3343" Type="http://schemas.openxmlformats.org/officeDocument/2006/relationships/hyperlink" Target="https://www.tutoronline.ru/" TargetMode="External"/><Relationship Id="rId3788" Type="http://schemas.openxmlformats.org/officeDocument/2006/relationships/hyperlink" Target="https://store.admitad.com/webmaster/websites/2166760/offers/26050-eternal-fury-reborn-soi-rucis/" TargetMode="External"/><Relationship Id="rId3995" Type="http://schemas.openxmlformats.org/officeDocument/2006/relationships/hyperlink" Target="http://worldoftanks.ru/" TargetMode="External"/><Relationship Id="rId264" Type="http://schemas.openxmlformats.org/officeDocument/2006/relationships/hyperlink" Target="https://store.admitad.com/webmaster/websites/2166760/offers/23628-kotak-811-cpa-in/" TargetMode="External"/><Relationship Id="rId471" Type="http://schemas.openxmlformats.org/officeDocument/2006/relationships/hyperlink" Target="https://www.asterix-friends.com/en/iframe-embed/" TargetMode="External"/><Relationship Id="rId2152" Type="http://schemas.openxmlformats.org/officeDocument/2006/relationships/hyperlink" Target="https://store.admitad.com/webmaster/websites/2166760/offers/21970-treatwell-fr/" TargetMode="External"/><Relationship Id="rId2597" Type="http://schemas.openxmlformats.org/officeDocument/2006/relationships/hyperlink" Target="https://www.allbeauty.com/" TargetMode="External"/><Relationship Id="rId3550" Type="http://schemas.openxmlformats.org/officeDocument/2006/relationships/hyperlink" Target="https://store.admitad.com/webmaster/websites/2166760/offers/24741-medmag-ua/" TargetMode="External"/><Relationship Id="rId3648" Type="http://schemas.openxmlformats.org/officeDocument/2006/relationships/hyperlink" Target="https://store.admitad.com/webmaster/websites/2166760/offers/19057-bajaj-allianz-life-cpl-in/" TargetMode="External"/><Relationship Id="rId3855" Type="http://schemas.openxmlformats.org/officeDocument/2006/relationships/hyperlink" Target="http://globkurier.pl/" TargetMode="External"/><Relationship Id="rId124" Type="http://schemas.openxmlformats.org/officeDocument/2006/relationships/hyperlink" Target="https://store.admitad.com/webmaster/websites/2166760/offers/22030-creditprime-md/" TargetMode="External"/><Relationship Id="rId569" Type="http://schemas.openxmlformats.org/officeDocument/2006/relationships/hyperlink" Target="https://www.mymoneykarma.com/auth/home-loan-signup.html" TargetMode="External"/><Relationship Id="rId776" Type="http://schemas.openxmlformats.org/officeDocument/2006/relationships/hyperlink" Target="https://store.admitad.com/webmaster/websites/2166760/offers/26250-crate-and-barrel-mx/" TargetMode="External"/><Relationship Id="rId983" Type="http://schemas.openxmlformats.org/officeDocument/2006/relationships/hyperlink" Target="https://www.goneo.de/" TargetMode="External"/><Relationship Id="rId1199" Type="http://schemas.openxmlformats.org/officeDocument/2006/relationships/hyperlink" Target="https://www.smartbuyglasses.nl/" TargetMode="External"/><Relationship Id="rId2457" Type="http://schemas.openxmlformats.org/officeDocument/2006/relationships/hyperlink" Target="https://login.axisdirect.in/" TargetMode="External"/><Relationship Id="rId2664" Type="http://schemas.openxmlformats.org/officeDocument/2006/relationships/hyperlink" Target="https://store.admitad.com/webmaster/websites/2166760/offers/19534-autoklad-ua/" TargetMode="External"/><Relationship Id="rId3203" Type="http://schemas.openxmlformats.org/officeDocument/2006/relationships/hyperlink" Target="https://www.fhinds.co.uk/" TargetMode="External"/><Relationship Id="rId3410" Type="http://schemas.openxmlformats.org/officeDocument/2006/relationships/hyperlink" Target="https://store.admitad.com/webmaster/websites/2166760/offers/25572-saramart-ww/" TargetMode="External"/><Relationship Id="rId3508" Type="http://schemas.openxmlformats.org/officeDocument/2006/relationships/hyperlink" Target="https://store.admitad.com/webmaster/websites/2166760/offers/22175-lineage-2-essencecpp-ru-cis/" TargetMode="External"/><Relationship Id="rId331" Type="http://schemas.openxmlformats.org/officeDocument/2006/relationships/hyperlink" Target="https://www.marriott.com/" TargetMode="External"/><Relationship Id="rId429" Type="http://schemas.openxmlformats.org/officeDocument/2006/relationships/hyperlink" Target="http://www.cuemath.com/" TargetMode="External"/><Relationship Id="rId636" Type="http://schemas.openxmlformats.org/officeDocument/2006/relationships/hyperlink" Target="https://store.admitad.com/webmaster/websites/2166760/offers/25723-zalando-lounge-pl/" TargetMode="External"/><Relationship Id="rId1059" Type="http://schemas.openxmlformats.org/officeDocument/2006/relationships/hyperlink" Target="https://www.office-partner.de/" TargetMode="External"/><Relationship Id="rId1266" Type="http://schemas.openxmlformats.org/officeDocument/2006/relationships/hyperlink" Target="https://store.admitad.com/webmaster/websites/2166760/offers/27061-bestfewo-de/" TargetMode="External"/><Relationship Id="rId1473" Type="http://schemas.openxmlformats.org/officeDocument/2006/relationships/hyperlink" Target="https://bigflex.in/" TargetMode="External"/><Relationship Id="rId2012" Type="http://schemas.openxmlformats.org/officeDocument/2006/relationships/hyperlink" Target="https://store.admitad.com/webmaster/websites/2166760/offers/17571-tezeks-many-geos/" TargetMode="External"/><Relationship Id="rId2317" Type="http://schemas.openxmlformats.org/officeDocument/2006/relationships/hyperlink" Target="https://www.neverfullydressed.co.uk/" TargetMode="External"/><Relationship Id="rId2871" Type="http://schemas.openxmlformats.org/officeDocument/2006/relationships/hyperlink" Target="https://scholarshipowl.com/" TargetMode="External"/><Relationship Id="rId2969" Type="http://schemas.openxmlformats.org/officeDocument/2006/relationships/hyperlink" Target="https://www.bigrock.in/" TargetMode="External"/><Relationship Id="rId3715" Type="http://schemas.openxmlformats.org/officeDocument/2006/relationships/hyperlink" Target="https://travel.ic-ekta.com/" TargetMode="External"/><Relationship Id="rId3922" Type="http://schemas.openxmlformats.org/officeDocument/2006/relationships/hyperlink" Target="https://store.admitad.com/webmaster/websites/2166760/offers/24940-own3dtv-shop-for-game-live-streamers-cps-many-geos/" TargetMode="External"/><Relationship Id="rId843" Type="http://schemas.openxmlformats.org/officeDocument/2006/relationships/hyperlink" Target="https://play.google.com/store/apps/details?id=com.coindcx.btc&amp;hl=en_IN&amp;gl=US" TargetMode="External"/><Relationship Id="rId1126" Type="http://schemas.openxmlformats.org/officeDocument/2006/relationships/hyperlink" Target="https://store.admitad.com/webmaster/websites/2166760/offers/26904-costway_us/" TargetMode="External"/><Relationship Id="rId1680" Type="http://schemas.openxmlformats.org/officeDocument/2006/relationships/hyperlink" Target="https://store.admitad.com/webmaster/websites/2166760/offers/27590-dodam-cps-ua/" TargetMode="External"/><Relationship Id="rId1778" Type="http://schemas.openxmlformats.org/officeDocument/2006/relationships/hyperlink" Target="https://store.admitad.com/webmaster/websites/2166760/offers/24415-hajo-de/" TargetMode="External"/><Relationship Id="rId1985" Type="http://schemas.openxmlformats.org/officeDocument/2006/relationships/hyperlink" Target="https://it.pandora.net/it" TargetMode="External"/><Relationship Id="rId2524" Type="http://schemas.openxmlformats.org/officeDocument/2006/relationships/hyperlink" Target="https://store.admitad.com/webmaster/websites/2166760/offers/26364-ccc-pl/" TargetMode="External"/><Relationship Id="rId2731" Type="http://schemas.openxmlformats.org/officeDocument/2006/relationships/hyperlink" Target="https://www.elevelife.com.br/" TargetMode="External"/><Relationship Id="rId2829" Type="http://schemas.openxmlformats.org/officeDocument/2006/relationships/hyperlink" Target="https://www.thebodyshop.com/en-us/" TargetMode="External"/><Relationship Id="rId4184" Type="http://schemas.openxmlformats.org/officeDocument/2006/relationships/hyperlink" Target="https://store.admitad.com/webmaster/websites/2166760/offers/21765-farmacia-loreto-gallo-cps-it/" TargetMode="External"/><Relationship Id="rId703" Type="http://schemas.openxmlformats.org/officeDocument/2006/relationships/hyperlink" Target="https://newbalance.co.ae/" TargetMode="External"/><Relationship Id="rId910" Type="http://schemas.openxmlformats.org/officeDocument/2006/relationships/hyperlink" Target="https://store.admitad.com/webmaster/websites/2166760/offers/26549-sonova-de/" TargetMode="External"/><Relationship Id="rId1333" Type="http://schemas.openxmlformats.org/officeDocument/2006/relationships/hyperlink" Target="https://shop.shape-republic.com/" TargetMode="External"/><Relationship Id="rId1540" Type="http://schemas.openxmlformats.org/officeDocument/2006/relationships/hyperlink" Target="https://store.admitad.com/webmaster/websites/2166760/offers/27422-wordery-us/" TargetMode="External"/><Relationship Id="rId1638" Type="http://schemas.openxmlformats.org/officeDocument/2006/relationships/hyperlink" Target="https://store.admitad.com/webmaster/websites/2166760/offers/27541-lambdatest-us/" TargetMode="External"/><Relationship Id="rId4044" Type="http://schemas.openxmlformats.org/officeDocument/2006/relationships/hyperlink" Target="https://store.admitad.com/webmaster/websites/2166760/offers/22748-novakid-ru/" TargetMode="External"/><Relationship Id="rId1400" Type="http://schemas.openxmlformats.org/officeDocument/2006/relationships/hyperlink" Target="https://store.admitad.com/webmaster/websites/2166760/offers/27246-rosewe-us/" TargetMode="External"/><Relationship Id="rId1845" Type="http://schemas.openxmlformats.org/officeDocument/2006/relationships/hyperlink" Target="https://pokupon.ua/" TargetMode="External"/><Relationship Id="rId3060" Type="http://schemas.openxmlformats.org/officeDocument/2006/relationships/hyperlink" Target="https://store.admitad.com/webmaster/websites/2166760/offers/23177-liga-shtorma-soi-ru-cis/" TargetMode="External"/><Relationship Id="rId3298" Type="http://schemas.openxmlformats.org/officeDocument/2006/relationships/hyperlink" Target="https://store.admitad.com/webmaster/websites/2166760/offers/19827-maedru/" TargetMode="External"/><Relationship Id="rId4111" Type="http://schemas.openxmlformats.org/officeDocument/2006/relationships/hyperlink" Target="https://www.puravida.com.br/" TargetMode="External"/><Relationship Id="rId1705" Type="http://schemas.openxmlformats.org/officeDocument/2006/relationships/hyperlink" Target="https://plarium.com/landings/ru/desktop/raid/icegolem_f036_a_rdoapp" TargetMode="External"/><Relationship Id="rId1912" Type="http://schemas.openxmlformats.org/officeDocument/2006/relationships/hyperlink" Target="https://store.admitad.com/webmaster/websites/2166760/offers/24989-peintures-par-numeros-many-geos/" TargetMode="External"/><Relationship Id="rId3158" Type="http://schemas.openxmlformats.org/officeDocument/2006/relationships/hyperlink" Target="https://store.admitad.com/webmaster/websites/2166760/offers/25880-recredit-cps-ua/" TargetMode="External"/><Relationship Id="rId3365" Type="http://schemas.openxmlformats.org/officeDocument/2006/relationships/hyperlink" Target="https://manmatters.com/" TargetMode="External"/><Relationship Id="rId3572" Type="http://schemas.openxmlformats.org/officeDocument/2006/relationships/hyperlink" Target="https://store.admitad.com/webmaster/websites/2166760/offers/26788-ulanka-es/" TargetMode="External"/><Relationship Id="rId4209" Type="http://schemas.openxmlformats.org/officeDocument/2006/relationships/hyperlink" Target="https://www.alexcredit.ua/" TargetMode="External"/><Relationship Id="rId286" Type="http://schemas.openxmlformats.org/officeDocument/2006/relationships/hyperlink" Target="https://store.admitad.com/webmaster/websites/2166760/offers/23841-invideo-ww/" TargetMode="External"/><Relationship Id="rId493" Type="http://schemas.openxmlformats.org/officeDocument/2006/relationships/hyperlink" Target="https://www.saturn.de/" TargetMode="External"/><Relationship Id="rId2174" Type="http://schemas.openxmlformats.org/officeDocument/2006/relationships/hyperlink" Target="https://store.admitad.com/webmaster/websites/2166760/offers/23427-cloudways-ww/" TargetMode="External"/><Relationship Id="rId2381" Type="http://schemas.openxmlformats.org/officeDocument/2006/relationships/hyperlink" Target="https://gameroyale.net/ru/ruplay/" TargetMode="External"/><Relationship Id="rId3018" Type="http://schemas.openxmlformats.org/officeDocument/2006/relationships/hyperlink" Target="https://store.admitad.com/webmaster/websites/2166760/offers/21994-sportmarket/" TargetMode="External"/><Relationship Id="rId3225" Type="http://schemas.openxmlformats.org/officeDocument/2006/relationships/hyperlink" Target="https://www.blume2000.de/" TargetMode="External"/><Relationship Id="rId3432" Type="http://schemas.openxmlformats.org/officeDocument/2006/relationships/hyperlink" Target="https://store.admitad.com/webmaster/websites/2166760/offers/26144-skore-cpv-in/" TargetMode="External"/><Relationship Id="rId3877" Type="http://schemas.openxmlformats.org/officeDocument/2006/relationships/hyperlink" Target="https://www.joigifts.com/" TargetMode="External"/><Relationship Id="rId146" Type="http://schemas.openxmlformats.org/officeDocument/2006/relationships/hyperlink" Target="https://store.admitad.com/webmaster/websites/2166760/offers/22469-lacoste-hu/" TargetMode="External"/><Relationship Id="rId353" Type="http://schemas.openxmlformats.org/officeDocument/2006/relationships/hyperlink" Target="https://easylingo.com/" TargetMode="External"/><Relationship Id="rId560" Type="http://schemas.openxmlformats.org/officeDocument/2006/relationships/hyperlink" Target="https://store.admitad.com/webmaster/websites/2166760/offers/25277-new-balance-us/" TargetMode="External"/><Relationship Id="rId798" Type="http://schemas.openxmlformats.org/officeDocument/2006/relationships/hyperlink" Target="https://store.admitad.com/webmaster/websites/2166760/offers/26319-belvilla-nl/" TargetMode="External"/><Relationship Id="rId1190" Type="http://schemas.openxmlformats.org/officeDocument/2006/relationships/hyperlink" Target="https://store.admitad.com/webmaster/websites/2166760/offers/26986-fortnum-mason-uk/" TargetMode="External"/><Relationship Id="rId2034" Type="http://schemas.openxmlformats.org/officeDocument/2006/relationships/hyperlink" Target="https://store.admitad.com/webmaster/websites/2166760/offers/24590-clickoncare-cps-in/" TargetMode="External"/><Relationship Id="rId2241" Type="http://schemas.openxmlformats.org/officeDocument/2006/relationships/hyperlink" Target="https://www.guess.mx/" TargetMode="External"/><Relationship Id="rId2479" Type="http://schemas.openxmlformats.org/officeDocument/2006/relationships/hyperlink" Target="https://www.homefitnesscode.com/" TargetMode="External"/><Relationship Id="rId2686" Type="http://schemas.openxmlformats.org/officeDocument/2006/relationships/hyperlink" Target="https://store.admitad.com/webmaster/websites/2166760/offers/21965-adidas-br/" TargetMode="External"/><Relationship Id="rId2893" Type="http://schemas.openxmlformats.org/officeDocument/2006/relationships/hyperlink" Target="http://otto-trade.com.ua/" TargetMode="External"/><Relationship Id="rId3737" Type="http://schemas.openxmlformats.org/officeDocument/2006/relationships/hyperlink" Target="https://rulez.by/" TargetMode="External"/><Relationship Id="rId3944" Type="http://schemas.openxmlformats.org/officeDocument/2006/relationships/hyperlink" Target="https://store.admitad.com/webmaster/websites/2166760/offers/26617-eastar-music-ww/" TargetMode="External"/><Relationship Id="rId213" Type="http://schemas.openxmlformats.org/officeDocument/2006/relationships/hyperlink" Target="https://play.google.com/store/apps/details?id=com.viacom18.vootkids" TargetMode="External"/><Relationship Id="rId420" Type="http://schemas.openxmlformats.org/officeDocument/2006/relationships/hyperlink" Target="https://store.admitad.com/webmaster/websites/2166760/offers/24655-clevguard-ww/" TargetMode="External"/><Relationship Id="rId658" Type="http://schemas.openxmlformats.org/officeDocument/2006/relationships/hyperlink" Target="https://store.admitad.com/webmaster/websites/2166760/offers/25874-elfsight-ww/" TargetMode="External"/><Relationship Id="rId865" Type="http://schemas.openxmlformats.org/officeDocument/2006/relationships/hyperlink" Target="https://newbalance.cz/" TargetMode="External"/><Relationship Id="rId1050" Type="http://schemas.openxmlformats.org/officeDocument/2006/relationships/hyperlink" Target="https://store.admitad.com/webmaster/websites/2166760/offers/26759-aosom-fr/" TargetMode="External"/><Relationship Id="rId1288" Type="http://schemas.openxmlformats.org/officeDocument/2006/relationships/hyperlink" Target="https://store.admitad.com/webmaster/websites/2166760/offers/27086-podobrace-uk/" TargetMode="External"/><Relationship Id="rId1495" Type="http://schemas.openxmlformats.org/officeDocument/2006/relationships/hyperlink" Target="https://merlin.pl/" TargetMode="External"/><Relationship Id="rId2101" Type="http://schemas.openxmlformats.org/officeDocument/2006/relationships/hyperlink" Target="https://wellbeingnutrition.com/" TargetMode="External"/><Relationship Id="rId2339" Type="http://schemas.openxmlformats.org/officeDocument/2006/relationships/hyperlink" Target="https://www.dorothyperkins.com/" TargetMode="External"/><Relationship Id="rId2546" Type="http://schemas.openxmlformats.org/officeDocument/2006/relationships/hyperlink" Target="https://store.admitad.com/webmaster/websites/2166760/offers/26650-dpd-group-uk/" TargetMode="External"/><Relationship Id="rId2753" Type="http://schemas.openxmlformats.org/officeDocument/2006/relationships/hyperlink" Target="https://www.mothercare.in/" TargetMode="External"/><Relationship Id="rId2960" Type="http://schemas.openxmlformats.org/officeDocument/2006/relationships/hyperlink" Target="https://store.admitad.com/webmaster/websites/2166760/offers/19312-ktc-ua/" TargetMode="External"/><Relationship Id="rId3804" Type="http://schemas.openxmlformats.org/officeDocument/2006/relationships/hyperlink" Target="https://store.admitad.com/webmaster/websites/2166760/offers/26466-santander-abertura-de-contas-cartao/" TargetMode="External"/><Relationship Id="rId518" Type="http://schemas.openxmlformats.org/officeDocument/2006/relationships/hyperlink" Target="https://store.admitad.com/webmaster/websites/2166760/offers/25104-fubotv/" TargetMode="External"/><Relationship Id="rId725" Type="http://schemas.openxmlformats.org/officeDocument/2006/relationships/hyperlink" Target="https://www.euronova-shop.cz/" TargetMode="External"/><Relationship Id="rId932" Type="http://schemas.openxmlformats.org/officeDocument/2006/relationships/hyperlink" Target="https://store.admitad.com/webmaster/websites/2166760/offers/26566-furnitureworkr-uk/" TargetMode="External"/><Relationship Id="rId1148" Type="http://schemas.openxmlformats.org/officeDocument/2006/relationships/hyperlink" Target="https://store.admitad.com/webmaster/websites/2166760/offers/26935-tekhnomagiia-cpa-android-rucis/" TargetMode="External"/><Relationship Id="rId1355" Type="http://schemas.openxmlformats.org/officeDocument/2006/relationships/hyperlink" Target="https://www.123pneus.fr/cgi-bin/rshop.pl" TargetMode="External"/><Relationship Id="rId1562" Type="http://schemas.openxmlformats.org/officeDocument/2006/relationships/hyperlink" Target="https://store.admitad.com/webmaster/websites/2166760/offers/27450-sexyavenue-fr/" TargetMode="External"/><Relationship Id="rId2406" Type="http://schemas.openxmlformats.org/officeDocument/2006/relationships/hyperlink" Target="https://store.admitad.com/webmaster/websites/2166760/offers/22397-ccloan-cpl-kz/" TargetMode="External"/><Relationship Id="rId2613" Type="http://schemas.openxmlformats.org/officeDocument/2006/relationships/hyperlink" Target="https://www.esrgear.com/" TargetMode="External"/><Relationship Id="rId4066" Type="http://schemas.openxmlformats.org/officeDocument/2006/relationships/hyperlink" Target="https://store.admitad.com/webmaster/websites/2166760/offers/24353-cupshe-ww/" TargetMode="External"/><Relationship Id="rId1008" Type="http://schemas.openxmlformats.org/officeDocument/2006/relationships/hyperlink" Target="https://store.admitad.com/webmaster/websites/2166760/offers/26688-qatar-it/" TargetMode="External"/><Relationship Id="rId1215" Type="http://schemas.openxmlformats.org/officeDocument/2006/relationships/hyperlink" Target="https://www.zooplus.fr/" TargetMode="External"/><Relationship Id="rId1422" Type="http://schemas.openxmlformats.org/officeDocument/2006/relationships/hyperlink" Target="https://store.admitad.com/webmaster/websites/2166760/offers/27267-see-tickets-uk/" TargetMode="External"/><Relationship Id="rId1867" Type="http://schemas.openxmlformats.org/officeDocument/2006/relationships/hyperlink" Target="https://www.ketto.org/" TargetMode="External"/><Relationship Id="rId2820" Type="http://schemas.openxmlformats.org/officeDocument/2006/relationships/hyperlink" Target="https://store.admitad.com/webmaster/websites/2166760/offers/26502-podobrace-nl/" TargetMode="External"/><Relationship Id="rId2918" Type="http://schemas.openxmlformats.org/officeDocument/2006/relationships/hyperlink" Target="https://store.admitad.com/webmaster/websites/2166760/offers/15688-101-chai/" TargetMode="External"/><Relationship Id="rId61" Type="http://schemas.openxmlformats.org/officeDocument/2006/relationships/hyperlink" Target="https://allegro.pl/" TargetMode="External"/><Relationship Id="rId1727" Type="http://schemas.openxmlformats.org/officeDocument/2006/relationships/hyperlink" Target="https://en-ae.randbfashion.com/" TargetMode="External"/><Relationship Id="rId1934" Type="http://schemas.openxmlformats.org/officeDocument/2006/relationships/hyperlink" Target="https://store.admitad.com/webmaster/websites/2166760/offers/26306-mobel-hoffner-de/" TargetMode="External"/><Relationship Id="rId3082" Type="http://schemas.openxmlformats.org/officeDocument/2006/relationships/hyperlink" Target="https://store.admitad.com/webmaster/websites/2166760/offers/23663-englishpapa-many-geos/" TargetMode="External"/><Relationship Id="rId3387" Type="http://schemas.openxmlformats.org/officeDocument/2006/relationships/hyperlink" Target="https://www.tu.com/" TargetMode="External"/><Relationship Id="rId4133" Type="http://schemas.openxmlformats.org/officeDocument/2006/relationships/hyperlink" Target="https://www.flydubai.com/" TargetMode="External"/><Relationship Id="rId19" Type="http://schemas.openxmlformats.org/officeDocument/2006/relationships/hyperlink" Target="https://www.yoox.com/th/" TargetMode="External"/><Relationship Id="rId2196" Type="http://schemas.openxmlformats.org/officeDocument/2006/relationships/hyperlink" Target="https://store.admitad.com/webmaster/websites/2166760/offers/24088-vahdamteas-cps-in/" TargetMode="External"/><Relationship Id="rId3594" Type="http://schemas.openxmlformats.org/officeDocument/2006/relationships/hyperlink" Target="https://store.admitad.com/webmaster/websites/2166760/offers/13544-tsum-2/" TargetMode="External"/><Relationship Id="rId3899" Type="http://schemas.openxmlformats.org/officeDocument/2006/relationships/hyperlink" Target="https://www.ziprecruiter.com/" TargetMode="External"/><Relationship Id="rId4200" Type="http://schemas.openxmlformats.org/officeDocument/2006/relationships/hyperlink" Target="https://store.admitad.com/webmaster/websites/2166760/offers/26666-casando-de/" TargetMode="External"/><Relationship Id="rId168" Type="http://schemas.openxmlformats.org/officeDocument/2006/relationships/hyperlink" Target="https://store.admitad.com/webmaster/websites/2166760/offers/22756-ihg-cps-amea/" TargetMode="External"/><Relationship Id="rId3247" Type="http://schemas.openxmlformats.org/officeDocument/2006/relationships/hyperlink" Target="https://www.fitnessfirst.de/" TargetMode="External"/><Relationship Id="rId3454" Type="http://schemas.openxmlformats.org/officeDocument/2006/relationships/hyperlink" Target="https://store.admitad.com/webmaster/websites/2166760/offers/26907-patrizia-pepe-de/" TargetMode="External"/><Relationship Id="rId3661" Type="http://schemas.openxmlformats.org/officeDocument/2006/relationships/hyperlink" Target="https://www.sushiya.ua/" TargetMode="External"/><Relationship Id="rId375" Type="http://schemas.openxmlformats.org/officeDocument/2006/relationships/hyperlink" Target="https://feverup.com/" TargetMode="External"/><Relationship Id="rId582" Type="http://schemas.openxmlformats.org/officeDocument/2006/relationships/hyperlink" Target="https://store.admitad.com/webmaster/websites/2166760/offers/25419-gamivous/" TargetMode="External"/><Relationship Id="rId2056" Type="http://schemas.openxmlformats.org/officeDocument/2006/relationships/hyperlink" Target="https://store.admitad.com/webmaster/websites/2166760/offers/26362-fera-pl/" TargetMode="External"/><Relationship Id="rId2263" Type="http://schemas.openxmlformats.org/officeDocument/2006/relationships/hyperlink" Target="https://www.parcel2go.com/" TargetMode="External"/><Relationship Id="rId2470" Type="http://schemas.openxmlformats.org/officeDocument/2006/relationships/hyperlink" Target="https://store.admitad.com/webmaster/websites/2166760/offers/24573-lineage-2-essence-cpp-innova-many-geos/" TargetMode="External"/><Relationship Id="rId3107" Type="http://schemas.openxmlformats.org/officeDocument/2006/relationships/hyperlink" Target="https://www.bancobmg.com.br/galo/" TargetMode="External"/><Relationship Id="rId3314" Type="http://schemas.openxmlformats.org/officeDocument/2006/relationships/hyperlink" Target="https://store.admitad.com/webmaster/websites/2166760/offers/21133-internet-bilet-ua/" TargetMode="External"/><Relationship Id="rId3521" Type="http://schemas.openxmlformats.org/officeDocument/2006/relationships/hyperlink" Target="https://www.knowfashionstyle.com/" TargetMode="External"/><Relationship Id="rId3759" Type="http://schemas.openxmlformats.org/officeDocument/2006/relationships/hyperlink" Target="https://www.donttellmama-studio.com/" TargetMode="External"/><Relationship Id="rId3966" Type="http://schemas.openxmlformats.org/officeDocument/2006/relationships/hyperlink" Target="https://store.admitad.com/webmaster/websites/2166760/offers/22718-sportmaster-ua-2/" TargetMode="External"/><Relationship Id="rId3" Type="http://schemas.openxmlformats.org/officeDocument/2006/relationships/hyperlink" Target="http://rentalcars.com/" TargetMode="External"/><Relationship Id="rId235" Type="http://schemas.openxmlformats.org/officeDocument/2006/relationships/hyperlink" Target="https://apps.tataaia.com/tataaia/rakshakaran/LeadAssist.jsp" TargetMode="External"/><Relationship Id="rId442" Type="http://schemas.openxmlformats.org/officeDocument/2006/relationships/hyperlink" Target="https://store.admitad.com/webmaster/websites/2166760/offers/24776-the-bouqs/" TargetMode="External"/><Relationship Id="rId887" Type="http://schemas.openxmlformats.org/officeDocument/2006/relationships/hyperlink" Target="https://steelseries.com/" TargetMode="External"/><Relationship Id="rId1072" Type="http://schemas.openxmlformats.org/officeDocument/2006/relationships/hyperlink" Target="https://store.admitad.com/webmaster/websites/2166760/offers/26805-aosom-uk/" TargetMode="External"/><Relationship Id="rId2123" Type="http://schemas.openxmlformats.org/officeDocument/2006/relationships/hyperlink" Target="https://www.g2a.com/" TargetMode="External"/><Relationship Id="rId2330" Type="http://schemas.openxmlformats.org/officeDocument/2006/relationships/hyperlink" Target="https://store.admitad.com/webmaster/websites/2166760/offers/27261-missa-us/" TargetMode="External"/><Relationship Id="rId2568" Type="http://schemas.openxmlformats.org/officeDocument/2006/relationships/hyperlink" Target="https://store.admitad.com/webmaster/websites/2166760/offers/26991-boohooman-fr/" TargetMode="External"/><Relationship Id="rId2775" Type="http://schemas.openxmlformats.org/officeDocument/2006/relationships/hyperlink" Target="https://meunegocio.uol.com.br/" TargetMode="External"/><Relationship Id="rId2982" Type="http://schemas.openxmlformats.org/officeDocument/2006/relationships/hyperlink" Target="https://store.admitad.com/webmaster/websites/2166760/offers/20722-verdelab-pl/" TargetMode="External"/><Relationship Id="rId3619" Type="http://schemas.openxmlformats.org/officeDocument/2006/relationships/hyperlink" Target="https://www.mamasandpapas.ae/" TargetMode="External"/><Relationship Id="rId3826" Type="http://schemas.openxmlformats.org/officeDocument/2006/relationships/hyperlink" Target="https://store.admitad.com/webmaster/websites/2166760/offers/27269-mydays-de-at/" TargetMode="External"/><Relationship Id="rId302" Type="http://schemas.openxmlformats.org/officeDocument/2006/relationships/hyperlink" Target="https://store.admitad.com/webmaster/websites/2166760/offers/23923-rivafashion-gcc-offline-codes/" TargetMode="External"/><Relationship Id="rId747" Type="http://schemas.openxmlformats.org/officeDocument/2006/relationships/hyperlink" Target="https://www.azadea.com/en/" TargetMode="External"/><Relationship Id="rId954" Type="http://schemas.openxmlformats.org/officeDocument/2006/relationships/hyperlink" Target="https://store.admitad.com/webmaster/websites/2166760/offers/26630-le-cord-se/" TargetMode="External"/><Relationship Id="rId1377" Type="http://schemas.openxmlformats.org/officeDocument/2006/relationships/hyperlink" Target="https://www.myposter.de/" TargetMode="External"/><Relationship Id="rId1584" Type="http://schemas.openxmlformats.org/officeDocument/2006/relationships/hyperlink" Target="https://store.admitad.com/webmaster/websites/2166760/offers/27472-the-ayurveda-experience-us/" TargetMode="External"/><Relationship Id="rId1791" Type="http://schemas.openxmlformats.org/officeDocument/2006/relationships/hyperlink" Target="https://elemis.com/" TargetMode="External"/><Relationship Id="rId2428" Type="http://schemas.openxmlformats.org/officeDocument/2006/relationships/hyperlink" Target="https://store.admitad.com/webmaster/websites/2166760/offers/22892-yousporty-cps-many-geos/" TargetMode="External"/><Relationship Id="rId2635" Type="http://schemas.openxmlformats.org/officeDocument/2006/relationships/hyperlink" Target="http://hotellook.ru/" TargetMode="External"/><Relationship Id="rId2842" Type="http://schemas.openxmlformats.org/officeDocument/2006/relationships/hyperlink" Target="https://store.admitad.com/webmaster/websites/2166760/offers/26885-sonnenklar-tv-de/" TargetMode="External"/><Relationship Id="rId4088" Type="http://schemas.openxmlformats.org/officeDocument/2006/relationships/hyperlink" Target="https://store.admitad.com/webmaster/websites/2166760/offers/26876-lexoffice-de/" TargetMode="External"/><Relationship Id="rId83" Type="http://schemas.openxmlformats.org/officeDocument/2006/relationships/hyperlink" Target="https://www.lacoste.pl/" TargetMode="External"/><Relationship Id="rId607" Type="http://schemas.openxmlformats.org/officeDocument/2006/relationships/hyperlink" Target="https://www.sport-schuster.de/" TargetMode="External"/><Relationship Id="rId814" Type="http://schemas.openxmlformats.org/officeDocument/2006/relationships/hyperlink" Target="https://store.admitad.com/webmaster/websites/2166760/offers/26376-drestige-cps-many-geos/" TargetMode="External"/><Relationship Id="rId1237" Type="http://schemas.openxmlformats.org/officeDocument/2006/relationships/hyperlink" Target="https://www.yomonda.de/" TargetMode="External"/><Relationship Id="rId1444" Type="http://schemas.openxmlformats.org/officeDocument/2006/relationships/hyperlink" Target="https://store.admitad.com/webmaster/websites/2166760/offers/27293-shopee-es/" TargetMode="External"/><Relationship Id="rId1651" Type="http://schemas.openxmlformats.org/officeDocument/2006/relationships/hyperlink" Target="https://www.sensilab.de/bestseller-de" TargetMode="External"/><Relationship Id="rId1889" Type="http://schemas.openxmlformats.org/officeDocument/2006/relationships/hyperlink" Target="https://www.coxandcox.co.uk/" TargetMode="External"/><Relationship Id="rId2702" Type="http://schemas.openxmlformats.org/officeDocument/2006/relationships/hyperlink" Target="https://store.admitad.com/webmaster/websites/2166760/offers/22423-kviku-cpl-kz/" TargetMode="External"/><Relationship Id="rId4155" Type="http://schemas.openxmlformats.org/officeDocument/2006/relationships/hyperlink" Target="https://www.vevor.com/" TargetMode="External"/><Relationship Id="rId1304" Type="http://schemas.openxmlformats.org/officeDocument/2006/relationships/hyperlink" Target="https://store.admitad.com/webmaster/websites/2166760/offers/27106-1blu-de/" TargetMode="External"/><Relationship Id="rId1511" Type="http://schemas.openxmlformats.org/officeDocument/2006/relationships/hyperlink" Target="https://archiesbeauty.com/" TargetMode="External"/><Relationship Id="rId1749" Type="http://schemas.openxmlformats.org/officeDocument/2006/relationships/hyperlink" Target="https://www.priceelf.com/" TargetMode="External"/><Relationship Id="rId1956" Type="http://schemas.openxmlformats.org/officeDocument/2006/relationships/hyperlink" Target="https://store.admitad.com/webmaster/websites/2166760/offers/26680-bitiba-fr/" TargetMode="External"/><Relationship Id="rId3171" Type="http://schemas.openxmlformats.org/officeDocument/2006/relationships/hyperlink" Target="https://www.organicindia.com/" TargetMode="External"/><Relationship Id="rId4015" Type="http://schemas.openxmlformats.org/officeDocument/2006/relationships/hyperlink" Target="http://www.lenovo.com/uk/en/" TargetMode="External"/><Relationship Id="rId1609" Type="http://schemas.openxmlformats.org/officeDocument/2006/relationships/hyperlink" Target="https://www.vidaxl.nl/" TargetMode="External"/><Relationship Id="rId1816" Type="http://schemas.openxmlformats.org/officeDocument/2006/relationships/hyperlink" Target="https://store.admitad.com/webmaster/websites/2166760/offers/26808-waz-de/" TargetMode="External"/><Relationship Id="rId3269" Type="http://schemas.openxmlformats.org/officeDocument/2006/relationships/hyperlink" Target="http://biba.in/" TargetMode="External"/><Relationship Id="rId3476" Type="http://schemas.openxmlformats.org/officeDocument/2006/relationships/hyperlink" Target="https://store.admitad.com/webmaster/websites/2166760/offers/15098-vikium/" TargetMode="External"/><Relationship Id="rId3683" Type="http://schemas.openxmlformats.org/officeDocument/2006/relationships/hyperlink" Target="https://rivolishop.com/" TargetMode="External"/><Relationship Id="rId4222" Type="http://schemas.openxmlformats.org/officeDocument/2006/relationships/hyperlink" Target="https://store.admitad.com/webmaster/websites/2166760/offers/22311-oqvestir-br/" TargetMode="External"/><Relationship Id="rId10" Type="http://schemas.openxmlformats.org/officeDocument/2006/relationships/hyperlink" Target="https://store.admitad.com/webmaster/websites/2166760/offers/14855-qatar-airways-cps-ww/" TargetMode="External"/><Relationship Id="rId397" Type="http://schemas.openxmlformats.org/officeDocument/2006/relationships/hyperlink" Target="https://www.wingly.io/" TargetMode="External"/><Relationship Id="rId2078" Type="http://schemas.openxmlformats.org/officeDocument/2006/relationships/hyperlink" Target="https://store.admitad.com/webmaster/websites/2166760/offers/26976-rinkit-uk/" TargetMode="External"/><Relationship Id="rId2285" Type="http://schemas.openxmlformats.org/officeDocument/2006/relationships/hyperlink" Target="https://iamkamu.com/" TargetMode="External"/><Relationship Id="rId2492" Type="http://schemas.openxmlformats.org/officeDocument/2006/relationships/hyperlink" Target="https://store.admitad.com/webmaster/websites/2166760/offers/25140-imperiia-tsvetov-cps-kz/" TargetMode="External"/><Relationship Id="rId3031" Type="http://schemas.openxmlformats.org/officeDocument/2006/relationships/hyperlink" Target="https://godaddy.com/" TargetMode="External"/><Relationship Id="rId3129" Type="http://schemas.openxmlformats.org/officeDocument/2006/relationships/hyperlink" Target="https://ofour.com/" TargetMode="External"/><Relationship Id="rId3336" Type="http://schemas.openxmlformats.org/officeDocument/2006/relationships/hyperlink" Target="https://store.admitad.com/webmaster/websites/2166760/offers/22854-plum-goodness-cps-in/" TargetMode="External"/><Relationship Id="rId3890" Type="http://schemas.openxmlformats.org/officeDocument/2006/relationships/hyperlink" Target="https://store.admitad.com/webmaster/websites/2166760/offers/22897-bloomingdales-ae-sa-kw-offline-codes-links/" TargetMode="External"/><Relationship Id="rId3988" Type="http://schemas.openxmlformats.org/officeDocument/2006/relationships/hyperlink" Target="https://store.admitad.com/webmaster/websites/2166760/offers/25158-smartlamp-by/" TargetMode="External"/><Relationship Id="rId257" Type="http://schemas.openxmlformats.org/officeDocument/2006/relationships/hyperlink" Target="https://reporteryoung.pl/" TargetMode="External"/><Relationship Id="rId464" Type="http://schemas.openxmlformats.org/officeDocument/2006/relationships/hyperlink" Target="https://store.admitad.com/webmaster/websites/2166760/offers/24883-hebe-pl/" TargetMode="External"/><Relationship Id="rId1094" Type="http://schemas.openxmlformats.org/officeDocument/2006/relationships/hyperlink" Target="https://store.admitad.com/webmaster/websites/2166760/offers/26842-fragrance-offline-promo-codes/" TargetMode="External"/><Relationship Id="rId2145" Type="http://schemas.openxmlformats.org/officeDocument/2006/relationships/hyperlink" Target="https://www.asianpaints.com/campaign/apmailer/email.html" TargetMode="External"/><Relationship Id="rId2797" Type="http://schemas.openxmlformats.org/officeDocument/2006/relationships/hyperlink" Target="https://www.only.in/" TargetMode="External"/><Relationship Id="rId3543" Type="http://schemas.openxmlformats.org/officeDocument/2006/relationships/hyperlink" Target="https://primelife.company/" TargetMode="External"/><Relationship Id="rId3750" Type="http://schemas.openxmlformats.org/officeDocument/2006/relationships/hyperlink" Target="https://store.admitad.com/webmaster/websites/2166760/offers/24408-goodex-ua/" TargetMode="External"/><Relationship Id="rId3848" Type="http://schemas.openxmlformats.org/officeDocument/2006/relationships/hyperlink" Target="https://store.admitad.com/webmaster/websites/2166760/offers/17514-gepur-ua/" TargetMode="External"/><Relationship Id="rId117" Type="http://schemas.openxmlformats.org/officeDocument/2006/relationships/hyperlink" Target="https://www.luisaviaroma.com/" TargetMode="External"/><Relationship Id="rId671" Type="http://schemas.openxmlformats.org/officeDocument/2006/relationships/hyperlink" Target="https://apps.apple.com/gb/app/id1495818864" TargetMode="External"/><Relationship Id="rId769" Type="http://schemas.openxmlformats.org/officeDocument/2006/relationships/hyperlink" Target="https://m.timesofindia.com/coronavirus" TargetMode="External"/><Relationship Id="rId976" Type="http://schemas.openxmlformats.org/officeDocument/2006/relationships/hyperlink" Target="https://store.admitad.com/webmaster/websites/2166760/offers/26662-out-out-original-uk/" TargetMode="External"/><Relationship Id="rId1399" Type="http://schemas.openxmlformats.org/officeDocument/2006/relationships/hyperlink" Target="https://www.rosewe.com/" TargetMode="External"/><Relationship Id="rId2352" Type="http://schemas.openxmlformats.org/officeDocument/2006/relationships/hyperlink" Target="https://store.admitad.com/webmaster/websites/2166760/offers/251-fornex-hosting/" TargetMode="External"/><Relationship Id="rId2657" Type="http://schemas.openxmlformats.org/officeDocument/2006/relationships/hyperlink" Target="https://www.qeeq.com/" TargetMode="External"/><Relationship Id="rId3403" Type="http://schemas.openxmlformats.org/officeDocument/2006/relationships/hyperlink" Target="https://ovyapp.com/" TargetMode="External"/><Relationship Id="rId3610" Type="http://schemas.openxmlformats.org/officeDocument/2006/relationships/hyperlink" Target="https://store.admitad.com/webmaster/websites/2166760/offers/15467-geekbuying-ww/" TargetMode="External"/><Relationship Id="rId324" Type="http://schemas.openxmlformats.org/officeDocument/2006/relationships/hyperlink" Target="https://store.admitad.com/webmaster/websites/2166760/offers/24086-selecta-vision-cps-es/" TargetMode="External"/><Relationship Id="rId531" Type="http://schemas.openxmlformats.org/officeDocument/2006/relationships/hyperlink" Target="https://avi-8.co.uk/" TargetMode="External"/><Relationship Id="rId629" Type="http://schemas.openxmlformats.org/officeDocument/2006/relationships/hyperlink" Target="http://www.hive.co.uk/" TargetMode="External"/><Relationship Id="rId1161" Type="http://schemas.openxmlformats.org/officeDocument/2006/relationships/hyperlink" Target="https://www.britanniahotels.com/" TargetMode="External"/><Relationship Id="rId1259" Type="http://schemas.openxmlformats.org/officeDocument/2006/relationships/hyperlink" Target="https://www.berghaus.com/home" TargetMode="External"/><Relationship Id="rId1466" Type="http://schemas.openxmlformats.org/officeDocument/2006/relationships/hyperlink" Target="https://store.admitad.com/webmaster/websites/2166760/offers/27331-vodafone-de/" TargetMode="External"/><Relationship Id="rId2005" Type="http://schemas.openxmlformats.org/officeDocument/2006/relationships/hyperlink" Target="http://worldofwarships.ru/" TargetMode="External"/><Relationship Id="rId2212" Type="http://schemas.openxmlformats.org/officeDocument/2006/relationships/hyperlink" Target="https://store.admitad.com/webmaster/websites/2166760/offers/24801-brilliant-ww/" TargetMode="External"/><Relationship Id="rId2864" Type="http://schemas.openxmlformats.org/officeDocument/2006/relationships/hyperlink" Target="https://store.admitad.com/webmaster/websites/2166760/offers/27153-gsf-car-parts-uk/" TargetMode="External"/><Relationship Id="rId3708" Type="http://schemas.openxmlformats.org/officeDocument/2006/relationships/hyperlink" Target="https://store.admitad.com/webmaster/websites/2166760/offers/23404-linio-pe/" TargetMode="External"/><Relationship Id="rId3915" Type="http://schemas.openxmlformats.org/officeDocument/2006/relationships/hyperlink" Target="https://www.itead.cc/" TargetMode="External"/><Relationship Id="rId836" Type="http://schemas.openxmlformats.org/officeDocument/2006/relationships/hyperlink" Target="https://store.admitad.com/webmaster/websites/2166760/offers/26429-lynxbroker-de/" TargetMode="External"/><Relationship Id="rId1021" Type="http://schemas.openxmlformats.org/officeDocument/2006/relationships/hyperlink" Target="https://www.ruralretreats.co.uk/" TargetMode="External"/><Relationship Id="rId1119" Type="http://schemas.openxmlformats.org/officeDocument/2006/relationships/hyperlink" Target="https://www.hibobi.com/" TargetMode="External"/><Relationship Id="rId1673" Type="http://schemas.openxmlformats.org/officeDocument/2006/relationships/hyperlink" Target="https://innova2.g2afse.com/click?pid=7&amp;offer_id=17" TargetMode="External"/><Relationship Id="rId1880" Type="http://schemas.openxmlformats.org/officeDocument/2006/relationships/hyperlink" Target="https://store.admitad.com/webmaster/websites/2166760/offers/23409-gap-cps-eu/" TargetMode="External"/><Relationship Id="rId1978" Type="http://schemas.openxmlformats.org/officeDocument/2006/relationships/hyperlink" Target="https://store.admitad.com/webmaster/websites/2166760/offers/26946-homzmart-sa-offline-codes/" TargetMode="External"/><Relationship Id="rId2517" Type="http://schemas.openxmlformats.org/officeDocument/2006/relationships/hyperlink" Target="https://streetstyle24.pl/" TargetMode="External"/><Relationship Id="rId2724" Type="http://schemas.openxmlformats.org/officeDocument/2006/relationships/hyperlink" Target="https://store.admitad.com/webmaster/websites/2166760/offers/23243-glasses-direct-uk/" TargetMode="External"/><Relationship Id="rId2931" Type="http://schemas.openxmlformats.org/officeDocument/2006/relationships/hyperlink" Target="http://s-tell.ua/" TargetMode="External"/><Relationship Id="rId4177" Type="http://schemas.openxmlformats.org/officeDocument/2006/relationships/hyperlink" Target="https://digital.axisbank.co.in/" TargetMode="External"/><Relationship Id="rId903" Type="http://schemas.openxmlformats.org/officeDocument/2006/relationships/hyperlink" Target="https://www.pharmacy2u.co.uk/" TargetMode="External"/><Relationship Id="rId1326" Type="http://schemas.openxmlformats.org/officeDocument/2006/relationships/hyperlink" Target="https://store.admitad.com/webmaster/websites/2166760/offers/27130-new-era-cap-uk/" TargetMode="External"/><Relationship Id="rId1533" Type="http://schemas.openxmlformats.org/officeDocument/2006/relationships/hyperlink" Target="http://www.gigaset.com/de_de/" TargetMode="External"/><Relationship Id="rId1740" Type="http://schemas.openxmlformats.org/officeDocument/2006/relationships/hyperlink" Target="https://store.admitad.com/webmaster/websites/2166760/offers/23266-gasjeans-cps-in/" TargetMode="External"/><Relationship Id="rId3193" Type="http://schemas.openxmlformats.org/officeDocument/2006/relationships/hyperlink" Target="https://www.street-one.nl/" TargetMode="External"/><Relationship Id="rId4037" Type="http://schemas.openxmlformats.org/officeDocument/2006/relationships/hyperlink" Target="https://puccini.pl/" TargetMode="External"/><Relationship Id="rId32" Type="http://schemas.openxmlformats.org/officeDocument/2006/relationships/hyperlink" Target="https://store.admitad.com/webmaster/websites/2166760/offers/18305-autodoc-cpi-android-many-geos/" TargetMode="External"/><Relationship Id="rId1600" Type="http://schemas.openxmlformats.org/officeDocument/2006/relationships/hyperlink" Target="https://store.admitad.com/webmaster/websites/2166760/offers/27490-qacademy/" TargetMode="External"/><Relationship Id="rId1838" Type="http://schemas.openxmlformats.org/officeDocument/2006/relationships/hyperlink" Target="https://store.admitad.com/webmaster/websites/2166760/offers/27603-dirtyleague-doi-many-geos/" TargetMode="External"/><Relationship Id="rId3053" Type="http://schemas.openxmlformats.org/officeDocument/2006/relationships/hyperlink" Target="https://www.adidas.com.ph/" TargetMode="External"/><Relationship Id="rId3260" Type="http://schemas.openxmlformats.org/officeDocument/2006/relationships/hyperlink" Target="https://store.admitad.com/webmaster/websites/2166760/offers/14034-alpina-pablisher/" TargetMode="External"/><Relationship Id="rId3498" Type="http://schemas.openxmlformats.org/officeDocument/2006/relationships/hyperlink" Target="https://store.admitad.com/webmaster/websites/2166760/offers/20937-finx-cpl-api-ua/" TargetMode="External"/><Relationship Id="rId4104" Type="http://schemas.openxmlformats.org/officeDocument/2006/relationships/hyperlink" Target="https://store.admitad.com/webmaster/websites/2166760/offers/20612-goldapple/" TargetMode="External"/><Relationship Id="rId181" Type="http://schemas.openxmlformats.org/officeDocument/2006/relationships/hyperlink" Target="https://play.google.com/store/apps/details?id=skyeng.words.prod&amp;hl=ru" TargetMode="External"/><Relationship Id="rId1905" Type="http://schemas.openxmlformats.org/officeDocument/2006/relationships/hyperlink" Target="https://es.loccitane.com/" TargetMode="External"/><Relationship Id="rId3120" Type="http://schemas.openxmlformats.org/officeDocument/2006/relationships/hyperlink" Target="https://store.admitad.com/webmaster/websites/2166760/offers/24673-skinkraft-cps-in/" TargetMode="External"/><Relationship Id="rId3358" Type="http://schemas.openxmlformats.org/officeDocument/2006/relationships/hyperlink" Target="https://store.admitad.com/webmaster/websites/2166760/offers/24008-wellamart-ua/" TargetMode="External"/><Relationship Id="rId3565" Type="http://schemas.openxmlformats.org/officeDocument/2006/relationships/hyperlink" Target="https://www.fragrancedirect.co.uk/" TargetMode="External"/><Relationship Id="rId3772" Type="http://schemas.openxmlformats.org/officeDocument/2006/relationships/hyperlink" Target="https://store.admitad.com/webmaster/websites/2166760/offers/24872-shopee-br/" TargetMode="External"/><Relationship Id="rId279" Type="http://schemas.openxmlformats.org/officeDocument/2006/relationships/hyperlink" Target="https://www.futurelearn.com/" TargetMode="External"/><Relationship Id="rId486" Type="http://schemas.openxmlformats.org/officeDocument/2006/relationships/hyperlink" Target="https://store.admitad.com/webmaster/websites/2166760/offers/24997-les-girls-les-boys-many-geos/" TargetMode="External"/><Relationship Id="rId693" Type="http://schemas.openxmlformats.org/officeDocument/2006/relationships/hyperlink" Target="https://en.12storeez.com/" TargetMode="External"/><Relationship Id="rId2167" Type="http://schemas.openxmlformats.org/officeDocument/2006/relationships/hyperlink" Target="https://www.facescanada.com/" TargetMode="External"/><Relationship Id="rId2374" Type="http://schemas.openxmlformats.org/officeDocument/2006/relationships/hyperlink" Target="https://store.admitad.com/webmaster/websites/2166760/offers/18174-vegas-ww/" TargetMode="External"/><Relationship Id="rId2581" Type="http://schemas.openxmlformats.org/officeDocument/2006/relationships/hyperlink" Target="https://www.coronatestcentre.com/" TargetMode="External"/><Relationship Id="rId3218" Type="http://schemas.openxmlformats.org/officeDocument/2006/relationships/hyperlink" Target="https://store.admitad.com/webmaster/websites/2166760/offers/27064-sv-werder-bremen-fanshop-de/" TargetMode="External"/><Relationship Id="rId3425" Type="http://schemas.openxmlformats.org/officeDocument/2006/relationships/hyperlink" Target="https://www.rotopino.fr/" TargetMode="External"/><Relationship Id="rId3632" Type="http://schemas.openxmlformats.org/officeDocument/2006/relationships/hyperlink" Target="https://store.admitad.com/webmaster/websites/2166760/offers/18421-bitdefender-ww/" TargetMode="External"/><Relationship Id="rId139" Type="http://schemas.openxmlformats.org/officeDocument/2006/relationships/hyperlink" Target="https://www.credy.es/" TargetMode="External"/><Relationship Id="rId346" Type="http://schemas.openxmlformats.org/officeDocument/2006/relationships/hyperlink" Target="https://store.admitad.com/webmaster/websites/2166760/offers/24250-stashfin-web-cpl-in/" TargetMode="External"/><Relationship Id="rId553" Type="http://schemas.openxmlformats.org/officeDocument/2006/relationships/hyperlink" Target="https://www.stradivarius.com/pl/" TargetMode="External"/><Relationship Id="rId760" Type="http://schemas.openxmlformats.org/officeDocument/2006/relationships/hyperlink" Target="https://store.admitad.com/webmaster/websites/2166760/offers/26214-rupeeredee-cprandroid-in/" TargetMode="External"/><Relationship Id="rId998" Type="http://schemas.openxmlformats.org/officeDocument/2006/relationships/hyperlink" Target="https://store.admitad.com/webmaster/websites/2166760/offers/26681-schuhe24-de/" TargetMode="External"/><Relationship Id="rId1183" Type="http://schemas.openxmlformats.org/officeDocument/2006/relationships/hyperlink" Target="https://www.frenchconnection.com/" TargetMode="External"/><Relationship Id="rId1390" Type="http://schemas.openxmlformats.org/officeDocument/2006/relationships/hyperlink" Target="https://store.admitad.com/webmaster/websites/2166760/offers/27219-freshworks-crm-us/" TargetMode="External"/><Relationship Id="rId2027" Type="http://schemas.openxmlformats.org/officeDocument/2006/relationships/hyperlink" Target="https://espritgames.com/de/worldofchaos" TargetMode="External"/><Relationship Id="rId2234" Type="http://schemas.openxmlformats.org/officeDocument/2006/relationships/hyperlink" Target="https://store.admitad.com/webmaster/websites/2166760/offers/26089-spinny-cpa-in/" TargetMode="External"/><Relationship Id="rId2441" Type="http://schemas.openxmlformats.org/officeDocument/2006/relationships/hyperlink" Target="https://thephylife.com/collections/body?utm_source=ap&amp;utm_medium=admitad&amp;utm_campaign=BAU_ap_07082020_Bodywash" TargetMode="External"/><Relationship Id="rId2679" Type="http://schemas.openxmlformats.org/officeDocument/2006/relationships/hyperlink" Target="https://www.spartoo.hu/" TargetMode="External"/><Relationship Id="rId2886" Type="http://schemas.openxmlformats.org/officeDocument/2006/relationships/hyperlink" Target="https://store.admitad.com/webmaster/websites/2166760/offers/2039-black-star-wear/" TargetMode="External"/><Relationship Id="rId3937" Type="http://schemas.openxmlformats.org/officeDocument/2006/relationships/hyperlink" Target="http://favoriteshoes.com.ua/" TargetMode="External"/><Relationship Id="rId206" Type="http://schemas.openxmlformats.org/officeDocument/2006/relationships/hyperlink" Target="https://store.admitad.com/webmaster/websites/2166760/offers/23018-myprotein-mena/" TargetMode="External"/><Relationship Id="rId413" Type="http://schemas.openxmlformats.org/officeDocument/2006/relationships/hyperlink" Target="https://www.crabtree-evelyn.com/" TargetMode="External"/><Relationship Id="rId858" Type="http://schemas.openxmlformats.org/officeDocument/2006/relationships/hyperlink" Target="https://store.admitad.com/webmaster/websites/2166760/offers/26456-humanic-cz-sk/" TargetMode="External"/><Relationship Id="rId1043" Type="http://schemas.openxmlformats.org/officeDocument/2006/relationships/hyperlink" Target="https://www.lotto.de/de/lotto-6aus49.html" TargetMode="External"/><Relationship Id="rId1488" Type="http://schemas.openxmlformats.org/officeDocument/2006/relationships/hyperlink" Target="https://store.admitad.com/webmaster/websites/2166760/offers/27356-kleinmetall-de/" TargetMode="External"/><Relationship Id="rId1695" Type="http://schemas.openxmlformats.org/officeDocument/2006/relationships/hyperlink" Target="https://www.danielwellington.com/es/" TargetMode="External"/><Relationship Id="rId2539" Type="http://schemas.openxmlformats.org/officeDocument/2006/relationships/hyperlink" Target="https://walklondonshoes.com/" TargetMode="External"/><Relationship Id="rId2746" Type="http://schemas.openxmlformats.org/officeDocument/2006/relationships/hyperlink" Target="https://store.admitad.com/webmaster/websites/2166760/offers/23901-shoperly-pl/" TargetMode="External"/><Relationship Id="rId2953" Type="http://schemas.openxmlformats.org/officeDocument/2006/relationships/hyperlink" Target="https://vodnik.1000size.ru/" TargetMode="External"/><Relationship Id="rId4199" Type="http://schemas.openxmlformats.org/officeDocument/2006/relationships/hyperlink" Target="https://www.casando.de/" TargetMode="External"/><Relationship Id="rId620" Type="http://schemas.openxmlformats.org/officeDocument/2006/relationships/hyperlink" Target="https://store.admitad.com/webmaster/websites/2166760/offers/25540-sephora-sa-ae-offline-codes/" TargetMode="External"/><Relationship Id="rId718" Type="http://schemas.openxmlformats.org/officeDocument/2006/relationships/hyperlink" Target="https://store.admitad.com/webmaster/websites/2166760/offers/26124-marks-spencer-cps-es-de-nl-ca-usa-ireland/" TargetMode="External"/><Relationship Id="rId925" Type="http://schemas.openxmlformats.org/officeDocument/2006/relationships/hyperlink" Target="https://www.itchpet.com/" TargetMode="External"/><Relationship Id="rId1250" Type="http://schemas.openxmlformats.org/officeDocument/2006/relationships/hyperlink" Target="https://store.admitad.com/webmaster/websites/2166760/offers/27050-weinfreunde-de/" TargetMode="External"/><Relationship Id="rId1348" Type="http://schemas.openxmlformats.org/officeDocument/2006/relationships/hyperlink" Target="https://store.admitad.com/webmaster/websites/2166760/offers/27157-logitravel-es/" TargetMode="External"/><Relationship Id="rId1555" Type="http://schemas.openxmlformats.org/officeDocument/2006/relationships/hyperlink" Target="https://www.makemeroyal.com/" TargetMode="External"/><Relationship Id="rId1762" Type="http://schemas.openxmlformats.org/officeDocument/2006/relationships/hyperlink" Target="https://store.admitad.com/webmaster/websites/2166760/offers/23004-nike-cps-apac/" TargetMode="External"/><Relationship Id="rId2301" Type="http://schemas.openxmlformats.org/officeDocument/2006/relationships/hyperlink" Target="https://www.kaspersky.fr/" TargetMode="External"/><Relationship Id="rId2606" Type="http://schemas.openxmlformats.org/officeDocument/2006/relationships/hyperlink" Target="https://store.admitad.com/webmaster/websites/2166760/offers/27231-rotita-us/" TargetMode="External"/><Relationship Id="rId4059" Type="http://schemas.openxmlformats.org/officeDocument/2006/relationships/hyperlink" Target="https://www.bellewholesale.com/" TargetMode="External"/><Relationship Id="rId1110" Type="http://schemas.openxmlformats.org/officeDocument/2006/relationships/hyperlink" Target="https://store.admitad.com/webmaster/websites/2166760/offers/26882-the-jeweller-shop-de/" TargetMode="External"/><Relationship Id="rId1208" Type="http://schemas.openxmlformats.org/officeDocument/2006/relationships/hyperlink" Target="https://store.admitad.com/webmaster/websites/2166760/offers/27013-bricobravo-it/" TargetMode="External"/><Relationship Id="rId1415" Type="http://schemas.openxmlformats.org/officeDocument/2006/relationships/hyperlink" Target="https://www.credimaxx.de/" TargetMode="External"/><Relationship Id="rId2813" Type="http://schemas.openxmlformats.org/officeDocument/2006/relationships/hyperlink" Target="https://www.floraprima.de/" TargetMode="External"/><Relationship Id="rId54" Type="http://schemas.openxmlformats.org/officeDocument/2006/relationships/hyperlink" Target="https://store.admitad.com/webmaster/websites/2166760/offers/19541-paisabazaar-credit-score-cpl-in/" TargetMode="External"/><Relationship Id="rId1622" Type="http://schemas.openxmlformats.org/officeDocument/2006/relationships/hyperlink" Target="https://store.admitad.com/webmaster/websites/2166760/offers/27532-olight-uk/" TargetMode="External"/><Relationship Id="rId1927" Type="http://schemas.openxmlformats.org/officeDocument/2006/relationships/hyperlink" Target="https://www.rapsodia.com.mx/" TargetMode="External"/><Relationship Id="rId3075" Type="http://schemas.openxmlformats.org/officeDocument/2006/relationships/hyperlink" Target="https://filewhopper.com/" TargetMode="External"/><Relationship Id="rId3282" Type="http://schemas.openxmlformats.org/officeDocument/2006/relationships/hyperlink" Target="https://store.admitad.com/webmaster/websites/2166760/offers/18245-jockey-cps-in/" TargetMode="External"/><Relationship Id="rId4126" Type="http://schemas.openxmlformats.org/officeDocument/2006/relationships/hyperlink" Target="https://store.admitad.com/webmaster/websites/2166760/offers/14957-forge-of-empires-soi-many-geos/" TargetMode="External"/><Relationship Id="rId2091" Type="http://schemas.openxmlformats.org/officeDocument/2006/relationships/hyperlink" Target="https://www.zooplus.nl/" TargetMode="External"/><Relationship Id="rId2189" Type="http://schemas.openxmlformats.org/officeDocument/2006/relationships/hyperlink" Target="https://www.optifast.co.uk/" TargetMode="External"/><Relationship Id="rId3142" Type="http://schemas.openxmlformats.org/officeDocument/2006/relationships/hyperlink" Target="https://store.admitad.com/webmaster/websites/2166760/offers/24964-icici-cc-cpl-in/" TargetMode="External"/><Relationship Id="rId3587" Type="http://schemas.openxmlformats.org/officeDocument/2006/relationships/hyperlink" Target="https://nsv.by/" TargetMode="External"/><Relationship Id="rId3794" Type="http://schemas.openxmlformats.org/officeDocument/2006/relationships/hyperlink" Target="https://store.admitad.com/webmaster/websites/2166760/offers/26238-rush-android-apk-cpr-in/" TargetMode="External"/><Relationship Id="rId270" Type="http://schemas.openxmlformats.org/officeDocument/2006/relationships/hyperlink" Target="https://store.admitad.com/webmaster/websites/2166760/offers/23691-tech-in-asia-cps-ww/" TargetMode="External"/><Relationship Id="rId2396" Type="http://schemas.openxmlformats.org/officeDocument/2006/relationships/hyperlink" Target="https://store.admitad.com/webmaster/websites/2166760/offers/21962-freshtohome-cps-in/" TargetMode="External"/><Relationship Id="rId3002" Type="http://schemas.openxmlformats.org/officeDocument/2006/relationships/hyperlink" Target="https://store.admitad.com/webmaster/websites/2166760/offers/21238-fanatical-ww/" TargetMode="External"/><Relationship Id="rId3447" Type="http://schemas.openxmlformats.org/officeDocument/2006/relationships/hyperlink" Target="https://www.pikolin.com/es" TargetMode="External"/><Relationship Id="rId3654" Type="http://schemas.openxmlformats.org/officeDocument/2006/relationships/hyperlink" Target="https://store.admitad.com/webmaster/websites/2166760/offers/19372-concert-ua/" TargetMode="External"/><Relationship Id="rId3861" Type="http://schemas.openxmlformats.org/officeDocument/2006/relationships/hyperlink" Target="https://yslbeauty.com.ru/" TargetMode="External"/><Relationship Id="rId130" Type="http://schemas.openxmlformats.org/officeDocument/2006/relationships/hyperlink" Target="https://store.admitad.com/webmaster/websites/2166760/offers/22260-victorias-secret-ae-sa/" TargetMode="External"/><Relationship Id="rId368" Type="http://schemas.openxmlformats.org/officeDocument/2006/relationships/hyperlink" Target="https://store.admitad.com/webmaster/websites/2166760/offers/24441-axis-mf-cpl-in/" TargetMode="External"/><Relationship Id="rId575" Type="http://schemas.openxmlformats.org/officeDocument/2006/relationships/hyperlink" Target="https://fr.sleepit.com/" TargetMode="External"/><Relationship Id="rId782" Type="http://schemas.openxmlformats.org/officeDocument/2006/relationships/hyperlink" Target="https://store.admitad.com/webmaster/websites/2166760/offers/26261-rumbo-pt/" TargetMode="External"/><Relationship Id="rId2049" Type="http://schemas.openxmlformats.org/officeDocument/2006/relationships/hyperlink" Target="http://www.showtime.com/" TargetMode="External"/><Relationship Id="rId2256" Type="http://schemas.openxmlformats.org/officeDocument/2006/relationships/hyperlink" Target="https://store.admitad.com/webmaster/websites/2166760/offers/26576-mindful-chef-uk/" TargetMode="External"/><Relationship Id="rId2463" Type="http://schemas.openxmlformats.org/officeDocument/2006/relationships/hyperlink" Target="https://tails.com/gb/" TargetMode="External"/><Relationship Id="rId2670" Type="http://schemas.openxmlformats.org/officeDocument/2006/relationships/hyperlink" Target="https://store.admitad.com/webmaster/websites/2166760/offers/20677-hostelworld-ww/" TargetMode="External"/><Relationship Id="rId3307" Type="http://schemas.openxmlformats.org/officeDocument/2006/relationships/hyperlink" Target="https://themomsco.com/" TargetMode="External"/><Relationship Id="rId3514" Type="http://schemas.openxmlformats.org/officeDocument/2006/relationships/hyperlink" Target="https://store.admitad.com/webmaster/websites/2166760/offers/22417-quero-passagem-br/" TargetMode="External"/><Relationship Id="rId3721" Type="http://schemas.openxmlformats.org/officeDocument/2006/relationships/hyperlink" Target="https://trip.com/" TargetMode="External"/><Relationship Id="rId3959" Type="http://schemas.openxmlformats.org/officeDocument/2006/relationships/hyperlink" Target="https://www.maxmilhas.com.br/" TargetMode="External"/><Relationship Id="rId228" Type="http://schemas.openxmlformats.org/officeDocument/2006/relationships/hyperlink" Target="https://store.admitad.com/webmaster/websites/2166760/offers/23258-hm-cps-in/" TargetMode="External"/><Relationship Id="rId435" Type="http://schemas.openxmlformats.org/officeDocument/2006/relationships/hyperlink" Target="https://www.magix.com/it/" TargetMode="External"/><Relationship Id="rId642" Type="http://schemas.openxmlformats.org/officeDocument/2006/relationships/hyperlink" Target="https://store.admitad.com/webmaster/websites/2166760/offers/25753-national-debt-relief-us/" TargetMode="External"/><Relationship Id="rId1065" Type="http://schemas.openxmlformats.org/officeDocument/2006/relationships/hyperlink" Target="http://www.alternate.fr/" TargetMode="External"/><Relationship Id="rId1272" Type="http://schemas.openxmlformats.org/officeDocument/2006/relationships/hyperlink" Target="https://store.admitad.com/webmaster/websites/2166760/offers/27069-bavariadirekt-de/" TargetMode="External"/><Relationship Id="rId2116" Type="http://schemas.openxmlformats.org/officeDocument/2006/relationships/hyperlink" Target="https://store.admitad.com/webmaster/websites/2166760/offers/15352-tidebuy-ww/" TargetMode="External"/><Relationship Id="rId2323" Type="http://schemas.openxmlformats.org/officeDocument/2006/relationships/hyperlink" Target="https://www.hamiltonbeach.com/" TargetMode="External"/><Relationship Id="rId2530" Type="http://schemas.openxmlformats.org/officeDocument/2006/relationships/hyperlink" Target="https://store.admitad.com/webmaster/websites/2166760/offers/26532-the-knitting-network-uk/" TargetMode="External"/><Relationship Id="rId2768" Type="http://schemas.openxmlformats.org/officeDocument/2006/relationships/hyperlink" Target="https://store.admitad.com/webmaster/websites/2166760/offers/24546-wakefit-cpv-in/" TargetMode="External"/><Relationship Id="rId2975" Type="http://schemas.openxmlformats.org/officeDocument/2006/relationships/hyperlink" Target="https://ibis.net.ua/" TargetMode="External"/><Relationship Id="rId3819" Type="http://schemas.openxmlformats.org/officeDocument/2006/relationships/hyperlink" Target="https://www.shopping24.de/" TargetMode="External"/><Relationship Id="rId502" Type="http://schemas.openxmlformats.org/officeDocument/2006/relationships/hyperlink" Target="https://store.admitad.com/webmaster/websites/2166760/offers/25052-ca-partnerprogramm-de/" TargetMode="External"/><Relationship Id="rId947" Type="http://schemas.openxmlformats.org/officeDocument/2006/relationships/hyperlink" Target="https://app.appsflyer.com/com.kotakcherry.app?pid=admitad1_int&amp;c=admitad&amp;af_siteid=%7b%7bpublisher_id%7d%7d&amp;af_click_lookback=15d&amp;clickid=%7b%7badmitad_uid%7d%7d" TargetMode="External"/><Relationship Id="rId1132" Type="http://schemas.openxmlformats.org/officeDocument/2006/relationships/hyperlink" Target="https://store.admitad.com/webmaster/websites/2166760/offers/26909-easytoys-it/" TargetMode="External"/><Relationship Id="rId1577" Type="http://schemas.openxmlformats.org/officeDocument/2006/relationships/hyperlink" Target="https://onepoundsweets.com/" TargetMode="External"/><Relationship Id="rId1784" Type="http://schemas.openxmlformats.org/officeDocument/2006/relationships/hyperlink" Target="https://store.admitad.com/webmaster/websites/2166760/offers/25338-kdan-mobile-ww/" TargetMode="External"/><Relationship Id="rId1991" Type="http://schemas.openxmlformats.org/officeDocument/2006/relationships/hyperlink" Target="https://www.notebooksbilliger.de/" TargetMode="External"/><Relationship Id="rId2628" Type="http://schemas.openxmlformats.org/officeDocument/2006/relationships/hyperlink" Target="https://store.admitad.com/webmaster/websites/2166760/offers/842-point-blank-cpp-ru-cis/" TargetMode="External"/><Relationship Id="rId2835" Type="http://schemas.openxmlformats.org/officeDocument/2006/relationships/hyperlink" Target="https://www.awayresorts.co.uk/" TargetMode="External"/><Relationship Id="rId4190" Type="http://schemas.openxmlformats.org/officeDocument/2006/relationships/hyperlink" Target="https://store.admitad.com/webmaster/websites/2166760/offers/14622-dhgate-ww/" TargetMode="External"/><Relationship Id="rId76" Type="http://schemas.openxmlformats.org/officeDocument/2006/relationships/hyperlink" Target="https://store.admitad.com/webmaster/websites/2166760/offers/21099-foreo-latam/" TargetMode="External"/><Relationship Id="rId807" Type="http://schemas.openxmlformats.org/officeDocument/2006/relationships/hyperlink" Target="https://nbsklep.pl/" TargetMode="External"/><Relationship Id="rId1437" Type="http://schemas.openxmlformats.org/officeDocument/2006/relationships/hyperlink" Target="https://deals.originaldefense.com/interstitial/c/" TargetMode="External"/><Relationship Id="rId1644" Type="http://schemas.openxmlformats.org/officeDocument/2006/relationships/hyperlink" Target="https://store.admitad.com/webmaster/websites/2166760/offers/27544-herring-shoes-ltd-uk/" TargetMode="External"/><Relationship Id="rId1851" Type="http://schemas.openxmlformats.org/officeDocument/2006/relationships/hyperlink" Target="https://www.paradoxplaza.com/" TargetMode="External"/><Relationship Id="rId2902" Type="http://schemas.openxmlformats.org/officeDocument/2006/relationships/hyperlink" Target="https://store.admitad.com/webmaster/websites/2166760/offers/13961-tickets-many-geos/" TargetMode="External"/><Relationship Id="rId3097" Type="http://schemas.openxmlformats.org/officeDocument/2006/relationships/hyperlink" Target="https://www.justfashionnow.com/" TargetMode="External"/><Relationship Id="rId4050" Type="http://schemas.openxmlformats.org/officeDocument/2006/relationships/hyperlink" Target="https://store.admitad.com/webmaster/websites/2166760/offers/23545-cash-kf-cps-ua/" TargetMode="External"/><Relationship Id="rId4148" Type="http://schemas.openxmlformats.org/officeDocument/2006/relationships/hyperlink" Target="https://store.admitad.com/webmaster/websites/2166760/offers/24151-elvenar-soi-yandex-ru/" TargetMode="External"/><Relationship Id="rId1504" Type="http://schemas.openxmlformats.org/officeDocument/2006/relationships/hyperlink" Target="https://store.admitad.com/webmaster/websites/2166760/offers/27369-clepsydra-ua/" TargetMode="External"/><Relationship Id="rId1711" Type="http://schemas.openxmlformats.org/officeDocument/2006/relationships/hyperlink" Target="https://timestsw.com/landing/IIT-Roorkee-certificate-program-in-data-analytics-otp/?utm_source=affiliate&amp;utm_medium=email&amp;utm_campaign=iitr_cpda_01_admitads&amp;utm_term=123" TargetMode="External"/><Relationship Id="rId1949" Type="http://schemas.openxmlformats.org/officeDocument/2006/relationships/hyperlink" Target="https://www.justpark.com/" TargetMode="External"/><Relationship Id="rId3164" Type="http://schemas.openxmlformats.org/officeDocument/2006/relationships/hyperlink" Target="https://store.admitad.com/webmaster/websites/2166760/offers/26118-sendernet-ww/" TargetMode="External"/><Relationship Id="rId4008" Type="http://schemas.openxmlformats.org/officeDocument/2006/relationships/hyperlink" Target="https://store.admitad.com/webmaster/websites/2166760/offers/16014-globalcredit-cps-ua/" TargetMode="External"/><Relationship Id="rId292" Type="http://schemas.openxmlformats.org/officeDocument/2006/relationships/hyperlink" Target="https://store.admitad.com/webmaster/websites/2166760/offers/23875-lifepharmacy-uae/" TargetMode="External"/><Relationship Id="rId1809" Type="http://schemas.openxmlformats.org/officeDocument/2006/relationships/hyperlink" Target="https://www.interditaupublic.com/" TargetMode="External"/><Relationship Id="rId3371" Type="http://schemas.openxmlformats.org/officeDocument/2006/relationships/hyperlink" Target="https://www.dailyobjects.com/" TargetMode="External"/><Relationship Id="rId3469" Type="http://schemas.openxmlformats.org/officeDocument/2006/relationships/hyperlink" Target="http://tickets.ua/" TargetMode="External"/><Relationship Id="rId3676" Type="http://schemas.openxmlformats.org/officeDocument/2006/relationships/hyperlink" Target="https://store.admitad.com/webmaster/websites/2166760/offers/21567-puma-cps-in/" TargetMode="External"/><Relationship Id="rId4215" Type="http://schemas.openxmlformats.org/officeDocument/2006/relationships/hyperlink" Target="https://www.eneba.com/" TargetMode="External"/><Relationship Id="rId597" Type="http://schemas.openxmlformats.org/officeDocument/2006/relationships/hyperlink" Target="https://www.drmartens.com/de" TargetMode="External"/><Relationship Id="rId2180" Type="http://schemas.openxmlformats.org/officeDocument/2006/relationships/hyperlink" Target="https://store.admitad.com/webmaster/websites/2166760/offers/23675-bisleri-cps-in/" TargetMode="External"/><Relationship Id="rId2278" Type="http://schemas.openxmlformats.org/officeDocument/2006/relationships/hyperlink" Target="https://store.admitad.com/webmaster/websites/2166760/offers/26758-duden-learnattack-de/" TargetMode="External"/><Relationship Id="rId2485" Type="http://schemas.openxmlformats.org/officeDocument/2006/relationships/hyperlink" Target="https://alharamplaza.com/en/" TargetMode="External"/><Relationship Id="rId3024" Type="http://schemas.openxmlformats.org/officeDocument/2006/relationships/hyperlink" Target="https://store.admitad.com/webmaster/websites/2166760/offers/22164-marathon-ua/" TargetMode="External"/><Relationship Id="rId3231" Type="http://schemas.openxmlformats.org/officeDocument/2006/relationships/hyperlink" Target="https://www.godrejprofessional.com/" TargetMode="External"/><Relationship Id="rId3329" Type="http://schemas.openxmlformats.org/officeDocument/2006/relationships/hyperlink" Target="https://www.y-r.by/" TargetMode="External"/><Relationship Id="rId3883" Type="http://schemas.openxmlformats.org/officeDocument/2006/relationships/hyperlink" Target="https://unacademy.com/" TargetMode="External"/><Relationship Id="rId152" Type="http://schemas.openxmlformats.org/officeDocument/2006/relationships/hyperlink" Target="https://store.admitad.com/webmaster/websites/2166760/offers/22592-horace-many-geos/" TargetMode="External"/><Relationship Id="rId457" Type="http://schemas.openxmlformats.org/officeDocument/2006/relationships/hyperlink" Target="https://askona.kz/" TargetMode="External"/><Relationship Id="rId1087" Type="http://schemas.openxmlformats.org/officeDocument/2006/relationships/hyperlink" Target="https://ae.hm.com/" TargetMode="External"/><Relationship Id="rId1294" Type="http://schemas.openxmlformats.org/officeDocument/2006/relationships/hyperlink" Target="https://store.admitad.com/webmaster/websites/2166760/offers/27094-never-fully-dressed-uk/" TargetMode="External"/><Relationship Id="rId2040" Type="http://schemas.openxmlformats.org/officeDocument/2006/relationships/hyperlink" Target="https://store.admitad.com/webmaster/websites/2166760/offers/24844-hetman-software/" TargetMode="External"/><Relationship Id="rId2138" Type="http://schemas.openxmlformats.org/officeDocument/2006/relationships/hyperlink" Target="https://store.admitad.com/webmaster/websites/2166760/offers/18809-eastessence-ww/" TargetMode="External"/><Relationship Id="rId2692" Type="http://schemas.openxmlformats.org/officeDocument/2006/relationships/hyperlink" Target="https://store.admitad.com/webmaster/websites/2166760/offers/22089-gant-uk/" TargetMode="External"/><Relationship Id="rId2997" Type="http://schemas.openxmlformats.org/officeDocument/2006/relationships/hyperlink" Target="https://www.durexindia.com/" TargetMode="External"/><Relationship Id="rId3536" Type="http://schemas.openxmlformats.org/officeDocument/2006/relationships/hyperlink" Target="https://store.admitad.com/webmaster/websites/2166760/offers/23787-kitbag-ww/" TargetMode="External"/><Relationship Id="rId3743" Type="http://schemas.openxmlformats.org/officeDocument/2006/relationships/hyperlink" Target="https://espritgames.com/leagueofangelshf/" TargetMode="External"/><Relationship Id="rId3950" Type="http://schemas.openxmlformats.org/officeDocument/2006/relationships/hyperlink" Target="https://store.admitad.com/webmaster/websites/2166760/offers/15542-tatacliq-cps-in/" TargetMode="External"/><Relationship Id="rId664" Type="http://schemas.openxmlformats.org/officeDocument/2006/relationships/hyperlink" Target="https://store.admitad.com/webmaster/websites/2166760/offers/25892-maxicredit-cps-ua/" TargetMode="External"/><Relationship Id="rId871" Type="http://schemas.openxmlformats.org/officeDocument/2006/relationships/hyperlink" Target="https://xterium.com/?pp=xsolla" TargetMode="External"/><Relationship Id="rId969" Type="http://schemas.openxmlformats.org/officeDocument/2006/relationships/hyperlink" Target="https://www.glossybox.fr/" TargetMode="External"/><Relationship Id="rId1599" Type="http://schemas.openxmlformats.org/officeDocument/2006/relationships/hyperlink" Target="https://qacademy.ru/" TargetMode="External"/><Relationship Id="rId2345" Type="http://schemas.openxmlformats.org/officeDocument/2006/relationships/hyperlink" Target="https://www.sizeofficial.it/" TargetMode="External"/><Relationship Id="rId2552" Type="http://schemas.openxmlformats.org/officeDocument/2006/relationships/hyperlink" Target="https://store.admitad.com/webmaster/websites/2166760/offers/26696-bodylab24-de/" TargetMode="External"/><Relationship Id="rId3603" Type="http://schemas.openxmlformats.org/officeDocument/2006/relationships/hyperlink" Target="http://zivame.com/" TargetMode="External"/><Relationship Id="rId3810" Type="http://schemas.openxmlformats.org/officeDocument/2006/relationships/hyperlink" Target="https://store.admitad.com/webmaster/websites/2166760/offers/26668-community-fibre-uk/" TargetMode="External"/><Relationship Id="rId317" Type="http://schemas.openxmlformats.org/officeDocument/2006/relationships/hyperlink" Target="http://ffp2.io/" TargetMode="External"/><Relationship Id="rId524" Type="http://schemas.openxmlformats.org/officeDocument/2006/relationships/hyperlink" Target="https://store.admitad.com/webmaster/websites/2166760/offers/25130-reliancesmart-money-cpl-in/" TargetMode="External"/><Relationship Id="rId731" Type="http://schemas.openxmlformats.org/officeDocument/2006/relationships/hyperlink" Target="https://www.stradivarius.com/fr/" TargetMode="External"/><Relationship Id="rId1154" Type="http://schemas.openxmlformats.org/officeDocument/2006/relationships/hyperlink" Target="https://store.admitad.com/webmaster/websites/2166760/offers/26944-shopee-mx/" TargetMode="External"/><Relationship Id="rId1361" Type="http://schemas.openxmlformats.org/officeDocument/2006/relationships/hyperlink" Target="https://www.koifootwear.com/" TargetMode="External"/><Relationship Id="rId1459" Type="http://schemas.openxmlformats.org/officeDocument/2006/relationships/hyperlink" Target="https://www.fitmart.de/" TargetMode="External"/><Relationship Id="rId2205" Type="http://schemas.openxmlformats.org/officeDocument/2006/relationships/hyperlink" Target="https://shop.kelsey.co.uk/" TargetMode="External"/><Relationship Id="rId2412" Type="http://schemas.openxmlformats.org/officeDocument/2006/relationships/hyperlink" Target="https://store.admitad.com/webmaster/websites/2166760/offers/22581-nv-gallery-fr/" TargetMode="External"/><Relationship Id="rId2857" Type="http://schemas.openxmlformats.org/officeDocument/2006/relationships/hyperlink" Target="https://www.safestore.co.uk/" TargetMode="External"/><Relationship Id="rId3908" Type="http://schemas.openxmlformats.org/officeDocument/2006/relationships/hyperlink" Target="https://store.admitad.com/webmaster/websites/2166760/offers/24478-nfo-norwegian-fish-oil/" TargetMode="External"/><Relationship Id="rId4072" Type="http://schemas.openxmlformats.org/officeDocument/2006/relationships/hyperlink" Target="https://store.admitad.com/webmaster/websites/2166760/offers/25907-star-stable-soi-many-geos/" TargetMode="External"/><Relationship Id="rId98" Type="http://schemas.openxmlformats.org/officeDocument/2006/relationships/hyperlink" Target="https://store.admitad.com/webmaster/websites/2166760/offers/21461-pandora-ua/" TargetMode="External"/><Relationship Id="rId829" Type="http://schemas.openxmlformats.org/officeDocument/2006/relationships/hyperlink" Target="https://server.nitrado.net/" TargetMode="External"/><Relationship Id="rId1014" Type="http://schemas.openxmlformats.org/officeDocument/2006/relationships/hyperlink" Target="https://store.admitad.com/webmaster/websites/2166760/offers/26692-qatar-uk/" TargetMode="External"/><Relationship Id="rId1221" Type="http://schemas.openxmlformats.org/officeDocument/2006/relationships/hyperlink" Target="https://www.underarmour.co.uk/en-gb/?" TargetMode="External"/><Relationship Id="rId1666" Type="http://schemas.openxmlformats.org/officeDocument/2006/relationships/hyperlink" Target="https://store.admitad.com/webmaster/websites/2166760/offers/27570-idtech-cpl-in/" TargetMode="External"/><Relationship Id="rId1873" Type="http://schemas.openxmlformats.org/officeDocument/2006/relationships/hyperlink" Target="https://www.ticketmaster.it/" TargetMode="External"/><Relationship Id="rId2717" Type="http://schemas.openxmlformats.org/officeDocument/2006/relationships/hyperlink" Target="https://enjoythewood.ua/" TargetMode="External"/><Relationship Id="rId2924" Type="http://schemas.openxmlformats.org/officeDocument/2006/relationships/hyperlink" Target="https://store.admitad.com/webmaster/websites/2166760/offers/16494-cyber-florist-ww/" TargetMode="External"/><Relationship Id="rId1319" Type="http://schemas.openxmlformats.org/officeDocument/2006/relationships/hyperlink" Target="https://de.liebeskind-berlin.com/" TargetMode="External"/><Relationship Id="rId1526" Type="http://schemas.openxmlformats.org/officeDocument/2006/relationships/hyperlink" Target="https://store.admitad.com/webmaster/websites/2166760/offers/27408-peter-hahn-fr/" TargetMode="External"/><Relationship Id="rId1733" Type="http://schemas.openxmlformats.org/officeDocument/2006/relationships/hyperlink" Target="https://en-ae.rituals.com/" TargetMode="External"/><Relationship Id="rId1940" Type="http://schemas.openxmlformats.org/officeDocument/2006/relationships/hyperlink" Target="https://store.admitad.com/webmaster/websites/2166760/offers/26418-beyerdynamic-de/" TargetMode="External"/><Relationship Id="rId3186" Type="http://schemas.openxmlformats.org/officeDocument/2006/relationships/hyperlink" Target="https://store.admitad.com/webmaster/websites/2166760/offers/26368-mirapodo-de/" TargetMode="External"/><Relationship Id="rId3393" Type="http://schemas.openxmlformats.org/officeDocument/2006/relationships/hyperlink" Target="https://www.defacto.com/ar-eg/" TargetMode="External"/><Relationship Id="rId25" Type="http://schemas.openxmlformats.org/officeDocument/2006/relationships/hyperlink" Target="https://sucuri.net/" TargetMode="External"/><Relationship Id="rId1800" Type="http://schemas.openxmlformats.org/officeDocument/2006/relationships/hyperlink" Target="https://store.admitad.com/webmaster/websites/2166760/offers/26586-denby-retail-uk/" TargetMode="External"/><Relationship Id="rId3046" Type="http://schemas.openxmlformats.org/officeDocument/2006/relationships/hyperlink" Target="https://store.admitad.com/webmaster/websites/2166760/offers/22948-crossout-cpp-many-geos/" TargetMode="External"/><Relationship Id="rId3253" Type="http://schemas.openxmlformats.org/officeDocument/2006/relationships/hyperlink" Target="http://puzzle-english.com/" TargetMode="External"/><Relationship Id="rId3460" Type="http://schemas.openxmlformats.org/officeDocument/2006/relationships/hyperlink" Target="https://store.admitad.com/webmaster/websites/2166760/offers/27250-warby-parker-us/" TargetMode="External"/><Relationship Id="rId3698" Type="http://schemas.openxmlformats.org/officeDocument/2006/relationships/hyperlink" Target="https://store.admitad.com/webmaster/websites/2166760/offers/22879-mobly-br/" TargetMode="External"/><Relationship Id="rId174" Type="http://schemas.openxmlformats.org/officeDocument/2006/relationships/hyperlink" Target="https://store.admitad.com/webmaster/websites/2166760/offers/22775-lastminute-fr/" TargetMode="External"/><Relationship Id="rId381" Type="http://schemas.openxmlformats.org/officeDocument/2006/relationships/hyperlink" Target="https://www.vidaxl.com/" TargetMode="External"/><Relationship Id="rId2062" Type="http://schemas.openxmlformats.org/officeDocument/2006/relationships/hyperlink" Target="https://store.admitad.com/webmaster/websites/2166760/offers/26580-jd-sports-fr/" TargetMode="External"/><Relationship Id="rId3113" Type="http://schemas.openxmlformats.org/officeDocument/2006/relationships/hyperlink" Target="https://itvdn.com/" TargetMode="External"/><Relationship Id="rId3558" Type="http://schemas.openxmlformats.org/officeDocument/2006/relationships/hyperlink" Target="https://store.admitad.com/webmaster/websites/2166760/offers/25244-yougov-cpa-in/" TargetMode="External"/><Relationship Id="rId3765" Type="http://schemas.openxmlformats.org/officeDocument/2006/relationships/hyperlink" Target="https://www.goniyo.com/" TargetMode="External"/><Relationship Id="rId3972" Type="http://schemas.openxmlformats.org/officeDocument/2006/relationships/hyperlink" Target="https://store.admitad.com/webmaster/websites/2166760/offers/23269-kreditmarket-cps-api-ua/" TargetMode="External"/><Relationship Id="rId241" Type="http://schemas.openxmlformats.org/officeDocument/2006/relationships/hyperlink" Target="https://www.agatameble.pl/" TargetMode="External"/><Relationship Id="rId479" Type="http://schemas.openxmlformats.org/officeDocument/2006/relationships/hyperlink" Target="https://turnbullandasser.co.uk/" TargetMode="External"/><Relationship Id="rId686" Type="http://schemas.openxmlformats.org/officeDocument/2006/relationships/hyperlink" Target="https://store.admitad.com/webmaster/websites/2166760/offers/26029-viator-nl/" TargetMode="External"/><Relationship Id="rId893" Type="http://schemas.openxmlformats.org/officeDocument/2006/relationships/hyperlink" Target="https://www.juliancharles.co.uk/" TargetMode="External"/><Relationship Id="rId2367" Type="http://schemas.openxmlformats.org/officeDocument/2006/relationships/hyperlink" Target="https://www.lifestylestores.com/" TargetMode="External"/><Relationship Id="rId2574" Type="http://schemas.openxmlformats.org/officeDocument/2006/relationships/hyperlink" Target="https://store.admitad.com/webmaster/websites/2166760/offers/27020-yougarden-uk/" TargetMode="External"/><Relationship Id="rId2781" Type="http://schemas.openxmlformats.org/officeDocument/2006/relationships/hyperlink" Target="https://lakmeindia.com/" TargetMode="External"/><Relationship Id="rId3320" Type="http://schemas.openxmlformats.org/officeDocument/2006/relationships/hyperlink" Target="https://store.admitad.com/webmaster/websites/2166760/offers/21834-black-desert-cpp-innova-ru-cis/" TargetMode="External"/><Relationship Id="rId3418" Type="http://schemas.openxmlformats.org/officeDocument/2006/relationships/hyperlink" Target="https://store.admitad.com/webmaster/websites/2166760/offers/26007-mcaffeine-cps-in/" TargetMode="External"/><Relationship Id="rId3625" Type="http://schemas.openxmlformats.org/officeDocument/2006/relationships/hyperlink" Target="http://crossout.net/ru" TargetMode="External"/><Relationship Id="rId339" Type="http://schemas.openxmlformats.org/officeDocument/2006/relationships/hyperlink" Target="https://surfshark.com/" TargetMode="External"/><Relationship Id="rId546" Type="http://schemas.openxmlformats.org/officeDocument/2006/relationships/hyperlink" Target="https://store.admitad.com/webmaster/websites/2166760/offers/25199-lemonade-us/" TargetMode="External"/><Relationship Id="rId753" Type="http://schemas.openxmlformats.org/officeDocument/2006/relationships/hyperlink" Target="https://induseasycredit.indusind.com/customer/personal-loan/lead/lead?utm_code=z_mktgcamp" TargetMode="External"/><Relationship Id="rId1176" Type="http://schemas.openxmlformats.org/officeDocument/2006/relationships/hyperlink" Target="https://store.admitad.com/webmaster/websites/2166760/offers/26974-beerwulf-fr/" TargetMode="External"/><Relationship Id="rId1383" Type="http://schemas.openxmlformats.org/officeDocument/2006/relationships/hyperlink" Target="https://www.currys.co.uk/mobile/" TargetMode="External"/><Relationship Id="rId2227" Type="http://schemas.openxmlformats.org/officeDocument/2006/relationships/hyperlink" Target="https://mx.tommy.com/" TargetMode="External"/><Relationship Id="rId2434" Type="http://schemas.openxmlformats.org/officeDocument/2006/relationships/hyperlink" Target="https://store.admitad.com/webmaster/websites/2166760/offers/23012-sportservice-pl/" TargetMode="External"/><Relationship Id="rId2879" Type="http://schemas.openxmlformats.org/officeDocument/2006/relationships/hyperlink" Target="http://lineage2.inn.eu/click?pid=2&amp;offer_id=25" TargetMode="External"/><Relationship Id="rId3832" Type="http://schemas.openxmlformats.org/officeDocument/2006/relationships/hyperlink" Target="https://store.admitad.com/webmaster/websites/2166760/offers/27493-tring-cps-in/" TargetMode="External"/><Relationship Id="rId101" Type="http://schemas.openxmlformats.org/officeDocument/2006/relationships/hyperlink" Target="https://www.carters.com/" TargetMode="External"/><Relationship Id="rId406" Type="http://schemas.openxmlformats.org/officeDocument/2006/relationships/hyperlink" Target="https://store.admitad.com/webmaster/websites/2166760/offers/24616-feelunique-eu-us-row/" TargetMode="External"/><Relationship Id="rId960" Type="http://schemas.openxmlformats.org/officeDocument/2006/relationships/hyperlink" Target="https://store.admitad.com/webmaster/websites/2166760/offers/26644-impericon-de/" TargetMode="External"/><Relationship Id="rId1036" Type="http://schemas.openxmlformats.org/officeDocument/2006/relationships/hyperlink" Target="https://store.admitad.com/webmaster/websites/2166760/offers/26725-europcar-fr/" TargetMode="External"/><Relationship Id="rId1243" Type="http://schemas.openxmlformats.org/officeDocument/2006/relationships/hyperlink" Target="https://www.pezzidiricambio24.it/" TargetMode="External"/><Relationship Id="rId1590" Type="http://schemas.openxmlformats.org/officeDocument/2006/relationships/hyperlink" Target="https://store.admitad.com/webmaster/websites/2166760/offers/27475-next-base-uk/" TargetMode="External"/><Relationship Id="rId1688" Type="http://schemas.openxmlformats.org/officeDocument/2006/relationships/hyperlink" Target="https://store.admitad.com/webmaster/websites/2166760/offers/27637-sssports-sa-ae-kw-offline-codes/" TargetMode="External"/><Relationship Id="rId1895" Type="http://schemas.openxmlformats.org/officeDocument/2006/relationships/hyperlink" Target="https://www.rabemoden.de/" TargetMode="External"/><Relationship Id="rId2641" Type="http://schemas.openxmlformats.org/officeDocument/2006/relationships/hyperlink" Target="http://makemytrip.com/" TargetMode="External"/><Relationship Id="rId2739" Type="http://schemas.openxmlformats.org/officeDocument/2006/relationships/hyperlink" Target="https://www.logitechg.com/" TargetMode="External"/><Relationship Id="rId2946" Type="http://schemas.openxmlformats.org/officeDocument/2006/relationships/hyperlink" Target="https://store.admitad.com/webmaster/websites/2166760/offers/18363-360totalsecurity-ww/" TargetMode="External"/><Relationship Id="rId4094" Type="http://schemas.openxmlformats.org/officeDocument/2006/relationships/hyperlink" Target="https://store.admitad.com/webmaster/websites/2166760/offers/9798-citrus-ua/" TargetMode="External"/><Relationship Id="rId613" Type="http://schemas.openxmlformats.org/officeDocument/2006/relationships/hyperlink" Target="https://www.loberon.de/" TargetMode="External"/><Relationship Id="rId820" Type="http://schemas.openxmlformats.org/officeDocument/2006/relationships/hyperlink" Target="https://store.admitad.com/webmaster/websites/2166760/offers/26391-bajaj-credit-card-cpl-in/" TargetMode="External"/><Relationship Id="rId918" Type="http://schemas.openxmlformats.org/officeDocument/2006/relationships/hyperlink" Target="https://store.admitad.com/webmaster/websites/2166760/offers/26553-frenchic-paint-uk/" TargetMode="External"/><Relationship Id="rId1450" Type="http://schemas.openxmlformats.org/officeDocument/2006/relationships/hyperlink" Target="https://store.admitad.com/webmaster/websites/2166760/offers/27302-farfetch-latam/" TargetMode="External"/><Relationship Id="rId1548" Type="http://schemas.openxmlformats.org/officeDocument/2006/relationships/hyperlink" Target="https://store.admitad.com/webmaster/websites/2166760/offers/27428-tiqets-us/" TargetMode="External"/><Relationship Id="rId1755" Type="http://schemas.openxmlformats.org/officeDocument/2006/relationships/hyperlink" Target="https://www.go-sport.pl/" TargetMode="External"/><Relationship Id="rId2501" Type="http://schemas.openxmlformats.org/officeDocument/2006/relationships/hyperlink" Target="https://www.ever-pretty.com/" TargetMode="External"/><Relationship Id="rId4161" Type="http://schemas.openxmlformats.org/officeDocument/2006/relationships/hyperlink" Target="https://www.donnerdeal.com/" TargetMode="External"/><Relationship Id="rId1103" Type="http://schemas.openxmlformats.org/officeDocument/2006/relationships/hyperlink" Target="https://mnstore.eu/" TargetMode="External"/><Relationship Id="rId1310" Type="http://schemas.openxmlformats.org/officeDocument/2006/relationships/hyperlink" Target="https://store.admitad.com/webmaster/websites/2166760/offers/27112-orion-de/" TargetMode="External"/><Relationship Id="rId1408" Type="http://schemas.openxmlformats.org/officeDocument/2006/relationships/hyperlink" Target="https://store.admitad.com/webmaster/websites/2166760/offers/27253-redro-pl/" TargetMode="External"/><Relationship Id="rId1962" Type="http://schemas.openxmlformats.org/officeDocument/2006/relationships/hyperlink" Target="https://store.admitad.com/webmaster/websites/2166760/offers/26743-makerist-us/" TargetMode="External"/><Relationship Id="rId2806" Type="http://schemas.openxmlformats.org/officeDocument/2006/relationships/hyperlink" Target="https://store.admitad.com/webmaster/websites/2166760/offers/26168-oziva-cps-in/" TargetMode="External"/><Relationship Id="rId4021" Type="http://schemas.openxmlformats.org/officeDocument/2006/relationships/hyperlink" Target="https://nordvpn.com/" TargetMode="External"/><Relationship Id="rId47" Type="http://schemas.openxmlformats.org/officeDocument/2006/relationships/hyperlink" Target="https://www.guardian.in/" TargetMode="External"/><Relationship Id="rId1615" Type="http://schemas.openxmlformats.org/officeDocument/2006/relationships/hyperlink" Target="https://www.lastminute.ie/" TargetMode="External"/><Relationship Id="rId1822" Type="http://schemas.openxmlformats.org/officeDocument/2006/relationships/hyperlink" Target="https://store.admitad.com/webmaster/websites/2166760/offers/27072-spedirecom-it/" TargetMode="External"/><Relationship Id="rId3068" Type="http://schemas.openxmlformats.org/officeDocument/2006/relationships/hyperlink" Target="https://store.admitad.com/webmaster/websites/2166760/offers/23443-7-stars-cpa-in/" TargetMode="External"/><Relationship Id="rId3275" Type="http://schemas.openxmlformats.org/officeDocument/2006/relationships/hyperlink" Target="https://karabas.com/" TargetMode="External"/><Relationship Id="rId3482" Type="http://schemas.openxmlformats.org/officeDocument/2006/relationships/hyperlink" Target="https://store.admitad.com/webmaster/websites/2166760/offers/15508-zaful-ww/" TargetMode="External"/><Relationship Id="rId4119" Type="http://schemas.openxmlformats.org/officeDocument/2006/relationships/hyperlink" Target="http://letu.ru/" TargetMode="External"/><Relationship Id="rId196" Type="http://schemas.openxmlformats.org/officeDocument/2006/relationships/hyperlink" Target="https://store.admitad.com/webmaster/websites/2166760/offers/22942-spartan-poker-cpl-in/" TargetMode="External"/><Relationship Id="rId2084" Type="http://schemas.openxmlformats.org/officeDocument/2006/relationships/hyperlink" Target="https://store.admitad.com/webmaster/websites/2166760/offers/27045-steuertipps-de/" TargetMode="External"/><Relationship Id="rId2291" Type="http://schemas.openxmlformats.org/officeDocument/2006/relationships/hyperlink" Target="https://www.sonicdirect.co.uk/" TargetMode="External"/><Relationship Id="rId3135" Type="http://schemas.openxmlformats.org/officeDocument/2006/relationships/hyperlink" Target="https://ua.defactofashion.com/" TargetMode="External"/><Relationship Id="rId3342" Type="http://schemas.openxmlformats.org/officeDocument/2006/relationships/hyperlink" Target="https://store.admitad.com/webmaster/websites/2166760/offers/23006-il-molino-ua/" TargetMode="External"/><Relationship Id="rId3787" Type="http://schemas.openxmlformats.org/officeDocument/2006/relationships/hyperlink" Target="https://www.creagames.com/game/efr" TargetMode="External"/><Relationship Id="rId3994" Type="http://schemas.openxmlformats.org/officeDocument/2006/relationships/hyperlink" Target="https://store.admitad.com/webmaster/websites/2166760/offers/12211-5element-by/" TargetMode="External"/><Relationship Id="rId263" Type="http://schemas.openxmlformats.org/officeDocument/2006/relationships/hyperlink" Target="https://www.kotak.com/811-savingsaccount-ZeroBalanceAccount/811/ahome2.action?source=811IRCTC&amp;banner=IRCTCADM&amp;pubild=IRCTC" TargetMode="External"/><Relationship Id="rId470" Type="http://schemas.openxmlformats.org/officeDocument/2006/relationships/hyperlink" Target="https://store.admitad.com/webmaster/websites/2166760/offers/24923-fresh-to-home-ae-offline-codes/" TargetMode="External"/><Relationship Id="rId2151" Type="http://schemas.openxmlformats.org/officeDocument/2006/relationships/hyperlink" Target="https://www.treatwell.fr/" TargetMode="External"/><Relationship Id="rId2389" Type="http://schemas.openxmlformats.org/officeDocument/2006/relationships/hyperlink" Target="https://stockx.com/" TargetMode="External"/><Relationship Id="rId2596" Type="http://schemas.openxmlformats.org/officeDocument/2006/relationships/hyperlink" Target="https://store.admitad.com/webmaster/websites/2166760/offers/27156-studiengemeinschaft-darmstadt-de/" TargetMode="External"/><Relationship Id="rId3202" Type="http://schemas.openxmlformats.org/officeDocument/2006/relationships/hyperlink" Target="https://store.admitad.com/webmaster/websites/2166760/offers/26733-aditya-birla-money-cpl-in/" TargetMode="External"/><Relationship Id="rId3647" Type="http://schemas.openxmlformats.org/officeDocument/2006/relationships/hyperlink" Target="https://apps.bajajallianzlife.com/campaigns/Bajaj-Allianz-Life-logics/" TargetMode="External"/><Relationship Id="rId3854" Type="http://schemas.openxmlformats.org/officeDocument/2006/relationships/hyperlink" Target="https://store.admitad.com/webmaster/websites/2166760/offers/19959-agromarket-ua/" TargetMode="External"/><Relationship Id="rId123" Type="http://schemas.openxmlformats.org/officeDocument/2006/relationships/hyperlink" Target="https://www.creditprime.md/" TargetMode="External"/><Relationship Id="rId330" Type="http://schemas.openxmlformats.org/officeDocument/2006/relationships/hyperlink" Target="https://store.admitad.com/webmaster/websites/2166760/offers/24128-hola-vpn-ios-cpa-many-geos/" TargetMode="External"/><Relationship Id="rId568" Type="http://schemas.openxmlformats.org/officeDocument/2006/relationships/hyperlink" Target="https://store.admitad.com/webmaster/websites/2166760/offers/25322-despize-many-geos/" TargetMode="External"/><Relationship Id="rId775" Type="http://schemas.openxmlformats.org/officeDocument/2006/relationships/hyperlink" Target="https://www.crateandbarrel.com.mx/" TargetMode="External"/><Relationship Id="rId982" Type="http://schemas.openxmlformats.org/officeDocument/2006/relationships/hyperlink" Target="https://store.admitad.com/webmaster/websites/2166760/offers/26670-samsung-ca/" TargetMode="External"/><Relationship Id="rId1198" Type="http://schemas.openxmlformats.org/officeDocument/2006/relationships/hyperlink" Target="https://store.admitad.com/webmaster/websites/2166760/offers/27000-gommadiretto-it/" TargetMode="External"/><Relationship Id="rId2011" Type="http://schemas.openxmlformats.org/officeDocument/2006/relationships/hyperlink" Target="https://tezeks.com/" TargetMode="External"/><Relationship Id="rId2249" Type="http://schemas.openxmlformats.org/officeDocument/2006/relationships/hyperlink" Target="https://zakaz.uz/ru/" TargetMode="External"/><Relationship Id="rId2456" Type="http://schemas.openxmlformats.org/officeDocument/2006/relationships/hyperlink" Target="https://store.admitad.com/webmaster/websites/2166760/offers/24060-red-rickshaw-many-geos/" TargetMode="External"/><Relationship Id="rId2663" Type="http://schemas.openxmlformats.org/officeDocument/2006/relationships/hyperlink" Target="http://autoklad.ua/" TargetMode="External"/><Relationship Id="rId2870" Type="http://schemas.openxmlformats.org/officeDocument/2006/relationships/hyperlink" Target="https://store.admitad.com/webmaster/websites/2166760/offers/27242-qustodio-many-geos/" TargetMode="External"/><Relationship Id="rId3507" Type="http://schemas.openxmlformats.org/officeDocument/2006/relationships/hyperlink" Target="https://ru.4game.com/lineage2essence/" TargetMode="External"/><Relationship Id="rId3714" Type="http://schemas.openxmlformats.org/officeDocument/2006/relationships/hyperlink" Target="https://store.admitad.com/webmaster/websites/2166760/offers/23561-teana-labs/" TargetMode="External"/><Relationship Id="rId3921" Type="http://schemas.openxmlformats.org/officeDocument/2006/relationships/hyperlink" Target="https://www.own3d.tv/" TargetMode="External"/><Relationship Id="rId428" Type="http://schemas.openxmlformats.org/officeDocument/2006/relationships/hyperlink" Target="https://store.admitad.com/webmaster/websites/2166760/offers/24716-musclepower-pl/" TargetMode="External"/><Relationship Id="rId635" Type="http://schemas.openxmlformats.org/officeDocument/2006/relationships/hyperlink" Target="https://www.zalando-lounge.pl/" TargetMode="External"/><Relationship Id="rId842" Type="http://schemas.openxmlformats.org/officeDocument/2006/relationships/hyperlink" Target="https://store.admitad.com/webmaster/websites/2166760/offers/26437-inkovideo-dach/" TargetMode="External"/><Relationship Id="rId1058" Type="http://schemas.openxmlformats.org/officeDocument/2006/relationships/hyperlink" Target="https://store.admitad.com/webmaster/websites/2166760/offers/26782-daparto-de/" TargetMode="External"/><Relationship Id="rId1265" Type="http://schemas.openxmlformats.org/officeDocument/2006/relationships/hyperlink" Target="https://www.bestfewo.de/" TargetMode="External"/><Relationship Id="rId1472" Type="http://schemas.openxmlformats.org/officeDocument/2006/relationships/hyperlink" Target="https://store.admitad.com/webmaster/websites/2166760/offers/27338-discount-experts-uk/" TargetMode="External"/><Relationship Id="rId2109" Type="http://schemas.openxmlformats.org/officeDocument/2006/relationships/hyperlink" Target="http://bs.ru/" TargetMode="External"/><Relationship Id="rId2316" Type="http://schemas.openxmlformats.org/officeDocument/2006/relationships/hyperlink" Target="https://store.admitad.com/webmaster/websites/2166760/offers/27081-europcar-es/" TargetMode="External"/><Relationship Id="rId2523" Type="http://schemas.openxmlformats.org/officeDocument/2006/relationships/hyperlink" Target="https://ccc.eu/pl/" TargetMode="External"/><Relationship Id="rId2730" Type="http://schemas.openxmlformats.org/officeDocument/2006/relationships/hyperlink" Target="https://store.admitad.com/webmaster/websites/2166760/offers/23319-danubehome-ae-om-qt-kw-in-bh/" TargetMode="External"/><Relationship Id="rId2968" Type="http://schemas.openxmlformats.org/officeDocument/2006/relationships/hyperlink" Target="https://store.admitad.com/webmaster/websites/2166760/offers/19529-ttt-ua/" TargetMode="External"/><Relationship Id="rId4183" Type="http://schemas.openxmlformats.org/officeDocument/2006/relationships/hyperlink" Target="https://farmacialoreto.it/" TargetMode="External"/><Relationship Id="rId702" Type="http://schemas.openxmlformats.org/officeDocument/2006/relationships/hyperlink" Target="https://store.admitad.com/webmaster/websites/2166760/offers/26080-mcafee-special-de-fr/" TargetMode="External"/><Relationship Id="rId1125" Type="http://schemas.openxmlformats.org/officeDocument/2006/relationships/hyperlink" Target="https://www.costway.com/" TargetMode="External"/><Relationship Id="rId1332" Type="http://schemas.openxmlformats.org/officeDocument/2006/relationships/hyperlink" Target="https://store.admitad.com/webmaster/websites/2166760/offers/27136-pop-in-a-box-es/" TargetMode="External"/><Relationship Id="rId1777" Type="http://schemas.openxmlformats.org/officeDocument/2006/relationships/hyperlink" Target="https://www.hajo-mode.com/" TargetMode="External"/><Relationship Id="rId1984" Type="http://schemas.openxmlformats.org/officeDocument/2006/relationships/hyperlink" Target="https://store.admitad.com/webmaster/websites/2166760/offers/26993-tastecard-uk/" TargetMode="External"/><Relationship Id="rId2828" Type="http://schemas.openxmlformats.org/officeDocument/2006/relationships/hyperlink" Target="https://store.admitad.com/webmaster/websites/2166760/offers/26596-getting-personal/" TargetMode="External"/><Relationship Id="rId69" Type="http://schemas.openxmlformats.org/officeDocument/2006/relationships/hyperlink" Target="https://www.farfetch.com/ae/" TargetMode="External"/><Relationship Id="rId1637" Type="http://schemas.openxmlformats.org/officeDocument/2006/relationships/hyperlink" Target="https://www.lambdatest.com/" TargetMode="External"/><Relationship Id="rId1844" Type="http://schemas.openxmlformats.org/officeDocument/2006/relationships/hyperlink" Target="https://store.admitad.com/webmaster/websites/2166760/offers/18327-alamo-us/" TargetMode="External"/><Relationship Id="rId3297" Type="http://schemas.openxmlformats.org/officeDocument/2006/relationships/hyperlink" Target="https://maed.ru/" TargetMode="External"/><Relationship Id="rId4043" Type="http://schemas.openxmlformats.org/officeDocument/2006/relationships/hyperlink" Target="https://www.novakid.ru/" TargetMode="External"/><Relationship Id="rId1704" Type="http://schemas.openxmlformats.org/officeDocument/2006/relationships/hyperlink" Target="https://store.admitad.com/webmaster/websites/2166760/offers/27672-raid-shadow-legends-soi-ru-many-geos-new/" TargetMode="External"/><Relationship Id="rId3157" Type="http://schemas.openxmlformats.org/officeDocument/2006/relationships/hyperlink" Target="https://recredit.ua/uk" TargetMode="External"/><Relationship Id="rId4110" Type="http://schemas.openxmlformats.org/officeDocument/2006/relationships/hyperlink" Target="https://store.admitad.com/webmaster/websites/2166760/offers/22865-nayomi-sa-ae-offline-codes-links/" TargetMode="External"/><Relationship Id="rId285" Type="http://schemas.openxmlformats.org/officeDocument/2006/relationships/hyperlink" Target="https://invideo.io/" TargetMode="External"/><Relationship Id="rId1911" Type="http://schemas.openxmlformats.org/officeDocument/2006/relationships/hyperlink" Target="https://peinturesparnumeros.com/" TargetMode="External"/><Relationship Id="rId3364" Type="http://schemas.openxmlformats.org/officeDocument/2006/relationships/hyperlink" Target="https://store.admitad.com/webmaster/websites/2166760/offers/24260-dyson-it/" TargetMode="External"/><Relationship Id="rId3571" Type="http://schemas.openxmlformats.org/officeDocument/2006/relationships/hyperlink" Target="https://www.ulanka.com/" TargetMode="External"/><Relationship Id="rId3669" Type="http://schemas.openxmlformats.org/officeDocument/2006/relationships/hyperlink" Target="https://repka.ua/" TargetMode="External"/><Relationship Id="rId4208" Type="http://schemas.openxmlformats.org/officeDocument/2006/relationships/hyperlink" Target="https://store.admitad.com/webmaster/websites/2166760/offers/18336-chicme-ww/" TargetMode="External"/><Relationship Id="rId492" Type="http://schemas.openxmlformats.org/officeDocument/2006/relationships/hyperlink" Target="https://store.admitad.com/webmaster/websites/2166760/offers/25014-media-markt-2/" TargetMode="External"/><Relationship Id="rId797" Type="http://schemas.openxmlformats.org/officeDocument/2006/relationships/hyperlink" Target="https://www.belvilla.nl/" TargetMode="External"/><Relationship Id="rId2173" Type="http://schemas.openxmlformats.org/officeDocument/2006/relationships/hyperlink" Target="https://www.cloudways.com/" TargetMode="External"/><Relationship Id="rId2380" Type="http://schemas.openxmlformats.org/officeDocument/2006/relationships/hyperlink" Target="https://store.admitad.com/webmaster/websites/2166760/offers/20342-drimsim-ww/" TargetMode="External"/><Relationship Id="rId2478" Type="http://schemas.openxmlformats.org/officeDocument/2006/relationships/hyperlink" Target="https://store.admitad.com/webmaster/websites/2166760/offers/24667-lovemachinesru/" TargetMode="External"/><Relationship Id="rId3017" Type="http://schemas.openxmlformats.org/officeDocument/2006/relationships/hyperlink" Target="https://sportmarket.su/" TargetMode="External"/><Relationship Id="rId3224" Type="http://schemas.openxmlformats.org/officeDocument/2006/relationships/hyperlink" Target="https://store.admitad.com/webmaster/websites/2166760/offers/27147-peter-hahn-de-hochwertige-damenmode/" TargetMode="External"/><Relationship Id="rId3431" Type="http://schemas.openxmlformats.org/officeDocument/2006/relationships/hyperlink" Target="https://www.skorecondoms.com/" TargetMode="External"/><Relationship Id="rId3876" Type="http://schemas.openxmlformats.org/officeDocument/2006/relationships/hyperlink" Target="https://store.admitad.com/webmaster/websites/2166760/offers/22004-iviru-cps/" TargetMode="External"/><Relationship Id="rId145" Type="http://schemas.openxmlformats.org/officeDocument/2006/relationships/hyperlink" Target="https://www.lacoste.hu/" TargetMode="External"/><Relationship Id="rId352" Type="http://schemas.openxmlformats.org/officeDocument/2006/relationships/hyperlink" Target="https://store.admitad.com/webmaster/websites/2166760/offers/24308-jw-pei-many-geos/" TargetMode="External"/><Relationship Id="rId1287" Type="http://schemas.openxmlformats.org/officeDocument/2006/relationships/hyperlink" Target="https://www.podobrace.co.uk/" TargetMode="External"/><Relationship Id="rId2033" Type="http://schemas.openxmlformats.org/officeDocument/2006/relationships/hyperlink" Target="https://www.clickoncare.com/" TargetMode="External"/><Relationship Id="rId2240" Type="http://schemas.openxmlformats.org/officeDocument/2006/relationships/hyperlink" Target="https://store.admitad.com/webmaster/websites/2166760/offers/26241-superfoodsonline-nl/" TargetMode="External"/><Relationship Id="rId2685" Type="http://schemas.openxmlformats.org/officeDocument/2006/relationships/hyperlink" Target="https://www.adidas.com.br/" TargetMode="External"/><Relationship Id="rId2892" Type="http://schemas.openxmlformats.org/officeDocument/2006/relationships/hyperlink" Target="https://store.admitad.com/webmaster/websites/2166760/offers/2746-audiomania/" TargetMode="External"/><Relationship Id="rId3529" Type="http://schemas.openxmlformats.org/officeDocument/2006/relationships/hyperlink" Target="https://oniks.ua/" TargetMode="External"/><Relationship Id="rId3736" Type="http://schemas.openxmlformats.org/officeDocument/2006/relationships/hyperlink" Target="https://store.admitad.com/webmaster/websites/2166760/offers/24073-gshopper-many-geos/" TargetMode="External"/><Relationship Id="rId3943" Type="http://schemas.openxmlformats.org/officeDocument/2006/relationships/hyperlink" Target="https://eastar-music.com/" TargetMode="External"/><Relationship Id="rId212" Type="http://schemas.openxmlformats.org/officeDocument/2006/relationships/hyperlink" Target="https://store.admitad.com/webmaster/websites/2166760/offers/23058-voot-kids-cpt-in/" TargetMode="External"/><Relationship Id="rId657" Type="http://schemas.openxmlformats.org/officeDocument/2006/relationships/hyperlink" Target="https://elfsight.com/" TargetMode="External"/><Relationship Id="rId864" Type="http://schemas.openxmlformats.org/officeDocument/2006/relationships/hyperlink" Target="https://store.admitad.com/webmaster/websites/2166760/offers/26469-hotpizzagg-cps-ww/" TargetMode="External"/><Relationship Id="rId1494" Type="http://schemas.openxmlformats.org/officeDocument/2006/relationships/hyperlink" Target="https://store.admitad.com/webmaster/websites/2166760/offers/27360-iwantoneofthose-us-ca/" TargetMode="External"/><Relationship Id="rId1799" Type="http://schemas.openxmlformats.org/officeDocument/2006/relationships/hyperlink" Target="https://www.denbypottery.com/" TargetMode="External"/><Relationship Id="rId2100" Type="http://schemas.openxmlformats.org/officeDocument/2006/relationships/hyperlink" Target="https://store.admitad.com/webmaster/websites/2166760/offers/27237-world-of-chaos-soi-fr/" TargetMode="External"/><Relationship Id="rId2338" Type="http://schemas.openxmlformats.org/officeDocument/2006/relationships/hyperlink" Target="https://store.admitad.com/webmaster/websites/2166760/offers/27270-geox-fr/" TargetMode="External"/><Relationship Id="rId2545" Type="http://schemas.openxmlformats.org/officeDocument/2006/relationships/hyperlink" Target="https://www.dpdlocal-online.co.uk/" TargetMode="External"/><Relationship Id="rId2752" Type="http://schemas.openxmlformats.org/officeDocument/2006/relationships/hyperlink" Target="https://store.admitad.com/webmaster/websites/2166760/offers/24133-league-of-angels-heavens-fury-cpp-esprit-ru-cis/" TargetMode="External"/><Relationship Id="rId3803" Type="http://schemas.openxmlformats.org/officeDocument/2006/relationships/hyperlink" Target="https://abrasuaconta.santander.com.br/contacartao/" TargetMode="External"/><Relationship Id="rId517" Type="http://schemas.openxmlformats.org/officeDocument/2006/relationships/hyperlink" Target="http://www.fubo.tv/" TargetMode="External"/><Relationship Id="rId724" Type="http://schemas.openxmlformats.org/officeDocument/2006/relationships/hyperlink" Target="https://store.admitad.com/webmaster/websites/2166760/offers/26135-eternal-fury-resurrected-soi-enmany-geos/" TargetMode="External"/><Relationship Id="rId931" Type="http://schemas.openxmlformats.org/officeDocument/2006/relationships/hyperlink" Target="https://www.furniture-work.co.uk/" TargetMode="External"/><Relationship Id="rId1147" Type="http://schemas.openxmlformats.org/officeDocument/2006/relationships/hyperlink" Target="https://play.google.com/store/apps/details?id=ru.tmgame.client&amp;pli=1" TargetMode="External"/><Relationship Id="rId1354" Type="http://schemas.openxmlformats.org/officeDocument/2006/relationships/hyperlink" Target="https://store.admitad.com/webmaster/websites/2166760/offers/27161-kraeuterhaus-de/" TargetMode="External"/><Relationship Id="rId1561" Type="http://schemas.openxmlformats.org/officeDocument/2006/relationships/hyperlink" Target="https://www.sexyavenue.com/fr/" TargetMode="External"/><Relationship Id="rId2405" Type="http://schemas.openxmlformats.org/officeDocument/2006/relationships/hyperlink" Target="https://ccloan.kz/" TargetMode="External"/><Relationship Id="rId2612" Type="http://schemas.openxmlformats.org/officeDocument/2006/relationships/hyperlink" Target="https://store.admitad.com/webmaster/websites/2166760/offers/27274-shopto-uk/" TargetMode="External"/><Relationship Id="rId4065" Type="http://schemas.openxmlformats.org/officeDocument/2006/relationships/hyperlink" Target="http://www.cupshe.com/" TargetMode="External"/><Relationship Id="rId60" Type="http://schemas.openxmlformats.org/officeDocument/2006/relationships/hyperlink" Target="https://store.admitad.com/webmaster/websites/2166760/offers/19858-crocs-many-geos/" TargetMode="External"/><Relationship Id="rId1007" Type="http://schemas.openxmlformats.org/officeDocument/2006/relationships/hyperlink" Target="https://www.qatarairways.com/it-it/homepage.html" TargetMode="External"/><Relationship Id="rId1214" Type="http://schemas.openxmlformats.org/officeDocument/2006/relationships/hyperlink" Target="https://store.admitad.com/webmaster/websites/2166760/offers/27016-under-armour-fr/" TargetMode="External"/><Relationship Id="rId1421" Type="http://schemas.openxmlformats.org/officeDocument/2006/relationships/hyperlink" Target="https://www.seetickets.com/" TargetMode="External"/><Relationship Id="rId1659" Type="http://schemas.openxmlformats.org/officeDocument/2006/relationships/hyperlink" Target="https://nl.myprotein.com/" TargetMode="External"/><Relationship Id="rId1866" Type="http://schemas.openxmlformats.org/officeDocument/2006/relationships/hyperlink" Target="https://store.admitad.com/webmaster/websites/2166760/offers/22938-game-of-thrones-soi-esprit-pl/" TargetMode="External"/><Relationship Id="rId2917" Type="http://schemas.openxmlformats.org/officeDocument/2006/relationships/hyperlink" Target="https://101tea.ru/" TargetMode="External"/><Relationship Id="rId3081" Type="http://schemas.openxmlformats.org/officeDocument/2006/relationships/hyperlink" Target="https://englishpapa.ru/online" TargetMode="External"/><Relationship Id="rId4132" Type="http://schemas.openxmlformats.org/officeDocument/2006/relationships/hyperlink" Target="https://store.admitad.com/webmaster/websites/2166760/offers/17685-croma-cps-in/" TargetMode="External"/><Relationship Id="rId1519" Type="http://schemas.openxmlformats.org/officeDocument/2006/relationships/hyperlink" Target="https://www.ellaparadis.com/" TargetMode="External"/><Relationship Id="rId1726" Type="http://schemas.openxmlformats.org/officeDocument/2006/relationships/hyperlink" Target="https://store.admitad.com/webmaster/websites/2166760/offers/27798-ipl-registration-cpl-in/" TargetMode="External"/><Relationship Id="rId1933" Type="http://schemas.openxmlformats.org/officeDocument/2006/relationships/hyperlink" Target="http://www.hoeffner.de/" TargetMode="External"/><Relationship Id="rId3179" Type="http://schemas.openxmlformats.org/officeDocument/2006/relationships/hyperlink" Target="https://www.deindesign.de/" TargetMode="External"/><Relationship Id="rId3386" Type="http://schemas.openxmlformats.org/officeDocument/2006/relationships/hyperlink" Target="https://store.admitad.com/webmaster/websites/2166760/offers/24762-advance-club/" TargetMode="External"/><Relationship Id="rId3593" Type="http://schemas.openxmlformats.org/officeDocument/2006/relationships/hyperlink" Target="http://tsum.ru/" TargetMode="External"/><Relationship Id="rId18" Type="http://schemas.openxmlformats.org/officeDocument/2006/relationships/hyperlink" Target="https://store.admitad.com/webmaster/websites/2166760/offers/16528-omio-many-geos/" TargetMode="External"/><Relationship Id="rId2195" Type="http://schemas.openxmlformats.org/officeDocument/2006/relationships/hyperlink" Target="https://www.vahdamteas.in/" TargetMode="External"/><Relationship Id="rId3039" Type="http://schemas.openxmlformats.org/officeDocument/2006/relationships/hyperlink" Target="https://plarium.com/landings/en/desktop/raid/dragon_fire_a_m_f038_droapp" TargetMode="External"/><Relationship Id="rId3246" Type="http://schemas.openxmlformats.org/officeDocument/2006/relationships/hyperlink" Target="https://store.admitad.com/webmaster/websites/2166760/offers/27427-hp-us/" TargetMode="External"/><Relationship Id="rId3453" Type="http://schemas.openxmlformats.org/officeDocument/2006/relationships/hyperlink" Target="https://www.patriziapepe.com/de/de/" TargetMode="External"/><Relationship Id="rId3898" Type="http://schemas.openxmlformats.org/officeDocument/2006/relationships/hyperlink" Target="https://store.admitad.com/webmaster/websites/2166760/offers/23486-parallels-ww/" TargetMode="External"/><Relationship Id="rId167" Type="http://schemas.openxmlformats.org/officeDocument/2006/relationships/hyperlink" Target="http://www.ihg.com/" TargetMode="External"/><Relationship Id="rId374" Type="http://schemas.openxmlformats.org/officeDocument/2006/relationships/hyperlink" Target="https://store.admitad.com/webmaster/websites/2166760/offers/24489-maxfashion-ksa-kw-egy-offline-codes/" TargetMode="External"/><Relationship Id="rId581" Type="http://schemas.openxmlformats.org/officeDocument/2006/relationships/hyperlink" Target="https://www.gamivo.com/" TargetMode="External"/><Relationship Id="rId2055" Type="http://schemas.openxmlformats.org/officeDocument/2006/relationships/hyperlink" Target="https://fera.pl/" TargetMode="External"/><Relationship Id="rId2262" Type="http://schemas.openxmlformats.org/officeDocument/2006/relationships/hyperlink" Target="https://store.admitad.com/webmaster/websites/2166760/offers/26603-card-factory-uk/" TargetMode="External"/><Relationship Id="rId3106" Type="http://schemas.openxmlformats.org/officeDocument/2006/relationships/hyperlink" Target="https://store.admitad.com/webmaster/websites/2166760/offers/24379-bmg-vasco-cpa-android-br/" TargetMode="External"/><Relationship Id="rId3660" Type="http://schemas.openxmlformats.org/officeDocument/2006/relationships/hyperlink" Target="https://store.admitad.com/webmaster/websites/2166760/offers/20472-msl-ua/" TargetMode="External"/><Relationship Id="rId3758" Type="http://schemas.openxmlformats.org/officeDocument/2006/relationships/hyperlink" Target="https://store.admitad.com/webmaster/websites/2166760/offers/24583-basharacare-offline-codes/" TargetMode="External"/><Relationship Id="rId3965" Type="http://schemas.openxmlformats.org/officeDocument/2006/relationships/hyperlink" Target="https://www.sportmaster.ua/" TargetMode="External"/><Relationship Id="rId234" Type="http://schemas.openxmlformats.org/officeDocument/2006/relationships/hyperlink" Target="https://store.admitad.com/webmaster/websites/2166760/offers/23313-icici-direct-cpa-in/" TargetMode="External"/><Relationship Id="rId679" Type="http://schemas.openxmlformats.org/officeDocument/2006/relationships/hyperlink" Target="https://lfgboost.com/" TargetMode="External"/><Relationship Id="rId886" Type="http://schemas.openxmlformats.org/officeDocument/2006/relationships/hyperlink" Target="https://store.admitad.com/webmaster/websites/2166760/offers/26507-ewe-de/" TargetMode="External"/><Relationship Id="rId2567" Type="http://schemas.openxmlformats.org/officeDocument/2006/relationships/hyperlink" Target="https://www.boohooman.com/fr/" TargetMode="External"/><Relationship Id="rId2774" Type="http://schemas.openxmlformats.org/officeDocument/2006/relationships/hyperlink" Target="https://store.admitad.com/webmaster/websites/2166760/offers/24784-tommy-hilfiger-ae-offline-codes/" TargetMode="External"/><Relationship Id="rId3313" Type="http://schemas.openxmlformats.org/officeDocument/2006/relationships/hyperlink" Target="http://internet-bilet.ua/" TargetMode="External"/><Relationship Id="rId3520" Type="http://schemas.openxmlformats.org/officeDocument/2006/relationships/hyperlink" Target="https://store.admitad.com/webmaster/websites/2166760/offers/23097-edureka-cps-ww/" TargetMode="External"/><Relationship Id="rId3618" Type="http://schemas.openxmlformats.org/officeDocument/2006/relationships/hyperlink" Target="https://store.admitad.com/webmaster/websites/2166760/offers/17152-mircli/" TargetMode="External"/><Relationship Id="rId2" Type="http://schemas.openxmlformats.org/officeDocument/2006/relationships/hyperlink" Target="https://store.admitad.com/webmaster/websites/2166760/offers/13688-aviasales-ww/" TargetMode="External"/><Relationship Id="rId441" Type="http://schemas.openxmlformats.org/officeDocument/2006/relationships/hyperlink" Target="https://bouqs.com/" TargetMode="External"/><Relationship Id="rId539" Type="http://schemas.openxmlformats.org/officeDocument/2006/relationships/hyperlink" Target="https://www.gute-makler.de/" TargetMode="External"/><Relationship Id="rId746" Type="http://schemas.openxmlformats.org/officeDocument/2006/relationships/hyperlink" Target="https://store.admitad.com/webmaster/websites/2166760/offers/26171-omleela-game-cps-ru-cis/" TargetMode="External"/><Relationship Id="rId1071" Type="http://schemas.openxmlformats.org/officeDocument/2006/relationships/hyperlink" Target="https://www.aosom.co.uk/" TargetMode="External"/><Relationship Id="rId1169" Type="http://schemas.openxmlformats.org/officeDocument/2006/relationships/hyperlink" Target="https://hyperoptic.com/offer/affiliate-deal/" TargetMode="External"/><Relationship Id="rId1376" Type="http://schemas.openxmlformats.org/officeDocument/2006/relationships/hyperlink" Target="https://store.admitad.com/webmaster/websites/2166760/offers/27184-alba-moda-de/" TargetMode="External"/><Relationship Id="rId1583" Type="http://schemas.openxmlformats.org/officeDocument/2006/relationships/hyperlink" Target="https://products.theayurvedaexperience.com/" TargetMode="External"/><Relationship Id="rId2122" Type="http://schemas.openxmlformats.org/officeDocument/2006/relationships/hyperlink" Target="https://store.admitad.com/webmaster/websites/2166760/offers/16891-ssense-ww/" TargetMode="External"/><Relationship Id="rId2427" Type="http://schemas.openxmlformats.org/officeDocument/2006/relationships/hyperlink" Target="https://www.yousporty.com/" TargetMode="External"/><Relationship Id="rId2981" Type="http://schemas.openxmlformats.org/officeDocument/2006/relationships/hyperlink" Target="https://verdelab.pl/" TargetMode="External"/><Relationship Id="rId3825" Type="http://schemas.openxmlformats.org/officeDocument/2006/relationships/hyperlink" Target="http://www.mydays.de/" TargetMode="External"/><Relationship Id="rId301" Type="http://schemas.openxmlformats.org/officeDocument/2006/relationships/hyperlink" Target="https://www.rivafashion.com/en/" TargetMode="External"/><Relationship Id="rId953" Type="http://schemas.openxmlformats.org/officeDocument/2006/relationships/hyperlink" Target="https://lecord.com/collections/cables" TargetMode="External"/><Relationship Id="rId1029" Type="http://schemas.openxmlformats.org/officeDocument/2006/relationships/hyperlink" Target="https://global.dudubags.com/" TargetMode="External"/><Relationship Id="rId1236" Type="http://schemas.openxmlformats.org/officeDocument/2006/relationships/hyperlink" Target="https://store.admitad.com/webmaster/websites/2166760/offers/27042-hotel-de/" TargetMode="External"/><Relationship Id="rId1790" Type="http://schemas.openxmlformats.org/officeDocument/2006/relationships/hyperlink" Target="https://store.admitad.com/webmaster/websites/2166760/offers/26249-coach-mx/" TargetMode="External"/><Relationship Id="rId1888" Type="http://schemas.openxmlformats.org/officeDocument/2006/relationships/hyperlink" Target="https://store.admitad.com/webmaster/websites/2166760/offers/24121-degusta-box-es/" TargetMode="External"/><Relationship Id="rId2634" Type="http://schemas.openxmlformats.org/officeDocument/2006/relationships/hyperlink" Target="https://store.admitad.com/webmaster/websites/2166760/offers/7489-regru/" TargetMode="External"/><Relationship Id="rId2841" Type="http://schemas.openxmlformats.org/officeDocument/2006/relationships/hyperlink" Target="https://www.sonnenklar.tv/?utm_term=home&amp;utm_campaign=ongoing" TargetMode="External"/><Relationship Id="rId2939" Type="http://schemas.openxmlformats.org/officeDocument/2006/relationships/hyperlink" Target="https://www.economybookings.com/" TargetMode="External"/><Relationship Id="rId4087" Type="http://schemas.openxmlformats.org/officeDocument/2006/relationships/hyperlink" Target="https://www.lexoffice.de/" TargetMode="External"/><Relationship Id="rId82" Type="http://schemas.openxmlformats.org/officeDocument/2006/relationships/hyperlink" Target="https://store.admitad.com/webmaster/websites/2166760/offers/21217-watches2u-ww/" TargetMode="External"/><Relationship Id="rId606" Type="http://schemas.openxmlformats.org/officeDocument/2006/relationships/hyperlink" Target="https://store.admitad.com/webmaster/websites/2166760/offers/25501-orvis-us/" TargetMode="External"/><Relationship Id="rId813" Type="http://schemas.openxmlformats.org/officeDocument/2006/relationships/hyperlink" Target="https://www.drestige.com/" TargetMode="External"/><Relationship Id="rId1443" Type="http://schemas.openxmlformats.org/officeDocument/2006/relationships/hyperlink" Target="https://shopee.es/" TargetMode="External"/><Relationship Id="rId1650" Type="http://schemas.openxmlformats.org/officeDocument/2006/relationships/hyperlink" Target="https://store.admitad.com/webmaster/websites/2166760/offers/27547-borussia-monchengladbach-fanshop-de/" TargetMode="External"/><Relationship Id="rId1748" Type="http://schemas.openxmlformats.org/officeDocument/2006/relationships/hyperlink" Target="https://store.admitad.com/webmaster/websites/2166760/offers/7951-reborn-online-cpp-ru-cis/" TargetMode="External"/><Relationship Id="rId2701" Type="http://schemas.openxmlformats.org/officeDocument/2006/relationships/hyperlink" Target="https://kviku.com/kz/cash/create" TargetMode="External"/><Relationship Id="rId4154" Type="http://schemas.openxmlformats.org/officeDocument/2006/relationships/hyperlink" Target="https://store.admitad.com/webmaster/websites/2166760/offers/25268-itc-stores-cps-in/" TargetMode="External"/><Relationship Id="rId1303" Type="http://schemas.openxmlformats.org/officeDocument/2006/relationships/hyperlink" Target="https://www.1blu.de/" TargetMode="External"/><Relationship Id="rId1510" Type="http://schemas.openxmlformats.org/officeDocument/2006/relationships/hyperlink" Target="https://store.admitad.com/webmaster/websites/2166760/offers/27381-itgenio/" TargetMode="External"/><Relationship Id="rId1955" Type="http://schemas.openxmlformats.org/officeDocument/2006/relationships/hyperlink" Target="https://www.bitiba.fr/" TargetMode="External"/><Relationship Id="rId3170" Type="http://schemas.openxmlformats.org/officeDocument/2006/relationships/hyperlink" Target="https://store.admitad.com/webmaster/websites/2166760/offers/26224-easeus-cps-ww/" TargetMode="External"/><Relationship Id="rId4014" Type="http://schemas.openxmlformats.org/officeDocument/2006/relationships/hyperlink" Target="https://store.admitad.com/webmaster/websites/2166760/offers/18183-raynatours-many-geos/" TargetMode="External"/><Relationship Id="rId4221" Type="http://schemas.openxmlformats.org/officeDocument/2006/relationships/hyperlink" Target="https://www.oqvestir.com.br/" TargetMode="External"/><Relationship Id="rId1608" Type="http://schemas.openxmlformats.org/officeDocument/2006/relationships/hyperlink" Target="https://store.admitad.com/webmaster/websites/2166760/offers/27500-wego-hotels-cps-many-geos/" TargetMode="External"/><Relationship Id="rId1815" Type="http://schemas.openxmlformats.org/officeDocument/2006/relationships/hyperlink" Target="https://www.waz.de/abo/" TargetMode="External"/><Relationship Id="rId3030" Type="http://schemas.openxmlformats.org/officeDocument/2006/relationships/hyperlink" Target="https://store.admitad.com/webmaster/websites/2166760/offers/22519-veromoda-cps-in/" TargetMode="External"/><Relationship Id="rId3268" Type="http://schemas.openxmlformats.org/officeDocument/2006/relationships/hyperlink" Target="https://store.admitad.com/webmaster/websites/2166760/offers/16126-privatbank-cps-api-ua/" TargetMode="External"/><Relationship Id="rId3475" Type="http://schemas.openxmlformats.org/officeDocument/2006/relationships/hyperlink" Target="https://wikium.ru/" TargetMode="External"/><Relationship Id="rId3682" Type="http://schemas.openxmlformats.org/officeDocument/2006/relationships/hyperlink" Target="https://store.admitad.com/webmaster/websites/2166760/offers/21749-adminvps/" TargetMode="External"/><Relationship Id="rId189" Type="http://schemas.openxmlformats.org/officeDocument/2006/relationships/hyperlink" Target="https://onsitego.com/" TargetMode="External"/><Relationship Id="rId396" Type="http://schemas.openxmlformats.org/officeDocument/2006/relationships/hyperlink" Target="https://store.admitad.com/webmaster/websites/2166760/offers/24582-feelunique-mena-offline-codes-links/" TargetMode="External"/><Relationship Id="rId2077" Type="http://schemas.openxmlformats.org/officeDocument/2006/relationships/hyperlink" Target="https://www.rinkit.com/" TargetMode="External"/><Relationship Id="rId2284" Type="http://schemas.openxmlformats.org/officeDocument/2006/relationships/hyperlink" Target="https://store.admitad.com/webmaster/websites/2166760/offers/26819-nrz-de/" TargetMode="External"/><Relationship Id="rId2491" Type="http://schemas.openxmlformats.org/officeDocument/2006/relationships/hyperlink" Target="https://imperiacvetov.kz/" TargetMode="External"/><Relationship Id="rId3128" Type="http://schemas.openxmlformats.org/officeDocument/2006/relationships/hyperlink" Target="https://store.admitad.com/webmaster/websites/2166760/offers/24838-damensch-cpv-in/" TargetMode="External"/><Relationship Id="rId3335" Type="http://schemas.openxmlformats.org/officeDocument/2006/relationships/hyperlink" Target="https://plumgoodness.com/" TargetMode="External"/><Relationship Id="rId3542" Type="http://schemas.openxmlformats.org/officeDocument/2006/relationships/hyperlink" Target="https://store.admitad.com/webmaster/websites/2166760/offers/24139-hotel-chocolat-us/" TargetMode="External"/><Relationship Id="rId3987" Type="http://schemas.openxmlformats.org/officeDocument/2006/relationships/hyperlink" Target="https://smartlamp.by/" TargetMode="External"/><Relationship Id="rId256" Type="http://schemas.openxmlformats.org/officeDocument/2006/relationships/hyperlink" Target="https://store.admitad.com/webmaster/websites/2166760/offers/23499-planet-puzzles-fr/" TargetMode="External"/><Relationship Id="rId463" Type="http://schemas.openxmlformats.org/officeDocument/2006/relationships/hyperlink" Target="https://www.hebe.pl/" TargetMode="External"/><Relationship Id="rId670" Type="http://schemas.openxmlformats.org/officeDocument/2006/relationships/hyperlink" Target="https://store.admitad.com/webmaster/websites/2166760/offers/25912-homzmart-eg-offline-codes/" TargetMode="External"/><Relationship Id="rId1093" Type="http://schemas.openxmlformats.org/officeDocument/2006/relationships/hyperlink" Target="https://me.fragrance.com/" TargetMode="External"/><Relationship Id="rId2144" Type="http://schemas.openxmlformats.org/officeDocument/2006/relationships/hyperlink" Target="https://store.admitad.com/webmaster/websites/2166760/offers/20065-discovercars-ww/" TargetMode="External"/><Relationship Id="rId2351" Type="http://schemas.openxmlformats.org/officeDocument/2006/relationships/hyperlink" Target="https://fornex.com/ssd-vps/" TargetMode="External"/><Relationship Id="rId2589" Type="http://schemas.openxmlformats.org/officeDocument/2006/relationships/hyperlink" Target="https://www.mobiles.co.uk/" TargetMode="External"/><Relationship Id="rId2796" Type="http://schemas.openxmlformats.org/officeDocument/2006/relationships/hyperlink" Target="https://store.admitad.com/webmaster/websites/2166760/offers/25940-calvin-klein-mx/" TargetMode="External"/><Relationship Id="rId3402" Type="http://schemas.openxmlformats.org/officeDocument/2006/relationships/hyperlink" Target="https://store.admitad.com/webmaster/websites/2166760/offers/25156-defacto-ma/" TargetMode="External"/><Relationship Id="rId3847" Type="http://schemas.openxmlformats.org/officeDocument/2006/relationships/hyperlink" Target="https://gepur.com/" TargetMode="External"/><Relationship Id="rId116" Type="http://schemas.openxmlformats.org/officeDocument/2006/relationships/hyperlink" Target="https://store.admitad.com/webmaster/websites/2166760/offers/21981-final-fantasy-doi-de-at-ch/" TargetMode="External"/><Relationship Id="rId323" Type="http://schemas.openxmlformats.org/officeDocument/2006/relationships/hyperlink" Target="https://shop.selecta-vision.com/" TargetMode="External"/><Relationship Id="rId530" Type="http://schemas.openxmlformats.org/officeDocument/2006/relationships/hyperlink" Target="https://store.admitad.com/webmaster/websites/2166760/offers/25135-couverture-the-garbstore-uk/" TargetMode="External"/><Relationship Id="rId768" Type="http://schemas.openxmlformats.org/officeDocument/2006/relationships/hyperlink" Target="https://store.admitad.com/webmaster/websites/2166760/offers/26237-sportskeeda-cpv-in/" TargetMode="External"/><Relationship Id="rId975" Type="http://schemas.openxmlformats.org/officeDocument/2006/relationships/hyperlink" Target="https://www.outandout.com/" TargetMode="External"/><Relationship Id="rId1160" Type="http://schemas.openxmlformats.org/officeDocument/2006/relationships/hyperlink" Target="https://store.admitad.com/webmaster/websites/2166760/offers/26957-whittard-of-chelsea-uk/" TargetMode="External"/><Relationship Id="rId1398" Type="http://schemas.openxmlformats.org/officeDocument/2006/relationships/hyperlink" Target="https://store.admitad.com/webmaster/websites/2166760/offers/27243-pontins-uk/" TargetMode="External"/><Relationship Id="rId2004" Type="http://schemas.openxmlformats.org/officeDocument/2006/relationships/hyperlink" Target="https://store.admitad.com/webmaster/websites/2166760/offers/27325-ici-paris-xl-nl/" TargetMode="External"/><Relationship Id="rId2211" Type="http://schemas.openxmlformats.org/officeDocument/2006/relationships/hyperlink" Target="https://brilliant.org/" TargetMode="External"/><Relationship Id="rId2449" Type="http://schemas.openxmlformats.org/officeDocument/2006/relationships/hyperlink" Target="https://transferwise.com/" TargetMode="External"/><Relationship Id="rId2656" Type="http://schemas.openxmlformats.org/officeDocument/2006/relationships/hyperlink" Target="https://store.admitad.com/webmaster/websites/2166760/offers/18930-peggybuy-ww/" TargetMode="External"/><Relationship Id="rId2863" Type="http://schemas.openxmlformats.org/officeDocument/2006/relationships/hyperlink" Target="https://www.gsfcarparts.com/" TargetMode="External"/><Relationship Id="rId3707" Type="http://schemas.openxmlformats.org/officeDocument/2006/relationships/hyperlink" Target="https://www.linio.com.pe/" TargetMode="External"/><Relationship Id="rId3914" Type="http://schemas.openxmlformats.org/officeDocument/2006/relationships/hyperlink" Target="https://store.admitad.com/webmaster/websites/2166760/offers/24811-enlisted-cpp-rucis/" TargetMode="External"/><Relationship Id="rId628" Type="http://schemas.openxmlformats.org/officeDocument/2006/relationships/hyperlink" Target="https://store.admitad.com/webmaster/websites/2166760/offers/25598-finish-line-us/" TargetMode="External"/><Relationship Id="rId835" Type="http://schemas.openxmlformats.org/officeDocument/2006/relationships/hyperlink" Target="https://www.lynxbroker.de/" TargetMode="External"/><Relationship Id="rId1258" Type="http://schemas.openxmlformats.org/officeDocument/2006/relationships/hyperlink" Target="https://store.admitad.com/webmaster/websites/2166760/offers/27055-pkwteile-de/" TargetMode="External"/><Relationship Id="rId1465" Type="http://schemas.openxmlformats.org/officeDocument/2006/relationships/hyperlink" Target="https://zuhauseplus.vodafone.de/" TargetMode="External"/><Relationship Id="rId1672" Type="http://schemas.openxmlformats.org/officeDocument/2006/relationships/hyperlink" Target="https://store.admitad.com/webmaster/websites/2166760/offers/27575-halara-many-geos/" TargetMode="External"/><Relationship Id="rId2309" Type="http://schemas.openxmlformats.org/officeDocument/2006/relationships/hyperlink" Target="http://www.bitiba.nl/" TargetMode="External"/><Relationship Id="rId2516" Type="http://schemas.openxmlformats.org/officeDocument/2006/relationships/hyperlink" Target="https://store.admitad.com/webmaster/websites/2166760/offers/26335-orsay-pl-2/" TargetMode="External"/><Relationship Id="rId2723" Type="http://schemas.openxmlformats.org/officeDocument/2006/relationships/hyperlink" Target="https://www.glassesdirect.co.uk/" TargetMode="External"/><Relationship Id="rId4176" Type="http://schemas.openxmlformats.org/officeDocument/2006/relationships/hyperlink" Target="https://store.admitad.com/webmaster/websites/2166760/offers/18990-monobank-cps-api-ua/" TargetMode="External"/><Relationship Id="rId1020" Type="http://schemas.openxmlformats.org/officeDocument/2006/relationships/hyperlink" Target="https://store.admitad.com/webmaster/websites/2166760/offers/26702-simbasleep-uk/" TargetMode="External"/><Relationship Id="rId1118" Type="http://schemas.openxmlformats.org/officeDocument/2006/relationships/hyperlink" Target="https://store.admitad.com/webmaster/websites/2166760/offers/26893-american-eagle-gcc-eg-offline-codes/" TargetMode="External"/><Relationship Id="rId1325" Type="http://schemas.openxmlformats.org/officeDocument/2006/relationships/hyperlink" Target="https://www.neweracap.co.uk/" TargetMode="External"/><Relationship Id="rId1532" Type="http://schemas.openxmlformats.org/officeDocument/2006/relationships/hyperlink" Target="https://store.admitad.com/webmaster/websites/2166760/offers/27418-skyengkids-cps-many-geos/" TargetMode="External"/><Relationship Id="rId1977" Type="http://schemas.openxmlformats.org/officeDocument/2006/relationships/hyperlink" Target="https://homzmart.sa/" TargetMode="External"/><Relationship Id="rId2930" Type="http://schemas.openxmlformats.org/officeDocument/2006/relationships/hyperlink" Target="https://store.admitad.com/webmaster/websites/2166760/offers/17577-fishki-ua/" TargetMode="External"/><Relationship Id="rId902" Type="http://schemas.openxmlformats.org/officeDocument/2006/relationships/hyperlink" Target="https://store.admitad.com/webmaster/websites/2166760/offers/26543-abhibus-cps-in/" TargetMode="External"/><Relationship Id="rId1837" Type="http://schemas.openxmlformats.org/officeDocument/2006/relationships/hyperlink" Target="https://click.hoolig.app/?pid=18&amp;offer_id=28" TargetMode="External"/><Relationship Id="rId3192" Type="http://schemas.openxmlformats.org/officeDocument/2006/relationships/hyperlink" Target="https://store.admitad.com/webmaster/websites/2166760/offers/26496-fossil-de/" TargetMode="External"/><Relationship Id="rId3497" Type="http://schemas.openxmlformats.org/officeDocument/2006/relationships/hyperlink" Target="https://finx.com.ua/" TargetMode="External"/><Relationship Id="rId4036" Type="http://schemas.openxmlformats.org/officeDocument/2006/relationships/hyperlink" Target="https://store.admitad.com/webmaster/websites/2166760/offers/22180-magzter-cps-ww/" TargetMode="External"/><Relationship Id="rId31" Type="http://schemas.openxmlformats.org/officeDocument/2006/relationships/hyperlink" Target="https://play.google.com/store/apps/details?id=de.autodoc.gmbh" TargetMode="External"/><Relationship Id="rId2099" Type="http://schemas.openxmlformats.org/officeDocument/2006/relationships/hyperlink" Target="https://espritgames.com/fr/worldofchaos/" TargetMode="External"/><Relationship Id="rId3052" Type="http://schemas.openxmlformats.org/officeDocument/2006/relationships/hyperlink" Target="https://store.admitad.com/webmaster/websites/2166760/offers/23119-iqsha-ru/" TargetMode="External"/><Relationship Id="rId4103" Type="http://schemas.openxmlformats.org/officeDocument/2006/relationships/hyperlink" Target="https://goldapple.ru/" TargetMode="External"/><Relationship Id="rId180" Type="http://schemas.openxmlformats.org/officeDocument/2006/relationships/hyperlink" Target="https://store.admitad.com/webmaster/websites/2166760/offers/22828-hidesign-cps-in/" TargetMode="External"/><Relationship Id="rId278" Type="http://schemas.openxmlformats.org/officeDocument/2006/relationships/hyperlink" Target="https://store.admitad.com/webmaster/websites/2166760/offers/23746-we-vibe-us-ca-de-uk-fr/" TargetMode="External"/><Relationship Id="rId1904" Type="http://schemas.openxmlformats.org/officeDocument/2006/relationships/hyperlink" Target="https://store.admitad.com/webmaster/websites/2166760/offers/24629-psg-store-eu/" TargetMode="External"/><Relationship Id="rId3357" Type="http://schemas.openxmlformats.org/officeDocument/2006/relationships/hyperlink" Target="https://wellamart.ua/" TargetMode="External"/><Relationship Id="rId3564" Type="http://schemas.openxmlformats.org/officeDocument/2006/relationships/hyperlink" Target="https://store.admitad.com/webmaster/websites/2166760/offers/26179-romashka-ua/" TargetMode="External"/><Relationship Id="rId3771" Type="http://schemas.openxmlformats.org/officeDocument/2006/relationships/hyperlink" Target="http://shopee.com.br/" TargetMode="External"/><Relationship Id="rId485" Type="http://schemas.openxmlformats.org/officeDocument/2006/relationships/hyperlink" Target="https://lesgirlslesboys.com/" TargetMode="External"/><Relationship Id="rId692" Type="http://schemas.openxmlformats.org/officeDocument/2006/relationships/hyperlink" Target="https://store.admitad.com/webmaster/websites/2166760/offers/26070-costway-us/" TargetMode="External"/><Relationship Id="rId2166" Type="http://schemas.openxmlformats.org/officeDocument/2006/relationships/hyperlink" Target="https://store.admitad.com/webmaster/websites/2166760/offers/23070-ivacy-vpn-cps-ww/" TargetMode="External"/><Relationship Id="rId2373" Type="http://schemas.openxmlformats.org/officeDocument/2006/relationships/hyperlink" Target="https://www.vegas.com/" TargetMode="External"/><Relationship Id="rId2580" Type="http://schemas.openxmlformats.org/officeDocument/2006/relationships/hyperlink" Target="https://store.admitad.com/webmaster/websites/2166760/offers/27083-the-jewel-hut-uk/" TargetMode="External"/><Relationship Id="rId3217" Type="http://schemas.openxmlformats.org/officeDocument/2006/relationships/hyperlink" Target="https://www.werder.de/shop/" TargetMode="External"/><Relationship Id="rId3424" Type="http://schemas.openxmlformats.org/officeDocument/2006/relationships/hyperlink" Target="https://store.admitad.com/webmaster/websites/2166760/offers/26033-nilkamal-cps-in/" TargetMode="External"/><Relationship Id="rId3631" Type="http://schemas.openxmlformats.org/officeDocument/2006/relationships/hyperlink" Target="https://www.bitdefender.com/" TargetMode="External"/><Relationship Id="rId3869" Type="http://schemas.openxmlformats.org/officeDocument/2006/relationships/hyperlink" Target="https://touch.com.ua/" TargetMode="External"/><Relationship Id="rId138" Type="http://schemas.openxmlformats.org/officeDocument/2006/relationships/hyperlink" Target="https://store.admitad.com/webmaster/websites/2166760/offers/22328-lenovo-india-cps-in/" TargetMode="External"/><Relationship Id="rId345" Type="http://schemas.openxmlformats.org/officeDocument/2006/relationships/hyperlink" Target="https://c.st-f.in/gam/" TargetMode="External"/><Relationship Id="rId552" Type="http://schemas.openxmlformats.org/officeDocument/2006/relationships/hyperlink" Target="https://store.admitad.com/webmaster/websites/2166760/offers/25246-stradivarius-de/" TargetMode="External"/><Relationship Id="rId997" Type="http://schemas.openxmlformats.org/officeDocument/2006/relationships/hyperlink" Target="https://www.schuhe24.de/" TargetMode="External"/><Relationship Id="rId1182" Type="http://schemas.openxmlformats.org/officeDocument/2006/relationships/hyperlink" Target="https://store.admitad.com/webmaster/websites/2166760/offers/26980-hotel-du-vin-uk/" TargetMode="External"/><Relationship Id="rId2026" Type="http://schemas.openxmlformats.org/officeDocument/2006/relationships/hyperlink" Target="https://store.admitad.com/webmaster/websites/2166760/offers/23156-imyfone-cps-ww/" TargetMode="External"/><Relationship Id="rId2233" Type="http://schemas.openxmlformats.org/officeDocument/2006/relationships/hyperlink" Target="https://www.spinny.com/sell-used-car/?utm_source=admitad&amp;utm_medium=affiliate&amp;utm_campaign=UID_PubId&amp;utm_term=Banner_emailer_sms&amp;utm_content=CTA_creative" TargetMode="External"/><Relationship Id="rId2440" Type="http://schemas.openxmlformats.org/officeDocument/2006/relationships/hyperlink" Target="https://store.admitad.com/webmaster/websites/2166760/offers/23307-cunt-empire-cpp-many-geos/" TargetMode="External"/><Relationship Id="rId2678" Type="http://schemas.openxmlformats.org/officeDocument/2006/relationships/hyperlink" Target="https://store.admitad.com/webmaster/websites/2166760/offers/21172-99designs-ww/" TargetMode="External"/><Relationship Id="rId2885" Type="http://schemas.openxmlformats.org/officeDocument/2006/relationships/hyperlink" Target="https://blackstarwear.ru/" TargetMode="External"/><Relationship Id="rId3729" Type="http://schemas.openxmlformats.org/officeDocument/2006/relationships/hyperlink" Target="https://www.etihad.com/" TargetMode="External"/><Relationship Id="rId3936" Type="http://schemas.openxmlformats.org/officeDocument/2006/relationships/hyperlink" Target="https://store.admitad.com/webmaster/websites/2166760/offers/26304-fun-sport-vision-de/" TargetMode="External"/><Relationship Id="rId205" Type="http://schemas.openxmlformats.org/officeDocument/2006/relationships/hyperlink" Target="https://www.myprotein.ae/" TargetMode="External"/><Relationship Id="rId412" Type="http://schemas.openxmlformats.org/officeDocument/2006/relationships/hyperlink" Target="https://store.admitad.com/webmaster/websites/2166760/offers/24632-kontigo-pl/" TargetMode="External"/><Relationship Id="rId857" Type="http://schemas.openxmlformats.org/officeDocument/2006/relationships/hyperlink" Target="https://www.humanic.net/cz/" TargetMode="External"/><Relationship Id="rId1042" Type="http://schemas.openxmlformats.org/officeDocument/2006/relationships/hyperlink" Target="https://store.admitad.com/webmaster/websites/2166760/offers/26741-xiaomi-de/" TargetMode="External"/><Relationship Id="rId1487" Type="http://schemas.openxmlformats.org/officeDocument/2006/relationships/hyperlink" Target="https://www.kleinmetall.de/" TargetMode="External"/><Relationship Id="rId1694" Type="http://schemas.openxmlformats.org/officeDocument/2006/relationships/hyperlink" Target="https://store.admitad.com/webmaster/websites/2166760/offers/27648-zepto-android-ios-cps-in/" TargetMode="External"/><Relationship Id="rId2300" Type="http://schemas.openxmlformats.org/officeDocument/2006/relationships/hyperlink" Target="https://store.admitad.com/webmaster/websites/2166760/offers/26995-kaspersky-it/" TargetMode="External"/><Relationship Id="rId2538" Type="http://schemas.openxmlformats.org/officeDocument/2006/relationships/hyperlink" Target="https://store.admitad.com/webmaster/websites/2166760/offers/26598-lycamobile-uk/" TargetMode="External"/><Relationship Id="rId2745" Type="http://schemas.openxmlformats.org/officeDocument/2006/relationships/hyperlink" Target="https://shoperly.pl/" TargetMode="External"/><Relationship Id="rId2952" Type="http://schemas.openxmlformats.org/officeDocument/2006/relationships/hyperlink" Target="https://store.admitad.com/webmaster/websites/2166760/offers/18771-bigmag-ua/" TargetMode="External"/><Relationship Id="rId4198" Type="http://schemas.openxmlformats.org/officeDocument/2006/relationships/hyperlink" Target="https://store.admitad.com/webmaster/websites/2166760/offers/25001-movavi-ww/" TargetMode="External"/><Relationship Id="rId717" Type="http://schemas.openxmlformats.org/officeDocument/2006/relationships/hyperlink" Target="https://www.marksandspencer.com/" TargetMode="External"/><Relationship Id="rId924" Type="http://schemas.openxmlformats.org/officeDocument/2006/relationships/hyperlink" Target="https://store.admitad.com/webmaster/websites/2166760/offers/26556-joanie-uk/" TargetMode="External"/><Relationship Id="rId1347" Type="http://schemas.openxmlformats.org/officeDocument/2006/relationships/hyperlink" Target="http://www.logitravel.com/" TargetMode="External"/><Relationship Id="rId1554" Type="http://schemas.openxmlformats.org/officeDocument/2006/relationships/hyperlink" Target="https://store.admitad.com/webmaster/websites/2166760/offers/27436-raid-shadow-legends-cpp-kr/" TargetMode="External"/><Relationship Id="rId1761" Type="http://schemas.openxmlformats.org/officeDocument/2006/relationships/hyperlink" Target="https://www.nike.com/" TargetMode="External"/><Relationship Id="rId1999" Type="http://schemas.openxmlformats.org/officeDocument/2006/relationships/hyperlink" Target="https://espritgames.com/pl/worldofchaos/" TargetMode="External"/><Relationship Id="rId2605" Type="http://schemas.openxmlformats.org/officeDocument/2006/relationships/hyperlink" Target="https://www.rotita.com/" TargetMode="External"/><Relationship Id="rId2812" Type="http://schemas.openxmlformats.org/officeDocument/2006/relationships/hyperlink" Target="https://store.admitad.com/webmaster/websites/2166760/offers/26228-weshoes-il/" TargetMode="External"/><Relationship Id="rId4058" Type="http://schemas.openxmlformats.org/officeDocument/2006/relationships/hyperlink" Target="https://store.admitad.com/webmaster/websites/2166760/offers/23979-hola-vpn-cps-many-geos/" TargetMode="External"/><Relationship Id="rId53" Type="http://schemas.openxmlformats.org/officeDocument/2006/relationships/hyperlink" Target="https://paisabazaar.com/" TargetMode="External"/><Relationship Id="rId1207" Type="http://schemas.openxmlformats.org/officeDocument/2006/relationships/hyperlink" Target="https://www.bricobravo.com/" TargetMode="External"/><Relationship Id="rId1414" Type="http://schemas.openxmlformats.org/officeDocument/2006/relationships/hyperlink" Target="https://store.admitad.com/webmaster/websites/2166760/offers/27258-now-now-ae-offline-codes/" TargetMode="External"/><Relationship Id="rId1621" Type="http://schemas.openxmlformats.org/officeDocument/2006/relationships/hyperlink" Target="https://www.olightstore.uk/" TargetMode="External"/><Relationship Id="rId1859" Type="http://schemas.openxmlformats.org/officeDocument/2006/relationships/hyperlink" Target="https://esporteclube.uol.com.br/" TargetMode="External"/><Relationship Id="rId3074" Type="http://schemas.openxmlformats.org/officeDocument/2006/relationships/hyperlink" Target="https://store.admitad.com/webmaster/websites/2166760/offers/23509-wizaz24-pl/" TargetMode="External"/><Relationship Id="rId4125" Type="http://schemas.openxmlformats.org/officeDocument/2006/relationships/hyperlink" Target="https://om.forgeofempires.com/foe/ru?ref=igcom" TargetMode="External"/><Relationship Id="rId1719" Type="http://schemas.openxmlformats.org/officeDocument/2006/relationships/hyperlink" Target="https://www.icicilombard.com/" TargetMode="External"/><Relationship Id="rId1926" Type="http://schemas.openxmlformats.org/officeDocument/2006/relationships/hyperlink" Target="https://store.admitad.com/webmaster/websites/2166760/offers/26122-postscan-mail-ww/" TargetMode="External"/><Relationship Id="rId3281" Type="http://schemas.openxmlformats.org/officeDocument/2006/relationships/hyperlink" Target="https://www.jockey.in/" TargetMode="External"/><Relationship Id="rId3379" Type="http://schemas.openxmlformats.org/officeDocument/2006/relationships/hyperlink" Target="https://www.lacoste.ua/" TargetMode="External"/><Relationship Id="rId3586" Type="http://schemas.openxmlformats.org/officeDocument/2006/relationships/hyperlink" Target="https://store.admitad.com/webmaster/websites/2166760/offers/7952-itmag-ua/" TargetMode="External"/><Relationship Id="rId3793" Type="http://schemas.openxmlformats.org/officeDocument/2006/relationships/hyperlink" Target="https://www.getrushapp.com/" TargetMode="External"/><Relationship Id="rId2090" Type="http://schemas.openxmlformats.org/officeDocument/2006/relationships/hyperlink" Target="https://store.admitad.com/webmaster/websites/2166760/offers/27098-geox-it/" TargetMode="External"/><Relationship Id="rId2188" Type="http://schemas.openxmlformats.org/officeDocument/2006/relationships/hyperlink" Target="https://store.admitad.com/webmaster/websites/2166760/offers/23929-ustraa-cps-in/" TargetMode="External"/><Relationship Id="rId2395" Type="http://schemas.openxmlformats.org/officeDocument/2006/relationships/hyperlink" Target="https://www.freshtohome.com/" TargetMode="External"/><Relationship Id="rId3141" Type="http://schemas.openxmlformats.org/officeDocument/2006/relationships/hyperlink" Target="https://www.icicibank.com/card/credit-cards/credit-card.page" TargetMode="External"/><Relationship Id="rId3239" Type="http://schemas.openxmlformats.org/officeDocument/2006/relationships/hyperlink" Target="https://www.cerascreen.de/" TargetMode="External"/><Relationship Id="rId3446" Type="http://schemas.openxmlformats.org/officeDocument/2006/relationships/hyperlink" Target="https://store.admitad.com/webmaster/websites/2166760/offers/26773-suunto-cps-es-it-uk-fr/" TargetMode="External"/><Relationship Id="rId367" Type="http://schemas.openxmlformats.org/officeDocument/2006/relationships/hyperlink" Target="https://www.axismf.com/" TargetMode="External"/><Relationship Id="rId574" Type="http://schemas.openxmlformats.org/officeDocument/2006/relationships/hyperlink" Target="https://store.admitad.com/webmaster/websites/2166760/offers/25355-shopee-cps-id/" TargetMode="External"/><Relationship Id="rId2048" Type="http://schemas.openxmlformats.org/officeDocument/2006/relationships/hyperlink" Target="https://store.admitad.com/webmaster/websites/2166760/offers/26255-see-tickets-fr/" TargetMode="External"/><Relationship Id="rId2255" Type="http://schemas.openxmlformats.org/officeDocument/2006/relationships/hyperlink" Target="https://www.mindfulchef.com/" TargetMode="External"/><Relationship Id="rId3001" Type="http://schemas.openxmlformats.org/officeDocument/2006/relationships/hyperlink" Target="https://www.fanatical.com/" TargetMode="External"/><Relationship Id="rId3653" Type="http://schemas.openxmlformats.org/officeDocument/2006/relationships/hyperlink" Target="https://concert.ua/uk/" TargetMode="External"/><Relationship Id="rId3860" Type="http://schemas.openxmlformats.org/officeDocument/2006/relationships/hyperlink" Target="https://store.admitad.com/webmaster/websites/2166760/offers/20130-goodwine-ua/" TargetMode="External"/><Relationship Id="rId3958" Type="http://schemas.openxmlformats.org/officeDocument/2006/relationships/hyperlink" Target="https://store.admitad.com/webmaster/websites/2166760/offers/21527-garshinka/" TargetMode="External"/><Relationship Id="rId227" Type="http://schemas.openxmlformats.org/officeDocument/2006/relationships/hyperlink" Target="https://www.hm.com/entrance.ahtml" TargetMode="External"/><Relationship Id="rId781" Type="http://schemas.openxmlformats.org/officeDocument/2006/relationships/hyperlink" Target="https://www.rumbo.pt/" TargetMode="External"/><Relationship Id="rId879" Type="http://schemas.openxmlformats.org/officeDocument/2006/relationships/hyperlink" Target="https://www.belvilla.de/" TargetMode="External"/><Relationship Id="rId2462" Type="http://schemas.openxmlformats.org/officeDocument/2006/relationships/hyperlink" Target="https://store.admitad.com/webmaster/websites/2166760/offers/24313-spartoo-nl/" TargetMode="External"/><Relationship Id="rId2767" Type="http://schemas.openxmlformats.org/officeDocument/2006/relationships/hyperlink" Target="http://www.wakefit.co/" TargetMode="External"/><Relationship Id="rId3306" Type="http://schemas.openxmlformats.org/officeDocument/2006/relationships/hyperlink" Target="https://store.admitad.com/webmaster/websites/2166760/offers/20858-atlas-for-men-plcz/" TargetMode="External"/><Relationship Id="rId3513" Type="http://schemas.openxmlformats.org/officeDocument/2006/relationships/hyperlink" Target="https://queropassagem.com.br/" TargetMode="External"/><Relationship Id="rId3720" Type="http://schemas.openxmlformats.org/officeDocument/2006/relationships/hyperlink" Target="https://store.admitad.com/webmaster/websites/2166760/offers/23668-posthaus-br/" TargetMode="External"/><Relationship Id="rId434" Type="http://schemas.openxmlformats.org/officeDocument/2006/relationships/hyperlink" Target="https://store.admitad.com/webmaster/websites/2166760/offers/24732-eureka-cpa-es/" TargetMode="External"/><Relationship Id="rId641" Type="http://schemas.openxmlformats.org/officeDocument/2006/relationships/hyperlink" Target="https://www.nationaldebtrelief.com/" TargetMode="External"/><Relationship Id="rId739" Type="http://schemas.openxmlformats.org/officeDocument/2006/relationships/hyperlink" Target="https://www.bodycupid.com/" TargetMode="External"/><Relationship Id="rId1064" Type="http://schemas.openxmlformats.org/officeDocument/2006/relationships/hyperlink" Target="https://store.admitad.com/webmaster/websites/2166760/offers/26791-puzzle-de/" TargetMode="External"/><Relationship Id="rId1271" Type="http://schemas.openxmlformats.org/officeDocument/2006/relationships/hyperlink" Target="https://www.bavariadirekt.de/" TargetMode="External"/><Relationship Id="rId1369" Type="http://schemas.openxmlformats.org/officeDocument/2006/relationships/hyperlink" Target="https://www.bodyandfit.com/nl-nl" TargetMode="External"/><Relationship Id="rId1576" Type="http://schemas.openxmlformats.org/officeDocument/2006/relationships/hyperlink" Target="https://store.admitad.com/webmaster/websites/2166760/offers/27461-weltbild-de/" TargetMode="External"/><Relationship Id="rId2115" Type="http://schemas.openxmlformats.org/officeDocument/2006/relationships/hyperlink" Target="https://www.tidebuy.com/" TargetMode="External"/><Relationship Id="rId2322" Type="http://schemas.openxmlformats.org/officeDocument/2006/relationships/hyperlink" Target="https://store.admitad.com/webmaster/websites/2166760/offers/27173-poundshop-uk/" TargetMode="External"/><Relationship Id="rId2974" Type="http://schemas.openxmlformats.org/officeDocument/2006/relationships/hyperlink" Target="https://store.admitad.com/webmaster/websites/2166760/offers/20191-world-of-warships-soi-many-geos/" TargetMode="External"/><Relationship Id="rId3818" Type="http://schemas.openxmlformats.org/officeDocument/2006/relationships/hyperlink" Target="https://store.admitad.com/webmaster/websites/2166760/offers/26815-hardloop-fr/" TargetMode="External"/><Relationship Id="rId501" Type="http://schemas.openxmlformats.org/officeDocument/2006/relationships/hyperlink" Target="https://www.c-and-a.com/" TargetMode="External"/><Relationship Id="rId946" Type="http://schemas.openxmlformats.org/officeDocument/2006/relationships/hyperlink" Target="https://store.admitad.com/webmaster/websites/2166760/offers/26610-ebikes4you-many-geos/" TargetMode="External"/><Relationship Id="rId1131" Type="http://schemas.openxmlformats.org/officeDocument/2006/relationships/hyperlink" Target="http://www.easytoy.it/" TargetMode="External"/><Relationship Id="rId1229" Type="http://schemas.openxmlformats.org/officeDocument/2006/relationships/hyperlink" Target="https://lwtheatres.co.uk/" TargetMode="External"/><Relationship Id="rId1783" Type="http://schemas.openxmlformats.org/officeDocument/2006/relationships/hyperlink" Target="https://www.kdanmobile.com/" TargetMode="External"/><Relationship Id="rId1990" Type="http://schemas.openxmlformats.org/officeDocument/2006/relationships/hyperlink" Target="https://store.admitad.com/webmaster/websites/2166760/offers/27109-emp-de/" TargetMode="External"/><Relationship Id="rId2627" Type="http://schemas.openxmlformats.org/officeDocument/2006/relationships/hyperlink" Target="http://ffmha.inn.eu/click?offer_id=29&amp;pid=2&amp;ref_id=%7b%7badmitad_uid%7d%7d&amp;sub1=%7b%7bpublisher_id%7d%7d&amp;sub2=%7b%7bwebsite_id%7d%7d" TargetMode="External"/><Relationship Id="rId2834" Type="http://schemas.openxmlformats.org/officeDocument/2006/relationships/hyperlink" Target="https://store.admitad.com/webmaster/websites/2166760/offers/26715-photobox-fr/" TargetMode="External"/><Relationship Id="rId75" Type="http://schemas.openxmlformats.org/officeDocument/2006/relationships/hyperlink" Target="https://www.foreo.com/" TargetMode="External"/><Relationship Id="rId806" Type="http://schemas.openxmlformats.org/officeDocument/2006/relationships/hyperlink" Target="https://store.admitad.com/webmaster/websites/2166760/offers/26344-link4-pl/" TargetMode="External"/><Relationship Id="rId1436" Type="http://schemas.openxmlformats.org/officeDocument/2006/relationships/hyperlink" Target="https://store.admitad.com/webmaster/websites/2166760/offers/27289-maxfit-g3-us/" TargetMode="External"/><Relationship Id="rId1643" Type="http://schemas.openxmlformats.org/officeDocument/2006/relationships/hyperlink" Target="https://www.herringshoes.co.uk/" TargetMode="External"/><Relationship Id="rId1850" Type="http://schemas.openxmlformats.org/officeDocument/2006/relationships/hyperlink" Target="https://store.admitad.com/webmaster/websites/2166760/offers/21680-hdfc-ergo-car-cpl-in/" TargetMode="External"/><Relationship Id="rId2901" Type="http://schemas.openxmlformats.org/officeDocument/2006/relationships/hyperlink" Target="https://tickets.ru/" TargetMode="External"/><Relationship Id="rId3096" Type="http://schemas.openxmlformats.org/officeDocument/2006/relationships/hyperlink" Target="https://store.admitad.com/webmaster/websites/2166760/offers/24125-exante-us/" TargetMode="External"/><Relationship Id="rId4147" Type="http://schemas.openxmlformats.org/officeDocument/2006/relationships/hyperlink" Target="https://om.elvenar.com/ox/ru?ref=igcom" TargetMode="External"/><Relationship Id="rId1503" Type="http://schemas.openxmlformats.org/officeDocument/2006/relationships/hyperlink" Target="http://clepsydra.ua/" TargetMode="External"/><Relationship Id="rId1710" Type="http://schemas.openxmlformats.org/officeDocument/2006/relationships/hyperlink" Target="https://store.admitad.com/webmaster/websites/2166760/offers/27690-bellavita-organic-cps-in/" TargetMode="External"/><Relationship Id="rId1948" Type="http://schemas.openxmlformats.org/officeDocument/2006/relationships/hyperlink" Target="https://store.admitad.com/webmaster/websites/2166760/offers/26530-indejuice-uk/" TargetMode="External"/><Relationship Id="rId3163" Type="http://schemas.openxmlformats.org/officeDocument/2006/relationships/hyperlink" Target="https://www.sender.net/?ref=admitadaffiliatenetwork7" TargetMode="External"/><Relationship Id="rId3370" Type="http://schemas.openxmlformats.org/officeDocument/2006/relationships/hyperlink" Target="https://store.admitad.com/webmaster/websites/2166760/offers/24377-bmg-corinthians-cpa-android-br/" TargetMode="External"/><Relationship Id="rId4007" Type="http://schemas.openxmlformats.org/officeDocument/2006/relationships/hyperlink" Target="https://globalcredit.ua/" TargetMode="External"/><Relationship Id="rId4214" Type="http://schemas.openxmlformats.org/officeDocument/2006/relationships/hyperlink" Target="https://store.admitad.com/webmaster/websites/2166760/offers/21093-novakid-plitptrocz/" TargetMode="External"/><Relationship Id="rId291" Type="http://schemas.openxmlformats.org/officeDocument/2006/relationships/hyperlink" Target="https://www.lifepharmacy.com/" TargetMode="External"/><Relationship Id="rId1808" Type="http://schemas.openxmlformats.org/officeDocument/2006/relationships/hyperlink" Target="https://store.admitad.com/webmaster/websites/2166760/offers/26699-viator-dach/" TargetMode="External"/><Relationship Id="rId3023" Type="http://schemas.openxmlformats.org/officeDocument/2006/relationships/hyperlink" Target="https://marathon.ua/" TargetMode="External"/><Relationship Id="rId3468" Type="http://schemas.openxmlformats.org/officeDocument/2006/relationships/hyperlink" Target="https://store.admitad.com/webmaster/websites/2166760/offers/6425-sila-by/" TargetMode="External"/><Relationship Id="rId3675" Type="http://schemas.openxmlformats.org/officeDocument/2006/relationships/hyperlink" Target="https://in.puma.com/" TargetMode="External"/><Relationship Id="rId3882" Type="http://schemas.openxmlformats.org/officeDocument/2006/relationships/hyperlink" Target="https://store.admitad.com/webmaster/websites/2166760/offers/22448-udemy-ww/" TargetMode="External"/><Relationship Id="rId151" Type="http://schemas.openxmlformats.org/officeDocument/2006/relationships/hyperlink" Target="https://horace.co/" TargetMode="External"/><Relationship Id="rId389" Type="http://schemas.openxmlformats.org/officeDocument/2006/relationships/hyperlink" Target="https://www.bancobmg.com.br/corinthians/" TargetMode="External"/><Relationship Id="rId596" Type="http://schemas.openxmlformats.org/officeDocument/2006/relationships/hyperlink" Target="https://store.admitad.com/webmaster/websites/2166760/offers/25477-saks-5th-avenue-auasia-pacific-au/" TargetMode="External"/><Relationship Id="rId2277" Type="http://schemas.openxmlformats.org/officeDocument/2006/relationships/hyperlink" Target="https://learnattack.de/" TargetMode="External"/><Relationship Id="rId2484" Type="http://schemas.openxmlformats.org/officeDocument/2006/relationships/hyperlink" Target="https://store.admitad.com/webmaster/websites/2166760/offers/24926-dark-genesis-soi-en-many-geos/" TargetMode="External"/><Relationship Id="rId2691" Type="http://schemas.openxmlformats.org/officeDocument/2006/relationships/hyperlink" Target="https://www.gant.co.uk/" TargetMode="External"/><Relationship Id="rId3230" Type="http://schemas.openxmlformats.org/officeDocument/2006/relationships/hyperlink" Target="https://store.admitad.com/webmaster/websites/2166760/offers/27228-qr-code-generator-us/" TargetMode="External"/><Relationship Id="rId3328" Type="http://schemas.openxmlformats.org/officeDocument/2006/relationships/hyperlink" Target="https://store.admitad.com/webmaster/websites/2166760/offers/22301-victorinox-fr/" TargetMode="External"/><Relationship Id="rId3535" Type="http://schemas.openxmlformats.org/officeDocument/2006/relationships/hyperlink" Target="https://www.kitbag.com/" TargetMode="External"/><Relationship Id="rId3742" Type="http://schemas.openxmlformats.org/officeDocument/2006/relationships/hyperlink" Target="https://store.admitad.com/webmaster/websites/2166760/offers/24159-minimal-silver-ua/" TargetMode="External"/><Relationship Id="rId249" Type="http://schemas.openxmlformats.org/officeDocument/2006/relationships/hyperlink" Target="https://www8.hp.com/in/en/home.html" TargetMode="External"/><Relationship Id="rId456" Type="http://schemas.openxmlformats.org/officeDocument/2006/relationships/hyperlink" Target="https://store.admitad.com/webmaster/websites/2166760/offers/24862-verishop-us/" TargetMode="External"/><Relationship Id="rId663" Type="http://schemas.openxmlformats.org/officeDocument/2006/relationships/hyperlink" Target="https://maxicredit.com.ua/uk" TargetMode="External"/><Relationship Id="rId870" Type="http://schemas.openxmlformats.org/officeDocument/2006/relationships/hyperlink" Target="https://store.admitad.com/webmaster/websites/2166760/offers/26479-voogueme-ww/" TargetMode="External"/><Relationship Id="rId1086" Type="http://schemas.openxmlformats.org/officeDocument/2006/relationships/hyperlink" Target="https://store.admitad.com/webmaster/websites/2166760/offers/26837-bath-body-works-egy-offline-codes/" TargetMode="External"/><Relationship Id="rId1293" Type="http://schemas.openxmlformats.org/officeDocument/2006/relationships/hyperlink" Target="https://www.neverfullydressed.co.uk/" TargetMode="External"/><Relationship Id="rId2137" Type="http://schemas.openxmlformats.org/officeDocument/2006/relationships/hyperlink" Target="http://www.eastessence.com/" TargetMode="External"/><Relationship Id="rId2344" Type="http://schemas.openxmlformats.org/officeDocument/2006/relationships/hyperlink" Target="https://store.admitad.com/webmaster/websites/2166760/offers/27334-druni-es/" TargetMode="External"/><Relationship Id="rId2551" Type="http://schemas.openxmlformats.org/officeDocument/2006/relationships/hyperlink" Target="https://www.bodylab24.de/" TargetMode="External"/><Relationship Id="rId2789" Type="http://schemas.openxmlformats.org/officeDocument/2006/relationships/hyperlink" Target="https://www.dyson.es/es" TargetMode="External"/><Relationship Id="rId2996" Type="http://schemas.openxmlformats.org/officeDocument/2006/relationships/hyperlink" Target="https://store.admitad.com/webmaster/websites/2166760/offers/21001-shoptime-br/" TargetMode="External"/><Relationship Id="rId109" Type="http://schemas.openxmlformats.org/officeDocument/2006/relationships/hyperlink" Target="https://www.finanzcheck.de/" TargetMode="External"/><Relationship Id="rId316" Type="http://schemas.openxmlformats.org/officeDocument/2006/relationships/hyperlink" Target="https://store.admitad.com/webmaster/websites/2166760/offers/24035-venca-es/" TargetMode="External"/><Relationship Id="rId523" Type="http://schemas.openxmlformats.org/officeDocument/2006/relationships/hyperlink" Target="https://www.reliancesmartmoney.com/" TargetMode="External"/><Relationship Id="rId968" Type="http://schemas.openxmlformats.org/officeDocument/2006/relationships/hyperlink" Target="https://store.admitad.com/webmaster/websites/2166760/offers/26657-dubaistore-uae/" TargetMode="External"/><Relationship Id="rId1153" Type="http://schemas.openxmlformats.org/officeDocument/2006/relationships/hyperlink" Target="https://shopee.com.mx/" TargetMode="External"/><Relationship Id="rId1598" Type="http://schemas.openxmlformats.org/officeDocument/2006/relationships/hyperlink" Target="https://store.admitad.com/webmaster/websites/2166760/offers/27489-breezy/" TargetMode="External"/><Relationship Id="rId2204" Type="http://schemas.openxmlformats.org/officeDocument/2006/relationships/hyperlink" Target="https://store.admitad.com/webmaster/websites/2166760/offers/24417-angels-jeans-de/" TargetMode="External"/><Relationship Id="rId2649" Type="http://schemas.openxmlformats.org/officeDocument/2006/relationships/hyperlink" Target="https://www.toyzzshop.com/" TargetMode="External"/><Relationship Id="rId2856" Type="http://schemas.openxmlformats.org/officeDocument/2006/relationships/hyperlink" Target="https://store.admitad.com/webmaster/websites/2166760/offers/27092-the-hut-uk/" TargetMode="External"/><Relationship Id="rId3602" Type="http://schemas.openxmlformats.org/officeDocument/2006/relationships/hyperlink" Target="https://store.admitad.com/webmaster/websites/2166760/offers/14359-skyeng/" TargetMode="External"/><Relationship Id="rId3907" Type="http://schemas.openxmlformats.org/officeDocument/2006/relationships/hyperlink" Target="https://norwegianfishoil.ru/" TargetMode="External"/><Relationship Id="rId97" Type="http://schemas.openxmlformats.org/officeDocument/2006/relationships/hyperlink" Target="https://e-pandora.ua/" TargetMode="External"/><Relationship Id="rId730" Type="http://schemas.openxmlformats.org/officeDocument/2006/relationships/hyperlink" Target="https://store.admitad.com/webmaster/websites/2166760/offers/26155-royal-fashion-cz/" TargetMode="External"/><Relationship Id="rId828" Type="http://schemas.openxmlformats.org/officeDocument/2006/relationships/hyperlink" Target="https://store.admitad.com/webmaster/websites/2166760/offers/26408-trussardi-br/" TargetMode="External"/><Relationship Id="rId1013" Type="http://schemas.openxmlformats.org/officeDocument/2006/relationships/hyperlink" Target="https://www.qatarairways.com/en-gb/homepage.html" TargetMode="External"/><Relationship Id="rId1360" Type="http://schemas.openxmlformats.org/officeDocument/2006/relationships/hyperlink" Target="https://store.admitad.com/webmaster/websites/2166760/offers/27172-insektenstopnet-de/" TargetMode="External"/><Relationship Id="rId1458" Type="http://schemas.openxmlformats.org/officeDocument/2006/relationships/hyperlink" Target="https://store.admitad.com/webmaster/websites/2166760/offers/27323-goertz-de/" TargetMode="External"/><Relationship Id="rId1665" Type="http://schemas.openxmlformats.org/officeDocument/2006/relationships/hyperlink" Target="https://india.idtech.com/semesters/index-m1.php?utm_source=admitad_cpa&amp;utm_medium=ema%5b&#8230;%5dmitad_%7b%7bpublisher_id%7d%7d_%7b%7bsubid%7d%7d&amp;admitad_uid=%7b%7badmitad_uid%7d%7d" TargetMode="External"/><Relationship Id="rId1872" Type="http://schemas.openxmlformats.org/officeDocument/2006/relationships/hyperlink" Target="https://store.admitad.com/webmaster/websites/2166760/offers/23124-autodesk-cps-apac/" TargetMode="External"/><Relationship Id="rId2411" Type="http://schemas.openxmlformats.org/officeDocument/2006/relationships/hyperlink" Target="https://www.nvgallery.com/" TargetMode="External"/><Relationship Id="rId2509" Type="http://schemas.openxmlformats.org/officeDocument/2006/relationships/hyperlink" Target="https://www.at-home.co.in/?utm_source=Admitad&amp;utm_medium=email&amp;utm_campaign=Affiliate&amp;utm_term=creative&amp;utm_content=October" TargetMode="External"/><Relationship Id="rId2716" Type="http://schemas.openxmlformats.org/officeDocument/2006/relationships/hyperlink" Target="https://store.admitad.com/webmaster/websites/2166760/offers/22965-nordpass-ww/" TargetMode="External"/><Relationship Id="rId4071" Type="http://schemas.openxmlformats.org/officeDocument/2006/relationships/hyperlink" Target="https://www.starstable.com/" TargetMode="External"/><Relationship Id="rId4169" Type="http://schemas.openxmlformats.org/officeDocument/2006/relationships/hyperlink" Target="https://besthosting.ua/" TargetMode="External"/><Relationship Id="rId1220" Type="http://schemas.openxmlformats.org/officeDocument/2006/relationships/hyperlink" Target="https://store.admitad.com/webmaster/websites/2166760/offers/27022-english-heritage-uk/" TargetMode="External"/><Relationship Id="rId1318" Type="http://schemas.openxmlformats.org/officeDocument/2006/relationships/hyperlink" Target="https://store.admitad.com/webmaster/websites/2166760/offers/27122-preply-uk/" TargetMode="External"/><Relationship Id="rId1525" Type="http://schemas.openxmlformats.org/officeDocument/2006/relationships/hyperlink" Target="https://www.peterhahn.fr/" TargetMode="External"/><Relationship Id="rId2923" Type="http://schemas.openxmlformats.org/officeDocument/2006/relationships/hyperlink" Target="https://www.cyber-florist.ru/" TargetMode="External"/><Relationship Id="rId1732" Type="http://schemas.openxmlformats.org/officeDocument/2006/relationships/hyperlink" Target="https://store.admitad.com/webmaster/websites/2166760/offers/27808-lego-sa-offline-codes/" TargetMode="External"/><Relationship Id="rId3185" Type="http://schemas.openxmlformats.org/officeDocument/2006/relationships/hyperlink" Target="https://www.mirapodo.de/" TargetMode="External"/><Relationship Id="rId3392" Type="http://schemas.openxmlformats.org/officeDocument/2006/relationships/hyperlink" Target="https://store.admitad.com/webmaster/websites/2166760/offers/24871-anker-cps-many-geos/" TargetMode="External"/><Relationship Id="rId4029" Type="http://schemas.openxmlformats.org/officeDocument/2006/relationships/hyperlink" Target="https://www.americanas.com.br/" TargetMode="External"/><Relationship Id="rId24" Type="http://schemas.openxmlformats.org/officeDocument/2006/relationships/hyperlink" Target="https://store.admitad.com/webmaster/websites/2166760/offers/17396-nh-hotels-many-geos/" TargetMode="External"/><Relationship Id="rId2299" Type="http://schemas.openxmlformats.org/officeDocument/2006/relationships/hyperlink" Target="https://www.kaspersky.it/" TargetMode="External"/><Relationship Id="rId3045" Type="http://schemas.openxmlformats.org/officeDocument/2006/relationships/hyperlink" Target="https://crossout.net/play4free" TargetMode="External"/><Relationship Id="rId3252" Type="http://schemas.openxmlformats.org/officeDocument/2006/relationships/hyperlink" Target="https://store.admitad.com/webmaster/websites/2166760/offers/5631-lightinthebox-ww/" TargetMode="External"/><Relationship Id="rId3697" Type="http://schemas.openxmlformats.org/officeDocument/2006/relationships/hyperlink" Target="https://www.mobly.com.br/" TargetMode="External"/><Relationship Id="rId173" Type="http://schemas.openxmlformats.org/officeDocument/2006/relationships/hyperlink" Target="https://www.fr.lastminute.com/" TargetMode="External"/><Relationship Id="rId380" Type="http://schemas.openxmlformats.org/officeDocument/2006/relationships/hyperlink" Target="https://store.admitad.com/webmaster/websites/2166760/offers/24504-tiendanimal-cps-es/" TargetMode="External"/><Relationship Id="rId2061" Type="http://schemas.openxmlformats.org/officeDocument/2006/relationships/hyperlink" Target="https://www.jdsports.fr/" TargetMode="External"/><Relationship Id="rId3112" Type="http://schemas.openxmlformats.org/officeDocument/2006/relationships/hyperlink" Target="https://store.admitad.com/webmaster/websites/2166760/offers/24455-edx-many-geos/" TargetMode="External"/><Relationship Id="rId3557" Type="http://schemas.openxmlformats.org/officeDocument/2006/relationships/hyperlink" Target="https://in.yougov.com/en-hi/account/register/?sourceid=2028454&amp;rlid=%7bplacementid%7d&amp;rlid2=%7btransactionid%7d" TargetMode="External"/><Relationship Id="rId3764" Type="http://schemas.openxmlformats.org/officeDocument/2006/relationships/hyperlink" Target="https://store.admitad.com/webmaster/websites/2166760/offers/24710-homebase-uk/" TargetMode="External"/><Relationship Id="rId3971" Type="http://schemas.openxmlformats.org/officeDocument/2006/relationships/hyperlink" Target="https://kreditmarket.ua/" TargetMode="External"/><Relationship Id="rId240" Type="http://schemas.openxmlformats.org/officeDocument/2006/relationships/hyperlink" Target="https://store.admitad.com/webmaster/websites/2166760/offers/23370-bride-forever-cpl-doi/" TargetMode="External"/><Relationship Id="rId478" Type="http://schemas.openxmlformats.org/officeDocument/2006/relationships/hyperlink" Target="https://store.admitad.com/webmaster/websites/2166760/offers/24965-autodesk-eu/" TargetMode="External"/><Relationship Id="rId685" Type="http://schemas.openxmlformats.org/officeDocument/2006/relationships/hyperlink" Target="https://www.viator.com/nl-NL/" TargetMode="External"/><Relationship Id="rId892" Type="http://schemas.openxmlformats.org/officeDocument/2006/relationships/hyperlink" Target="https://store.admitad.com/webmaster/websites/2166760/offers/26529-darlings-of-chelsea-uk/" TargetMode="External"/><Relationship Id="rId2159" Type="http://schemas.openxmlformats.org/officeDocument/2006/relationships/hyperlink" Target="https://www.arata.in/" TargetMode="External"/><Relationship Id="rId2366" Type="http://schemas.openxmlformats.org/officeDocument/2006/relationships/hyperlink" Target="https://store.admitad.com/webmaster/websites/2166760/offers/15504-dresslily-ww/" TargetMode="External"/><Relationship Id="rId2573" Type="http://schemas.openxmlformats.org/officeDocument/2006/relationships/hyperlink" Target="https://www.yougarden.com/?source=AFFWIN" TargetMode="External"/><Relationship Id="rId2780" Type="http://schemas.openxmlformats.org/officeDocument/2006/relationships/hyperlink" Target="https://store.admitad.com/webmaster/websites/2166760/offers/24901-loccitane-ae-sa-qa-bh-kw-offline-codes/" TargetMode="External"/><Relationship Id="rId3417" Type="http://schemas.openxmlformats.org/officeDocument/2006/relationships/hyperlink" Target="https://www.mcaffeine.com/" TargetMode="External"/><Relationship Id="rId3624" Type="http://schemas.openxmlformats.org/officeDocument/2006/relationships/hyperlink" Target="https://store.admitad.com/webmaster/websites/2166760/offers/17502-bigl-ua/" TargetMode="External"/><Relationship Id="rId3831" Type="http://schemas.openxmlformats.org/officeDocument/2006/relationships/hyperlink" Target="https://www.tring.co.in/tring-dhamaka/all?utm_source=admitad&amp;utm_medium=Affiliate&amp;utm_campaign=Tring199" TargetMode="External"/><Relationship Id="rId100" Type="http://schemas.openxmlformats.org/officeDocument/2006/relationships/hyperlink" Target="https://store.admitad.com/webmaster/websites/2166760/offers/21484-malabar-cps-in/" TargetMode="External"/><Relationship Id="rId338" Type="http://schemas.openxmlformats.org/officeDocument/2006/relationships/hyperlink" Target="https://store.admitad.com/webmaster/websites/2166760/offers/24206-eco-web-hosting-uk/" TargetMode="External"/><Relationship Id="rId545" Type="http://schemas.openxmlformats.org/officeDocument/2006/relationships/hyperlink" Target="https://www.lemonade.com/" TargetMode="External"/><Relationship Id="rId752" Type="http://schemas.openxmlformats.org/officeDocument/2006/relationships/hyperlink" Target="https://store.admitad.com/webmaster/websites/2166760/offers/26177-silk-maison-ww/" TargetMode="External"/><Relationship Id="rId1175" Type="http://schemas.openxmlformats.org/officeDocument/2006/relationships/hyperlink" Target="https://www.beerwulf.com/fr-fr" TargetMode="External"/><Relationship Id="rId1382" Type="http://schemas.openxmlformats.org/officeDocument/2006/relationships/hyperlink" Target="https://store.admitad.com/webmaster/websites/2166760/offers/27192-new-era-cap-fr/" TargetMode="External"/><Relationship Id="rId2019" Type="http://schemas.openxmlformats.org/officeDocument/2006/relationships/hyperlink" Target="https://hostgator-india.sjv.io/Bd3e9" TargetMode="External"/><Relationship Id="rId2226" Type="http://schemas.openxmlformats.org/officeDocument/2006/relationships/hyperlink" Target="https://store.admitad.com/webmaster/websites/2166760/offers/25937-bath-and-body-works-mx/" TargetMode="External"/><Relationship Id="rId2433" Type="http://schemas.openxmlformats.org/officeDocument/2006/relationships/hyperlink" Target="https://sportservice.pl/" TargetMode="External"/><Relationship Id="rId2640" Type="http://schemas.openxmlformats.org/officeDocument/2006/relationships/hyperlink" Target="https://store.admitad.com/webmaster/websites/2166760/offers/14046-xiaomi-ua/" TargetMode="External"/><Relationship Id="rId2878" Type="http://schemas.openxmlformats.org/officeDocument/2006/relationships/hyperlink" Target="https://store.admitad.com/webmaster/websites/2166760/offers/27478-dragon-contract-soi-rucis/" TargetMode="External"/><Relationship Id="rId3929" Type="http://schemas.openxmlformats.org/officeDocument/2006/relationships/hyperlink" Target="https://escapewelt.de/" TargetMode="External"/><Relationship Id="rId4093" Type="http://schemas.openxmlformats.org/officeDocument/2006/relationships/hyperlink" Target="https://www.ctrs.com.ua/" TargetMode="External"/><Relationship Id="rId405" Type="http://schemas.openxmlformats.org/officeDocument/2006/relationships/hyperlink" Target="https://www.feelunique.com/" TargetMode="External"/><Relationship Id="rId612" Type="http://schemas.openxmlformats.org/officeDocument/2006/relationships/hyperlink" Target="https://store.admitad.com/webmaster/websites/2166760/offers/25504-kfzteile24-de/" TargetMode="External"/><Relationship Id="rId1035" Type="http://schemas.openxmlformats.org/officeDocument/2006/relationships/hyperlink" Target="https://www.europcar.fr/bons-plans-france" TargetMode="External"/><Relationship Id="rId1242" Type="http://schemas.openxmlformats.org/officeDocument/2006/relationships/hyperlink" Target="https://store.admitad.com/webmaster/websites/2166760/offers/27046-autodoc-uk/" TargetMode="External"/><Relationship Id="rId1687" Type="http://schemas.openxmlformats.org/officeDocument/2006/relationships/hyperlink" Target="https://en-ae.sssports.com/home" TargetMode="External"/><Relationship Id="rId1894" Type="http://schemas.openxmlformats.org/officeDocument/2006/relationships/hyperlink" Target="https://store.admitad.com/webmaster/websites/2166760/offers/24418-daniel-hechter-de/" TargetMode="External"/><Relationship Id="rId2500" Type="http://schemas.openxmlformats.org/officeDocument/2006/relationships/hyperlink" Target="https://store.admitad.com/webmaster/websites/2166760/offers/25881-zbuduj-sam-dom-pl/" TargetMode="External"/><Relationship Id="rId2738" Type="http://schemas.openxmlformats.org/officeDocument/2006/relationships/hyperlink" Target="https://store.admitad.com/webmaster/websites/2166760/offers/23660-conteshop-by/" TargetMode="External"/><Relationship Id="rId2945" Type="http://schemas.openxmlformats.org/officeDocument/2006/relationships/hyperlink" Target="https://www.360totalsecurity.com/" TargetMode="External"/><Relationship Id="rId917" Type="http://schemas.openxmlformats.org/officeDocument/2006/relationships/hyperlink" Target="https://frenchicpaint.co.uk/" TargetMode="External"/><Relationship Id="rId1102" Type="http://schemas.openxmlformats.org/officeDocument/2006/relationships/hyperlink" Target="https://store.admitad.com/webmaster/websites/2166760/offers/26862-welhof-nl/" TargetMode="External"/><Relationship Id="rId1547" Type="http://schemas.openxmlformats.org/officeDocument/2006/relationships/hyperlink" Target="https://www.tiqets.com/en" TargetMode="External"/><Relationship Id="rId1754" Type="http://schemas.openxmlformats.org/officeDocument/2006/relationships/hyperlink" Target="https://store.admitad.com/webmaster/websites/2166760/offers/20649-nike-many-geos/" TargetMode="External"/><Relationship Id="rId1961" Type="http://schemas.openxmlformats.org/officeDocument/2006/relationships/hyperlink" Target="https://www.makerist.com/" TargetMode="External"/><Relationship Id="rId2805" Type="http://schemas.openxmlformats.org/officeDocument/2006/relationships/hyperlink" Target="https://www.oziva.in/" TargetMode="External"/><Relationship Id="rId4160" Type="http://schemas.openxmlformats.org/officeDocument/2006/relationships/hyperlink" Target="https://store.admitad.com/webmaster/websites/2166760/offers/25945-zaplo-cz/" TargetMode="External"/><Relationship Id="rId46" Type="http://schemas.openxmlformats.org/officeDocument/2006/relationships/hyperlink" Target="https://store.admitad.com/webmaster/websites/2166760/offers/19292-plush-pl/" TargetMode="External"/><Relationship Id="rId1407" Type="http://schemas.openxmlformats.org/officeDocument/2006/relationships/hyperlink" Target="https://redro.pl/" TargetMode="External"/><Relationship Id="rId1614" Type="http://schemas.openxmlformats.org/officeDocument/2006/relationships/hyperlink" Target="https://store.admitad.com/webmaster/websites/2166760/offers/27503-etalk-pl-lt-lv-ee-de-il/" TargetMode="External"/><Relationship Id="rId1821" Type="http://schemas.openxmlformats.org/officeDocument/2006/relationships/hyperlink" Target="https://www.spedire.com/" TargetMode="External"/><Relationship Id="rId3067" Type="http://schemas.openxmlformats.org/officeDocument/2006/relationships/hyperlink" Target="https://www.7starpartners.com/" TargetMode="External"/><Relationship Id="rId3274" Type="http://schemas.openxmlformats.org/officeDocument/2006/relationships/hyperlink" Target="https://store.admitad.com/webmaster/websites/2166760/offers/16534-ebay-many-geos/" TargetMode="External"/><Relationship Id="rId4020" Type="http://schemas.openxmlformats.org/officeDocument/2006/relationships/hyperlink" Target="https://store.admitad.com/webmaster/websites/2166760/offers/18430-ivrose-ww/" TargetMode="External"/><Relationship Id="rId4118" Type="http://schemas.openxmlformats.org/officeDocument/2006/relationships/hyperlink" Target="https://store.admitad.com/webmaster/websites/2166760/offers/1678-aviaseils-ru-cis/" TargetMode="External"/><Relationship Id="rId195" Type="http://schemas.openxmlformats.org/officeDocument/2006/relationships/hyperlink" Target="https://www.spartanpoker.com/" TargetMode="External"/><Relationship Id="rId1919" Type="http://schemas.openxmlformats.org/officeDocument/2006/relationships/hyperlink" Target="https://www.viator.com/fr-FR/" TargetMode="External"/><Relationship Id="rId3481" Type="http://schemas.openxmlformats.org/officeDocument/2006/relationships/hyperlink" Target="http://zaful.com/" TargetMode="External"/><Relationship Id="rId3579" Type="http://schemas.openxmlformats.org/officeDocument/2006/relationships/hyperlink" Target="https://www.idmarket.com/" TargetMode="External"/><Relationship Id="rId3786" Type="http://schemas.openxmlformats.org/officeDocument/2006/relationships/hyperlink" Target="https://store.admitad.com/webmaster/websites/2166760/offers/26048-motorola-br/" TargetMode="External"/><Relationship Id="rId2083" Type="http://schemas.openxmlformats.org/officeDocument/2006/relationships/hyperlink" Target="https://www.steuertipps.de/" TargetMode="External"/><Relationship Id="rId2290" Type="http://schemas.openxmlformats.org/officeDocument/2006/relationships/hyperlink" Target="https://store.admitad.com/webmaster/websites/2166760/offers/26858-linkem-it/" TargetMode="External"/><Relationship Id="rId2388" Type="http://schemas.openxmlformats.org/officeDocument/2006/relationships/hyperlink" Target="https://store.admitad.com/webmaster/websites/2166760/offers/21490-kent-ro-cpl-in/" TargetMode="External"/><Relationship Id="rId2595" Type="http://schemas.openxmlformats.org/officeDocument/2006/relationships/hyperlink" Target="https://www.sgd.de/" TargetMode="External"/><Relationship Id="rId3134" Type="http://schemas.openxmlformats.org/officeDocument/2006/relationships/hyperlink" Target="https://store.admitad.com/webmaster/websites/2166760/offers/24904-megogo-ua/" TargetMode="External"/><Relationship Id="rId3341" Type="http://schemas.openxmlformats.org/officeDocument/2006/relationships/hyperlink" Target="https://ilmolino.ua/delivery/" TargetMode="External"/><Relationship Id="rId3439" Type="http://schemas.openxmlformats.org/officeDocument/2006/relationships/hyperlink" Target="https://www.nkuku.com/" TargetMode="External"/><Relationship Id="rId3993" Type="http://schemas.openxmlformats.org/officeDocument/2006/relationships/hyperlink" Target="https://5element.by/" TargetMode="External"/><Relationship Id="rId262" Type="http://schemas.openxmlformats.org/officeDocument/2006/relationships/hyperlink" Target="https://store.admitad.com/webmaster/websites/2166760/offers/23524-cylance-many-geos/" TargetMode="External"/><Relationship Id="rId567" Type="http://schemas.openxmlformats.org/officeDocument/2006/relationships/hyperlink" Target="https://despize.com/" TargetMode="External"/><Relationship Id="rId1197" Type="http://schemas.openxmlformats.org/officeDocument/2006/relationships/hyperlink" Target="https://www.gommadiretto.it/cgi-bin/rshop.pl" TargetMode="External"/><Relationship Id="rId2150" Type="http://schemas.openxmlformats.org/officeDocument/2006/relationships/hyperlink" Target="https://store.admitad.com/webmaster/websites/2166760/offers/21705-bidoo-cpl-it/" TargetMode="External"/><Relationship Id="rId2248" Type="http://schemas.openxmlformats.org/officeDocument/2006/relationships/hyperlink" Target="https://store.admitad.com/webmaster/websites/2166760/offers/26404-archies-cps-in/" TargetMode="External"/><Relationship Id="rId3201" Type="http://schemas.openxmlformats.org/officeDocument/2006/relationships/hyperlink" Target="https://newonlineaccount.adityabirlamoney.com/login?utm_source=Admitad&amp;utm_medium=%7bparameter%7d" TargetMode="External"/><Relationship Id="rId3646" Type="http://schemas.openxmlformats.org/officeDocument/2006/relationships/hyperlink" Target="https://store.admitad.com/webmaster/websites/2166760/offers/19038-tez-tour-ww/" TargetMode="External"/><Relationship Id="rId3853" Type="http://schemas.openxmlformats.org/officeDocument/2006/relationships/hyperlink" Target="https://agro-market.net/" TargetMode="External"/><Relationship Id="rId122" Type="http://schemas.openxmlformats.org/officeDocument/2006/relationships/hyperlink" Target="https://store.admitad.com/webmaster/websites/2166760/offers/22018-yeppon-cps-it/" TargetMode="External"/><Relationship Id="rId774" Type="http://schemas.openxmlformats.org/officeDocument/2006/relationships/hyperlink" Target="https://store.admitad.com/webmaster/websites/2166760/offers/26244-tally-weijl-many-geos/" TargetMode="External"/><Relationship Id="rId981" Type="http://schemas.openxmlformats.org/officeDocument/2006/relationships/hyperlink" Target="https://shop.samsung.com/ca/" TargetMode="External"/><Relationship Id="rId1057" Type="http://schemas.openxmlformats.org/officeDocument/2006/relationships/hyperlink" Target="https://www.daparto.de/" TargetMode="External"/><Relationship Id="rId2010" Type="http://schemas.openxmlformats.org/officeDocument/2006/relationships/hyperlink" Target="https://store.admitad.com/webmaster/websites/2166760/offers/16116-domicad-ua/" TargetMode="External"/><Relationship Id="rId2455" Type="http://schemas.openxmlformats.org/officeDocument/2006/relationships/hyperlink" Target="https://www.redrickshaw.com/" TargetMode="External"/><Relationship Id="rId2662" Type="http://schemas.openxmlformats.org/officeDocument/2006/relationships/hyperlink" Target="https://store.admitad.com/webmaster/websites/2166760/offers/19441-candere-cps-in/" TargetMode="External"/><Relationship Id="rId3506" Type="http://schemas.openxmlformats.org/officeDocument/2006/relationships/hyperlink" Target="https://store.admitad.com/webmaster/websites/2166760/offers/22040-sho-ua/" TargetMode="External"/><Relationship Id="rId3713" Type="http://schemas.openxmlformats.org/officeDocument/2006/relationships/hyperlink" Target="https://teana-labs.ru/" TargetMode="External"/><Relationship Id="rId3920" Type="http://schemas.openxmlformats.org/officeDocument/2006/relationships/hyperlink" Target="https://store.admitad.com/webmaster/websites/2166760/offers/24930-fifa-online-4-cpp-rucis/" TargetMode="External"/><Relationship Id="rId427" Type="http://schemas.openxmlformats.org/officeDocument/2006/relationships/hyperlink" Target="https://musclepower.pl/" TargetMode="External"/><Relationship Id="rId634" Type="http://schemas.openxmlformats.org/officeDocument/2006/relationships/hyperlink" Target="https://store.admitad.com/webmaster/websites/2166760/offers/25688-outfitter-de/" TargetMode="External"/><Relationship Id="rId841" Type="http://schemas.openxmlformats.org/officeDocument/2006/relationships/hyperlink" Target="https://inkovideo.de/" TargetMode="External"/><Relationship Id="rId1264" Type="http://schemas.openxmlformats.org/officeDocument/2006/relationships/hyperlink" Target="https://store.admitad.com/webmaster/websites/2166760/offers/27059-qatar-canada/" TargetMode="External"/><Relationship Id="rId1471" Type="http://schemas.openxmlformats.org/officeDocument/2006/relationships/hyperlink" Target="https://www.discountexperts.com/" TargetMode="External"/><Relationship Id="rId1569" Type="http://schemas.openxmlformats.org/officeDocument/2006/relationships/hyperlink" Target="https://www.footlocker.fr/fr/page-d-accueil" TargetMode="External"/><Relationship Id="rId2108" Type="http://schemas.openxmlformats.org/officeDocument/2006/relationships/hyperlink" Target="https://store.admitad.com/webmaster/websites/2166760/offers/27568-kniga-geroev-soi-rucis/" TargetMode="External"/><Relationship Id="rId2315" Type="http://schemas.openxmlformats.org/officeDocument/2006/relationships/hyperlink" Target="https://www.europcar.es/" TargetMode="External"/><Relationship Id="rId2522" Type="http://schemas.openxmlformats.org/officeDocument/2006/relationships/hyperlink" Target="https://store.admitad.com/webmaster/websites/2166760/offers/26358-sephora-pl/" TargetMode="External"/><Relationship Id="rId2967" Type="http://schemas.openxmlformats.org/officeDocument/2006/relationships/hyperlink" Target="https://www.ttt.ua/" TargetMode="External"/><Relationship Id="rId4182" Type="http://schemas.openxmlformats.org/officeDocument/2006/relationships/hyperlink" Target="https://store.admitad.com/webmaster/websites/2166760/offers/20828-decathlon-pl/" TargetMode="External"/><Relationship Id="rId701" Type="http://schemas.openxmlformats.org/officeDocument/2006/relationships/hyperlink" Target="https://www.mcafee.com/" TargetMode="External"/><Relationship Id="rId939" Type="http://schemas.openxmlformats.org/officeDocument/2006/relationships/hyperlink" Target="https://www.everything5pounds.com/" TargetMode="External"/><Relationship Id="rId1124" Type="http://schemas.openxmlformats.org/officeDocument/2006/relationships/hyperlink" Target="https://store.admitad.com/webmaster/websites/2166760/offers/26903-cotton-on-us/" TargetMode="External"/><Relationship Id="rId1331" Type="http://schemas.openxmlformats.org/officeDocument/2006/relationships/hyperlink" Target="https://www.popinabox.es/" TargetMode="External"/><Relationship Id="rId1776" Type="http://schemas.openxmlformats.org/officeDocument/2006/relationships/hyperlink" Target="https://store.admitad.com/webmaster/websites/2166760/offers/24275-netmeds-mobile-cps-in/" TargetMode="External"/><Relationship Id="rId1983" Type="http://schemas.openxmlformats.org/officeDocument/2006/relationships/hyperlink" Target="https://www.tastecard.co.uk/" TargetMode="External"/><Relationship Id="rId2827" Type="http://schemas.openxmlformats.org/officeDocument/2006/relationships/hyperlink" Target="https://www.gettingpersonal.co.uk/" TargetMode="External"/><Relationship Id="rId4042" Type="http://schemas.openxmlformats.org/officeDocument/2006/relationships/hyperlink" Target="https://store.admitad.com/webmaster/websites/2166760/offers/22627-ffins-cps-kz/" TargetMode="External"/><Relationship Id="rId68" Type="http://schemas.openxmlformats.org/officeDocument/2006/relationships/hyperlink" Target="https://store.admitad.com/webmaster/websites/2166760/offers/20193-cunt-wars-cpp-many-geos/" TargetMode="External"/><Relationship Id="rId1429" Type="http://schemas.openxmlformats.org/officeDocument/2006/relationships/hyperlink" Target="https://www.musterhaus.net/" TargetMode="External"/><Relationship Id="rId1636" Type="http://schemas.openxmlformats.org/officeDocument/2006/relationships/hyperlink" Target="https://store.admitad.com/webmaster/websites/2166760/offers/27540-psikhouvanjou-nl/" TargetMode="External"/><Relationship Id="rId1843" Type="http://schemas.openxmlformats.org/officeDocument/2006/relationships/hyperlink" Target="https://www.alamo.com/en_US/car-rental/home.html" TargetMode="External"/><Relationship Id="rId3089" Type="http://schemas.openxmlformats.org/officeDocument/2006/relationships/hyperlink" Target="https://plarium.com/" TargetMode="External"/><Relationship Id="rId3296" Type="http://schemas.openxmlformats.org/officeDocument/2006/relationships/hyperlink" Target="https://store.admitad.com/webmaster/websites/2166760/offers/19786-i-store-by/" TargetMode="External"/><Relationship Id="rId1703" Type="http://schemas.openxmlformats.org/officeDocument/2006/relationships/hyperlink" Target="https://plarium.com/landings/en/desktop/raid/rdo/bp" TargetMode="External"/><Relationship Id="rId1910" Type="http://schemas.openxmlformats.org/officeDocument/2006/relationships/hyperlink" Target="https://store.admitad.com/webmaster/websites/2166760/offers/24948-easysmx-cps-many-geos/" TargetMode="External"/><Relationship Id="rId3156" Type="http://schemas.openxmlformats.org/officeDocument/2006/relationships/hyperlink" Target="https://store.admitad.com/webmaster/websites/2166760/offers/25345-soulfull-cps-in/" TargetMode="External"/><Relationship Id="rId3363" Type="http://schemas.openxmlformats.org/officeDocument/2006/relationships/hyperlink" Target="https://www.dyson.it/" TargetMode="External"/><Relationship Id="rId4207" Type="http://schemas.openxmlformats.org/officeDocument/2006/relationships/hyperlink" Target="http://www.chicme.com/" TargetMode="External"/><Relationship Id="rId284" Type="http://schemas.openxmlformats.org/officeDocument/2006/relationships/hyperlink" Target="https://store.admitad.com/webmaster/websites/2166760/offers/23840-hawes-curtis-uk/" TargetMode="External"/><Relationship Id="rId491" Type="http://schemas.openxmlformats.org/officeDocument/2006/relationships/hyperlink" Target="https://www.mediamarkt.de/" TargetMode="External"/><Relationship Id="rId2172" Type="http://schemas.openxmlformats.org/officeDocument/2006/relationships/hyperlink" Target="https://store.admitad.com/webmaster/websites/2166760/offers/23351-logiclike-many-geos/" TargetMode="External"/><Relationship Id="rId3016" Type="http://schemas.openxmlformats.org/officeDocument/2006/relationships/hyperlink" Target="https://store.admitad.com/webmaster/websites/2166760/offers/21957-geekmall-cps-it/" TargetMode="External"/><Relationship Id="rId3223" Type="http://schemas.openxmlformats.org/officeDocument/2006/relationships/hyperlink" Target="https://www.peterhahn.de/" TargetMode="External"/><Relationship Id="rId3570" Type="http://schemas.openxmlformats.org/officeDocument/2006/relationships/hyperlink" Target="https://store.admitad.com/webmaster/websites/2166760/offers/26693-gansel-rechtsanwalte-de/" TargetMode="External"/><Relationship Id="rId3668" Type="http://schemas.openxmlformats.org/officeDocument/2006/relationships/hyperlink" Target="https://store.admitad.com/webmaster/websites/2166760/offers/21316-topshoptv-ua/" TargetMode="External"/><Relationship Id="rId3875" Type="http://schemas.openxmlformats.org/officeDocument/2006/relationships/hyperlink" Target="https://www.ivi.ru/" TargetMode="External"/><Relationship Id="rId144" Type="http://schemas.openxmlformats.org/officeDocument/2006/relationships/hyperlink" Target="https://store.admitad.com/webmaster/websites/2166760/offers/22447-lacoste-sk/" TargetMode="External"/><Relationship Id="rId589" Type="http://schemas.openxmlformats.org/officeDocument/2006/relationships/hyperlink" Target="http://www.envato.com/" TargetMode="External"/><Relationship Id="rId796" Type="http://schemas.openxmlformats.org/officeDocument/2006/relationships/hyperlink" Target="https://store.admitad.com/webmaster/websites/2166760/offers/26317-kaspersky-lab-de/" TargetMode="External"/><Relationship Id="rId2477" Type="http://schemas.openxmlformats.org/officeDocument/2006/relationships/hyperlink" Target="https://lovemachines.ru/" TargetMode="External"/><Relationship Id="rId2684" Type="http://schemas.openxmlformats.org/officeDocument/2006/relationships/hyperlink" Target="https://store.admitad.com/webmaster/websites/2166760/offers/21543-dominos-cps-in-2/" TargetMode="External"/><Relationship Id="rId3430" Type="http://schemas.openxmlformats.org/officeDocument/2006/relationships/hyperlink" Target="https://store.admitad.com/webmaster/websites/2166760/offers/26125-megatool-ua/" TargetMode="External"/><Relationship Id="rId3528" Type="http://schemas.openxmlformats.org/officeDocument/2006/relationships/hyperlink" Target="https://store.admitad.com/webmaster/websites/2166760/offers/23360-canva-latam/" TargetMode="External"/><Relationship Id="rId3735" Type="http://schemas.openxmlformats.org/officeDocument/2006/relationships/hyperlink" Target="https://www.gshopper.com/" TargetMode="External"/><Relationship Id="rId351" Type="http://schemas.openxmlformats.org/officeDocument/2006/relationships/hyperlink" Target="https://www.jwpei.com/" TargetMode="External"/><Relationship Id="rId449" Type="http://schemas.openxmlformats.org/officeDocument/2006/relationships/hyperlink" Target="http://buyagift.co.uk/" TargetMode="External"/><Relationship Id="rId656" Type="http://schemas.openxmlformats.org/officeDocument/2006/relationships/hyperlink" Target="https://store.admitad.com/webmaster/websites/2166760/offers/25862-akbar-travels-hotel-cps-in/" TargetMode="External"/><Relationship Id="rId863" Type="http://schemas.openxmlformats.org/officeDocument/2006/relationships/hyperlink" Target="https://hotpizza.gg/" TargetMode="External"/><Relationship Id="rId1079" Type="http://schemas.openxmlformats.org/officeDocument/2006/relationships/hyperlink" Target="https://www.outspot.nl/" TargetMode="External"/><Relationship Id="rId1286" Type="http://schemas.openxmlformats.org/officeDocument/2006/relationships/hyperlink" Target="https://store.admitad.com/webmaster/websites/2166760/offers/27085-the-phone-house-es/" TargetMode="External"/><Relationship Id="rId1493" Type="http://schemas.openxmlformats.org/officeDocument/2006/relationships/hyperlink" Target="https://www.iwoot.us/" TargetMode="External"/><Relationship Id="rId2032" Type="http://schemas.openxmlformats.org/officeDocument/2006/relationships/hyperlink" Target="https://store.admitad.com/webmaster/websites/2166760/offers/24017-darkmoon-realm-soi-us-uk-ca/" TargetMode="External"/><Relationship Id="rId2337" Type="http://schemas.openxmlformats.org/officeDocument/2006/relationships/hyperlink" Target="https://www.geox.com/fr-FR/" TargetMode="External"/><Relationship Id="rId2544" Type="http://schemas.openxmlformats.org/officeDocument/2006/relationships/hyperlink" Target="https://store.admitad.com/webmaster/websites/2166760/offers/26649-photobox-uk/" TargetMode="External"/><Relationship Id="rId2891" Type="http://schemas.openxmlformats.org/officeDocument/2006/relationships/hyperlink" Target="http://audiomania.ru/" TargetMode="External"/><Relationship Id="rId2989" Type="http://schemas.openxmlformats.org/officeDocument/2006/relationships/hyperlink" Target="https://www.ericdress.com/" TargetMode="External"/><Relationship Id="rId3942" Type="http://schemas.openxmlformats.org/officeDocument/2006/relationships/hyperlink" Target="https://store.admitad.com/webmaster/websites/2166760/offers/26602-healthspan-uk/" TargetMode="External"/><Relationship Id="rId211" Type="http://schemas.openxmlformats.org/officeDocument/2006/relationships/hyperlink" Target="https://apps.apple.com/in/app/voot-kids-the-fun-learning-app/id1035290695" TargetMode="External"/><Relationship Id="rId309" Type="http://schemas.openxmlformats.org/officeDocument/2006/relationships/hyperlink" Target="https://www.everyhealth.com/" TargetMode="External"/><Relationship Id="rId516" Type="http://schemas.openxmlformats.org/officeDocument/2006/relationships/hyperlink" Target="https://store.admitad.com/webmaster/websites/2166760/offers/25094-tesco-mobile-uk/" TargetMode="External"/><Relationship Id="rId1146" Type="http://schemas.openxmlformats.org/officeDocument/2006/relationships/hyperlink" Target="https://store.admitad.com/webmaster/websites/2166760/offers/26922-fti-de/" TargetMode="External"/><Relationship Id="rId1798" Type="http://schemas.openxmlformats.org/officeDocument/2006/relationships/hyperlink" Target="https://store.admitad.com/webmaster/websites/2166760/offers/26568-canon-de/" TargetMode="External"/><Relationship Id="rId2751" Type="http://schemas.openxmlformats.org/officeDocument/2006/relationships/hyperlink" Target="https://espritgames.ru/leagueofangelshf" TargetMode="External"/><Relationship Id="rId2849" Type="http://schemas.openxmlformats.org/officeDocument/2006/relationships/hyperlink" Target="https://www.mattressonline.co.uk/" TargetMode="External"/><Relationship Id="rId3802" Type="http://schemas.openxmlformats.org/officeDocument/2006/relationships/hyperlink" Target="https://store.admitad.com/webmaster/websites/2166760/offers/26393-santander-automoveis/" TargetMode="External"/><Relationship Id="rId723" Type="http://schemas.openxmlformats.org/officeDocument/2006/relationships/hyperlink" Target="https://espritgames.com/eternalfuryres" TargetMode="External"/><Relationship Id="rId930" Type="http://schemas.openxmlformats.org/officeDocument/2006/relationships/hyperlink" Target="https://store.admitad.com/webmaster/websites/2166760/offers/26565-designer-sofas-4u-uk/" TargetMode="External"/><Relationship Id="rId1006" Type="http://schemas.openxmlformats.org/officeDocument/2006/relationships/hyperlink" Target="https://store.admitad.com/webmaster/websites/2166760/offers/26687-qatar-es/" TargetMode="External"/><Relationship Id="rId1353" Type="http://schemas.openxmlformats.org/officeDocument/2006/relationships/hyperlink" Target="https://kraeuterhaus.de/" TargetMode="External"/><Relationship Id="rId1560" Type="http://schemas.openxmlformats.org/officeDocument/2006/relationships/hyperlink" Target="https://store.admitad.com/webmaster/websites/2166760/offers/27449-nexplay-fr/" TargetMode="External"/><Relationship Id="rId1658" Type="http://schemas.openxmlformats.org/officeDocument/2006/relationships/hyperlink" Target="https://store.admitad.com/webmaster/websites/2166760/offers/27551-startselect-nl/" TargetMode="External"/><Relationship Id="rId1865" Type="http://schemas.openxmlformats.org/officeDocument/2006/relationships/hyperlink" Target="https://espritgames.com/pl/gameofthrones" TargetMode="External"/><Relationship Id="rId2404" Type="http://schemas.openxmlformats.org/officeDocument/2006/relationships/hyperlink" Target="https://store.admitad.com/webmaster/websites/2166760/offers/22288-reliance-two-wheeler-insurance-cpl-in/" TargetMode="External"/><Relationship Id="rId2611" Type="http://schemas.openxmlformats.org/officeDocument/2006/relationships/hyperlink" Target="https://www.shopto.net/" TargetMode="External"/><Relationship Id="rId2709" Type="http://schemas.openxmlformats.org/officeDocument/2006/relationships/hyperlink" Target="https://fk.by/" TargetMode="External"/><Relationship Id="rId4064" Type="http://schemas.openxmlformats.org/officeDocument/2006/relationships/hyperlink" Target="https://store.admitad.com/webmaster/websites/2166760/offers/24332-pavers-uk/" TargetMode="External"/><Relationship Id="rId1213" Type="http://schemas.openxmlformats.org/officeDocument/2006/relationships/hyperlink" Target="https://www.underarmour.fr/fr-fr/" TargetMode="External"/><Relationship Id="rId1420" Type="http://schemas.openxmlformats.org/officeDocument/2006/relationships/hyperlink" Target="https://store.admitad.com/webmaster/websites/2166760/offers/27266-sexshop112-pl/" TargetMode="External"/><Relationship Id="rId1518" Type="http://schemas.openxmlformats.org/officeDocument/2006/relationships/hyperlink" Target="https://store.admitad.com/webmaster/websites/2166760/offers/27403-avon-cosmetics-de/" TargetMode="External"/><Relationship Id="rId2916" Type="http://schemas.openxmlformats.org/officeDocument/2006/relationships/hyperlink" Target="https://store.admitad.com/webmaster/websites/2166760/offers/15671-newchic-ww/" TargetMode="External"/><Relationship Id="rId3080" Type="http://schemas.openxmlformats.org/officeDocument/2006/relationships/hyperlink" Target="https://store.admitad.com/webmaster/websites/2166760/offers/23574-alsaifgallery-ae-bh-kw-om-qa-sa/" TargetMode="External"/><Relationship Id="rId4131" Type="http://schemas.openxmlformats.org/officeDocument/2006/relationships/hyperlink" Target="http://croma.com/" TargetMode="External"/><Relationship Id="rId1725" Type="http://schemas.openxmlformats.org/officeDocument/2006/relationships/hyperlink" Target="https://iplselection.hotstar.com/home?utm_source=admitad" TargetMode="External"/><Relationship Id="rId1932" Type="http://schemas.openxmlformats.org/officeDocument/2006/relationships/hyperlink" Target="https://store.admitad.com/webmaster/websites/2166760/offers/26271-defacto-by/" TargetMode="External"/><Relationship Id="rId3178" Type="http://schemas.openxmlformats.org/officeDocument/2006/relationships/hyperlink" Target="https://store.admitad.com/webmaster/websites/2166760/offers/26307-cap-trader-de/" TargetMode="External"/><Relationship Id="rId3385" Type="http://schemas.openxmlformats.org/officeDocument/2006/relationships/hyperlink" Target="https://advance-club.ru/" TargetMode="External"/><Relationship Id="rId3592" Type="http://schemas.openxmlformats.org/officeDocument/2006/relationships/hyperlink" Target="https://store.admitad.com/webmaster/websites/2166760/offers/13468-farfetch/" TargetMode="External"/><Relationship Id="rId4229" Type="http://schemas.openxmlformats.org/officeDocument/2006/relationships/hyperlink" Target="https://www.epicgames.com/fortnite/home" TargetMode="External"/><Relationship Id="rId17" Type="http://schemas.openxmlformats.org/officeDocument/2006/relationships/hyperlink" Target="https://www.omio.com/" TargetMode="External"/><Relationship Id="rId2194" Type="http://schemas.openxmlformats.org/officeDocument/2006/relationships/hyperlink" Target="https://store.admitad.com/webmaster/websites/2166760/offers/23951-putevkakom/" TargetMode="External"/><Relationship Id="rId3038" Type="http://schemas.openxmlformats.org/officeDocument/2006/relationships/hyperlink" Target="https://store.admitad.com/webmaster/websites/2166760/offers/22782-loreto-gallo-cps-fr-es-de-uk/" TargetMode="External"/><Relationship Id="rId3245" Type="http://schemas.openxmlformats.org/officeDocument/2006/relationships/hyperlink" Target="http://www.hp.com/us-en/shop" TargetMode="External"/><Relationship Id="rId3452" Type="http://schemas.openxmlformats.org/officeDocument/2006/relationships/hyperlink" Target="https://store.admitad.com/webmaster/websites/2166760/offers/26892-shopee-pl-social-mediacontent/" TargetMode="External"/><Relationship Id="rId3897" Type="http://schemas.openxmlformats.org/officeDocument/2006/relationships/hyperlink" Target="https://www.parallels.com/" TargetMode="External"/><Relationship Id="rId166" Type="http://schemas.openxmlformats.org/officeDocument/2006/relationships/hyperlink" Target="https://store.admitad.com/webmaster/websites/2166760/offers/22732-lastminute-es/" TargetMode="External"/><Relationship Id="rId373" Type="http://schemas.openxmlformats.org/officeDocument/2006/relationships/hyperlink" Target="https://www.maxfashion.com/sa/en/" TargetMode="External"/><Relationship Id="rId580" Type="http://schemas.openxmlformats.org/officeDocument/2006/relationships/hyperlink" Target="https://store.admitad.com/webmaster/websites/2166760/offers/25392-deciem-the-abnormal-beauty-company-uk/" TargetMode="External"/><Relationship Id="rId2054" Type="http://schemas.openxmlformats.org/officeDocument/2006/relationships/hyperlink" Target="https://store.admitad.com/webmaster/websites/2166760/offers/26356-ekobieca-pl/" TargetMode="External"/><Relationship Id="rId2261" Type="http://schemas.openxmlformats.org/officeDocument/2006/relationships/hyperlink" Target="https://www.cardfactory.co.uk/" TargetMode="External"/><Relationship Id="rId2499" Type="http://schemas.openxmlformats.org/officeDocument/2006/relationships/hyperlink" Target="https://www.zbudujsamdom.pl/" TargetMode="External"/><Relationship Id="rId3105" Type="http://schemas.openxmlformats.org/officeDocument/2006/relationships/hyperlink" Target="https://www.bancobmg.com.br/vasco/" TargetMode="External"/><Relationship Id="rId3312" Type="http://schemas.openxmlformats.org/officeDocument/2006/relationships/hyperlink" Target="https://store.admitad.com/webmaster/websites/2166760/offers/21079-tetrika-school/" TargetMode="External"/><Relationship Id="rId3757" Type="http://schemas.openxmlformats.org/officeDocument/2006/relationships/hyperlink" Target="https://www.basharacare.com/ae_en/" TargetMode="External"/><Relationship Id="rId3964" Type="http://schemas.openxmlformats.org/officeDocument/2006/relationships/hyperlink" Target="https://store.admitad.com/webmaster/websites/2166760/offers/22441-citrusstv-many-geos-offline-codes-and-links/" TargetMode="External"/><Relationship Id="rId1" Type="http://schemas.openxmlformats.org/officeDocument/2006/relationships/hyperlink" Target="https://www.aviasales.com/" TargetMode="External"/><Relationship Id="rId233" Type="http://schemas.openxmlformats.org/officeDocument/2006/relationships/hyperlink" Target="https://www.icicidirect.com/idcampaign/open-trading-account-online/index.asp" TargetMode="External"/><Relationship Id="rId440" Type="http://schemas.openxmlformats.org/officeDocument/2006/relationships/hyperlink" Target="https://store.admitad.com/webmaster/websites/2166760/offers/24745-caviar-phoneru/" TargetMode="External"/><Relationship Id="rId678" Type="http://schemas.openxmlformats.org/officeDocument/2006/relationships/hyperlink" Target="https://store.admitad.com/webmaster/websites/2166760/offers/25952-urlaubsnews-dach/" TargetMode="External"/><Relationship Id="rId885" Type="http://schemas.openxmlformats.org/officeDocument/2006/relationships/hyperlink" Target="https://www.ewe.de/" TargetMode="External"/><Relationship Id="rId1070" Type="http://schemas.openxmlformats.org/officeDocument/2006/relationships/hyperlink" Target="https://store.admitad.com/webmaster/websites/2166760/offers/26803-aosom-it/" TargetMode="External"/><Relationship Id="rId2121" Type="http://schemas.openxmlformats.org/officeDocument/2006/relationships/hyperlink" Target="https://www.ssense.com/" TargetMode="External"/><Relationship Id="rId2359" Type="http://schemas.openxmlformats.org/officeDocument/2006/relationships/hyperlink" Target="http://firstcry.com/" TargetMode="External"/><Relationship Id="rId2566" Type="http://schemas.openxmlformats.org/officeDocument/2006/relationships/hyperlink" Target="https://store.admitad.com/webmaster/websites/2166760/offers/26987-wiltshire-farm-foods-uk/" TargetMode="External"/><Relationship Id="rId2773" Type="http://schemas.openxmlformats.org/officeDocument/2006/relationships/hyperlink" Target="https://en-ae.tommy.com/" TargetMode="External"/><Relationship Id="rId2980" Type="http://schemas.openxmlformats.org/officeDocument/2006/relationships/hyperlink" Target="https://store.admitad.com/webmaster/websites/2166760/offers/20629-secret-escapes-uk/" TargetMode="External"/><Relationship Id="rId3617" Type="http://schemas.openxmlformats.org/officeDocument/2006/relationships/hyperlink" Target="https://mircli.ru/" TargetMode="External"/><Relationship Id="rId3824" Type="http://schemas.openxmlformats.org/officeDocument/2006/relationships/hyperlink" Target="https://store.admitad.com/webmaster/websites/2166760/offers/27165-allbeauty-us/" TargetMode="External"/><Relationship Id="rId300" Type="http://schemas.openxmlformats.org/officeDocument/2006/relationships/hyperlink" Target="https://store.admitad.com/webmaster/websites/2166760/offers/23922-st-tropez-uk/" TargetMode="External"/><Relationship Id="rId538" Type="http://schemas.openxmlformats.org/officeDocument/2006/relationships/hyperlink" Target="https://store.admitad.com/webmaster/websites/2166760/offers/25173-pottery-barn-kids-sa-kw-offline-codes/" TargetMode="External"/><Relationship Id="rId745" Type="http://schemas.openxmlformats.org/officeDocument/2006/relationships/hyperlink" Target="https://om.leela-game.in/" TargetMode="External"/><Relationship Id="rId952" Type="http://schemas.openxmlformats.org/officeDocument/2006/relationships/hyperlink" Target="https://store.admitad.com/webmaster/websites/2166760/offers/26614-airtel-black-cpa-in/" TargetMode="External"/><Relationship Id="rId1168" Type="http://schemas.openxmlformats.org/officeDocument/2006/relationships/hyperlink" Target="https://store.admitad.com/webmaster/websites/2166760/offers/26965-airconcentre-uk/" TargetMode="External"/><Relationship Id="rId1375" Type="http://schemas.openxmlformats.org/officeDocument/2006/relationships/hyperlink" Target="https://www.albamoda.de/" TargetMode="External"/><Relationship Id="rId1582" Type="http://schemas.openxmlformats.org/officeDocument/2006/relationships/hyperlink" Target="https://store.admitad.com/webmaster/websites/2166760/offers/27471-deutsche-glasfaser-de/" TargetMode="External"/><Relationship Id="rId2219" Type="http://schemas.openxmlformats.org/officeDocument/2006/relationships/hyperlink" Target="https://naploungewear.com/" TargetMode="External"/><Relationship Id="rId2426" Type="http://schemas.openxmlformats.org/officeDocument/2006/relationships/hyperlink" Target="https://store.admitad.com/webmaster/websites/2166760/offers/22881-reseller-club-cps-in/" TargetMode="External"/><Relationship Id="rId2633" Type="http://schemas.openxmlformats.org/officeDocument/2006/relationships/hyperlink" Target="https://www.reg.ru/" TargetMode="External"/><Relationship Id="rId4086" Type="http://schemas.openxmlformats.org/officeDocument/2006/relationships/hyperlink" Target="https://store.admitad.com/webmaster/websites/2166760/offers/26828-onlain-groshi-cpl-ua/" TargetMode="External"/><Relationship Id="rId81" Type="http://schemas.openxmlformats.org/officeDocument/2006/relationships/hyperlink" Target="https://www.watches2u.com/" TargetMode="External"/><Relationship Id="rId605" Type="http://schemas.openxmlformats.org/officeDocument/2006/relationships/hyperlink" Target="http://www.orvis.com/" TargetMode="External"/><Relationship Id="rId812" Type="http://schemas.openxmlformats.org/officeDocument/2006/relationships/hyperlink" Target="https://store.admitad.com/webmaster/websites/2166760/offers/26352-auchan-direct-pl/" TargetMode="External"/><Relationship Id="rId1028" Type="http://schemas.openxmlformats.org/officeDocument/2006/relationships/hyperlink" Target="https://store.admitad.com/webmaster/websites/2166760/offers/26711-banco-inter-ios/" TargetMode="External"/><Relationship Id="rId1235" Type="http://schemas.openxmlformats.org/officeDocument/2006/relationships/hyperlink" Target="https://www.hotel.de/" TargetMode="External"/><Relationship Id="rId1442" Type="http://schemas.openxmlformats.org/officeDocument/2006/relationships/hyperlink" Target="https://store.admitad.com/webmaster/websites/2166760/offers/27292-shopee-fr/" TargetMode="External"/><Relationship Id="rId1887" Type="http://schemas.openxmlformats.org/officeDocument/2006/relationships/hyperlink" Target="https://lp.degustabox.com/es-awin/" TargetMode="External"/><Relationship Id="rId2840" Type="http://schemas.openxmlformats.org/officeDocument/2006/relationships/hyperlink" Target="https://store.admitad.com/webmaster/websites/2166760/offers/26850-musterhaus-de/" TargetMode="External"/><Relationship Id="rId2938" Type="http://schemas.openxmlformats.org/officeDocument/2006/relationships/hyperlink" Target="https://store.admitad.com/webmaster/websites/2166760/offers/17985-macpaw-ww/" TargetMode="External"/><Relationship Id="rId1302" Type="http://schemas.openxmlformats.org/officeDocument/2006/relationships/hyperlink" Target="https://store.admitad.com/webmaster/websites/2166760/offers/27103-babymarkt-de/" TargetMode="External"/><Relationship Id="rId1747" Type="http://schemas.openxmlformats.org/officeDocument/2006/relationships/hyperlink" Target="http://reborngame.ru/" TargetMode="External"/><Relationship Id="rId1954" Type="http://schemas.openxmlformats.org/officeDocument/2006/relationships/hyperlink" Target="https://store.admitad.com/webmaster/websites/2166760/offers/26643-kioskoymas-es/" TargetMode="External"/><Relationship Id="rId2700" Type="http://schemas.openxmlformats.org/officeDocument/2006/relationships/hyperlink" Target="https://store.admitad.com/webmaster/websites/2166760/offers/22274-care-health-insurance-cpl-in/" TargetMode="External"/><Relationship Id="rId4153" Type="http://schemas.openxmlformats.org/officeDocument/2006/relationships/hyperlink" Target="https://itcstore.in/" TargetMode="External"/><Relationship Id="rId39" Type="http://schemas.openxmlformats.org/officeDocument/2006/relationships/hyperlink" Target="https://www.onnit.com/" TargetMode="External"/><Relationship Id="rId1607" Type="http://schemas.openxmlformats.org/officeDocument/2006/relationships/hyperlink" Target="https://www.wego.co.in/" TargetMode="External"/><Relationship Id="rId1814" Type="http://schemas.openxmlformats.org/officeDocument/2006/relationships/hyperlink" Target="https://store.admitad.com/webmaster/websites/2166760/offers/26762-pop-in-a-box-it/" TargetMode="External"/><Relationship Id="rId3267" Type="http://schemas.openxmlformats.org/officeDocument/2006/relationships/hyperlink" Target="https://privatbank.ua/" TargetMode="External"/><Relationship Id="rId4013" Type="http://schemas.openxmlformats.org/officeDocument/2006/relationships/hyperlink" Target="https://www.raynatours.com/" TargetMode="External"/><Relationship Id="rId4220" Type="http://schemas.openxmlformats.org/officeDocument/2006/relationships/hyperlink" Target="https://store.admitad.com/webmaster/websites/2166760/offers/22143-norton-cps-ww/" TargetMode="External"/><Relationship Id="rId188" Type="http://schemas.openxmlformats.org/officeDocument/2006/relationships/hyperlink" Target="https://store.admitad.com/webmaster/websites/2166760/offers/22918-sky-de/" TargetMode="External"/><Relationship Id="rId395" Type="http://schemas.openxmlformats.org/officeDocument/2006/relationships/hyperlink" Target="https://mena.feelunique.com/" TargetMode="External"/><Relationship Id="rId2076" Type="http://schemas.openxmlformats.org/officeDocument/2006/relationships/hyperlink" Target="https://store.admitad.com/webmaster/websites/2166760/offers/26958-ryman-uk/" TargetMode="External"/><Relationship Id="rId3474" Type="http://schemas.openxmlformats.org/officeDocument/2006/relationships/hyperlink" Target="https://store.admitad.com/webmaster/websites/2166760/offers/14370-world-of-warships-soi-rucis/" TargetMode="External"/><Relationship Id="rId3681" Type="http://schemas.openxmlformats.org/officeDocument/2006/relationships/hyperlink" Target="https://adminvps.ru/" TargetMode="External"/><Relationship Id="rId3779" Type="http://schemas.openxmlformats.org/officeDocument/2006/relationships/hyperlink" Target="https://www.wholesale21.com/" TargetMode="External"/><Relationship Id="rId2283" Type="http://schemas.openxmlformats.org/officeDocument/2006/relationships/hyperlink" Target="https://www.nrz.de/abo/" TargetMode="External"/><Relationship Id="rId2490" Type="http://schemas.openxmlformats.org/officeDocument/2006/relationships/hyperlink" Target="https://store.admitad.com/webmaster/websites/2166760/offers/25137-portronics-cps-in/" TargetMode="External"/><Relationship Id="rId2588" Type="http://schemas.openxmlformats.org/officeDocument/2006/relationships/hyperlink" Target="https://store.admitad.com/webmaster/websites/2166760/offers/27129-id-mobile-uk/" TargetMode="External"/><Relationship Id="rId3127" Type="http://schemas.openxmlformats.org/officeDocument/2006/relationships/hyperlink" Target="https://www.damensch.com/" TargetMode="External"/><Relationship Id="rId3334" Type="http://schemas.openxmlformats.org/officeDocument/2006/relationships/hyperlink" Target="https://store.admitad.com/webmaster/websites/2166760/offers/22602-godaddy-cps-apac/" TargetMode="External"/><Relationship Id="rId3541" Type="http://schemas.openxmlformats.org/officeDocument/2006/relationships/hyperlink" Target="https://us.hotelchocolat.com/" TargetMode="External"/><Relationship Id="rId3986" Type="http://schemas.openxmlformats.org/officeDocument/2006/relationships/hyperlink" Target="https://store.admitad.com/webmaster/websites/2166760/offers/24848-erli-pl/" TargetMode="External"/><Relationship Id="rId255" Type="http://schemas.openxmlformats.org/officeDocument/2006/relationships/hyperlink" Target="https://www.planet-puzzles.com/" TargetMode="External"/><Relationship Id="rId462" Type="http://schemas.openxmlformats.org/officeDocument/2006/relationships/hyperlink" Target="https://store.admitad.com/webmaster/websites/2166760/offers/24875-adventurehqae/" TargetMode="External"/><Relationship Id="rId1092" Type="http://schemas.openxmlformats.org/officeDocument/2006/relationships/hyperlink" Target="https://store.admitad.com/webmaster/websites/2166760/offers/26841-marchesa-offline-promo-codes/" TargetMode="External"/><Relationship Id="rId1397" Type="http://schemas.openxmlformats.org/officeDocument/2006/relationships/hyperlink" Target="https://www.pontins.com/" TargetMode="External"/><Relationship Id="rId2143" Type="http://schemas.openxmlformats.org/officeDocument/2006/relationships/hyperlink" Target="https://www.discovercars.com/" TargetMode="External"/><Relationship Id="rId2350" Type="http://schemas.openxmlformats.org/officeDocument/2006/relationships/hyperlink" Target="https://store.admitad.com/webmaster/websites/2166760/offers/27469-pharao24de-mobel-online-shop-de/" TargetMode="External"/><Relationship Id="rId2795" Type="http://schemas.openxmlformats.org/officeDocument/2006/relationships/hyperlink" Target="https://www.calvinklein.mx/" TargetMode="External"/><Relationship Id="rId3401" Type="http://schemas.openxmlformats.org/officeDocument/2006/relationships/hyperlink" Target="https://ma.defactofashion.com/" TargetMode="External"/><Relationship Id="rId3639" Type="http://schemas.openxmlformats.org/officeDocument/2006/relationships/hyperlink" Target="https://www.flagman.kiev.ua/" TargetMode="External"/><Relationship Id="rId3846" Type="http://schemas.openxmlformats.org/officeDocument/2006/relationships/hyperlink" Target="https://store.admitad.com/webmaster/websites/2166760/offers/15711-zaimer-cps-kz/" TargetMode="External"/><Relationship Id="rId115" Type="http://schemas.openxmlformats.org/officeDocument/2006/relationships/hyperlink" Target="https://freetrial.finalfantasyxiv.com/" TargetMode="External"/><Relationship Id="rId322" Type="http://schemas.openxmlformats.org/officeDocument/2006/relationships/hyperlink" Target="https://store.admitad.com/webmaster/websites/2166760/offers/24079-neoline-eu-us/" TargetMode="External"/><Relationship Id="rId767" Type="http://schemas.openxmlformats.org/officeDocument/2006/relationships/hyperlink" Target="https://www.sportskeeda.com/hockey/indian-women-s-hockey-team-felicitated-tvs-motor?key1=admitad" TargetMode="External"/><Relationship Id="rId974" Type="http://schemas.openxmlformats.org/officeDocument/2006/relationships/hyperlink" Target="https://store.admitad.com/webmaster/websites/2166760/offers/26661-olivias-uk/" TargetMode="External"/><Relationship Id="rId2003" Type="http://schemas.openxmlformats.org/officeDocument/2006/relationships/hyperlink" Target="https://www.iciparisxl.nl/" TargetMode="External"/><Relationship Id="rId2210" Type="http://schemas.openxmlformats.org/officeDocument/2006/relationships/hyperlink" Target="https://store.admitad.com/webmaster/websites/2166760/offers/24750-megakoszulki-pl/" TargetMode="External"/><Relationship Id="rId2448" Type="http://schemas.openxmlformats.org/officeDocument/2006/relationships/hyperlink" Target="https://store.admitad.com/webmaster/websites/2166760/offers/23658-rusvpn-many-geos/" TargetMode="External"/><Relationship Id="rId2655" Type="http://schemas.openxmlformats.org/officeDocument/2006/relationships/hyperlink" Target="https://www.peggybuy.com/" TargetMode="External"/><Relationship Id="rId2862" Type="http://schemas.openxmlformats.org/officeDocument/2006/relationships/hyperlink" Target="https://store.admitad.com/webmaster/websites/2166760/offers/27124-saludonnet-es/" TargetMode="External"/><Relationship Id="rId3706" Type="http://schemas.openxmlformats.org/officeDocument/2006/relationships/hyperlink" Target="https://store.admitad.com/webmaster/websites/2166760/offers/23259-chasy-molniia-many-geos/" TargetMode="External"/><Relationship Id="rId3913" Type="http://schemas.openxmlformats.org/officeDocument/2006/relationships/hyperlink" Target="https://enlisted.net/ru" TargetMode="External"/><Relationship Id="rId627" Type="http://schemas.openxmlformats.org/officeDocument/2006/relationships/hyperlink" Target="http://www.finishline.com/" TargetMode="External"/><Relationship Id="rId834" Type="http://schemas.openxmlformats.org/officeDocument/2006/relationships/hyperlink" Target="https://store.admitad.com/webmaster/websites/2166760/offers/26421-galeria-de/" TargetMode="External"/><Relationship Id="rId1257" Type="http://schemas.openxmlformats.org/officeDocument/2006/relationships/hyperlink" Target="https://www.pkwteile.de/" TargetMode="External"/><Relationship Id="rId1464" Type="http://schemas.openxmlformats.org/officeDocument/2006/relationships/hyperlink" Target="https://store.admitad.com/webmaster/websites/2166760/offers/27329-armor-lux-fr/" TargetMode="External"/><Relationship Id="rId1671" Type="http://schemas.openxmlformats.org/officeDocument/2006/relationships/hyperlink" Target="https://thehalara.com/" TargetMode="External"/><Relationship Id="rId2308" Type="http://schemas.openxmlformats.org/officeDocument/2006/relationships/hyperlink" Target="https://store.admitad.com/webmaster/websites/2166760/offers/27057-menkind-uk/" TargetMode="External"/><Relationship Id="rId2515" Type="http://schemas.openxmlformats.org/officeDocument/2006/relationships/hyperlink" Target="https://www.orsay.com/pl-pl/" TargetMode="External"/><Relationship Id="rId2722" Type="http://schemas.openxmlformats.org/officeDocument/2006/relationships/hyperlink" Target="https://store.admitad.com/webmaster/websites/2166760/offers/23222-wild-terra-2-new-lands-cps-many-geos/" TargetMode="External"/><Relationship Id="rId4175" Type="http://schemas.openxmlformats.org/officeDocument/2006/relationships/hyperlink" Target="https://www.monobank.com.ua/" TargetMode="External"/><Relationship Id="rId901" Type="http://schemas.openxmlformats.org/officeDocument/2006/relationships/hyperlink" Target="https://www.abhibus.com/" TargetMode="External"/><Relationship Id="rId1117" Type="http://schemas.openxmlformats.org/officeDocument/2006/relationships/hyperlink" Target="https://www.americaneagle.ae/" TargetMode="External"/><Relationship Id="rId1324" Type="http://schemas.openxmlformats.org/officeDocument/2006/relationships/hyperlink" Target="https://store.admitad.com/webmaster/websites/2166760/offers/27128-ghost-uk/" TargetMode="External"/><Relationship Id="rId1531" Type="http://schemas.openxmlformats.org/officeDocument/2006/relationships/hyperlink" Target="https://skyengschool.com/kids" TargetMode="External"/><Relationship Id="rId1769" Type="http://schemas.openxmlformats.org/officeDocument/2006/relationships/hyperlink" Target="https://c.jgarant.kz/" TargetMode="External"/><Relationship Id="rId1976" Type="http://schemas.openxmlformats.org/officeDocument/2006/relationships/hyperlink" Target="https://store.admitad.com/webmaster/websites/2166760/offers/26879-first-transpennine-express-uk/" TargetMode="External"/><Relationship Id="rId3191" Type="http://schemas.openxmlformats.org/officeDocument/2006/relationships/hyperlink" Target="https://www.fossil.com/de/de.html" TargetMode="External"/><Relationship Id="rId4035" Type="http://schemas.openxmlformats.org/officeDocument/2006/relationships/hyperlink" Target="https://www.magzter.com/" TargetMode="External"/><Relationship Id="rId30" Type="http://schemas.openxmlformats.org/officeDocument/2006/relationships/hyperlink" Target="https://store.admitad.com/webmaster/websites/2166760/offers/18292-sivvi-ae-sa-offline-codes/" TargetMode="External"/><Relationship Id="rId1629" Type="http://schemas.openxmlformats.org/officeDocument/2006/relationships/hyperlink" Target="https://www.cambridgesatchel.com/" TargetMode="External"/><Relationship Id="rId1836" Type="http://schemas.openxmlformats.org/officeDocument/2006/relationships/hyperlink" Target="https://store.admitad.com/webmaster/websites/2166760/offers/27569-dark-genesis-soi-it-cz/" TargetMode="External"/><Relationship Id="rId3289" Type="http://schemas.openxmlformats.org/officeDocument/2006/relationships/hyperlink" Target="http://www.jackjones.in/" TargetMode="External"/><Relationship Id="rId3496" Type="http://schemas.openxmlformats.org/officeDocument/2006/relationships/hyperlink" Target="https://store.admitad.com/webmaster/websites/2166760/offers/20696-swarovski-sa-ae-qa-kw-eg-offline-codes/" TargetMode="External"/><Relationship Id="rId1903" Type="http://schemas.openxmlformats.org/officeDocument/2006/relationships/hyperlink" Target="https://store.psg.fr/" TargetMode="External"/><Relationship Id="rId2098" Type="http://schemas.openxmlformats.org/officeDocument/2006/relationships/hyperlink" Target="https://store.admitad.com/webmaster/websites/2166760/offers/27230-swiat-baterii-pl/" TargetMode="External"/><Relationship Id="rId3051" Type="http://schemas.openxmlformats.org/officeDocument/2006/relationships/hyperlink" Target="https://iqsha.ru/" TargetMode="External"/><Relationship Id="rId3149" Type="http://schemas.openxmlformats.org/officeDocument/2006/relationships/hyperlink" Target="https://www.mensxp.com/" TargetMode="External"/><Relationship Id="rId3356" Type="http://schemas.openxmlformats.org/officeDocument/2006/relationships/hyperlink" Target="https://store.admitad.com/webmaster/websites/2166760/offers/23903-simmi-uk-fr-de-nl/" TargetMode="External"/><Relationship Id="rId3563" Type="http://schemas.openxmlformats.org/officeDocument/2006/relationships/hyperlink" Target="https://romashka.co.ua/" TargetMode="External"/><Relationship Id="rId4102" Type="http://schemas.openxmlformats.org/officeDocument/2006/relationships/hyperlink" Target="https://store.admitad.com/webmaster/websites/2166760/offers/17790-creditplus-cps-ua/" TargetMode="External"/><Relationship Id="rId277" Type="http://schemas.openxmlformats.org/officeDocument/2006/relationships/hyperlink" Target="https://www.we-vibe.com/" TargetMode="External"/><Relationship Id="rId484" Type="http://schemas.openxmlformats.org/officeDocument/2006/relationships/hyperlink" Target="https://store.admitad.com/webmaster/websites/2166760/offers/24988-stellar-data-recovery-ww/" TargetMode="External"/><Relationship Id="rId2165" Type="http://schemas.openxmlformats.org/officeDocument/2006/relationships/hyperlink" Target="https://www.ivacy.com/" TargetMode="External"/><Relationship Id="rId3009" Type="http://schemas.openxmlformats.org/officeDocument/2006/relationships/hyperlink" Target="https://www.camper.com/ru_RU/" TargetMode="External"/><Relationship Id="rId3216" Type="http://schemas.openxmlformats.org/officeDocument/2006/relationships/hyperlink" Target="https://store.admitad.com/webmaster/websites/2166760/offers/26973-beerwulf-de/" TargetMode="External"/><Relationship Id="rId3770" Type="http://schemas.openxmlformats.org/officeDocument/2006/relationships/hyperlink" Target="https://store.admitad.com/webmaster/websites/2166760/offers/24829-vitalia-pl/" TargetMode="External"/><Relationship Id="rId3868" Type="http://schemas.openxmlformats.org/officeDocument/2006/relationships/hyperlink" Target="https://store.admitad.com/webmaster/websites/2166760/offers/20835-geekbuying-pl/" TargetMode="External"/><Relationship Id="rId137" Type="http://schemas.openxmlformats.org/officeDocument/2006/relationships/hyperlink" Target="https://www.lenovo.com/in/en/" TargetMode="External"/><Relationship Id="rId344" Type="http://schemas.openxmlformats.org/officeDocument/2006/relationships/hyperlink" Target="https://store.admitad.com/webmaster/websites/2166760/offers/24240-vital-proteins-uk/" TargetMode="External"/><Relationship Id="rId691" Type="http://schemas.openxmlformats.org/officeDocument/2006/relationships/hyperlink" Target="https://www.costway.com/" TargetMode="External"/><Relationship Id="rId789" Type="http://schemas.openxmlformats.org/officeDocument/2006/relationships/hyperlink" Target="https://www.druckerpatronen.de/" TargetMode="External"/><Relationship Id="rId996" Type="http://schemas.openxmlformats.org/officeDocument/2006/relationships/hyperlink" Target="https://store.admitad.com/webmaster/websites/2166760/offers/26679-outfits24-de/" TargetMode="External"/><Relationship Id="rId2025" Type="http://schemas.openxmlformats.org/officeDocument/2006/relationships/hyperlink" Target="https://www.imyfone.com/" TargetMode="External"/><Relationship Id="rId2372" Type="http://schemas.openxmlformats.org/officeDocument/2006/relationships/hyperlink" Target="https://store.admitad.com/webmaster/websites/2166760/offers/18081-healthkart-cps-in/" TargetMode="External"/><Relationship Id="rId2677" Type="http://schemas.openxmlformats.org/officeDocument/2006/relationships/hyperlink" Target="https://99designs.com/" TargetMode="External"/><Relationship Id="rId2884" Type="http://schemas.openxmlformats.org/officeDocument/2006/relationships/hyperlink" Target="https://store.admitad.com/webmaster/websites/2166760/offers/843-aion-cpp-ru-cis/" TargetMode="External"/><Relationship Id="rId3423" Type="http://schemas.openxmlformats.org/officeDocument/2006/relationships/hyperlink" Target="https://www.nilkamalfurniture.com/" TargetMode="External"/><Relationship Id="rId3630" Type="http://schemas.openxmlformats.org/officeDocument/2006/relationships/hyperlink" Target="https://store.admitad.com/webmaster/websites/2166760/offers/17812-beardo-cps-in/" TargetMode="External"/><Relationship Id="rId3728" Type="http://schemas.openxmlformats.org/officeDocument/2006/relationships/hyperlink" Target="https://store.admitad.com/webmaster/websites/2166760/offers/23966-natura-br/" TargetMode="External"/><Relationship Id="rId551" Type="http://schemas.openxmlformats.org/officeDocument/2006/relationships/hyperlink" Target="https://www.stradivarius.com/de/" TargetMode="External"/><Relationship Id="rId649" Type="http://schemas.openxmlformats.org/officeDocument/2006/relationships/hyperlink" Target="https://www.vivino.com/" TargetMode="External"/><Relationship Id="rId856" Type="http://schemas.openxmlformats.org/officeDocument/2006/relationships/hyperlink" Target="https://store.admitad.com/webmaster/websites/2166760/offers/26451-monclick-it/" TargetMode="External"/><Relationship Id="rId1181" Type="http://schemas.openxmlformats.org/officeDocument/2006/relationships/hyperlink" Target="https://www.hotelduvin.com/" TargetMode="External"/><Relationship Id="rId1279" Type="http://schemas.openxmlformats.org/officeDocument/2006/relationships/hyperlink" Target="https://www.thbaker.co.uk/" TargetMode="External"/><Relationship Id="rId1486" Type="http://schemas.openxmlformats.org/officeDocument/2006/relationships/hyperlink" Target="https://store.admitad.com/webmaster/websites/2166760/offers/27355-footpatrol-fr/" TargetMode="External"/><Relationship Id="rId2232" Type="http://schemas.openxmlformats.org/officeDocument/2006/relationships/hyperlink" Target="https://store.admitad.com/webmaster/websites/2166760/offers/25960-bullguard-cps-ww/" TargetMode="External"/><Relationship Id="rId2537" Type="http://schemas.openxmlformats.org/officeDocument/2006/relationships/hyperlink" Target="https://www.lycamobile.co.uk/" TargetMode="External"/><Relationship Id="rId3935" Type="http://schemas.openxmlformats.org/officeDocument/2006/relationships/hyperlink" Target="https://fun-sport-vision.com/" TargetMode="External"/><Relationship Id="rId204" Type="http://schemas.openxmlformats.org/officeDocument/2006/relationships/hyperlink" Target="https://store.admitad.com/webmaster/websites/2166760/offers/23009-acer-fr/" TargetMode="External"/><Relationship Id="rId411" Type="http://schemas.openxmlformats.org/officeDocument/2006/relationships/hyperlink" Target="https://kontigo.com.pl/" TargetMode="External"/><Relationship Id="rId509" Type="http://schemas.openxmlformats.org/officeDocument/2006/relationships/hyperlink" Target="https://www.oppo.com/id/" TargetMode="External"/><Relationship Id="rId1041" Type="http://schemas.openxmlformats.org/officeDocument/2006/relationships/hyperlink" Target="https://www.mi.com/de" TargetMode="External"/><Relationship Id="rId1139" Type="http://schemas.openxmlformats.org/officeDocument/2006/relationships/hyperlink" Target="https://perfume-click.co.uk/" TargetMode="External"/><Relationship Id="rId1346" Type="http://schemas.openxmlformats.org/officeDocument/2006/relationships/hyperlink" Target="https://store.admitad.com/webmaster/websites/2166760/offers/27149-dfv-de/" TargetMode="External"/><Relationship Id="rId1693" Type="http://schemas.openxmlformats.org/officeDocument/2006/relationships/hyperlink" Target="https://play.google.com/store/apps/details?id=com.zeptoconsumerapp" TargetMode="External"/><Relationship Id="rId1998" Type="http://schemas.openxmlformats.org/officeDocument/2006/relationships/hyperlink" Target="https://store.admitad.com/webmaster/websites/2166760/offers/27196-mister-lady-de/" TargetMode="External"/><Relationship Id="rId2744" Type="http://schemas.openxmlformats.org/officeDocument/2006/relationships/hyperlink" Target="https://store.admitad.com/webmaster/websites/2166760/offers/23837-sedarglobal-ae-sa-om-bh/" TargetMode="External"/><Relationship Id="rId2951" Type="http://schemas.openxmlformats.org/officeDocument/2006/relationships/hyperlink" Target="http://bigmag.ua/" TargetMode="External"/><Relationship Id="rId4197" Type="http://schemas.openxmlformats.org/officeDocument/2006/relationships/hyperlink" Target="https://www.movavi.com/" TargetMode="External"/><Relationship Id="rId716" Type="http://schemas.openxmlformats.org/officeDocument/2006/relationships/hyperlink" Target="https://store.admitad.com/webmaster/websites/2166760/offers/26120-ki-book-club-ww/" TargetMode="External"/><Relationship Id="rId923" Type="http://schemas.openxmlformats.org/officeDocument/2006/relationships/hyperlink" Target="https://joanieclothing.com/" TargetMode="External"/><Relationship Id="rId1553" Type="http://schemas.openxmlformats.org/officeDocument/2006/relationships/hyperlink" Target="https://plarium.com/ko/game/raid-shadow-legends/" TargetMode="External"/><Relationship Id="rId1760" Type="http://schemas.openxmlformats.org/officeDocument/2006/relationships/hyperlink" Target="https://store.admitad.com/webmaster/websites/2166760/offers/22941-game-of-thrones-soi-esprit-us-uk-ca/" TargetMode="External"/><Relationship Id="rId1858" Type="http://schemas.openxmlformats.org/officeDocument/2006/relationships/hyperlink" Target="https://store.admitad.com/webmaster/websites/2166760/offers/22167-elvenar-soi-hu/" TargetMode="External"/><Relationship Id="rId2604" Type="http://schemas.openxmlformats.org/officeDocument/2006/relationships/hyperlink" Target="https://store.admitad.com/webmaster/websites/2166760/offers/27229-isdin-us/" TargetMode="External"/><Relationship Id="rId2811" Type="http://schemas.openxmlformats.org/officeDocument/2006/relationships/hyperlink" Target="https://www.weshoes.co.il/he/" TargetMode="External"/><Relationship Id="rId4057" Type="http://schemas.openxmlformats.org/officeDocument/2006/relationships/hyperlink" Target="https://hola.org/" TargetMode="External"/><Relationship Id="rId52" Type="http://schemas.openxmlformats.org/officeDocument/2006/relationships/hyperlink" Target="https://store.admitad.com/webmaster/websites/2166760/offers/19402-desigual-pl/" TargetMode="External"/><Relationship Id="rId1206" Type="http://schemas.openxmlformats.org/officeDocument/2006/relationships/hyperlink" Target="https://store.admitad.com/webmaster/websites/2166760/offers/27011-under-armour-es/" TargetMode="External"/><Relationship Id="rId1413" Type="http://schemas.openxmlformats.org/officeDocument/2006/relationships/hyperlink" Target="https://www.noonnownow.com/" TargetMode="External"/><Relationship Id="rId1620" Type="http://schemas.openxmlformats.org/officeDocument/2006/relationships/hyperlink" Target="https://store.admitad.com/webmaster/websites/2166760/offers/27527-dhani-freedom-one-cps-in/" TargetMode="External"/><Relationship Id="rId2909" Type="http://schemas.openxmlformats.org/officeDocument/2006/relationships/hyperlink" Target="http://cleartrip.com/" TargetMode="External"/><Relationship Id="rId3073" Type="http://schemas.openxmlformats.org/officeDocument/2006/relationships/hyperlink" Target="https://wizaz24.pl/" TargetMode="External"/><Relationship Id="rId3280" Type="http://schemas.openxmlformats.org/officeDocument/2006/relationships/hyperlink" Target="https://store.admitad.com/webmaster/websites/2166760/offers/17887-hidemyname/" TargetMode="External"/><Relationship Id="rId4124" Type="http://schemas.openxmlformats.org/officeDocument/2006/relationships/hyperlink" Target="https://store.admitad.com/webmaster/websites/2166760/offers/13937-moyo-ua/" TargetMode="External"/><Relationship Id="rId1718" Type="http://schemas.openxmlformats.org/officeDocument/2006/relationships/hyperlink" Target="https://store.admitad.com/webmaster/websites/2166760/offers/27722-skyeng-cps-many-geos-2/" TargetMode="External"/><Relationship Id="rId1925" Type="http://schemas.openxmlformats.org/officeDocument/2006/relationships/hyperlink" Target="https://www.postscanmail.com/?ref=admitadaffiliatenetwork4&amp;utm_source=admitadaffiliatenetwork4&amp;utm_campaign=PostScan+Mail+Affiliates" TargetMode="External"/><Relationship Id="rId3140" Type="http://schemas.openxmlformats.org/officeDocument/2006/relationships/hyperlink" Target="https://store.admitad.com/webmaster/websites/2166760/offers/24961-vox-furniture-ae/" TargetMode="External"/><Relationship Id="rId3378" Type="http://schemas.openxmlformats.org/officeDocument/2006/relationships/hyperlink" Target="https://store.admitad.com/webmaster/websites/2166760/offers/24672-vedix-cps-in/" TargetMode="External"/><Relationship Id="rId3585" Type="http://schemas.openxmlformats.org/officeDocument/2006/relationships/hyperlink" Target="http://itmag.ua/" TargetMode="External"/><Relationship Id="rId3792" Type="http://schemas.openxmlformats.org/officeDocument/2006/relationships/hyperlink" Target="https://store.admitad.com/webmaster/websites/2166760/offers/26235-brocard-ua/" TargetMode="External"/><Relationship Id="rId299" Type="http://schemas.openxmlformats.org/officeDocument/2006/relationships/hyperlink" Target="https://uk.sttropeztan.com/" TargetMode="External"/><Relationship Id="rId2187" Type="http://schemas.openxmlformats.org/officeDocument/2006/relationships/hyperlink" Target="https://www.ustraa.com/featured-categories/sale-products/c?utm_campaign=admitad&amp;utm_source=affiliate&amp;utm_medium=cpa&amp;utm&#173;_content=%7b%7bpublisher_id%7d%7d&amp;admitad_uid=%7b%7badmitad_uid%7d%7d" TargetMode="External"/><Relationship Id="rId2394" Type="http://schemas.openxmlformats.org/officeDocument/2006/relationships/hyperlink" Target="https://store.admitad.com/webmaster/websites/2166760/offers/21637-selected-homme-cps-in/" TargetMode="External"/><Relationship Id="rId3238" Type="http://schemas.openxmlformats.org/officeDocument/2006/relationships/hyperlink" Target="https://store.admitad.com/webmaster/websites/2166760/offers/27374-hustle-castle-cpp-us/" TargetMode="External"/><Relationship Id="rId3445" Type="http://schemas.openxmlformats.org/officeDocument/2006/relationships/hyperlink" Target="https://www.suunto.com/" TargetMode="External"/><Relationship Id="rId3652" Type="http://schemas.openxmlformats.org/officeDocument/2006/relationships/hyperlink" Target="https://store.admitad.com/webmaster/websites/2166760/offers/19322-antoshka-ua/" TargetMode="External"/><Relationship Id="rId159" Type="http://schemas.openxmlformats.org/officeDocument/2006/relationships/hyperlink" Target="https://www.lastminute.de/" TargetMode="External"/><Relationship Id="rId366" Type="http://schemas.openxmlformats.org/officeDocument/2006/relationships/hyperlink" Target="https://store.admitad.com/webmaster/websites/2166760/offers/24433-ledvance-de/" TargetMode="External"/><Relationship Id="rId573" Type="http://schemas.openxmlformats.org/officeDocument/2006/relationships/hyperlink" Target="https://shopee.co.id/" TargetMode="External"/><Relationship Id="rId780" Type="http://schemas.openxmlformats.org/officeDocument/2006/relationships/hyperlink" Target="https://store.admitad.com/webmaster/websites/2166760/offers/26254-euroelectronics-cz/" TargetMode="External"/><Relationship Id="rId2047" Type="http://schemas.openxmlformats.org/officeDocument/2006/relationships/hyperlink" Target="https://www.seetickets.com/fr/" TargetMode="External"/><Relationship Id="rId2254" Type="http://schemas.openxmlformats.org/officeDocument/2006/relationships/hyperlink" Target="https://store.admitad.com/webmaster/websites/2166760/offers/26534-sock-shop-uk/" TargetMode="External"/><Relationship Id="rId2461" Type="http://schemas.openxmlformats.org/officeDocument/2006/relationships/hyperlink" Target="https://www.spartoo.nl/" TargetMode="External"/><Relationship Id="rId2699" Type="http://schemas.openxmlformats.org/officeDocument/2006/relationships/hyperlink" Target="https://www.religarehealthinsurance.com/" TargetMode="External"/><Relationship Id="rId3000" Type="http://schemas.openxmlformats.org/officeDocument/2006/relationships/hyperlink" Target="https://store.admitad.com/webmaster/websites/2166760/offers/21128-ticketmaster-pl/" TargetMode="External"/><Relationship Id="rId3305" Type="http://schemas.openxmlformats.org/officeDocument/2006/relationships/hyperlink" Target="https://www.atlasformen.pl/" TargetMode="External"/><Relationship Id="rId3512" Type="http://schemas.openxmlformats.org/officeDocument/2006/relationships/hyperlink" Target="https://store.admitad.com/webmaster/websites/2166760/offers/22348-times-prime-cpa-in/" TargetMode="External"/><Relationship Id="rId3957" Type="http://schemas.openxmlformats.org/officeDocument/2006/relationships/hyperlink" Target="https://www.garshinka.ru/" TargetMode="External"/><Relationship Id="rId226" Type="http://schemas.openxmlformats.org/officeDocument/2006/relationships/hyperlink" Target="https://store.admitad.com/webmaster/websites/2166760/offers/23233-icici-pru-ulip-cpl-in/" TargetMode="External"/><Relationship Id="rId433" Type="http://schemas.openxmlformats.org/officeDocument/2006/relationships/hyperlink" Target="https://www.eurekaelectrodomesticos.es/" TargetMode="External"/><Relationship Id="rId878" Type="http://schemas.openxmlformats.org/officeDocument/2006/relationships/hyperlink" Target="https://store.admitad.com/webmaster/websites/2166760/offers/26493-geld-nl/" TargetMode="External"/><Relationship Id="rId1063" Type="http://schemas.openxmlformats.org/officeDocument/2006/relationships/hyperlink" Target="https://www.puzzle.de/" TargetMode="External"/><Relationship Id="rId1270" Type="http://schemas.openxmlformats.org/officeDocument/2006/relationships/hyperlink" Target="https://store.admitad.com/webmaster/websites/2166760/offers/27067-bitiba-it/" TargetMode="External"/><Relationship Id="rId2114" Type="http://schemas.openxmlformats.org/officeDocument/2006/relationships/hyperlink" Target="https://store.admitad.com/webmaster/websites/2166760/offers/13770-travian-kingdoms-doi-ru-ua/" TargetMode="External"/><Relationship Id="rId2559" Type="http://schemas.openxmlformats.org/officeDocument/2006/relationships/hyperlink" Target="https://www.easytoys.pl/" TargetMode="External"/><Relationship Id="rId2766" Type="http://schemas.openxmlformats.org/officeDocument/2006/relationships/hyperlink" Target="https://store.admitad.com/webmaster/websites/2166760/offers/24479-loftschool/" TargetMode="External"/><Relationship Id="rId2973" Type="http://schemas.openxmlformats.org/officeDocument/2006/relationships/hyperlink" Target="http://worldofwarships.com/" TargetMode="External"/><Relationship Id="rId3817" Type="http://schemas.openxmlformats.org/officeDocument/2006/relationships/hyperlink" Target="https://www.hardloop.fr/" TargetMode="External"/><Relationship Id="rId640" Type="http://schemas.openxmlformats.org/officeDocument/2006/relationships/hyperlink" Target="https://store.admitad.com/webmaster/websites/2166760/offers/25740-sams-club-us/" TargetMode="External"/><Relationship Id="rId738" Type="http://schemas.openxmlformats.org/officeDocument/2006/relationships/hyperlink" Target="https://store.admitad.com/webmaster/websites/2166760/offers/26161-hongs-kitchen-cps-in/" TargetMode="External"/><Relationship Id="rId945" Type="http://schemas.openxmlformats.org/officeDocument/2006/relationships/hyperlink" Target="https://www.e-bikes4you.com/" TargetMode="External"/><Relationship Id="rId1368" Type="http://schemas.openxmlformats.org/officeDocument/2006/relationships/hyperlink" Target="https://store.admitad.com/webmaster/websites/2166760/offers/27177-crunch-uk/" TargetMode="External"/><Relationship Id="rId1575" Type="http://schemas.openxmlformats.org/officeDocument/2006/relationships/hyperlink" Target="https://www.weltbild.de/" TargetMode="External"/><Relationship Id="rId1782" Type="http://schemas.openxmlformats.org/officeDocument/2006/relationships/hyperlink" Target="https://store.admitad.com/webmaster/websites/2166760/offers/25220-saramart-eu-gcc-offline-codes/" TargetMode="External"/><Relationship Id="rId2321" Type="http://schemas.openxmlformats.org/officeDocument/2006/relationships/hyperlink" Target="https://www.poundshop.com/" TargetMode="External"/><Relationship Id="rId2419" Type="http://schemas.openxmlformats.org/officeDocument/2006/relationships/hyperlink" Target="https://vovk.com/" TargetMode="External"/><Relationship Id="rId2626" Type="http://schemas.openxmlformats.org/officeDocument/2006/relationships/hyperlink" Target="https://store.admitad.com/webmaster/websites/2166760/offers/27462-anyvan-uk/" TargetMode="External"/><Relationship Id="rId2833" Type="http://schemas.openxmlformats.org/officeDocument/2006/relationships/hyperlink" Target="https://www.photobox.fr/" TargetMode="External"/><Relationship Id="rId4079" Type="http://schemas.openxmlformats.org/officeDocument/2006/relationships/hyperlink" Target="https://www.thalia.at/shop/home/show/" TargetMode="External"/><Relationship Id="rId74" Type="http://schemas.openxmlformats.org/officeDocument/2006/relationships/hyperlink" Target="https://store.admitad.com/webmaster/websites/2166760/offers/20881-alibaba-ww/" TargetMode="External"/><Relationship Id="rId500" Type="http://schemas.openxmlformats.org/officeDocument/2006/relationships/hyperlink" Target="https://store.admitad.com/webmaster/websites/2166760/offers/25047-anniecloth-us/" TargetMode="External"/><Relationship Id="rId805" Type="http://schemas.openxmlformats.org/officeDocument/2006/relationships/hyperlink" Target="http://www.link4.pl/" TargetMode="External"/><Relationship Id="rId1130" Type="http://schemas.openxmlformats.org/officeDocument/2006/relationships/hyperlink" Target="https://store.admitad.com/webmaster/websites/2166760/offers/26906-pond5-ww/" TargetMode="External"/><Relationship Id="rId1228" Type="http://schemas.openxmlformats.org/officeDocument/2006/relationships/hyperlink" Target="https://store.admitad.com/webmaster/websites/2166760/offers/27032-archiproducts-uk/" TargetMode="External"/><Relationship Id="rId1435" Type="http://schemas.openxmlformats.org/officeDocument/2006/relationships/hyperlink" Target="https://g3.buymaxfit.com/interstitial/c/" TargetMode="External"/><Relationship Id="rId1642" Type="http://schemas.openxmlformats.org/officeDocument/2006/relationships/hyperlink" Target="https://store.admitad.com/webmaster/websites/2166760/offers/27543-kuddly-uk/" TargetMode="External"/><Relationship Id="rId1947" Type="http://schemas.openxmlformats.org/officeDocument/2006/relationships/hyperlink" Target="https://indejuice.com/" TargetMode="External"/><Relationship Id="rId2900" Type="http://schemas.openxmlformats.org/officeDocument/2006/relationships/hyperlink" Target="https://store.admitad.com/webmaster/websites/2166760/offers/9348-existua/" TargetMode="External"/><Relationship Id="rId3095" Type="http://schemas.openxmlformats.org/officeDocument/2006/relationships/hyperlink" Target="https://www.idealshape.com/" TargetMode="External"/><Relationship Id="rId4146" Type="http://schemas.openxmlformats.org/officeDocument/2006/relationships/hyperlink" Target="https://store.admitad.com/webmaster/websites/2166760/offers/23441-forest-essentials-cps-ww/" TargetMode="External"/><Relationship Id="rId1502" Type="http://schemas.openxmlformats.org/officeDocument/2006/relationships/hyperlink" Target="https://store.admitad.com/webmaster/websites/2166760/offers/27366-orchid-international-cpl-in/" TargetMode="External"/><Relationship Id="rId1807" Type="http://schemas.openxmlformats.org/officeDocument/2006/relationships/hyperlink" Target="https://www.viator.com/de-DE/" TargetMode="External"/><Relationship Id="rId3162" Type="http://schemas.openxmlformats.org/officeDocument/2006/relationships/hyperlink" Target="https://store.admitad.com/webmaster/websites/2166760/offers/25991-conquerors-blade-spp-many-geos/" TargetMode="External"/><Relationship Id="rId4006" Type="http://schemas.openxmlformats.org/officeDocument/2006/relationships/hyperlink" Target="https://store.admitad.com/webmaster/websites/2166760/offers/15613-faasos-cps-in/" TargetMode="External"/><Relationship Id="rId4213" Type="http://schemas.openxmlformats.org/officeDocument/2006/relationships/hyperlink" Target="https://www.novakid.pl/" TargetMode="External"/><Relationship Id="rId290" Type="http://schemas.openxmlformats.org/officeDocument/2006/relationships/hyperlink" Target="https://store.admitad.com/webmaster/websites/2166760/offers/23856-apple-india-cps-in/" TargetMode="External"/><Relationship Id="rId388" Type="http://schemas.openxmlformats.org/officeDocument/2006/relationships/hyperlink" Target="https://store.admitad.com/webmaster/websites/2166760/offers/24539-theprivatelabel-gcc-offline-codes-links/" TargetMode="External"/><Relationship Id="rId2069" Type="http://schemas.openxmlformats.org/officeDocument/2006/relationships/hyperlink" Target="https://www.sanicare.de/" TargetMode="External"/><Relationship Id="rId3022" Type="http://schemas.openxmlformats.org/officeDocument/2006/relationships/hyperlink" Target="https://store.admitad.com/webmaster/websites/2166760/offers/22129-mamaearth-cps-in/" TargetMode="External"/><Relationship Id="rId3467" Type="http://schemas.openxmlformats.org/officeDocument/2006/relationships/hyperlink" Target="https://sila.by/" TargetMode="External"/><Relationship Id="rId3674" Type="http://schemas.openxmlformats.org/officeDocument/2006/relationships/hyperlink" Target="https://store.admitad.com/webmaster/websites/2166760/offers/21540-allrightio/" TargetMode="External"/><Relationship Id="rId3881" Type="http://schemas.openxmlformats.org/officeDocument/2006/relationships/hyperlink" Target="https://www.udemy.com/" TargetMode="External"/><Relationship Id="rId150" Type="http://schemas.openxmlformats.org/officeDocument/2006/relationships/hyperlink" Target="https://store.admitad.com/webmaster/websites/2166760/offers/22545-sharekhan-cpa-in/" TargetMode="External"/><Relationship Id="rId595" Type="http://schemas.openxmlformats.org/officeDocument/2006/relationships/hyperlink" Target="http://www.saksfifthavenue.com/Entry.jsp" TargetMode="External"/><Relationship Id="rId2276" Type="http://schemas.openxmlformats.org/officeDocument/2006/relationships/hyperlink" Target="https://store.admitad.com/webmaster/websites/2166760/offers/26753-polo-motorrad-de/" TargetMode="External"/><Relationship Id="rId2483" Type="http://schemas.openxmlformats.org/officeDocument/2006/relationships/hyperlink" Target="https://espritgames.com/darkgenesis/" TargetMode="External"/><Relationship Id="rId2690" Type="http://schemas.openxmlformats.org/officeDocument/2006/relationships/hyperlink" Target="https://store.admitad.com/webmaster/websites/2166760/offers/22077-star-trek-online-cpp-de-at-ch/" TargetMode="External"/><Relationship Id="rId3327" Type="http://schemas.openxmlformats.org/officeDocument/2006/relationships/hyperlink" Target="https://www.victorinox.com/fr/fr" TargetMode="External"/><Relationship Id="rId3534" Type="http://schemas.openxmlformats.org/officeDocument/2006/relationships/hyperlink" Target="https://store.admitad.com/webmaster/websites/2166760/offers/23645-symbol-cps-ua/" TargetMode="External"/><Relationship Id="rId3741" Type="http://schemas.openxmlformats.org/officeDocument/2006/relationships/hyperlink" Target="https://minimal.com.ua/" TargetMode="External"/><Relationship Id="rId3979" Type="http://schemas.openxmlformats.org/officeDocument/2006/relationships/hyperlink" Target="https://www.kapiva.in/" TargetMode="External"/><Relationship Id="rId248" Type="http://schemas.openxmlformats.org/officeDocument/2006/relationships/hyperlink" Target="https://store.admitad.com/webmaster/websites/2166760/offers/23439-skip-hop-ww/" TargetMode="External"/><Relationship Id="rId455" Type="http://schemas.openxmlformats.org/officeDocument/2006/relationships/hyperlink" Target="https://www.verishop.com/" TargetMode="External"/><Relationship Id="rId662" Type="http://schemas.openxmlformats.org/officeDocument/2006/relationships/hyperlink" Target="https://store.admitad.com/webmaster/websites/2166760/offers/25883-autodesk-uk-mena/" TargetMode="External"/><Relationship Id="rId1085" Type="http://schemas.openxmlformats.org/officeDocument/2006/relationships/hyperlink" Target="https://www.bathandbodyworks.ae/" TargetMode="External"/><Relationship Id="rId1292" Type="http://schemas.openxmlformats.org/officeDocument/2006/relationships/hyperlink" Target="https://store.admitad.com/webmaster/websites/2166760/offers/27091-go-groopie-uk/" TargetMode="External"/><Relationship Id="rId2136" Type="http://schemas.openxmlformats.org/officeDocument/2006/relationships/hyperlink" Target="https://store.admitad.com/webmaster/websites/2166760/offers/18341-12goasia-many-geos/" TargetMode="External"/><Relationship Id="rId2343" Type="http://schemas.openxmlformats.org/officeDocument/2006/relationships/hyperlink" Target="https://www.druni.es/" TargetMode="External"/><Relationship Id="rId2550" Type="http://schemas.openxmlformats.org/officeDocument/2006/relationships/hyperlink" Target="https://store.admitad.com/webmaster/websites/2166760/offers/26695-bitiba-es/" TargetMode="External"/><Relationship Id="rId2788" Type="http://schemas.openxmlformats.org/officeDocument/2006/relationships/hyperlink" Target="https://store.admitad.com/webmaster/websites/2166760/offers/25249-turbovpn-ww-2/" TargetMode="External"/><Relationship Id="rId2995" Type="http://schemas.openxmlformats.org/officeDocument/2006/relationships/hyperlink" Target="https://www.shoptime.com.br/" TargetMode="External"/><Relationship Id="rId3601" Type="http://schemas.openxmlformats.org/officeDocument/2006/relationships/hyperlink" Target="http://skyeng.ru/" TargetMode="External"/><Relationship Id="rId3839" Type="http://schemas.openxmlformats.org/officeDocument/2006/relationships/hyperlink" Target="https://lotto-sport.com.ua/" TargetMode="External"/><Relationship Id="rId108" Type="http://schemas.openxmlformats.org/officeDocument/2006/relationships/hyperlink" Target="https://store.admitad.com/webmaster/websites/2166760/offers/21796-bonprix-pl/" TargetMode="External"/><Relationship Id="rId315" Type="http://schemas.openxmlformats.org/officeDocument/2006/relationships/hyperlink" Target="https://www.venca.es/" TargetMode="External"/><Relationship Id="rId522" Type="http://schemas.openxmlformats.org/officeDocument/2006/relationships/hyperlink" Target="https://store.admitad.com/webmaster/websites/2166760/offers/25129-puresense-cps-in/" TargetMode="External"/><Relationship Id="rId967" Type="http://schemas.openxmlformats.org/officeDocument/2006/relationships/hyperlink" Target="https://www.dubaistore.com/" TargetMode="External"/><Relationship Id="rId1152" Type="http://schemas.openxmlformats.org/officeDocument/2006/relationships/hyperlink" Target="https://store.admitad.com/webmaster/websites/2166760/offers/26940-shopee-pl-cashbackcoupons/" TargetMode="External"/><Relationship Id="rId1597" Type="http://schemas.openxmlformats.org/officeDocument/2006/relationships/hyperlink" Target="https://breezy.by/" TargetMode="External"/><Relationship Id="rId2203" Type="http://schemas.openxmlformats.org/officeDocument/2006/relationships/hyperlink" Target="https://www.angels-jeans.de/" TargetMode="External"/><Relationship Id="rId2410" Type="http://schemas.openxmlformats.org/officeDocument/2006/relationships/hyperlink" Target="https://store.admitad.com/webmaster/websites/2166760/offers/22421-valued-opinions-cpl-in/" TargetMode="External"/><Relationship Id="rId2648" Type="http://schemas.openxmlformats.org/officeDocument/2006/relationships/hyperlink" Target="https://store.admitad.com/webmaster/websites/2166760/offers/16495-fernsnpetals-cps-in/" TargetMode="External"/><Relationship Id="rId2855" Type="http://schemas.openxmlformats.org/officeDocument/2006/relationships/hyperlink" Target="https://www.thehut.com/" TargetMode="External"/><Relationship Id="rId3906" Type="http://schemas.openxmlformats.org/officeDocument/2006/relationships/hyperlink" Target="https://store.admitad.com/webmaster/websites/2166760/offers/24346-iuru/" TargetMode="External"/><Relationship Id="rId96" Type="http://schemas.openxmlformats.org/officeDocument/2006/relationships/hyperlink" Target="https://store.admitad.com/webmaster/websites/2166760/offers/21445-vertbaudet-es/" TargetMode="External"/><Relationship Id="rId827" Type="http://schemas.openxmlformats.org/officeDocument/2006/relationships/hyperlink" Target="https://www.trussardi.com.br/" TargetMode="External"/><Relationship Id="rId1012" Type="http://schemas.openxmlformats.org/officeDocument/2006/relationships/hyperlink" Target="https://store.admitad.com/webmaster/websites/2166760/offers/26691-autoparti-it/" TargetMode="External"/><Relationship Id="rId1457" Type="http://schemas.openxmlformats.org/officeDocument/2006/relationships/hyperlink" Target="https://www.goertz.de/" TargetMode="External"/><Relationship Id="rId1664" Type="http://schemas.openxmlformats.org/officeDocument/2006/relationships/hyperlink" Target="https://store.admitad.com/webmaster/websites/2166760/offers/27566-myprotein-se/" TargetMode="External"/><Relationship Id="rId1871" Type="http://schemas.openxmlformats.org/officeDocument/2006/relationships/hyperlink" Target="http://www.autodesk.com/" TargetMode="External"/><Relationship Id="rId2508" Type="http://schemas.openxmlformats.org/officeDocument/2006/relationships/hyperlink" Target="https://store.admitad.com/webmaster/websites/2166760/offers/26265-karsten-br/" TargetMode="External"/><Relationship Id="rId2715" Type="http://schemas.openxmlformats.org/officeDocument/2006/relationships/hyperlink" Target="https://nordpass.com/" TargetMode="External"/><Relationship Id="rId2922" Type="http://schemas.openxmlformats.org/officeDocument/2006/relationships/hyperlink" Target="https://store.admitad.com/webmaster/websites/2166760/offers/16163-igp-cps-ww/" TargetMode="External"/><Relationship Id="rId4070" Type="http://schemas.openxmlformats.org/officeDocument/2006/relationships/hyperlink" Target="https://store.admitad.com/webmaster/websites/2166760/offers/24882-hdfc-home-loan-cpl-in/" TargetMode="External"/><Relationship Id="rId4168" Type="http://schemas.openxmlformats.org/officeDocument/2006/relationships/hyperlink" Target="https://store.admitad.com/webmaster/websites/2166760/offers/26954-lidberty-ua/" TargetMode="External"/><Relationship Id="rId1317" Type="http://schemas.openxmlformats.org/officeDocument/2006/relationships/hyperlink" Target="https://preply.com/" TargetMode="External"/><Relationship Id="rId1524" Type="http://schemas.openxmlformats.org/officeDocument/2006/relationships/hyperlink" Target="https://store.admitad.com/webmaster/websites/2166760/offers/27407-converse-pl/" TargetMode="External"/><Relationship Id="rId1731" Type="http://schemas.openxmlformats.org/officeDocument/2006/relationships/hyperlink" Target="https://lego.saudiblocks.com/" TargetMode="External"/><Relationship Id="rId1969" Type="http://schemas.openxmlformats.org/officeDocument/2006/relationships/hyperlink" Target="http://shop.bvb.de/" TargetMode="External"/><Relationship Id="rId3184" Type="http://schemas.openxmlformats.org/officeDocument/2006/relationships/hyperlink" Target="https://store.admitad.com/webmaster/websites/2166760/offers/26339-palmers-de-at/" TargetMode="External"/><Relationship Id="rId4028" Type="http://schemas.openxmlformats.org/officeDocument/2006/relationships/hyperlink" Target="https://store.admitad.com/webmaster/websites/2166760/offers/20375-the-luxury-closet-ww-offline-codes-links/" TargetMode="External"/><Relationship Id="rId23" Type="http://schemas.openxmlformats.org/officeDocument/2006/relationships/hyperlink" Target="http://www.nh-hotels.com/" TargetMode="External"/><Relationship Id="rId1829" Type="http://schemas.openxmlformats.org/officeDocument/2006/relationships/hyperlink" Target="https://www.botb.com/" TargetMode="External"/><Relationship Id="rId3391" Type="http://schemas.openxmlformats.org/officeDocument/2006/relationships/hyperlink" Target="https://de.anker.com/" TargetMode="External"/><Relationship Id="rId3489" Type="http://schemas.openxmlformats.org/officeDocument/2006/relationships/hyperlink" Target="https://l-a-b-a.com/" TargetMode="External"/><Relationship Id="rId3696" Type="http://schemas.openxmlformats.org/officeDocument/2006/relationships/hyperlink" Target="https://store.admitad.com/webmaster/websites/2166760/offers/22849-home-credit-cps-kz/" TargetMode="External"/><Relationship Id="rId2298" Type="http://schemas.openxmlformats.org/officeDocument/2006/relationships/hyperlink" Target="https://store.admitad.com/webmaster/websites/2166760/offers/26982-vitabiotics-uk/" TargetMode="External"/><Relationship Id="rId3044" Type="http://schemas.openxmlformats.org/officeDocument/2006/relationships/hyperlink" Target="https://store.admitad.com/webmaster/websites/2166760/offers/22866-like-card-many-geos-offline-codes-links/" TargetMode="External"/><Relationship Id="rId3251" Type="http://schemas.openxmlformats.org/officeDocument/2006/relationships/hyperlink" Target="https://lightinthebox.com/" TargetMode="External"/><Relationship Id="rId3349" Type="http://schemas.openxmlformats.org/officeDocument/2006/relationships/hyperlink" Target="https://www.kamaayurveda.com/" TargetMode="External"/><Relationship Id="rId3556" Type="http://schemas.openxmlformats.org/officeDocument/2006/relationships/hyperlink" Target="https://store.admitad.com/webmaster/websites/2166760/offers/25178-answear-bgeuro/" TargetMode="External"/><Relationship Id="rId172" Type="http://schemas.openxmlformats.org/officeDocument/2006/relationships/hyperlink" Target="https://store.admitad.com/webmaster/websites/2166760/offers/22767-theoutnet-gcc/" TargetMode="External"/><Relationship Id="rId477" Type="http://schemas.openxmlformats.org/officeDocument/2006/relationships/hyperlink" Target="https://www.autodesk.eu/" TargetMode="External"/><Relationship Id="rId684" Type="http://schemas.openxmlformats.org/officeDocument/2006/relationships/hyperlink" Target="https://store.admitad.com/webmaster/websites/2166760/offers/26025-g-star-raw-many-geos/" TargetMode="External"/><Relationship Id="rId2060" Type="http://schemas.openxmlformats.org/officeDocument/2006/relationships/hyperlink" Target="https://store.admitad.com/webmaster/websites/2166760/offers/26509-zooplus-es/" TargetMode="External"/><Relationship Id="rId2158" Type="http://schemas.openxmlformats.org/officeDocument/2006/relationships/hyperlink" Target="https://store.admitad.com/webmaster/websites/2166760/offers/22257-logitech-many-geos/" TargetMode="External"/><Relationship Id="rId2365" Type="http://schemas.openxmlformats.org/officeDocument/2006/relationships/hyperlink" Target="http://dresslily.com/" TargetMode="External"/><Relationship Id="rId3111" Type="http://schemas.openxmlformats.org/officeDocument/2006/relationships/hyperlink" Target="https://www.edx.org/" TargetMode="External"/><Relationship Id="rId3209" Type="http://schemas.openxmlformats.org/officeDocument/2006/relationships/hyperlink" Target="https://me.hummel.net/" TargetMode="External"/><Relationship Id="rId3763" Type="http://schemas.openxmlformats.org/officeDocument/2006/relationships/hyperlink" Target="https://www.homebase.co.uk/" TargetMode="External"/><Relationship Id="rId3970" Type="http://schemas.openxmlformats.org/officeDocument/2006/relationships/hyperlink" Target="https://store.admitad.com/webmaster/websites/2166760/offers/23086-creditbox-cps-ua/" TargetMode="External"/><Relationship Id="rId337" Type="http://schemas.openxmlformats.org/officeDocument/2006/relationships/hyperlink" Target="https://www.ecowebhosting.co.uk/" TargetMode="External"/><Relationship Id="rId891" Type="http://schemas.openxmlformats.org/officeDocument/2006/relationships/hyperlink" Target="https://www.darlingsofchelsea.co.uk/" TargetMode="External"/><Relationship Id="rId989" Type="http://schemas.openxmlformats.org/officeDocument/2006/relationships/hyperlink" Target="https://modivo.it/" TargetMode="External"/><Relationship Id="rId2018" Type="http://schemas.openxmlformats.org/officeDocument/2006/relationships/hyperlink" Target="https://store.admitad.com/webmaster/websites/2166760/offers/22166-elvenar-soi-cz/" TargetMode="External"/><Relationship Id="rId2572" Type="http://schemas.openxmlformats.org/officeDocument/2006/relationships/hyperlink" Target="https://store.admitad.com/webmaster/websites/2166760/offers/27012-under-armour-de/" TargetMode="External"/><Relationship Id="rId2877" Type="http://schemas.openxmlformats.org/officeDocument/2006/relationships/hyperlink" Target="https://espritgames.ru/dragoncontract" TargetMode="External"/><Relationship Id="rId3416" Type="http://schemas.openxmlformats.org/officeDocument/2006/relationships/hyperlink" Target="https://store.admitad.com/webmaster/websites/2166760/offers/26002-narzedzia-pl/" TargetMode="External"/><Relationship Id="rId3623" Type="http://schemas.openxmlformats.org/officeDocument/2006/relationships/hyperlink" Target="https://bigl.ua/" TargetMode="External"/><Relationship Id="rId3830" Type="http://schemas.openxmlformats.org/officeDocument/2006/relationships/hyperlink" Target="https://store.admitad.com/webmaster/websites/2166760/offers/27457-cocooncenter-fr/" TargetMode="External"/><Relationship Id="rId544" Type="http://schemas.openxmlformats.org/officeDocument/2006/relationships/hyperlink" Target="https://store.admitad.com/webmaster/websites/2166760/offers/25191-mindfactory-de/" TargetMode="External"/><Relationship Id="rId751" Type="http://schemas.openxmlformats.org/officeDocument/2006/relationships/hyperlink" Target="https://www.silkmaison.com/" TargetMode="External"/><Relationship Id="rId849" Type="http://schemas.openxmlformats.org/officeDocument/2006/relationships/hyperlink" Target="http://medica-plus.com/" TargetMode="External"/><Relationship Id="rId1174" Type="http://schemas.openxmlformats.org/officeDocument/2006/relationships/hyperlink" Target="https://store.admitad.com/webmaster/websites/2166760/offers/26971-beerwulf-it/" TargetMode="External"/><Relationship Id="rId1381" Type="http://schemas.openxmlformats.org/officeDocument/2006/relationships/hyperlink" Target="https://www.neweracap.eu/fr-fr/" TargetMode="External"/><Relationship Id="rId1479" Type="http://schemas.openxmlformats.org/officeDocument/2006/relationships/hyperlink" Target="https://www.reuter.com/fr-fr/" TargetMode="External"/><Relationship Id="rId1686" Type="http://schemas.openxmlformats.org/officeDocument/2006/relationships/hyperlink" Target="https://store.admitad.com/webmaster/websites/2166760/offers/27602-dirtyleague-cpp-many-geos/" TargetMode="External"/><Relationship Id="rId2225" Type="http://schemas.openxmlformats.org/officeDocument/2006/relationships/hyperlink" Target="https://www.bathandbodyworks.mx/" TargetMode="External"/><Relationship Id="rId2432" Type="http://schemas.openxmlformats.org/officeDocument/2006/relationships/hyperlink" Target="https://store.admitad.com/webmaster/websites/2166760/offers/23008-cubot-ww/" TargetMode="External"/><Relationship Id="rId3928" Type="http://schemas.openxmlformats.org/officeDocument/2006/relationships/hyperlink" Target="https://store.admitad.com/webmaster/websites/2166760/offers/25860-justherbs-cps-in/" TargetMode="External"/><Relationship Id="rId4092" Type="http://schemas.openxmlformats.org/officeDocument/2006/relationships/hyperlink" Target="https://store.admitad.com/webmaster/websites/2166760/offers/27496-nutritive-cosmetics-ua/" TargetMode="External"/><Relationship Id="rId404" Type="http://schemas.openxmlformats.org/officeDocument/2006/relationships/hyperlink" Target="https://store.admitad.com/webmaster/websites/2166760/offers/24613-public-desire-uk/" TargetMode="External"/><Relationship Id="rId611" Type="http://schemas.openxmlformats.org/officeDocument/2006/relationships/hyperlink" Target="https://www.kfzteile24.de/index.cgi" TargetMode="External"/><Relationship Id="rId1034" Type="http://schemas.openxmlformats.org/officeDocument/2006/relationships/hyperlink" Target="https://store.admitad.com/webmaster/websites/2166760/offers/26718-grandado-nl-be/" TargetMode="External"/><Relationship Id="rId1241" Type="http://schemas.openxmlformats.org/officeDocument/2006/relationships/hyperlink" Target="https://www.autodoc.co.uk/" TargetMode="External"/><Relationship Id="rId1339" Type="http://schemas.openxmlformats.org/officeDocument/2006/relationships/hyperlink" Target="https://www.weber.com/DE/de/start/" TargetMode="External"/><Relationship Id="rId1893" Type="http://schemas.openxmlformats.org/officeDocument/2006/relationships/hyperlink" Target="https://www.daniel-hechter.de/company/de" TargetMode="External"/><Relationship Id="rId2737" Type="http://schemas.openxmlformats.org/officeDocument/2006/relationships/hyperlink" Target="https://conteshop.by/" TargetMode="External"/><Relationship Id="rId2944" Type="http://schemas.openxmlformats.org/officeDocument/2006/relationships/hyperlink" Target="https://store.admitad.com/webmaster/websites/2166760/offers/18328-national-car-rental-us/" TargetMode="External"/><Relationship Id="rId709" Type="http://schemas.openxmlformats.org/officeDocument/2006/relationships/hyperlink" Target="https://www.betterlifeuae.com/" TargetMode="External"/><Relationship Id="rId916" Type="http://schemas.openxmlformats.org/officeDocument/2006/relationships/hyperlink" Target="https://store.admitad.com/webmaster/websites/2166760/offers/26552-watchmaster-de-at/" TargetMode="External"/><Relationship Id="rId1101" Type="http://schemas.openxmlformats.org/officeDocument/2006/relationships/hyperlink" Target="https://www.welhof.com/nl_nl/" TargetMode="External"/><Relationship Id="rId1546" Type="http://schemas.openxmlformats.org/officeDocument/2006/relationships/hyperlink" Target="https://store.admitad.com/webmaster/websites/2166760/offers/27426-lumen-us/" TargetMode="External"/><Relationship Id="rId1753" Type="http://schemas.openxmlformats.org/officeDocument/2006/relationships/hyperlink" Target="http://www.nike.com/ae/en_gb/" TargetMode="External"/><Relationship Id="rId1960" Type="http://schemas.openxmlformats.org/officeDocument/2006/relationships/hyperlink" Target="https://store.admitad.com/webmaster/websites/2166760/offers/26728-lablue-de/" TargetMode="External"/><Relationship Id="rId2804" Type="http://schemas.openxmlformats.org/officeDocument/2006/relationships/hyperlink" Target="https://store.admitad.com/webmaster/websites/2166760/offers/26142-ukrparts-ua/" TargetMode="External"/><Relationship Id="rId45" Type="http://schemas.openxmlformats.org/officeDocument/2006/relationships/hyperlink" Target="http://www.plushbezlimitu.pl/" TargetMode="External"/><Relationship Id="rId1406" Type="http://schemas.openxmlformats.org/officeDocument/2006/relationships/hyperlink" Target="https://store.admitad.com/webmaster/websites/2166760/offers/27252-myloview-pl/" TargetMode="External"/><Relationship Id="rId1613" Type="http://schemas.openxmlformats.org/officeDocument/2006/relationships/hyperlink" Target="https://etalkschool.com/" TargetMode="External"/><Relationship Id="rId1820" Type="http://schemas.openxmlformats.org/officeDocument/2006/relationships/hyperlink" Target="https://store.admitad.com/webmaster/websites/2166760/offers/27024-baker-ross-uk/" TargetMode="External"/><Relationship Id="rId3066" Type="http://schemas.openxmlformats.org/officeDocument/2006/relationships/hyperlink" Target="https://store.admitad.com/webmaster/websites/2166760/offers/23433-crocs-cps-in/" TargetMode="External"/><Relationship Id="rId3273" Type="http://schemas.openxmlformats.org/officeDocument/2006/relationships/hyperlink" Target="http://www.ebay.com/" TargetMode="External"/><Relationship Id="rId3480" Type="http://schemas.openxmlformats.org/officeDocument/2006/relationships/hyperlink" Target="https://store.admitad.com/webmaster/websites/2166760/offers/15486-englishdom/" TargetMode="External"/><Relationship Id="rId4117" Type="http://schemas.openxmlformats.org/officeDocument/2006/relationships/hyperlink" Target="http://aviasales.ru/" TargetMode="External"/><Relationship Id="rId194" Type="http://schemas.openxmlformats.org/officeDocument/2006/relationships/hyperlink" Target="https://store.admitad.com/webmaster/websites/2166760/offers/22940-game-of-thrones-soi-esprit-dach/" TargetMode="External"/><Relationship Id="rId1918" Type="http://schemas.openxmlformats.org/officeDocument/2006/relationships/hyperlink" Target="https://store.admitad.com/webmaster/websites/2166760/offers/26013-bestseller-clothing-cps-in/" TargetMode="External"/><Relationship Id="rId2082" Type="http://schemas.openxmlformats.org/officeDocument/2006/relationships/hyperlink" Target="https://store.admitad.com/webmaster/websites/2166760/offers/26979-village-hotels-uk/" TargetMode="External"/><Relationship Id="rId3133" Type="http://schemas.openxmlformats.org/officeDocument/2006/relationships/hyperlink" Target="https://megogo.net/" TargetMode="External"/><Relationship Id="rId3578" Type="http://schemas.openxmlformats.org/officeDocument/2006/relationships/hyperlink" Target="https://store.admitad.com/webmaster/websites/2166760/offers/27119-conforama-fr/" TargetMode="External"/><Relationship Id="rId3785" Type="http://schemas.openxmlformats.org/officeDocument/2006/relationships/hyperlink" Target="https://www.motorola.com.br/" TargetMode="External"/><Relationship Id="rId3992" Type="http://schemas.openxmlformats.org/officeDocument/2006/relationships/hyperlink" Target="https://store.admitad.com/webmaster/websites/2166760/offers/26573-vidaxl-nl/" TargetMode="External"/><Relationship Id="rId261" Type="http://schemas.openxmlformats.org/officeDocument/2006/relationships/hyperlink" Target="https://promos.cylance.com/" TargetMode="External"/><Relationship Id="rId499" Type="http://schemas.openxmlformats.org/officeDocument/2006/relationships/hyperlink" Target="https://anniecloth.com/" TargetMode="External"/><Relationship Id="rId2387" Type="http://schemas.openxmlformats.org/officeDocument/2006/relationships/hyperlink" Target="https://www.kent.co.in/" TargetMode="External"/><Relationship Id="rId2594" Type="http://schemas.openxmlformats.org/officeDocument/2006/relationships/hyperlink" Target="https://store.admitad.com/webmaster/websites/2166760/offers/27146-maciag-offroad-de/" TargetMode="External"/><Relationship Id="rId3340" Type="http://schemas.openxmlformats.org/officeDocument/2006/relationships/hyperlink" Target="https://store.admitad.com/webmaster/websites/2166760/offers/22999-iq-option-revenue-share/" TargetMode="External"/><Relationship Id="rId3438" Type="http://schemas.openxmlformats.org/officeDocument/2006/relationships/hyperlink" Target="https://store.admitad.com/webmaster/websites/2166760/offers/26434-winxdvd-ww/" TargetMode="External"/><Relationship Id="rId3645" Type="http://schemas.openxmlformats.org/officeDocument/2006/relationships/hyperlink" Target="https://tez-tour.com/" TargetMode="External"/><Relationship Id="rId3852" Type="http://schemas.openxmlformats.org/officeDocument/2006/relationships/hyperlink" Target="https://store.admitad.com/webmaster/websites/2166760/offers/19130-intertop-ua/" TargetMode="External"/><Relationship Id="rId359" Type="http://schemas.openxmlformats.org/officeDocument/2006/relationships/hyperlink" Target="https://www.dinopc.com/" TargetMode="External"/><Relationship Id="rId566" Type="http://schemas.openxmlformats.org/officeDocument/2006/relationships/hyperlink" Target="https://store.admitad.com/webmaster/websites/2166760/offers/25303-lacostecom-ae-offline-codes/" TargetMode="External"/><Relationship Id="rId773" Type="http://schemas.openxmlformats.org/officeDocument/2006/relationships/hyperlink" Target="https://www.tally-weijl.com/it_IT/" TargetMode="External"/><Relationship Id="rId1196" Type="http://schemas.openxmlformats.org/officeDocument/2006/relationships/hyperlink" Target="https://store.admitad.com/webmaster/websites/2166760/offers/26998-e-wie-einfach-de/" TargetMode="External"/><Relationship Id="rId2247" Type="http://schemas.openxmlformats.org/officeDocument/2006/relationships/hyperlink" Target="https://www.archiesonline.com/" TargetMode="External"/><Relationship Id="rId2454" Type="http://schemas.openxmlformats.org/officeDocument/2006/relationships/hyperlink" Target="https://store.admitad.com/webmaster/websites/2166760/offers/23936-2407pl/" TargetMode="External"/><Relationship Id="rId2899" Type="http://schemas.openxmlformats.org/officeDocument/2006/relationships/hyperlink" Target="http://exist.ua/" TargetMode="External"/><Relationship Id="rId3200" Type="http://schemas.openxmlformats.org/officeDocument/2006/relationships/hyperlink" Target="https://store.admitad.com/webmaster/websites/2166760/offers/26727-boots-uk/" TargetMode="External"/><Relationship Id="rId3505" Type="http://schemas.openxmlformats.org/officeDocument/2006/relationships/hyperlink" Target="https://wo.ua/" TargetMode="External"/><Relationship Id="rId121" Type="http://schemas.openxmlformats.org/officeDocument/2006/relationships/hyperlink" Target="https://www.yeppon.it/" TargetMode="External"/><Relationship Id="rId219" Type="http://schemas.openxmlformats.org/officeDocument/2006/relationships/hyperlink" Target="https://www.tenorshare.com/" TargetMode="External"/><Relationship Id="rId426" Type="http://schemas.openxmlformats.org/officeDocument/2006/relationships/hyperlink" Target="https://store.admitad.com/webmaster/websites/2166760/offers/24706-azimo-cpa-many-geos/" TargetMode="External"/><Relationship Id="rId633" Type="http://schemas.openxmlformats.org/officeDocument/2006/relationships/hyperlink" Target="https://www.outfitter.de/" TargetMode="External"/><Relationship Id="rId980" Type="http://schemas.openxmlformats.org/officeDocument/2006/relationships/hyperlink" Target="https://store.admitad.com/webmaster/websites/2166760/offers/26665-jd-sports/" TargetMode="External"/><Relationship Id="rId1056" Type="http://schemas.openxmlformats.org/officeDocument/2006/relationships/hyperlink" Target="https://store.admitad.com/webmaster/websites/2166760/offers/26779-nencinisport-it/" TargetMode="External"/><Relationship Id="rId1263" Type="http://schemas.openxmlformats.org/officeDocument/2006/relationships/hyperlink" Target="https://www.qatarairways.com/en-ca/homepage.html" TargetMode="External"/><Relationship Id="rId2107" Type="http://schemas.openxmlformats.org/officeDocument/2006/relationships/hyperlink" Target="https://espritgames.ru/heroesbook/" TargetMode="External"/><Relationship Id="rId2314" Type="http://schemas.openxmlformats.org/officeDocument/2006/relationships/hyperlink" Target="https://store.admitad.com/webmaster/websites/2166760/offers/27074-oak-furniture-superstore-uk/" TargetMode="External"/><Relationship Id="rId2661" Type="http://schemas.openxmlformats.org/officeDocument/2006/relationships/hyperlink" Target="https://www.candere.com/" TargetMode="External"/><Relationship Id="rId2759" Type="http://schemas.openxmlformats.org/officeDocument/2006/relationships/hyperlink" Target="https://bellavka.ru/" TargetMode="External"/><Relationship Id="rId2966" Type="http://schemas.openxmlformats.org/officeDocument/2006/relationships/hyperlink" Target="https://store.admitad.com/webmaster/websites/2166760/offers/19444-conteshop/" TargetMode="External"/><Relationship Id="rId3712" Type="http://schemas.openxmlformats.org/officeDocument/2006/relationships/hyperlink" Target="https://store.admitad.com/webmaster/websites/2166760/offers/23552-eoutlet-ae-bh-kw-om-sa-offline-codes-links/" TargetMode="External"/><Relationship Id="rId840" Type="http://schemas.openxmlformats.org/officeDocument/2006/relationships/hyperlink" Target="https://store.admitad.com/webmaster/websites/2166760/offers/26433-lt-mutual-funds-cpl-in/" TargetMode="External"/><Relationship Id="rId938" Type="http://schemas.openxmlformats.org/officeDocument/2006/relationships/hyperlink" Target="https://store.admitad.com/webmaster/websites/2166760/offers/26582-leisure-lakes-bikes-uk/" TargetMode="External"/><Relationship Id="rId1470" Type="http://schemas.openxmlformats.org/officeDocument/2006/relationships/hyperlink" Target="https://store.admitad.com/webmaster/websites/2166760/offers/27337-osnatel-de/" TargetMode="External"/><Relationship Id="rId1568" Type="http://schemas.openxmlformats.org/officeDocument/2006/relationships/hyperlink" Target="https://store.admitad.com/webmaster/websites/2166760/offers/27454-the-entertainer-uk/" TargetMode="External"/><Relationship Id="rId1775" Type="http://schemas.openxmlformats.org/officeDocument/2006/relationships/hyperlink" Target="https://play.google.com/store/apps/details?id=com.NetmedsMarketplace.Netmeds&amp;hl=en_IN&amp;gl=US" TargetMode="External"/><Relationship Id="rId2521" Type="http://schemas.openxmlformats.org/officeDocument/2006/relationships/hyperlink" Target="https://www.sephora.pl/" TargetMode="External"/><Relationship Id="rId2619" Type="http://schemas.openxmlformats.org/officeDocument/2006/relationships/hyperlink" Target="https://www.cyclestore.co.uk/" TargetMode="External"/><Relationship Id="rId2826" Type="http://schemas.openxmlformats.org/officeDocument/2006/relationships/hyperlink" Target="https://store.admitad.com/webmaster/websites/2166760/offers/26546-collectif-uk/" TargetMode="External"/><Relationship Id="rId4181" Type="http://schemas.openxmlformats.org/officeDocument/2006/relationships/hyperlink" Target="https://www.decathlon.pl/" TargetMode="External"/><Relationship Id="rId67" Type="http://schemas.openxmlformats.org/officeDocument/2006/relationships/hyperlink" Target="https://hooligapps.com/game-cuntwars.html" TargetMode="External"/><Relationship Id="rId700" Type="http://schemas.openxmlformats.org/officeDocument/2006/relationships/hyperlink" Target="https://store.admitad.com/webmaster/websites/2166760/offers/26079-currentbody-mena/" TargetMode="External"/><Relationship Id="rId1123" Type="http://schemas.openxmlformats.org/officeDocument/2006/relationships/hyperlink" Target="https://cottonon.com/US" TargetMode="External"/><Relationship Id="rId1330" Type="http://schemas.openxmlformats.org/officeDocument/2006/relationships/hyperlink" Target="https://store.admitad.com/webmaster/websites/2166760/offers/27135-top1toys-nl/" TargetMode="External"/><Relationship Id="rId1428" Type="http://schemas.openxmlformats.org/officeDocument/2006/relationships/hyperlink" Target="https://store.admitad.com/webmaster/websites/2166760/offers/27273-vodafone-uk/" TargetMode="External"/><Relationship Id="rId1635" Type="http://schemas.openxmlformats.org/officeDocument/2006/relationships/hyperlink" Target="https://www.psikhouvanjou.nl/" TargetMode="External"/><Relationship Id="rId1982" Type="http://schemas.openxmlformats.org/officeDocument/2006/relationships/hyperlink" Target="https://store.admitad.com/webmaster/websites/2166760/offers/26964-weird-fish-uk/" TargetMode="External"/><Relationship Id="rId3088" Type="http://schemas.openxmlformats.org/officeDocument/2006/relationships/hyperlink" Target="https://store.admitad.com/webmaster/websites/2166760/offers/23974-mspy-many-geos/" TargetMode="External"/><Relationship Id="rId4041" Type="http://schemas.openxmlformats.org/officeDocument/2006/relationships/hyperlink" Target="https://ffins.kz/" TargetMode="External"/><Relationship Id="rId1842" Type="http://schemas.openxmlformats.org/officeDocument/2006/relationships/hyperlink" Target="https://store.admitad.com/webmaster/websites/2166760/offers/15008-cesdeals-ww/" TargetMode="External"/><Relationship Id="rId3295" Type="http://schemas.openxmlformats.org/officeDocument/2006/relationships/hyperlink" Target="https://i-store.by/" TargetMode="External"/><Relationship Id="rId4139" Type="http://schemas.openxmlformats.org/officeDocument/2006/relationships/hyperlink" Target="https://stylishop.com/en/" TargetMode="External"/><Relationship Id="rId1702" Type="http://schemas.openxmlformats.org/officeDocument/2006/relationships/hyperlink" Target="https://store.admitad.com/webmaster/websites/2166760/offers/27665-supperbottoms-cps-in/" TargetMode="External"/><Relationship Id="rId3155" Type="http://schemas.openxmlformats.org/officeDocument/2006/relationships/hyperlink" Target="https://www.soulfull.co.in/" TargetMode="External"/><Relationship Id="rId3362" Type="http://schemas.openxmlformats.org/officeDocument/2006/relationships/hyperlink" Target="https://store.admitad.com/webmaster/websites/2166760/offers/24145-book-depository-il/" TargetMode="External"/><Relationship Id="rId4206" Type="http://schemas.openxmlformats.org/officeDocument/2006/relationships/hyperlink" Target="https://store.admitad.com/webmaster/websites/2166760/offers/17044-iherb-ww/" TargetMode="External"/><Relationship Id="rId283" Type="http://schemas.openxmlformats.org/officeDocument/2006/relationships/hyperlink" Target="https://www.hawesandcurtis.co.uk/" TargetMode="External"/><Relationship Id="rId490" Type="http://schemas.openxmlformats.org/officeDocument/2006/relationships/hyperlink" Target="https://store.admitad.com/webmaster/websites/2166760/offers/25011-computeruniverse-de/" TargetMode="External"/><Relationship Id="rId2171" Type="http://schemas.openxmlformats.org/officeDocument/2006/relationships/hyperlink" Target="https://logiclike.com/" TargetMode="External"/><Relationship Id="rId3015" Type="http://schemas.openxmlformats.org/officeDocument/2006/relationships/hyperlink" Target="https://www.geekmall.com/" TargetMode="External"/><Relationship Id="rId3222" Type="http://schemas.openxmlformats.org/officeDocument/2006/relationships/hyperlink" Target="https://store.admitad.com/webmaster/websites/2166760/offers/27145-under-armour-us/" TargetMode="External"/><Relationship Id="rId3667" Type="http://schemas.openxmlformats.org/officeDocument/2006/relationships/hyperlink" Target="https://www.topshoptv.com.ua/" TargetMode="External"/><Relationship Id="rId3874" Type="http://schemas.openxmlformats.org/officeDocument/2006/relationships/hyperlink" Target="https://store.admitad.com/webmaster/websites/2166760/offers/21934-oneplus-cps-many-geos/" TargetMode="External"/><Relationship Id="rId143" Type="http://schemas.openxmlformats.org/officeDocument/2006/relationships/hyperlink" Target="https://www.lacoste.sk/" TargetMode="External"/><Relationship Id="rId350" Type="http://schemas.openxmlformats.org/officeDocument/2006/relationships/hyperlink" Target="https://store.admitad.com/webmaster/websites/2166760/offers/24272-kappa-uk/" TargetMode="External"/><Relationship Id="rId588" Type="http://schemas.openxmlformats.org/officeDocument/2006/relationships/hyperlink" Target="https://store.admitad.com/webmaster/websites/2166760/offers/25457-harvey-nichols-co-ltd-uk/" TargetMode="External"/><Relationship Id="rId795" Type="http://schemas.openxmlformats.org/officeDocument/2006/relationships/hyperlink" Target="https://www.kaspersky.com/de/" TargetMode="External"/><Relationship Id="rId2031" Type="http://schemas.openxmlformats.org/officeDocument/2006/relationships/hyperlink" Target="https://espritgames.com/darkmoonrealm" TargetMode="External"/><Relationship Id="rId2269" Type="http://schemas.openxmlformats.org/officeDocument/2006/relationships/hyperlink" Target="https://www.eveshop.com.tr/" TargetMode="External"/><Relationship Id="rId2476" Type="http://schemas.openxmlformats.org/officeDocument/2006/relationships/hyperlink" Target="https://store.admitad.com/webmaster/websites/2166760/offers/24628-nba-store-global/" TargetMode="External"/><Relationship Id="rId2683" Type="http://schemas.openxmlformats.org/officeDocument/2006/relationships/hyperlink" Target="https://pizzaonline.dominos.co.in/?src=brand" TargetMode="External"/><Relationship Id="rId2890" Type="http://schemas.openxmlformats.org/officeDocument/2006/relationships/hyperlink" Target="https://store.admitad.com/webmaster/websites/2166760/offers/2405-carnage-cpp-ru-cis/" TargetMode="External"/><Relationship Id="rId3527" Type="http://schemas.openxmlformats.org/officeDocument/2006/relationships/hyperlink" Target="https://www.canva.com/" TargetMode="External"/><Relationship Id="rId3734" Type="http://schemas.openxmlformats.org/officeDocument/2006/relationships/hyperlink" Target="https://store.admitad.com/webmaster/websites/2166760/offers/24070-trustedhousesitters-uk-us/" TargetMode="External"/><Relationship Id="rId3941" Type="http://schemas.openxmlformats.org/officeDocument/2006/relationships/hyperlink" Target="https://www.healthspan.co.uk/" TargetMode="External"/><Relationship Id="rId9" Type="http://schemas.openxmlformats.org/officeDocument/2006/relationships/hyperlink" Target="http://qatarairways.com/" TargetMode="External"/><Relationship Id="rId210" Type="http://schemas.openxmlformats.org/officeDocument/2006/relationships/hyperlink" Target="https://store.admitad.com/webmaster/websites/2166760/offers/23053-adidas-sa-qa-offline-codes/" TargetMode="External"/><Relationship Id="rId448" Type="http://schemas.openxmlformats.org/officeDocument/2006/relationships/hyperlink" Target="https://store.admitad.com/webmaster/websites/2166760/offers/24817-leopard-cps-es/" TargetMode="External"/><Relationship Id="rId655" Type="http://schemas.openxmlformats.org/officeDocument/2006/relationships/hyperlink" Target="https://www.akbartravels.com/Offer/Flat-20-off-on-Hotel-bookings-646" TargetMode="External"/><Relationship Id="rId862" Type="http://schemas.openxmlformats.org/officeDocument/2006/relationships/hyperlink" Target="https://store.admitad.com/webmaster/websites/2166760/offers/26468-the-body-shop-se/" TargetMode="External"/><Relationship Id="rId1078" Type="http://schemas.openxmlformats.org/officeDocument/2006/relationships/hyperlink" Target="https://store.admitad.com/webmaster/websites/2166760/offers/26816-wowcher-es/" TargetMode="External"/><Relationship Id="rId1285" Type="http://schemas.openxmlformats.org/officeDocument/2006/relationships/hyperlink" Target="https://www.phonehouse.es/" TargetMode="External"/><Relationship Id="rId1492" Type="http://schemas.openxmlformats.org/officeDocument/2006/relationships/hyperlink" Target="https://store.admitad.com/webmaster/websites/2166760/offers/27358-united-consumers-nl/" TargetMode="External"/><Relationship Id="rId2129" Type="http://schemas.openxmlformats.org/officeDocument/2006/relationships/hyperlink" Target="https://www.glasseslit.com/" TargetMode="External"/><Relationship Id="rId2336" Type="http://schemas.openxmlformats.org/officeDocument/2006/relationships/hyperlink" Target="https://store.admitad.com/webmaster/websites/2166760/offers/27268-wallis-uk/" TargetMode="External"/><Relationship Id="rId2543" Type="http://schemas.openxmlformats.org/officeDocument/2006/relationships/hyperlink" Target="https://www.photobox.co.uk/" TargetMode="External"/><Relationship Id="rId2750" Type="http://schemas.openxmlformats.org/officeDocument/2006/relationships/hyperlink" Target="https://store.admitad.com/webmaster/websites/2166760/offers/24126-idealfit-us-ca/" TargetMode="External"/><Relationship Id="rId2988" Type="http://schemas.openxmlformats.org/officeDocument/2006/relationships/hyperlink" Target="https://store.admitad.com/webmaster/websites/2166760/offers/20922-durian-cps-in/" TargetMode="External"/><Relationship Id="rId3801" Type="http://schemas.openxmlformats.org/officeDocument/2006/relationships/hyperlink" Target="https://www.cliente.santanderfinanciamentos.com.br/originacaocliente/" TargetMode="External"/><Relationship Id="rId308" Type="http://schemas.openxmlformats.org/officeDocument/2006/relationships/hyperlink" Target="https://store.admitad.com/webmaster/websites/2166760/offers/23987-dell-consumer-cps-in/" TargetMode="External"/><Relationship Id="rId515" Type="http://schemas.openxmlformats.org/officeDocument/2006/relationships/hyperlink" Target="https://www.tescomobile.com/" TargetMode="External"/><Relationship Id="rId722" Type="http://schemas.openxmlformats.org/officeDocument/2006/relationships/hyperlink" Target="https://store.admitad.com/webmaster/websites/2166760/offers/26134-tf-bank-de/" TargetMode="External"/><Relationship Id="rId1145" Type="http://schemas.openxmlformats.org/officeDocument/2006/relationships/hyperlink" Target="https://www.fti.de/?utm_term=home&amp;utm_campaign=ongoing" TargetMode="External"/><Relationship Id="rId1352" Type="http://schemas.openxmlformats.org/officeDocument/2006/relationships/hyperlink" Target="https://store.admitad.com/webmaster/websites/2166760/offers/27160-envie-de-fraise-it/" TargetMode="External"/><Relationship Id="rId1797" Type="http://schemas.openxmlformats.org/officeDocument/2006/relationships/hyperlink" Target="https://store.canon.de/" TargetMode="External"/><Relationship Id="rId2403" Type="http://schemas.openxmlformats.org/officeDocument/2006/relationships/hyperlink" Target="https://www.reliancegeneral.co.in/Insurance/Motor-Insurance/Two-Wheeler-Insurance.aspx" TargetMode="External"/><Relationship Id="rId2848" Type="http://schemas.openxmlformats.org/officeDocument/2006/relationships/hyperlink" Target="https://store.admitad.com/webmaster/websites/2166760/offers/27006-lloyds-pharmacy-uk/" TargetMode="External"/><Relationship Id="rId89" Type="http://schemas.openxmlformats.org/officeDocument/2006/relationships/hyperlink" Target="https://www.footshop.bg/bg/" TargetMode="External"/><Relationship Id="rId1005" Type="http://schemas.openxmlformats.org/officeDocument/2006/relationships/hyperlink" Target="https://www.qatarairways.com/es-es/homepage.html" TargetMode="External"/><Relationship Id="rId1212" Type="http://schemas.openxmlformats.org/officeDocument/2006/relationships/hyperlink" Target="https://store.admitad.com/webmaster/websites/2166760/offers/27015-under-armour-nl/" TargetMode="External"/><Relationship Id="rId1657" Type="http://schemas.openxmlformats.org/officeDocument/2006/relationships/hyperlink" Target="https://startselect.com/nl-nl" TargetMode="External"/><Relationship Id="rId1864" Type="http://schemas.openxmlformats.org/officeDocument/2006/relationships/hyperlink" Target="https://store.admitad.com/webmaster/websites/2166760/offers/22936-bonprix-cps-cz/" TargetMode="External"/><Relationship Id="rId2610" Type="http://schemas.openxmlformats.org/officeDocument/2006/relationships/hyperlink" Target="https://store.admitad.com/webmaster/websites/2166760/offers/27254-hello-molly-us/" TargetMode="External"/><Relationship Id="rId2708" Type="http://schemas.openxmlformats.org/officeDocument/2006/relationships/hyperlink" Target="https://store.admitad.com/webmaster/websites/2166760/offers/22709-youtravelme/" TargetMode="External"/><Relationship Id="rId2915" Type="http://schemas.openxmlformats.org/officeDocument/2006/relationships/hyperlink" Target="http://www.newchic.com/" TargetMode="External"/><Relationship Id="rId4063" Type="http://schemas.openxmlformats.org/officeDocument/2006/relationships/hyperlink" Target="https://www.pavers.co.uk/" TargetMode="External"/><Relationship Id="rId1517" Type="http://schemas.openxmlformats.org/officeDocument/2006/relationships/hyperlink" Target="https://www.avon.de/" TargetMode="External"/><Relationship Id="rId1724" Type="http://schemas.openxmlformats.org/officeDocument/2006/relationships/hyperlink" Target="https://store.admitad.com/webmaster/websites/2166760/offers/27788-unocoin-cpr-android-ios-in/" TargetMode="External"/><Relationship Id="rId3177" Type="http://schemas.openxmlformats.org/officeDocument/2006/relationships/hyperlink" Target="https://www.captrader.com/" TargetMode="External"/><Relationship Id="rId4130" Type="http://schemas.openxmlformats.org/officeDocument/2006/relationships/hyperlink" Target="https://store.admitad.com/webmaster/websites/2166760/offers/17288-cashpoint-cps-ua/" TargetMode="External"/><Relationship Id="rId4228" Type="http://schemas.openxmlformats.org/officeDocument/2006/relationships/hyperlink" Target="https://store.admitad.com/webmaster/websites/2166760/offers/22594-kotak-811-savings-account-cpa-in/" TargetMode="External"/><Relationship Id="rId16" Type="http://schemas.openxmlformats.org/officeDocument/2006/relationships/hyperlink" Target="https://store.admitad.com/webmaster/websites/2166760/offers/15841-lingualeo-many-geos/" TargetMode="External"/><Relationship Id="rId1931" Type="http://schemas.openxmlformats.org/officeDocument/2006/relationships/hyperlink" Target="https://by.defacto.com/" TargetMode="External"/><Relationship Id="rId3037" Type="http://schemas.openxmlformats.org/officeDocument/2006/relationships/hyperlink" Target="https://loretogallo.com/" TargetMode="External"/><Relationship Id="rId3384" Type="http://schemas.openxmlformats.org/officeDocument/2006/relationships/hyperlink" Target="https://store.admitad.com/webmaster/websites/2166760/offers/24738-geekmaxi-many-geos/" TargetMode="External"/><Relationship Id="rId3591" Type="http://schemas.openxmlformats.org/officeDocument/2006/relationships/hyperlink" Target="http://farfetch.com/ru/" TargetMode="External"/><Relationship Id="rId3689" Type="http://schemas.openxmlformats.org/officeDocument/2006/relationships/hyperlink" Target="https://avtmarket.com.ua/" TargetMode="External"/><Relationship Id="rId3896" Type="http://schemas.openxmlformats.org/officeDocument/2006/relationships/hyperlink" Target="https://store.admitad.com/webmaster/websites/2166760/offers/23335-malinovka-cpp-rucis/" TargetMode="External"/><Relationship Id="rId2193" Type="http://schemas.openxmlformats.org/officeDocument/2006/relationships/hyperlink" Target="https://www.putevka.com/" TargetMode="External"/><Relationship Id="rId2498" Type="http://schemas.openxmlformats.org/officeDocument/2006/relationships/hyperlink" Target="https://store.admitad.com/webmaster/websites/2166760/offers/25871-nuxe-fr/" TargetMode="External"/><Relationship Id="rId3244" Type="http://schemas.openxmlformats.org/officeDocument/2006/relationships/hyperlink" Target="https://store.admitad.com/webmaster/websites/2166760/offers/27423-rattan-direct-uk/" TargetMode="External"/><Relationship Id="rId3451" Type="http://schemas.openxmlformats.org/officeDocument/2006/relationships/hyperlink" Target="https://shopee.pl/" TargetMode="External"/><Relationship Id="rId3549" Type="http://schemas.openxmlformats.org/officeDocument/2006/relationships/hyperlink" Target="https://medmag.ua/" TargetMode="External"/><Relationship Id="rId165" Type="http://schemas.openxmlformats.org/officeDocument/2006/relationships/hyperlink" Target="https://www.es.lastminute.com/" TargetMode="External"/><Relationship Id="rId372" Type="http://schemas.openxmlformats.org/officeDocument/2006/relationships/hyperlink" Target="https://store.admitad.com/webmaster/websites/2166760/offers/24466-percko-uk/" TargetMode="External"/><Relationship Id="rId677" Type="http://schemas.openxmlformats.org/officeDocument/2006/relationships/hyperlink" Target="https://urlaubsnews.com/" TargetMode="External"/><Relationship Id="rId2053" Type="http://schemas.openxmlformats.org/officeDocument/2006/relationships/hyperlink" Target="https://www.ekobieca.pl/" TargetMode="External"/><Relationship Id="rId2260" Type="http://schemas.openxmlformats.org/officeDocument/2006/relationships/hyperlink" Target="https://store.admitad.com/webmaster/websites/2166760/offers/26589-probikekit-uk/" TargetMode="External"/><Relationship Id="rId2358" Type="http://schemas.openxmlformats.org/officeDocument/2006/relationships/hyperlink" Target="https://store.admitad.com/webmaster/websites/2166760/offers/14287-bookingcom-closed/" TargetMode="External"/><Relationship Id="rId3104" Type="http://schemas.openxmlformats.org/officeDocument/2006/relationships/hyperlink" Target="https://store.admitad.com/webmaster/websites/2166760/offers/24363-lentiamo-it/" TargetMode="External"/><Relationship Id="rId3311" Type="http://schemas.openxmlformats.org/officeDocument/2006/relationships/hyperlink" Target="https://tetrika-school.ru/" TargetMode="External"/><Relationship Id="rId3756" Type="http://schemas.openxmlformats.org/officeDocument/2006/relationships/hyperlink" Target="https://store.admitad.com/webmaster/websites/2166760/offers/24575-acer-cps-in/" TargetMode="External"/><Relationship Id="rId3963" Type="http://schemas.openxmlformats.org/officeDocument/2006/relationships/hyperlink" Target="https://en-sa.citrusstv.com/" TargetMode="External"/><Relationship Id="rId232" Type="http://schemas.openxmlformats.org/officeDocument/2006/relationships/hyperlink" Target="https://store.admitad.com/webmaster/websites/2166760/offers/23273-bershka-es/" TargetMode="External"/><Relationship Id="rId884" Type="http://schemas.openxmlformats.org/officeDocument/2006/relationships/hyperlink" Target="https://store.admitad.com/webmaster/websites/2166760/offers/26501-hrs-uk/" TargetMode="External"/><Relationship Id="rId2120" Type="http://schemas.openxmlformats.org/officeDocument/2006/relationships/hyperlink" Target="https://store.admitad.com/webmaster/websites/2166760/offers/16858-vistara-cps-in/" TargetMode="External"/><Relationship Id="rId2565" Type="http://schemas.openxmlformats.org/officeDocument/2006/relationships/hyperlink" Target="https://www.wiltshirefarmfoods.com/" TargetMode="External"/><Relationship Id="rId2772" Type="http://schemas.openxmlformats.org/officeDocument/2006/relationships/hyperlink" Target="https://store.admitad.com/webmaster/websites/2166760/offers/24669-roselinlin-ww/" TargetMode="External"/><Relationship Id="rId3409" Type="http://schemas.openxmlformats.org/officeDocument/2006/relationships/hyperlink" Target="https://www.saramart.com/" TargetMode="External"/><Relationship Id="rId3616" Type="http://schemas.openxmlformats.org/officeDocument/2006/relationships/hyperlink" Target="https://store.admitad.com/webmaster/websites/2166760/offers/17017-lakestone/" TargetMode="External"/><Relationship Id="rId3823" Type="http://schemas.openxmlformats.org/officeDocument/2006/relationships/hyperlink" Target="https://www.allbeauty.com/" TargetMode="External"/><Relationship Id="rId537" Type="http://schemas.openxmlformats.org/officeDocument/2006/relationships/hyperlink" Target="https://www.potterybarnkids.ae/en" TargetMode="External"/><Relationship Id="rId744" Type="http://schemas.openxmlformats.org/officeDocument/2006/relationships/hyperlink" Target="https://store.admitad.com/webmaster/websites/2166760/offers/26170-kiehls-sa/" TargetMode="External"/><Relationship Id="rId951" Type="http://schemas.openxmlformats.org/officeDocument/2006/relationships/hyperlink" Target="http://publicis.go2cloud.org/aff_c?offer_id=501&amp;aff_id=1264&amp;aff_sub2=WP_18&amp;aff_sub3=Emailers&amp;aff_click_id=%7b%7badmitad_uid%7d%7d" TargetMode="External"/><Relationship Id="rId1167" Type="http://schemas.openxmlformats.org/officeDocument/2006/relationships/hyperlink" Target="https://www.airconcentre.co.uk/" TargetMode="External"/><Relationship Id="rId1374" Type="http://schemas.openxmlformats.org/officeDocument/2006/relationships/hyperlink" Target="https://store.admitad.com/webmaster/websites/2166760/offers/27183-samsung-pt/" TargetMode="External"/><Relationship Id="rId1581" Type="http://schemas.openxmlformats.org/officeDocument/2006/relationships/hyperlink" Target="https://www.deutsche-glasfaser.de/privatkunden/" TargetMode="External"/><Relationship Id="rId1679" Type="http://schemas.openxmlformats.org/officeDocument/2006/relationships/hyperlink" Target="https://dodam.com.ua/uk/" TargetMode="External"/><Relationship Id="rId2218" Type="http://schemas.openxmlformats.org/officeDocument/2006/relationships/hyperlink" Target="https://store.admitad.com/webmaster/websites/2166760/offers/25157-defacto-iq/" TargetMode="External"/><Relationship Id="rId2425" Type="http://schemas.openxmlformats.org/officeDocument/2006/relationships/hyperlink" Target="https://india.resellerclub.com/" TargetMode="External"/><Relationship Id="rId2632" Type="http://schemas.openxmlformats.org/officeDocument/2006/relationships/hyperlink" Target="https://store.admitad.com/webmaster/websites/2166760/offers/4580-strawberrynet-many-geos/" TargetMode="External"/><Relationship Id="rId4085" Type="http://schemas.openxmlformats.org/officeDocument/2006/relationships/hyperlink" Target="https://online-groshi.com/" TargetMode="External"/><Relationship Id="rId80" Type="http://schemas.openxmlformats.org/officeDocument/2006/relationships/hyperlink" Target="https://store.admitad.com/webmaster/websites/2166760/offers/21213-greca-many-geos/" TargetMode="External"/><Relationship Id="rId604" Type="http://schemas.openxmlformats.org/officeDocument/2006/relationships/hyperlink" Target="https://store.admitad.com/webmaster/websites/2166760/offers/25498-vattenfall-nl/" TargetMode="External"/><Relationship Id="rId811" Type="http://schemas.openxmlformats.org/officeDocument/2006/relationships/hyperlink" Target="http://www.auchandirect.pl/" TargetMode="External"/><Relationship Id="rId1027" Type="http://schemas.openxmlformats.org/officeDocument/2006/relationships/hyperlink" Target="https://bancointer.onelink.me/nyEn?pid=admitad1_int&amp;c=Conta%20Digital%20-%20Admitad&amp;af_click_lookback=7d&amp;af_siteid=%7b%7bpublisher_id%7d%7d&amp;clickid=%7b%7badmitad_uid%7d%7d&amp;af_web_dp=https%3A%2F%2Fwww.bancointer.com.br%2Fpra-voce%2Fconta-digital%2Fpessoa-fisica%2F%3Futm_source%3Dadmitad%26utm_medium%3Dcpa%26utm_campaign%3Dconta-digital&amp;af_dp=bancointer%3A%2F%2F&amp;af_force_deeplink=true" TargetMode="External"/><Relationship Id="rId1234" Type="http://schemas.openxmlformats.org/officeDocument/2006/relationships/hyperlink" Target="https://store.admitad.com/webmaster/websites/2166760/offers/27041-eon-it/" TargetMode="External"/><Relationship Id="rId1441" Type="http://schemas.openxmlformats.org/officeDocument/2006/relationships/hyperlink" Target="https://shopee.fr/" TargetMode="External"/><Relationship Id="rId1886" Type="http://schemas.openxmlformats.org/officeDocument/2006/relationships/hyperlink" Target="https://store.admitad.com/webmaster/websites/2166760/offers/24078-monese-uk-ios-android/" TargetMode="External"/><Relationship Id="rId2937" Type="http://schemas.openxmlformats.org/officeDocument/2006/relationships/hyperlink" Target="https://macpaw.com/" TargetMode="External"/><Relationship Id="rId4152" Type="http://schemas.openxmlformats.org/officeDocument/2006/relationships/hyperlink" Target="https://store.admitad.com/webmaster/websites/2166760/offers/24298-kinguin-ww/" TargetMode="External"/><Relationship Id="rId909" Type="http://schemas.openxmlformats.org/officeDocument/2006/relationships/hyperlink" Target="https://www.geers.de/" TargetMode="External"/><Relationship Id="rId1301" Type="http://schemas.openxmlformats.org/officeDocument/2006/relationships/hyperlink" Target="https://www.babymarkt.de/" TargetMode="External"/><Relationship Id="rId1539" Type="http://schemas.openxmlformats.org/officeDocument/2006/relationships/hyperlink" Target="https://wordery.com/" TargetMode="External"/><Relationship Id="rId1746" Type="http://schemas.openxmlformats.org/officeDocument/2006/relationships/hyperlink" Target="https://store.admitad.com/webmaster/websites/2166760/offers/27400-the-range-uk/" TargetMode="External"/><Relationship Id="rId1953" Type="http://schemas.openxmlformats.org/officeDocument/2006/relationships/hyperlink" Target="https://www.kioskoymas.com/ofertas/awin/" TargetMode="External"/><Relationship Id="rId3199" Type="http://schemas.openxmlformats.org/officeDocument/2006/relationships/hyperlink" Target="https://www.boots.com/" TargetMode="External"/><Relationship Id="rId38" Type="http://schemas.openxmlformats.org/officeDocument/2006/relationships/hyperlink" Target="https://store.admitad.com/webmaster/websites/2166760/offers/19010-freshly-us/" TargetMode="External"/><Relationship Id="rId1606" Type="http://schemas.openxmlformats.org/officeDocument/2006/relationships/hyperlink" Target="https://store.admitad.com/webmaster/websites/2166760/offers/27497-scorector-cps-ua/" TargetMode="External"/><Relationship Id="rId1813" Type="http://schemas.openxmlformats.org/officeDocument/2006/relationships/hyperlink" Target="https://www.popinabox.it/" TargetMode="External"/><Relationship Id="rId3059" Type="http://schemas.openxmlformats.org/officeDocument/2006/relationships/hyperlink" Target="https://infiplay.com/stormleague" TargetMode="External"/><Relationship Id="rId3266" Type="http://schemas.openxmlformats.org/officeDocument/2006/relationships/hyperlink" Target="https://store.admitad.com/webmaster/websites/2166760/offers/14605-shvidko-groshi-ua-cpl-api-ua/" TargetMode="External"/><Relationship Id="rId3473" Type="http://schemas.openxmlformats.org/officeDocument/2006/relationships/hyperlink" Target="http://worldofwarships.ru/" TargetMode="External"/><Relationship Id="rId4012" Type="http://schemas.openxmlformats.org/officeDocument/2006/relationships/hyperlink" Target="https://store.admitad.com/webmaster/websites/2166760/offers/17314-depositphotos-cps-ww/" TargetMode="External"/><Relationship Id="rId187" Type="http://schemas.openxmlformats.org/officeDocument/2006/relationships/hyperlink" Target="https://www.sky.de/" TargetMode="External"/><Relationship Id="rId394" Type="http://schemas.openxmlformats.org/officeDocument/2006/relationships/hyperlink" Target="https://store.admitad.com/webmaster/websites/2166760/offers/24563-bmg-vasco-cpa-ios-br/" TargetMode="External"/><Relationship Id="rId2075" Type="http://schemas.openxmlformats.org/officeDocument/2006/relationships/hyperlink" Target="https://www.ryman.co.uk/" TargetMode="External"/><Relationship Id="rId2282" Type="http://schemas.openxmlformats.org/officeDocument/2006/relationships/hyperlink" Target="https://store.admitad.com/webmaster/websites/2166760/offers/26794-craftstash-uk/" TargetMode="External"/><Relationship Id="rId3126" Type="http://schemas.openxmlformats.org/officeDocument/2006/relationships/hyperlink" Target="https://store.admitad.com/webmaster/websites/2166760/offers/24722-happyeasygo-cps-in/" TargetMode="External"/><Relationship Id="rId3680" Type="http://schemas.openxmlformats.org/officeDocument/2006/relationships/hyperlink" Target="https://store.admitad.com/webmaster/websites/2166760/offers/21679-mark-formelle-by/" TargetMode="External"/><Relationship Id="rId3778" Type="http://schemas.openxmlformats.org/officeDocument/2006/relationships/hyperlink" Target="https://store.admitad.com/webmaster/websites/2166760/offers/25204-argo-ua/" TargetMode="External"/><Relationship Id="rId3985" Type="http://schemas.openxmlformats.org/officeDocument/2006/relationships/hyperlink" Target="https://erli.pl/" TargetMode="External"/><Relationship Id="rId254" Type="http://schemas.openxmlformats.org/officeDocument/2006/relationships/hyperlink" Target="https://store.admitad.com/webmaster/websites/2166760/offers/23476-hunkemoller-cps-es-fr-de-uk/" TargetMode="External"/><Relationship Id="rId699" Type="http://schemas.openxmlformats.org/officeDocument/2006/relationships/hyperlink" Target="https://me.currentbody.com/" TargetMode="External"/><Relationship Id="rId1091" Type="http://schemas.openxmlformats.org/officeDocument/2006/relationships/hyperlink" Target="https://me.marchesa.com/" TargetMode="External"/><Relationship Id="rId2587" Type="http://schemas.openxmlformats.org/officeDocument/2006/relationships/hyperlink" Target="https://www.idmobile.co.uk/" TargetMode="External"/><Relationship Id="rId2794" Type="http://schemas.openxmlformats.org/officeDocument/2006/relationships/hyperlink" Target="https://store.admitad.com/webmaster/websites/2166760/offers/25919-cashradar-kz/" TargetMode="External"/><Relationship Id="rId3333" Type="http://schemas.openxmlformats.org/officeDocument/2006/relationships/hyperlink" Target="https://in.godaddy.com/" TargetMode="External"/><Relationship Id="rId3540" Type="http://schemas.openxmlformats.org/officeDocument/2006/relationships/hyperlink" Target="https://store.admitad.com/webmaster/websites/2166760/offers/23964-italojewerly-ww/" TargetMode="External"/><Relationship Id="rId3638" Type="http://schemas.openxmlformats.org/officeDocument/2006/relationships/hyperlink" Target="https://store.admitad.com/webmaster/websites/2166760/offers/18555-samsung-cps-in/" TargetMode="External"/><Relationship Id="rId3845" Type="http://schemas.openxmlformats.org/officeDocument/2006/relationships/hyperlink" Target="http://zaimer.kz/" TargetMode="External"/><Relationship Id="rId114" Type="http://schemas.openxmlformats.org/officeDocument/2006/relationships/hyperlink" Target="https://store.admitad.com/webmaster/websites/2166760/offers/21974-navabi-fr/" TargetMode="External"/><Relationship Id="rId461" Type="http://schemas.openxmlformats.org/officeDocument/2006/relationships/hyperlink" Target="https://adventurehq.ae/" TargetMode="External"/><Relationship Id="rId559" Type="http://schemas.openxmlformats.org/officeDocument/2006/relationships/hyperlink" Target="https://www.newbalance.com/" TargetMode="External"/><Relationship Id="rId766" Type="http://schemas.openxmlformats.org/officeDocument/2006/relationships/hyperlink" Target="https://store.admitad.com/webmaster/websites/2166760/offers/26236-emaarkt-many-geos/" TargetMode="External"/><Relationship Id="rId1189" Type="http://schemas.openxmlformats.org/officeDocument/2006/relationships/hyperlink" Target="https://www.fortnumandmason.com/" TargetMode="External"/><Relationship Id="rId1396" Type="http://schemas.openxmlformats.org/officeDocument/2006/relationships/hyperlink" Target="https://store.admitad.com/webmaster/websites/2166760/offers/27235-flexi-loans-cpl-in/" TargetMode="External"/><Relationship Id="rId2142" Type="http://schemas.openxmlformats.org/officeDocument/2006/relationships/hyperlink" Target="https://store.admitad.com/webmaster/websites/2166760/offers/19790-6thstreet-uae-ksa-kw-om-bh-offline-codes-links/" TargetMode="External"/><Relationship Id="rId2447" Type="http://schemas.openxmlformats.org/officeDocument/2006/relationships/hyperlink" Target="https://rusvpn.com/" TargetMode="External"/><Relationship Id="rId3400" Type="http://schemas.openxmlformats.org/officeDocument/2006/relationships/hyperlink" Target="https://store.admitad.com/webmaster/websites/2166760/offers/25141-sf-education/" TargetMode="External"/><Relationship Id="rId321" Type="http://schemas.openxmlformats.org/officeDocument/2006/relationships/hyperlink" Target="https://neoline.com/" TargetMode="External"/><Relationship Id="rId419" Type="http://schemas.openxmlformats.org/officeDocument/2006/relationships/hyperlink" Target="https://www.clevguard.com/" TargetMode="External"/><Relationship Id="rId626" Type="http://schemas.openxmlformats.org/officeDocument/2006/relationships/hyperlink" Target="https://store.admitad.com/webmaster/websites/2166760/offers/25595-all4golf-de/" TargetMode="External"/><Relationship Id="rId973" Type="http://schemas.openxmlformats.org/officeDocument/2006/relationships/hyperlink" Target="https://olivias.com/" TargetMode="External"/><Relationship Id="rId1049" Type="http://schemas.openxmlformats.org/officeDocument/2006/relationships/hyperlink" Target="https://www.aosom.fr/" TargetMode="External"/><Relationship Id="rId1256" Type="http://schemas.openxmlformats.org/officeDocument/2006/relationships/hyperlink" Target="https://store.admitad.com/webmaster/websites/2166760/offers/27054-recambioscoches-es/" TargetMode="External"/><Relationship Id="rId2002" Type="http://schemas.openxmlformats.org/officeDocument/2006/relationships/hyperlink" Target="https://store.admitad.com/webmaster/websites/2166760/offers/27240-peoplefinders-us/" TargetMode="External"/><Relationship Id="rId2307" Type="http://schemas.openxmlformats.org/officeDocument/2006/relationships/hyperlink" Target="https://www.menkind.co.uk/" TargetMode="External"/><Relationship Id="rId2654" Type="http://schemas.openxmlformats.org/officeDocument/2006/relationships/hyperlink" Target="https://store.admitad.com/webmaster/websites/2166760/offers/18393-foreo-ru-emea-asia/" TargetMode="External"/><Relationship Id="rId2861" Type="http://schemas.openxmlformats.org/officeDocument/2006/relationships/hyperlink" Target="https://www.saludonnet.com/" TargetMode="External"/><Relationship Id="rId2959" Type="http://schemas.openxmlformats.org/officeDocument/2006/relationships/hyperlink" Target="https://ktc.ua/" TargetMode="External"/><Relationship Id="rId3705" Type="http://schemas.openxmlformats.org/officeDocument/2006/relationships/hyperlink" Target="https://molnija.shop/?utm_source=admitad&amp;utm_medium=cpa&amp;utm_campaign=%7b%7bpublisher_id%7d%7d&amp;tagtag_uid=%7b%7badmitad_uid%7d%7d" TargetMode="External"/><Relationship Id="rId3912" Type="http://schemas.openxmlformats.org/officeDocument/2006/relationships/hyperlink" Target="https://store.admitad.com/webmaster/websites/2166760/offers/24736-italki-ww/" TargetMode="External"/><Relationship Id="rId833" Type="http://schemas.openxmlformats.org/officeDocument/2006/relationships/hyperlink" Target="https://www.galeria.de/" TargetMode="External"/><Relationship Id="rId1116" Type="http://schemas.openxmlformats.org/officeDocument/2006/relationships/hyperlink" Target="https://store.admitad.com/webmaster/websites/2166760/offers/26891-made-many-geos/" TargetMode="External"/><Relationship Id="rId1463" Type="http://schemas.openxmlformats.org/officeDocument/2006/relationships/hyperlink" Target="https://www.armorlux.com/fr/" TargetMode="External"/><Relationship Id="rId1670" Type="http://schemas.openxmlformats.org/officeDocument/2006/relationships/hyperlink" Target="https://store.admitad.com/webmaster/websites/2166760/offers/27574-kritika-cpp-rucis/" TargetMode="External"/><Relationship Id="rId1768" Type="http://schemas.openxmlformats.org/officeDocument/2006/relationships/hyperlink" Target="https://store.admitad.com/webmaster/websites/2166760/offers/23449-tails-de/" TargetMode="External"/><Relationship Id="rId2514" Type="http://schemas.openxmlformats.org/officeDocument/2006/relationships/hyperlink" Target="https://store.admitad.com/webmaster/websites/2166760/offers/26329-rylko-pl/" TargetMode="External"/><Relationship Id="rId2721" Type="http://schemas.openxmlformats.org/officeDocument/2006/relationships/hyperlink" Target="https://www.wildterra2.com/" TargetMode="External"/><Relationship Id="rId2819" Type="http://schemas.openxmlformats.org/officeDocument/2006/relationships/hyperlink" Target="https://www.podobrace.nl/?" TargetMode="External"/><Relationship Id="rId4174" Type="http://schemas.openxmlformats.org/officeDocument/2006/relationships/hyperlink" Target="https://store.admitad.com/webmaster/websites/2166760/offers/17600-shutterstock-ww/" TargetMode="External"/><Relationship Id="rId900" Type="http://schemas.openxmlformats.org/officeDocument/2006/relationships/hyperlink" Target="https://store.admitad.com/webmaster/websites/2166760/offers/26542-yogabar-cps-in/" TargetMode="External"/><Relationship Id="rId1323" Type="http://schemas.openxmlformats.org/officeDocument/2006/relationships/hyperlink" Target="https://www.ghost.co.uk/" TargetMode="External"/><Relationship Id="rId1530" Type="http://schemas.openxmlformats.org/officeDocument/2006/relationships/hyperlink" Target="https://store.admitad.com/webmaster/websites/2166760/offers/27411-sevenstore-uk/" TargetMode="External"/><Relationship Id="rId1628" Type="http://schemas.openxmlformats.org/officeDocument/2006/relationships/hyperlink" Target="https://store.admitad.com/webmaster/websites/2166760/offers/27535-povison-us/" TargetMode="External"/><Relationship Id="rId1975" Type="http://schemas.openxmlformats.org/officeDocument/2006/relationships/hyperlink" Target="https://www.tpexpress.co.uk/" TargetMode="External"/><Relationship Id="rId3190" Type="http://schemas.openxmlformats.org/officeDocument/2006/relationships/hyperlink" Target="https://store.admitad.com/webmaster/websites/2166760/offers/26470-jing-ww/" TargetMode="External"/><Relationship Id="rId4034" Type="http://schemas.openxmlformats.org/officeDocument/2006/relationships/hyperlink" Target="https://store.admitad.com/webmaster/websites/2166760/offers/21954-money4you-cps-ua/" TargetMode="External"/><Relationship Id="rId1835" Type="http://schemas.openxmlformats.org/officeDocument/2006/relationships/hyperlink" Target="https://espritgames.com/darkgenesis/" TargetMode="External"/><Relationship Id="rId3050" Type="http://schemas.openxmlformats.org/officeDocument/2006/relationships/hyperlink" Target="https://store.admitad.com/webmaster/websites/2166760/offers/23094-delivio-by/" TargetMode="External"/><Relationship Id="rId3288" Type="http://schemas.openxmlformats.org/officeDocument/2006/relationships/hyperlink" Target="https://store.admitad.com/webmaster/websites/2166760/offers/18757-dewal/" TargetMode="External"/><Relationship Id="rId3495" Type="http://schemas.openxmlformats.org/officeDocument/2006/relationships/hyperlink" Target="https://ar.swarovski.sa/" TargetMode="External"/><Relationship Id="rId4101" Type="http://schemas.openxmlformats.org/officeDocument/2006/relationships/hyperlink" Target="https://creditplus.ua/" TargetMode="External"/><Relationship Id="rId1902" Type="http://schemas.openxmlformats.org/officeDocument/2006/relationships/hyperlink" Target="https://store.admitad.com/webmaster/websites/2166760/offers/24566-atlas-vpn/" TargetMode="External"/><Relationship Id="rId2097" Type="http://schemas.openxmlformats.org/officeDocument/2006/relationships/hyperlink" Target="https://swiatbaterii.pl/" TargetMode="External"/><Relationship Id="rId3148" Type="http://schemas.openxmlformats.org/officeDocument/2006/relationships/hyperlink" Target="https://store.admitad.com/webmaster/websites/2166760/offers/25233-brandrange-gcc/" TargetMode="External"/><Relationship Id="rId3355" Type="http://schemas.openxmlformats.org/officeDocument/2006/relationships/hyperlink" Target="https://www.simmi.com/" TargetMode="External"/><Relationship Id="rId3562" Type="http://schemas.openxmlformats.org/officeDocument/2006/relationships/hyperlink" Target="https://store.admitad.com/webmaster/websites/2166760/offers/26157-bob-car-loan-cpl-in/" TargetMode="External"/><Relationship Id="rId276" Type="http://schemas.openxmlformats.org/officeDocument/2006/relationships/hyperlink" Target="https://store.admitad.com/webmaster/websites/2166760/offers/23720-dancenter-dk/" TargetMode="External"/><Relationship Id="rId483" Type="http://schemas.openxmlformats.org/officeDocument/2006/relationships/hyperlink" Target="https://www.stellardatarecovery.com/" TargetMode="External"/><Relationship Id="rId690" Type="http://schemas.openxmlformats.org/officeDocument/2006/relationships/hyperlink" Target="https://store.admitad.com/webmaster/websites/2166760/offers/26062-the-home-depot/" TargetMode="External"/><Relationship Id="rId2164" Type="http://schemas.openxmlformats.org/officeDocument/2006/relationships/hyperlink" Target="https://store.admitad.com/webmaster/websites/2166760/offers/22998-coursera-ww/" TargetMode="External"/><Relationship Id="rId2371" Type="http://schemas.openxmlformats.org/officeDocument/2006/relationships/hyperlink" Target="https://www.healthkart.com/" TargetMode="External"/><Relationship Id="rId3008" Type="http://schemas.openxmlformats.org/officeDocument/2006/relationships/hyperlink" Target="https://store.admitad.com/webmaster/websites/2166760/offers/21469-policybazaar-termlife-cpl-in/" TargetMode="External"/><Relationship Id="rId3215" Type="http://schemas.openxmlformats.org/officeDocument/2006/relationships/hyperlink" Target="https://www.beerwulf.com/de-de" TargetMode="External"/><Relationship Id="rId3422" Type="http://schemas.openxmlformats.org/officeDocument/2006/relationships/hyperlink" Target="https://store.admitad.com/webmaster/websites/2166760/offers/26031-bookovka-ua/" TargetMode="External"/><Relationship Id="rId3867" Type="http://schemas.openxmlformats.org/officeDocument/2006/relationships/hyperlink" Target="https://www.geekbuying.pl/" TargetMode="External"/><Relationship Id="rId136" Type="http://schemas.openxmlformats.org/officeDocument/2006/relationships/hyperlink" Target="https://store.admitad.com/webmaster/websites/2166760/offers/22264-bath-body-works-ae-sa-kw-bh/" TargetMode="External"/><Relationship Id="rId343" Type="http://schemas.openxmlformats.org/officeDocument/2006/relationships/hyperlink" Target="https://www.vitalproteins.co.uk/" TargetMode="External"/><Relationship Id="rId550" Type="http://schemas.openxmlformats.org/officeDocument/2006/relationships/hyperlink" Target="https://store.admitad.com/webmaster/websites/2166760/offers/25238-lattelierstore-ww/" TargetMode="External"/><Relationship Id="rId788" Type="http://schemas.openxmlformats.org/officeDocument/2006/relationships/hyperlink" Target="https://store.admitad.com/webmaster/websites/2166760/offers/26282-whirlpool-us/" TargetMode="External"/><Relationship Id="rId995" Type="http://schemas.openxmlformats.org/officeDocument/2006/relationships/hyperlink" Target="https://www.outfits24.de/" TargetMode="External"/><Relationship Id="rId1180" Type="http://schemas.openxmlformats.org/officeDocument/2006/relationships/hyperlink" Target="https://store.admitad.com/webmaster/websites/2166760/offers/26977-broadband-genie-uk/" TargetMode="External"/><Relationship Id="rId2024" Type="http://schemas.openxmlformats.org/officeDocument/2006/relationships/hyperlink" Target="https://store.admitad.com/webmaster/websites/2166760/offers/22801-tengeda-cps-kz/" TargetMode="External"/><Relationship Id="rId2231" Type="http://schemas.openxmlformats.org/officeDocument/2006/relationships/hyperlink" Target="https://www.bullguard.com/" TargetMode="External"/><Relationship Id="rId2469" Type="http://schemas.openxmlformats.org/officeDocument/2006/relationships/hyperlink" Target="https://eu.4game.com/lineage2essence/" TargetMode="External"/><Relationship Id="rId2676" Type="http://schemas.openxmlformats.org/officeDocument/2006/relationships/hyperlink" Target="https://store.admitad.com/webmaster/websites/2166760/offers/21122-envato-market-many-geos/" TargetMode="External"/><Relationship Id="rId2883" Type="http://schemas.openxmlformats.org/officeDocument/2006/relationships/hyperlink" Target="https://ru.4game.com/aion/" TargetMode="External"/><Relationship Id="rId3727" Type="http://schemas.openxmlformats.org/officeDocument/2006/relationships/hyperlink" Target="https://www.natura.com.br/" TargetMode="External"/><Relationship Id="rId3934" Type="http://schemas.openxmlformats.org/officeDocument/2006/relationships/hyperlink" Target="https://store.admitad.com/webmaster/websites/2166760/offers/26293-21vek-by-new/" TargetMode="External"/><Relationship Id="rId203" Type="http://schemas.openxmlformats.org/officeDocument/2006/relationships/hyperlink" Target="https://store.acer.com/fr-fr/" TargetMode="External"/><Relationship Id="rId648" Type="http://schemas.openxmlformats.org/officeDocument/2006/relationships/hyperlink" Target="https://store.admitad.com/webmaster/websites/2166760/offers/25788-wingo-ch/" TargetMode="External"/><Relationship Id="rId855" Type="http://schemas.openxmlformats.org/officeDocument/2006/relationships/hyperlink" Target="https://www.monclick.it/" TargetMode="External"/><Relationship Id="rId1040" Type="http://schemas.openxmlformats.org/officeDocument/2006/relationships/hyperlink" Target="https://store.admitad.com/webmaster/websites/2166760/offers/26736-cashify-cps-in/" TargetMode="External"/><Relationship Id="rId1278" Type="http://schemas.openxmlformats.org/officeDocument/2006/relationships/hyperlink" Target="https://store.admitad.com/webmaster/websites/2166760/offers/27076-defacto-de/" TargetMode="External"/><Relationship Id="rId1485" Type="http://schemas.openxmlformats.org/officeDocument/2006/relationships/hyperlink" Target="https://www.footpatrol.fr/" TargetMode="External"/><Relationship Id="rId1692" Type="http://schemas.openxmlformats.org/officeDocument/2006/relationships/hyperlink" Target="https://store.admitad.com/webmaster/websites/2166760/offers/27647-philips-cps-in/" TargetMode="External"/><Relationship Id="rId2329" Type="http://schemas.openxmlformats.org/officeDocument/2006/relationships/hyperlink" Target="https://www.shopmissa.com/" TargetMode="External"/><Relationship Id="rId2536" Type="http://schemas.openxmlformats.org/officeDocument/2006/relationships/hyperlink" Target="https://store.admitad.com/webmaster/websites/2166760/offers/26595-buysubscriptions-uk/" TargetMode="External"/><Relationship Id="rId2743" Type="http://schemas.openxmlformats.org/officeDocument/2006/relationships/hyperlink" Target="https://www.sedarglobal.com/" TargetMode="External"/><Relationship Id="rId4196" Type="http://schemas.openxmlformats.org/officeDocument/2006/relationships/hyperlink" Target="https://store.admitad.com/webmaster/websites/2166760/offers/21383-vogacloset-many-geos-offline-promocodes/" TargetMode="External"/><Relationship Id="rId410" Type="http://schemas.openxmlformats.org/officeDocument/2006/relationships/hyperlink" Target="https://store.admitad.com/webmaster/websites/2166760/offers/24627-fanatics-uk-eu/" TargetMode="External"/><Relationship Id="rId508" Type="http://schemas.openxmlformats.org/officeDocument/2006/relationships/hyperlink" Target="https://store.admitad.com/webmaster/websites/2166760/offers/25068-lidl-de/" TargetMode="External"/><Relationship Id="rId715" Type="http://schemas.openxmlformats.org/officeDocument/2006/relationships/hyperlink" Target="https://meetiris.app/?ref=admitadaffiliatenetwork6" TargetMode="External"/><Relationship Id="rId922" Type="http://schemas.openxmlformats.org/officeDocument/2006/relationships/hyperlink" Target="https://store.admitad.com/webmaster/websites/2166760/offers/26555-grandado-de/" TargetMode="External"/><Relationship Id="rId1138" Type="http://schemas.openxmlformats.org/officeDocument/2006/relationships/hyperlink" Target="https://store.admitad.com/webmaster/websites/2166760/offers/26912-dulux-uk/" TargetMode="External"/><Relationship Id="rId1345" Type="http://schemas.openxmlformats.org/officeDocument/2006/relationships/hyperlink" Target="https://www.deutsche-familienversicherung.de/" TargetMode="External"/><Relationship Id="rId1552" Type="http://schemas.openxmlformats.org/officeDocument/2006/relationships/hyperlink" Target="https://store.admitad.com/webmaster/websites/2166760/offers/27434-honeylove-us/" TargetMode="External"/><Relationship Id="rId1997" Type="http://schemas.openxmlformats.org/officeDocument/2006/relationships/hyperlink" Target="https://www.mister-lady.com/" TargetMode="External"/><Relationship Id="rId2603" Type="http://schemas.openxmlformats.org/officeDocument/2006/relationships/hyperlink" Target="https://www.isdin.com/us" TargetMode="External"/><Relationship Id="rId2950" Type="http://schemas.openxmlformats.org/officeDocument/2006/relationships/hyperlink" Target="https://store.admitad.com/webmaster/websites/2166760/offers/18698-dfsport/" TargetMode="External"/><Relationship Id="rId4056" Type="http://schemas.openxmlformats.org/officeDocument/2006/relationships/hyperlink" Target="https://store.admitad.com/webmaster/websites/2166760/offers/23845-arx-cps-ua/" TargetMode="External"/><Relationship Id="rId1205" Type="http://schemas.openxmlformats.org/officeDocument/2006/relationships/hyperlink" Target="https://www.underarmour.es/es-es" TargetMode="External"/><Relationship Id="rId1857" Type="http://schemas.openxmlformats.org/officeDocument/2006/relationships/hyperlink" Target="https://hu.elvenar.com/" TargetMode="External"/><Relationship Id="rId2810" Type="http://schemas.openxmlformats.org/officeDocument/2006/relationships/hyperlink" Target="https://store.admitad.com/webmaster/websites/2166760/offers/26198-blushmark-us-ca-fr/" TargetMode="External"/><Relationship Id="rId2908" Type="http://schemas.openxmlformats.org/officeDocument/2006/relationships/hyperlink" Target="https://store.admitad.com/webmaster/websites/2166760/offers/14983-blade-and-soul-cpp-ru-cis/" TargetMode="External"/><Relationship Id="rId51" Type="http://schemas.openxmlformats.org/officeDocument/2006/relationships/hyperlink" Target="https://www.desigual.com/en_PL" TargetMode="External"/><Relationship Id="rId1412" Type="http://schemas.openxmlformats.org/officeDocument/2006/relationships/hyperlink" Target="https://store.admitad.com/webmaster/websites/2166760/offers/27257-shopee-cps-th/" TargetMode="External"/><Relationship Id="rId1717" Type="http://schemas.openxmlformats.org/officeDocument/2006/relationships/hyperlink" Target="https://skyengschool.com/global" TargetMode="External"/><Relationship Id="rId1924" Type="http://schemas.openxmlformats.org/officeDocument/2006/relationships/hyperlink" Target="https://store.admitad.com/webmaster/websites/2166760/offers/26119-wavveco-ww/" TargetMode="External"/><Relationship Id="rId3072" Type="http://schemas.openxmlformats.org/officeDocument/2006/relationships/hyperlink" Target="https://store.admitad.com/webmaster/websites/2166760/offers/23473-smartreading-ru/" TargetMode="External"/><Relationship Id="rId3377" Type="http://schemas.openxmlformats.org/officeDocument/2006/relationships/hyperlink" Target="https://vedix.com/" TargetMode="External"/><Relationship Id="rId4123" Type="http://schemas.openxmlformats.org/officeDocument/2006/relationships/hyperlink" Target="https://moyo.ua/" TargetMode="External"/><Relationship Id="rId298" Type="http://schemas.openxmlformats.org/officeDocument/2006/relationships/hyperlink" Target="https://store.admitad.com/webmaster/websites/2166760/offers/23921-fudge-uk/" TargetMode="External"/><Relationship Id="rId3584" Type="http://schemas.openxmlformats.org/officeDocument/2006/relationships/hyperlink" Target="https://store.admitad.com/webmaster/websites/2166760/offers/2778-lamoda-ua/" TargetMode="External"/><Relationship Id="rId3791" Type="http://schemas.openxmlformats.org/officeDocument/2006/relationships/hyperlink" Target="https://www.brocard.ua/ru" TargetMode="External"/><Relationship Id="rId3889" Type="http://schemas.openxmlformats.org/officeDocument/2006/relationships/hyperlink" Target="https://bloomingdales.ae/" TargetMode="External"/><Relationship Id="rId158" Type="http://schemas.openxmlformats.org/officeDocument/2006/relationships/hyperlink" Target="https://store.admitad.com/webmaster/websites/2166760/offers/22713-credy-cps-ar/" TargetMode="External"/><Relationship Id="rId2186" Type="http://schemas.openxmlformats.org/officeDocument/2006/relationships/hyperlink" Target="https://store.admitad.com/webmaster/websites/2166760/offers/23795-protein-workstm-many-geos/" TargetMode="External"/><Relationship Id="rId2393" Type="http://schemas.openxmlformats.org/officeDocument/2006/relationships/hyperlink" Target="https://www.selectedhomme.in/" TargetMode="External"/><Relationship Id="rId2698" Type="http://schemas.openxmlformats.org/officeDocument/2006/relationships/hyperlink" Target="https://store.admitad.com/webmaster/websites/2166760/offers/22263-footlocker-ae-sa-kw/" TargetMode="External"/><Relationship Id="rId3237" Type="http://schemas.openxmlformats.org/officeDocument/2006/relationships/hyperlink" Target="https://plarium.com/en/game/hustle-castle/" TargetMode="External"/><Relationship Id="rId3444" Type="http://schemas.openxmlformats.org/officeDocument/2006/relationships/hyperlink" Target="https://store.admitad.com/webmaster/websites/2166760/offers/26578-eqvvs-uk/" TargetMode="External"/><Relationship Id="rId3651" Type="http://schemas.openxmlformats.org/officeDocument/2006/relationships/hyperlink" Target="http://antoshka.ua/" TargetMode="External"/><Relationship Id="rId365" Type="http://schemas.openxmlformats.org/officeDocument/2006/relationships/hyperlink" Target="https://shop.ledvance.com/" TargetMode="External"/><Relationship Id="rId572" Type="http://schemas.openxmlformats.org/officeDocument/2006/relationships/hyperlink" Target="https://store.admitad.com/webmaster/websites/2166760/offers/25342-tila-sa-links/" TargetMode="External"/><Relationship Id="rId2046" Type="http://schemas.openxmlformats.org/officeDocument/2006/relationships/hyperlink" Target="https://store.admitad.com/webmaster/websites/2166760/offers/25274-karaca-home-tr/" TargetMode="External"/><Relationship Id="rId2253" Type="http://schemas.openxmlformats.org/officeDocument/2006/relationships/hyperlink" Target="https://www.sockshop.co.uk/" TargetMode="External"/><Relationship Id="rId2460" Type="http://schemas.openxmlformats.org/officeDocument/2006/relationships/hyperlink" Target="https://store.admitad.com/webmaster/websites/2166760/offers/24264-afb-fr/" TargetMode="External"/><Relationship Id="rId3304" Type="http://schemas.openxmlformats.org/officeDocument/2006/relationships/hyperlink" Target="https://store.admitad.com/webmaster/websites/2166760/offers/20650-my-money-karma-cpl-in/" TargetMode="External"/><Relationship Id="rId3511" Type="http://schemas.openxmlformats.org/officeDocument/2006/relationships/hyperlink" Target="https://www.timesprime.com/" TargetMode="External"/><Relationship Id="rId3749" Type="http://schemas.openxmlformats.org/officeDocument/2006/relationships/hyperlink" Target="https://goodex24.com/" TargetMode="External"/><Relationship Id="rId3956" Type="http://schemas.openxmlformats.org/officeDocument/2006/relationships/hyperlink" Target="https://store.admitad.com/webmaster/websites/2166760/offers/21523-ivoryil/" TargetMode="External"/><Relationship Id="rId225" Type="http://schemas.openxmlformats.org/officeDocument/2006/relationships/hyperlink" Target="https://www.iciciprulife.com/ulip-plans/unit-linked-insurance-plans/icici-pru-signature-ulip-calculator.html" TargetMode="External"/><Relationship Id="rId432" Type="http://schemas.openxmlformats.org/officeDocument/2006/relationships/hyperlink" Target="https://store.admitad.com/webmaster/websites/2166760/offers/24728-latostadora-es/" TargetMode="External"/><Relationship Id="rId877" Type="http://schemas.openxmlformats.org/officeDocument/2006/relationships/hyperlink" Target="https://www.geld.nl/lenen/vergelijken" TargetMode="External"/><Relationship Id="rId1062" Type="http://schemas.openxmlformats.org/officeDocument/2006/relationships/hyperlink" Target="https://store.admitad.com/webmaster/websites/2166760/offers/26787-amorelie-de/" TargetMode="External"/><Relationship Id="rId2113" Type="http://schemas.openxmlformats.org/officeDocument/2006/relationships/hyperlink" Target="http://kingdoms.travian.com/ru" TargetMode="External"/><Relationship Id="rId2320" Type="http://schemas.openxmlformats.org/officeDocument/2006/relationships/hyperlink" Target="https://store.admitad.com/webmaster/websites/2166760/offers/27152-panorabanques-fr/" TargetMode="External"/><Relationship Id="rId2558" Type="http://schemas.openxmlformats.org/officeDocument/2006/relationships/hyperlink" Target="https://store.admitad.com/webmaster/websites/2166760/offers/26810-hervis-at/" TargetMode="External"/><Relationship Id="rId2765" Type="http://schemas.openxmlformats.org/officeDocument/2006/relationships/hyperlink" Target="https://loftschool.com/" TargetMode="External"/><Relationship Id="rId2972" Type="http://schemas.openxmlformats.org/officeDocument/2006/relationships/hyperlink" Target="https://store.admitad.com/webmaster/websites/2166760/offers/20138-berrylook-ww/" TargetMode="External"/><Relationship Id="rId3609" Type="http://schemas.openxmlformats.org/officeDocument/2006/relationships/hyperlink" Target="http://www.geekbuying.com/" TargetMode="External"/><Relationship Id="rId3816" Type="http://schemas.openxmlformats.org/officeDocument/2006/relationships/hyperlink" Target="https://store.admitad.com/webmaster/websites/2166760/offers/26789-herrenausstatter-de/" TargetMode="External"/><Relationship Id="rId737" Type="http://schemas.openxmlformats.org/officeDocument/2006/relationships/hyperlink" Target="https://hongskitchen.in/order-online/?utm_source=Logicserve_affiliate&amp;utm_medium=Admitad_CPO&amp;utm_campaign=%7bUnique_id%7d_%7bsub_publisher_id%7d" TargetMode="External"/><Relationship Id="rId944" Type="http://schemas.openxmlformats.org/officeDocument/2006/relationships/hyperlink" Target="https://store.admitad.com/webmaster/websites/2166760/offers/26599-lycamobile-us/" TargetMode="External"/><Relationship Id="rId1367" Type="http://schemas.openxmlformats.org/officeDocument/2006/relationships/hyperlink" Target="https://www.crunch.co.uk/" TargetMode="External"/><Relationship Id="rId1574" Type="http://schemas.openxmlformats.org/officeDocument/2006/relationships/hyperlink" Target="https://store.admitad.com/webmaster/websites/2166760/offers/27459-marypaz-es/" TargetMode="External"/><Relationship Id="rId1781" Type="http://schemas.openxmlformats.org/officeDocument/2006/relationships/hyperlink" Target="https://www.saramart.com/en-AE/" TargetMode="External"/><Relationship Id="rId2418" Type="http://schemas.openxmlformats.org/officeDocument/2006/relationships/hyperlink" Target="https://store.admitad.com/webmaster/websites/2166760/offers/22746-volagratis-it/" TargetMode="External"/><Relationship Id="rId2625" Type="http://schemas.openxmlformats.org/officeDocument/2006/relationships/hyperlink" Target="https://www.anyvan.com/av/aw" TargetMode="External"/><Relationship Id="rId2832" Type="http://schemas.openxmlformats.org/officeDocument/2006/relationships/hyperlink" Target="https://store.admitad.com/webmaster/websites/2166760/offers/26621-town-of-sins-doi-many-geos/" TargetMode="External"/><Relationship Id="rId4078" Type="http://schemas.openxmlformats.org/officeDocument/2006/relationships/hyperlink" Target="https://store.admitad.com/webmaster/websites/2166760/offers/26287-gentleherd-ww/" TargetMode="External"/><Relationship Id="rId73" Type="http://schemas.openxmlformats.org/officeDocument/2006/relationships/hyperlink" Target="http://alibaba.com/" TargetMode="External"/><Relationship Id="rId804" Type="http://schemas.openxmlformats.org/officeDocument/2006/relationships/hyperlink" Target="https://store.admitad.com/webmaster/websites/2166760/offers/26341-polski-koszyk-pl/" TargetMode="External"/><Relationship Id="rId1227" Type="http://schemas.openxmlformats.org/officeDocument/2006/relationships/hyperlink" Target="https://www.archiproducts.com/en" TargetMode="External"/><Relationship Id="rId1434" Type="http://schemas.openxmlformats.org/officeDocument/2006/relationships/hyperlink" Target="https://store.admitad.com/webmaster/websites/2166760/offers/27288-compressa-knee-sleeve-us/" TargetMode="External"/><Relationship Id="rId1641" Type="http://schemas.openxmlformats.org/officeDocument/2006/relationships/hyperlink" Target="http://www.kudd.ly/" TargetMode="External"/><Relationship Id="rId1879" Type="http://schemas.openxmlformats.org/officeDocument/2006/relationships/hyperlink" Target="https://www.gap.eu/" TargetMode="External"/><Relationship Id="rId3094" Type="http://schemas.openxmlformats.org/officeDocument/2006/relationships/hyperlink" Target="https://store.admitad.com/webmaster/websites/2166760/offers/24059-hamleys-cps-in/" TargetMode="External"/><Relationship Id="rId4145" Type="http://schemas.openxmlformats.org/officeDocument/2006/relationships/hyperlink" Target="https://www.forestessentialsindia.com/" TargetMode="External"/><Relationship Id="rId1501" Type="http://schemas.openxmlformats.org/officeDocument/2006/relationships/hyperlink" Target="https://www.orchidsinternationalschool.com/admissions-open-for-2021/?utm_source=Admitad&amp;utm_medium=affiliate&amp;utm_campaign=adzero" TargetMode="External"/><Relationship Id="rId1739" Type="http://schemas.openxmlformats.org/officeDocument/2006/relationships/hyperlink" Target="https://www.gasjeans.in/" TargetMode="External"/><Relationship Id="rId1946" Type="http://schemas.openxmlformats.org/officeDocument/2006/relationships/hyperlink" Target="https://store.admitad.com/webmaster/websites/2166760/offers/26528-names-uk/" TargetMode="External"/><Relationship Id="rId3399" Type="http://schemas.openxmlformats.org/officeDocument/2006/relationships/hyperlink" Target="https://sf.education/" TargetMode="External"/><Relationship Id="rId4005" Type="http://schemas.openxmlformats.org/officeDocument/2006/relationships/hyperlink" Target="https://www.faasos.com/" TargetMode="External"/><Relationship Id="rId1806" Type="http://schemas.openxmlformats.org/officeDocument/2006/relationships/hyperlink" Target="https://store.admitad.com/webmaster/websites/2166760/offers/26667-null-leasing-de/" TargetMode="External"/><Relationship Id="rId3161" Type="http://schemas.openxmlformats.org/officeDocument/2006/relationships/hyperlink" Target="https://store.my.games/play/game/conquerors_blade_my_com/?lang=en_US" TargetMode="External"/><Relationship Id="rId3259" Type="http://schemas.openxmlformats.org/officeDocument/2006/relationships/hyperlink" Target="http://alpinabook.ru/" TargetMode="External"/><Relationship Id="rId3466" Type="http://schemas.openxmlformats.org/officeDocument/2006/relationships/hyperlink" Target="https://store.admitad.com/webmaster/websites/2166760/offers/2476-lingualeo/" TargetMode="External"/><Relationship Id="rId4212" Type="http://schemas.openxmlformats.org/officeDocument/2006/relationships/hyperlink" Target="https://store.admitad.com/webmaster/websites/2166760/offers/19912-guess-ru/" TargetMode="External"/><Relationship Id="rId387" Type="http://schemas.openxmlformats.org/officeDocument/2006/relationships/hyperlink" Target="https://the-private-label.com/" TargetMode="External"/><Relationship Id="rId594" Type="http://schemas.openxmlformats.org/officeDocument/2006/relationships/hyperlink" Target="https://store.admitad.com/webmaster/websites/2166760/offers/25476-druckerpatronenexpress-de/" TargetMode="External"/><Relationship Id="rId2068" Type="http://schemas.openxmlformats.org/officeDocument/2006/relationships/hyperlink" Target="https://store.admitad.com/webmaster/websites/2166760/offers/26701-europcar-de/" TargetMode="External"/><Relationship Id="rId2275" Type="http://schemas.openxmlformats.org/officeDocument/2006/relationships/hyperlink" Target="https://www.polo-motorrad.com/de-de/" TargetMode="External"/><Relationship Id="rId3021" Type="http://schemas.openxmlformats.org/officeDocument/2006/relationships/hyperlink" Target="https://mamaearth.in/" TargetMode="External"/><Relationship Id="rId3119" Type="http://schemas.openxmlformats.org/officeDocument/2006/relationships/hyperlink" Target="https://skinkraft.com/" TargetMode="External"/><Relationship Id="rId3326" Type="http://schemas.openxmlformats.org/officeDocument/2006/relationships/hyperlink" Target="https://store.admitad.com/webmaster/websites/2166760/offers/21951-portal-educacao/" TargetMode="External"/><Relationship Id="rId3673" Type="http://schemas.openxmlformats.org/officeDocument/2006/relationships/hyperlink" Target="https://allright.io/" TargetMode="External"/><Relationship Id="rId3880" Type="http://schemas.openxmlformats.org/officeDocument/2006/relationships/hyperlink" Target="https://store.admitad.com/webmaster/websites/2166760/offers/22373-perfumes-club-cps-es-de-it-fr-uk/" TargetMode="External"/><Relationship Id="rId3978" Type="http://schemas.openxmlformats.org/officeDocument/2006/relationships/hyperlink" Target="https://store.admitad.com/webmaster/websites/2166760/offers/23390-lookfantastic-many-geos/" TargetMode="External"/><Relationship Id="rId247" Type="http://schemas.openxmlformats.org/officeDocument/2006/relationships/hyperlink" Target="http://www.skiphop.com/" TargetMode="External"/><Relationship Id="rId899" Type="http://schemas.openxmlformats.org/officeDocument/2006/relationships/hyperlink" Target="https://www.yogabars.in/" TargetMode="External"/><Relationship Id="rId1084" Type="http://schemas.openxmlformats.org/officeDocument/2006/relationships/hyperlink" Target="https://store.admitad.com/webmaster/websites/2166760/offers/26836-west-elm-ae-sa-kw-offline-codes/" TargetMode="External"/><Relationship Id="rId2482" Type="http://schemas.openxmlformats.org/officeDocument/2006/relationships/hyperlink" Target="https://store.admitad.com/webmaster/websites/2166760/offers/24856-superwnetrze-pl/" TargetMode="External"/><Relationship Id="rId2787" Type="http://schemas.openxmlformats.org/officeDocument/2006/relationships/hyperlink" Target="https://turbovpn.com/" TargetMode="External"/><Relationship Id="rId3533" Type="http://schemas.openxmlformats.org/officeDocument/2006/relationships/hyperlink" Target="https://symbol.ua/" TargetMode="External"/><Relationship Id="rId3740" Type="http://schemas.openxmlformats.org/officeDocument/2006/relationships/hyperlink" Target="https://store.admitad.com/webmaster/websites/2166760/offers/24106-fordeal-many-geos/" TargetMode="External"/><Relationship Id="rId3838" Type="http://schemas.openxmlformats.org/officeDocument/2006/relationships/hyperlink" Target="https://store.admitad.com/webmaster/websites/2166760/offers/14638-kf-cps-api-ua/" TargetMode="External"/><Relationship Id="rId107" Type="http://schemas.openxmlformats.org/officeDocument/2006/relationships/hyperlink" Target="https://www.bonprix.pl/" TargetMode="External"/><Relationship Id="rId454" Type="http://schemas.openxmlformats.org/officeDocument/2006/relationships/hyperlink" Target="https://store.admitad.com/webmaster/websites/2166760/offers/24850-chemist-uk/" TargetMode="External"/><Relationship Id="rId661" Type="http://schemas.openxmlformats.org/officeDocument/2006/relationships/hyperlink" Target="https://www.autodesk.co.uk/buy-online" TargetMode="External"/><Relationship Id="rId759" Type="http://schemas.openxmlformats.org/officeDocument/2006/relationships/hyperlink" Target="https://www.rupeeredee.com/" TargetMode="External"/><Relationship Id="rId966" Type="http://schemas.openxmlformats.org/officeDocument/2006/relationships/hyperlink" Target="https://store.admitad.com/webmaster/websites/2166760/offers/26651-reifen-de/" TargetMode="External"/><Relationship Id="rId1291" Type="http://schemas.openxmlformats.org/officeDocument/2006/relationships/hyperlink" Target="https://www.gogroopie.com/" TargetMode="External"/><Relationship Id="rId1389" Type="http://schemas.openxmlformats.org/officeDocument/2006/relationships/hyperlink" Target="https://www.freshworks.com/" TargetMode="External"/><Relationship Id="rId1596" Type="http://schemas.openxmlformats.org/officeDocument/2006/relationships/hyperlink" Target="https://store.admitad.com/webmaster/websites/2166760/offers/27480-andme-cpv-in/" TargetMode="External"/><Relationship Id="rId2135" Type="http://schemas.openxmlformats.org/officeDocument/2006/relationships/hyperlink" Target="https://12go.asia/" TargetMode="External"/><Relationship Id="rId2342" Type="http://schemas.openxmlformats.org/officeDocument/2006/relationships/hyperlink" Target="https://store.admitad.com/webmaster/websites/2166760/offers/27328-tink-de/" TargetMode="External"/><Relationship Id="rId2647" Type="http://schemas.openxmlformats.org/officeDocument/2006/relationships/hyperlink" Target="http://www.fnp.com/" TargetMode="External"/><Relationship Id="rId2994" Type="http://schemas.openxmlformats.org/officeDocument/2006/relationships/hyperlink" Target="https://store.admitad.com/webmaster/websites/2166760/offers/20979-lost-ark-cpp-ru-cis/" TargetMode="External"/><Relationship Id="rId3600" Type="http://schemas.openxmlformats.org/officeDocument/2006/relationships/hyperlink" Target="https://store.admitad.com/webmaster/websites/2166760/offers/14350-tomtop-ww/" TargetMode="External"/><Relationship Id="rId314" Type="http://schemas.openxmlformats.org/officeDocument/2006/relationships/hyperlink" Target="https://store.admitad.com/webmaster/websites/2166760/offers/24020-temple-spa-uk/" TargetMode="External"/><Relationship Id="rId521" Type="http://schemas.openxmlformats.org/officeDocument/2006/relationships/hyperlink" Target="https://puresense.co.in/" TargetMode="External"/><Relationship Id="rId619" Type="http://schemas.openxmlformats.org/officeDocument/2006/relationships/hyperlink" Target="https://www.sephora.ae/" TargetMode="External"/><Relationship Id="rId1151" Type="http://schemas.openxmlformats.org/officeDocument/2006/relationships/hyperlink" Target="https://shopee.pl/" TargetMode="External"/><Relationship Id="rId1249" Type="http://schemas.openxmlformats.org/officeDocument/2006/relationships/hyperlink" Target="https://www.weinfreunde.de/" TargetMode="External"/><Relationship Id="rId2202" Type="http://schemas.openxmlformats.org/officeDocument/2006/relationships/hyperlink" Target="https://store.admitad.com/webmaster/websites/2166760/offers/24337-bodybuilding-warehouse-uk/" TargetMode="External"/><Relationship Id="rId2854" Type="http://schemas.openxmlformats.org/officeDocument/2006/relationships/hyperlink" Target="https://store.admitad.com/webmaster/websites/2166760/offers/27079-house-of-watches-uk/" TargetMode="External"/><Relationship Id="rId3905" Type="http://schemas.openxmlformats.org/officeDocument/2006/relationships/hyperlink" Target="https://iu.ru/" TargetMode="External"/><Relationship Id="rId95" Type="http://schemas.openxmlformats.org/officeDocument/2006/relationships/hyperlink" Target="https://www.vertbaudet.es/" TargetMode="External"/><Relationship Id="rId826" Type="http://schemas.openxmlformats.org/officeDocument/2006/relationships/hyperlink" Target="https://store.admitad.com/webmaster/websites/2166760/offers/26406-keeps-us/" TargetMode="External"/><Relationship Id="rId1011" Type="http://schemas.openxmlformats.org/officeDocument/2006/relationships/hyperlink" Target="https://www.autoparti.it/" TargetMode="External"/><Relationship Id="rId1109" Type="http://schemas.openxmlformats.org/officeDocument/2006/relationships/hyperlink" Target="https://www.thejewellershop.com/" TargetMode="External"/><Relationship Id="rId1456" Type="http://schemas.openxmlformats.org/officeDocument/2006/relationships/hyperlink" Target="https://store.admitad.com/webmaster/websites/2166760/offers/27322-chronopost-fr/" TargetMode="External"/><Relationship Id="rId1663" Type="http://schemas.openxmlformats.org/officeDocument/2006/relationships/hyperlink" Target="https://www.myprotein.se/" TargetMode="External"/><Relationship Id="rId1870" Type="http://schemas.openxmlformats.org/officeDocument/2006/relationships/hyperlink" Target="https://store.admitad.com/webmaster/websites/2166760/offers/23036-luis-bien-tr/" TargetMode="External"/><Relationship Id="rId1968" Type="http://schemas.openxmlformats.org/officeDocument/2006/relationships/hyperlink" Target="https://store.admitad.com/webmaster/websites/2166760/offers/26854-samsung-it/" TargetMode="External"/><Relationship Id="rId2507" Type="http://schemas.openxmlformats.org/officeDocument/2006/relationships/hyperlink" Target="https://www.karsten.com.br/" TargetMode="External"/><Relationship Id="rId2714" Type="http://schemas.openxmlformats.org/officeDocument/2006/relationships/hyperlink" Target="https://store.admitad.com/webmaster/websites/2166760/offers/22939-game-of-thrones-soi-esprit-fr/" TargetMode="External"/><Relationship Id="rId2921" Type="http://schemas.openxmlformats.org/officeDocument/2006/relationships/hyperlink" Target="http://www.indiangiftsportal.com/" TargetMode="External"/><Relationship Id="rId4167" Type="http://schemas.openxmlformats.org/officeDocument/2006/relationships/hyperlink" Target="https://lidberty.com/" TargetMode="External"/><Relationship Id="rId1316" Type="http://schemas.openxmlformats.org/officeDocument/2006/relationships/hyperlink" Target="https://store.admitad.com/webmaster/websites/2166760/offers/27120-yopa-uk/" TargetMode="External"/><Relationship Id="rId1523" Type="http://schemas.openxmlformats.org/officeDocument/2006/relationships/hyperlink" Target="https://www.converse.pl/" TargetMode="External"/><Relationship Id="rId1730" Type="http://schemas.openxmlformats.org/officeDocument/2006/relationships/hyperlink" Target="https://store.admitad.com/webmaster/websites/2166760/offers/27801-jana-bank-cpl-in/" TargetMode="External"/><Relationship Id="rId3183" Type="http://schemas.openxmlformats.org/officeDocument/2006/relationships/hyperlink" Target="https://www.palmers-shop.com/" TargetMode="External"/><Relationship Id="rId3390" Type="http://schemas.openxmlformats.org/officeDocument/2006/relationships/hyperlink" Target="https://store.admitad.com/webmaster/websites/2166760/offers/24857-uol-play-br/" TargetMode="External"/><Relationship Id="rId4027" Type="http://schemas.openxmlformats.org/officeDocument/2006/relationships/hyperlink" Target="https://theluxurycloset.com/" TargetMode="External"/><Relationship Id="rId4234" Type="http://schemas.openxmlformats.org/officeDocument/2006/relationships/hyperlink" Target="https://store.admitad.com/webmaster/websites/2166760/offers/26821-cotosen-ww/" TargetMode="External"/><Relationship Id="rId22" Type="http://schemas.openxmlformats.org/officeDocument/2006/relationships/hyperlink" Target="https://store.admitad.com/webmaster/websites/2166760/offers/17350-libertex-cps-ww/" TargetMode="External"/><Relationship Id="rId1828" Type="http://schemas.openxmlformats.org/officeDocument/2006/relationships/hyperlink" Target="https://store.admitad.com/webmaster/websites/2166760/offers/27168-thorntons-uk/" TargetMode="External"/><Relationship Id="rId3043" Type="http://schemas.openxmlformats.org/officeDocument/2006/relationships/hyperlink" Target="https://like4card.com/" TargetMode="External"/><Relationship Id="rId3250" Type="http://schemas.openxmlformats.org/officeDocument/2006/relationships/hyperlink" Target="https://store.admitad.com/webmaster/websites/2166760/offers/3061-oldi/" TargetMode="External"/><Relationship Id="rId3488" Type="http://schemas.openxmlformats.org/officeDocument/2006/relationships/hyperlink" Target="https://store.admitad.com/webmaster/websites/2166760/offers/19458-modoza-ua/" TargetMode="External"/><Relationship Id="rId3695" Type="http://schemas.openxmlformats.org/officeDocument/2006/relationships/hyperlink" Target="https://e-loan.homecredit.kz/online3/offer?iframe_id=hjfgfrte$32&amp;lang=ru" TargetMode="External"/><Relationship Id="rId171" Type="http://schemas.openxmlformats.org/officeDocument/2006/relationships/hyperlink" Target="https://www.theoutnet.com/en-ae" TargetMode="External"/><Relationship Id="rId2297" Type="http://schemas.openxmlformats.org/officeDocument/2006/relationships/hyperlink" Target="https://www.vitabiotics.com/" TargetMode="External"/><Relationship Id="rId3348" Type="http://schemas.openxmlformats.org/officeDocument/2006/relationships/hyperlink" Target="https://store.admitad.com/webmaster/websites/2166760/offers/23286-luis-bien-nl/" TargetMode="External"/><Relationship Id="rId3555" Type="http://schemas.openxmlformats.org/officeDocument/2006/relationships/hyperlink" Target="https://answear.bg/" TargetMode="External"/><Relationship Id="rId3762" Type="http://schemas.openxmlformats.org/officeDocument/2006/relationships/hyperlink" Target="https://store.admitad.com/webmaster/websites/2166760/offers/24688-neals-yard-remedies-uk-us/" TargetMode="External"/><Relationship Id="rId269" Type="http://schemas.openxmlformats.org/officeDocument/2006/relationships/hyperlink" Target="https://www.techinasia.com/subscription/dollar-trial/payment" TargetMode="External"/><Relationship Id="rId476" Type="http://schemas.openxmlformats.org/officeDocument/2006/relationships/hyperlink" Target="https://store.admitad.com/webmaster/websites/2166760/offers/24953-agent-provocateur-mena-offline-codes/" TargetMode="External"/><Relationship Id="rId683" Type="http://schemas.openxmlformats.org/officeDocument/2006/relationships/hyperlink" Target="https://www.g-star.com/en" TargetMode="External"/><Relationship Id="rId890" Type="http://schemas.openxmlformats.org/officeDocument/2006/relationships/hyperlink" Target="https://store.admitad.com/webmaster/websites/2166760/offers/26524-soultree-cps-in/" TargetMode="External"/><Relationship Id="rId2157" Type="http://schemas.openxmlformats.org/officeDocument/2006/relationships/hyperlink" Target="https://www.logitech.com/en-gb" TargetMode="External"/><Relationship Id="rId2364" Type="http://schemas.openxmlformats.org/officeDocument/2006/relationships/hyperlink" Target="https://store.admitad.com/webmaster/websites/2166760/offers/15251-the-panel-station-cpl-in/" TargetMode="External"/><Relationship Id="rId2571" Type="http://schemas.openxmlformats.org/officeDocument/2006/relationships/hyperlink" Target="https://www.underarmour.de/" TargetMode="External"/><Relationship Id="rId3110" Type="http://schemas.openxmlformats.org/officeDocument/2006/relationships/hyperlink" Target="https://store.admitad.com/webmaster/websites/2166760/offers/24389-ca-de/" TargetMode="External"/><Relationship Id="rId3208" Type="http://schemas.openxmlformats.org/officeDocument/2006/relationships/hyperlink" Target="https://store.admitad.com/webmaster/websites/2166760/offers/26781-ottonova-de/" TargetMode="External"/><Relationship Id="rId3415" Type="http://schemas.openxmlformats.org/officeDocument/2006/relationships/hyperlink" Target="https://www.narzedzia.pl/" TargetMode="External"/><Relationship Id="rId129" Type="http://schemas.openxmlformats.org/officeDocument/2006/relationships/hyperlink" Target="https://www.victoriassecret.ae/en/" TargetMode="External"/><Relationship Id="rId336" Type="http://schemas.openxmlformats.org/officeDocument/2006/relationships/hyperlink" Target="https://store.admitad.com/webmaster/websites/2166760/offers/24185-vita-coco-uk/" TargetMode="External"/><Relationship Id="rId543" Type="http://schemas.openxmlformats.org/officeDocument/2006/relationships/hyperlink" Target="https://www.mindfactory.de/" TargetMode="External"/><Relationship Id="rId988" Type="http://schemas.openxmlformats.org/officeDocument/2006/relationships/hyperlink" Target="https://store.admitad.com/webmaster/websites/2166760/offers/26674-gorillas-de/" TargetMode="External"/><Relationship Id="rId1173" Type="http://schemas.openxmlformats.org/officeDocument/2006/relationships/hyperlink" Target="https://www.beerwulf.com/it-it" TargetMode="External"/><Relationship Id="rId1380" Type="http://schemas.openxmlformats.org/officeDocument/2006/relationships/hyperlink" Target="https://store.admitad.com/webmaster/websites/2166760/offers/27189-pop-in-a-box-us/" TargetMode="External"/><Relationship Id="rId2017" Type="http://schemas.openxmlformats.org/officeDocument/2006/relationships/hyperlink" Target="https://cz.elvenar.com/" TargetMode="External"/><Relationship Id="rId2224" Type="http://schemas.openxmlformats.org/officeDocument/2006/relationships/hyperlink" Target="https://store.admitad.com/webmaster/websites/2166760/offers/25931-libas-cps-in/" TargetMode="External"/><Relationship Id="rId2669" Type="http://schemas.openxmlformats.org/officeDocument/2006/relationships/hyperlink" Target="https://www.hostelworld.com/" TargetMode="External"/><Relationship Id="rId2876" Type="http://schemas.openxmlformats.org/officeDocument/2006/relationships/hyperlink" Target="https://store.admitad.com/webmaster/websites/2166760/offers/27437-raid-shadow-legends-cpp-jp/" TargetMode="External"/><Relationship Id="rId3622" Type="http://schemas.openxmlformats.org/officeDocument/2006/relationships/hyperlink" Target="https://store.admitad.com/webmaster/websites/2166760/offers/17401-ounass-gcc-offline-codes-links/" TargetMode="External"/><Relationship Id="rId3927" Type="http://schemas.openxmlformats.org/officeDocument/2006/relationships/hyperlink" Target="https://www.justherbs.in/" TargetMode="External"/><Relationship Id="rId403" Type="http://schemas.openxmlformats.org/officeDocument/2006/relationships/hyperlink" Target="https://www.publicdesire.com/" TargetMode="External"/><Relationship Id="rId750" Type="http://schemas.openxmlformats.org/officeDocument/2006/relationships/hyperlink" Target="https://store.admitad.com/webmaster/websites/2166760/offers/26174-under-armour-ie/" TargetMode="External"/><Relationship Id="rId848" Type="http://schemas.openxmlformats.org/officeDocument/2006/relationships/hyperlink" Target="https://store.admitad.com/webmaster/websites/2166760/offers/26444-magix-vegas-creative-software-nl/" TargetMode="External"/><Relationship Id="rId1033" Type="http://schemas.openxmlformats.org/officeDocument/2006/relationships/hyperlink" Target="https://www.grandado.com/" TargetMode="External"/><Relationship Id="rId1478" Type="http://schemas.openxmlformats.org/officeDocument/2006/relationships/hyperlink" Target="https://store.admitad.com/webmaster/websites/2166760/offers/27349-clarosa-fr/" TargetMode="External"/><Relationship Id="rId1685" Type="http://schemas.openxmlformats.org/officeDocument/2006/relationships/hyperlink" Target="https://click.hoolig.app/?pid=18&amp;offer_id=27" TargetMode="External"/><Relationship Id="rId1892" Type="http://schemas.openxmlformats.org/officeDocument/2006/relationships/hyperlink" Target="https://store.admitad.com/webmaster/websites/2166760/offers/24416-miracle-of-denim-de/" TargetMode="External"/><Relationship Id="rId2431" Type="http://schemas.openxmlformats.org/officeDocument/2006/relationships/hyperlink" Target="https://shop.cubot.net/" TargetMode="External"/><Relationship Id="rId2529" Type="http://schemas.openxmlformats.org/officeDocument/2006/relationships/hyperlink" Target="https://www.theknittingnetwork.co.uk/" TargetMode="External"/><Relationship Id="rId2736" Type="http://schemas.openxmlformats.org/officeDocument/2006/relationships/hyperlink" Target="https://store.admitad.com/webmaster/websites/2166760/offers/23488-the-derma-co-cps-in/" TargetMode="External"/><Relationship Id="rId4091" Type="http://schemas.openxmlformats.org/officeDocument/2006/relationships/hyperlink" Target="http://nutritive.com.ua/" TargetMode="External"/><Relationship Id="rId4189" Type="http://schemas.openxmlformats.org/officeDocument/2006/relationships/hyperlink" Target="http://dhgate.com/" TargetMode="External"/><Relationship Id="rId610" Type="http://schemas.openxmlformats.org/officeDocument/2006/relationships/hyperlink" Target="https://store.admitad.com/webmaster/websites/2166760/offers/25503-space-nk-uk/" TargetMode="External"/><Relationship Id="rId708" Type="http://schemas.openxmlformats.org/officeDocument/2006/relationships/hyperlink" Target="https://store.admitad.com/webmaster/websites/2166760/offers/26093-acnecide-uk/" TargetMode="External"/><Relationship Id="rId915" Type="http://schemas.openxmlformats.org/officeDocument/2006/relationships/hyperlink" Target="https://www.watchmaster.com/de" TargetMode="External"/><Relationship Id="rId1240" Type="http://schemas.openxmlformats.org/officeDocument/2006/relationships/hyperlink" Target="https://store.admitad.com/webmaster/websites/2166760/offers/27044-hrs-de-at/" TargetMode="External"/><Relationship Id="rId1338" Type="http://schemas.openxmlformats.org/officeDocument/2006/relationships/hyperlink" Target="https://store.admitad.com/webmaster/websites/2166760/offers/27140-soliver-de/" TargetMode="External"/><Relationship Id="rId1545" Type="http://schemas.openxmlformats.org/officeDocument/2006/relationships/hyperlink" Target="https://www.lumen.me/" TargetMode="External"/><Relationship Id="rId2943" Type="http://schemas.openxmlformats.org/officeDocument/2006/relationships/hyperlink" Target="https://www.nationalcar.com/en/home.html" TargetMode="External"/><Relationship Id="rId4049" Type="http://schemas.openxmlformats.org/officeDocument/2006/relationships/hyperlink" Target="https://cash-kf.com.ua/ru/" TargetMode="External"/><Relationship Id="rId1100" Type="http://schemas.openxmlformats.org/officeDocument/2006/relationships/hyperlink" Target="https://store.admitad.com/webmaster/websites/2166760/offers/26860-rad-power-bikes-dach-uk-it-es/" TargetMode="External"/><Relationship Id="rId1405" Type="http://schemas.openxmlformats.org/officeDocument/2006/relationships/hyperlink" Target="https://myloview.pl/" TargetMode="External"/><Relationship Id="rId1752" Type="http://schemas.openxmlformats.org/officeDocument/2006/relationships/hyperlink" Target="https://store.admitad.com/webmaster/websites/2166760/offers/17113-aika-2-cpp-ru-cis/" TargetMode="External"/><Relationship Id="rId2803" Type="http://schemas.openxmlformats.org/officeDocument/2006/relationships/hyperlink" Target="https://ukrparts.com.ua/" TargetMode="External"/><Relationship Id="rId44" Type="http://schemas.openxmlformats.org/officeDocument/2006/relationships/hyperlink" Target="https://store.admitad.com/webmaster/websites/2166760/offers/19220-myglamm-cps-in/" TargetMode="External"/><Relationship Id="rId1612" Type="http://schemas.openxmlformats.org/officeDocument/2006/relationships/hyperlink" Target="https://store.admitad.com/webmaster/websites/2166760/offers/27502-livpuresleep-cps-in/" TargetMode="External"/><Relationship Id="rId1917" Type="http://schemas.openxmlformats.org/officeDocument/2006/relationships/hyperlink" Target="https://www.bestsellerclothing.in/sale-bs-clothing" TargetMode="External"/><Relationship Id="rId3065" Type="http://schemas.openxmlformats.org/officeDocument/2006/relationships/hyperlink" Target="https://shopcrocs.in/" TargetMode="External"/><Relationship Id="rId3272" Type="http://schemas.openxmlformats.org/officeDocument/2006/relationships/hyperlink" Target="https://store.admitad.com/webmaster/websites/2166760/offers/16303-gotosport/" TargetMode="External"/><Relationship Id="rId4116" Type="http://schemas.openxmlformats.org/officeDocument/2006/relationships/hyperlink" Target="https://store.admitad.com/webmaster/websites/2166760/offers/26866-caliber-doi-rucis/" TargetMode="External"/><Relationship Id="rId193" Type="http://schemas.openxmlformats.org/officeDocument/2006/relationships/hyperlink" Target="https://espritgames.com/de/gameofthrones" TargetMode="External"/><Relationship Id="rId498" Type="http://schemas.openxmlformats.org/officeDocument/2006/relationships/hyperlink" Target="https://store.admitad.com/webmaster/websites/2166760/offers/25043-walmart-affiliate-program/" TargetMode="External"/><Relationship Id="rId2081" Type="http://schemas.openxmlformats.org/officeDocument/2006/relationships/hyperlink" Target="https://www.village-hotels.co.uk/" TargetMode="External"/><Relationship Id="rId2179" Type="http://schemas.openxmlformats.org/officeDocument/2006/relationships/hyperlink" Target="https://shop.bisleri.com/?utm_source=Admitad&amp;utm_medium=affiliatenetwork&amp;utm_campaign=pa_display_afn_bil_bil_brn_ge_wc__sep-21&amp;utm_term=admitad_nu_cst__20ltr&amp;utm_content=na_eng_sba___web&amp;tagtag_uid=%7b%7badmitad_uid%7d%7d" TargetMode="External"/><Relationship Id="rId3132" Type="http://schemas.openxmlformats.org/officeDocument/2006/relationships/hyperlink" Target="https://store.admitad.com/webmaster/websites/2166760/offers/24881-hdfc-securities-cpa-in/" TargetMode="External"/><Relationship Id="rId3577" Type="http://schemas.openxmlformats.org/officeDocument/2006/relationships/hyperlink" Target="https://www.conforama.fr/" TargetMode="External"/><Relationship Id="rId3784" Type="http://schemas.openxmlformats.org/officeDocument/2006/relationships/hyperlink" Target="https://store.admitad.com/webmaster/websites/2166760/offers/25967-credit365-kz/" TargetMode="External"/><Relationship Id="rId3991" Type="http://schemas.openxmlformats.org/officeDocument/2006/relationships/hyperlink" Target="https://www.vidaxl.nl/" TargetMode="External"/><Relationship Id="rId260" Type="http://schemas.openxmlformats.org/officeDocument/2006/relationships/hyperlink" Target="https://store.admitad.com/webmaster/websites/2166760/offers/23511-zavvi-mena/" TargetMode="External"/><Relationship Id="rId2386" Type="http://schemas.openxmlformats.org/officeDocument/2006/relationships/hyperlink" Target="https://store.admitad.com/webmaster/websites/2166760/offers/21476-floweraura-cps-in/" TargetMode="External"/><Relationship Id="rId2593" Type="http://schemas.openxmlformats.org/officeDocument/2006/relationships/hyperlink" Target="https://www.maciag-offroad.de/" TargetMode="External"/><Relationship Id="rId3437" Type="http://schemas.openxmlformats.org/officeDocument/2006/relationships/hyperlink" Target="https://www.winxdvd.com/" TargetMode="External"/><Relationship Id="rId3644" Type="http://schemas.openxmlformats.org/officeDocument/2006/relationships/hyperlink" Target="https://store.admitad.com/webmaster/websites/2166760/offers/19009-envato-ww/" TargetMode="External"/><Relationship Id="rId3851" Type="http://schemas.openxmlformats.org/officeDocument/2006/relationships/hyperlink" Target="https://intertop.ua/" TargetMode="External"/><Relationship Id="rId120" Type="http://schemas.openxmlformats.org/officeDocument/2006/relationships/hyperlink" Target="https://store.admitad.com/webmaster/websites/2166760/offers/22016-autodoc-cpi-ios-many-geos/" TargetMode="External"/><Relationship Id="rId358" Type="http://schemas.openxmlformats.org/officeDocument/2006/relationships/hyperlink" Target="https://store.admitad.com/webmaster/websites/2166760/offers/24329-emp-uk/" TargetMode="External"/><Relationship Id="rId565" Type="http://schemas.openxmlformats.org/officeDocument/2006/relationships/hyperlink" Target="https://www.lacoste.com/ae/en/" TargetMode="External"/><Relationship Id="rId772" Type="http://schemas.openxmlformats.org/officeDocument/2006/relationships/hyperlink" Target="https://store.admitad.com/webmaster/websites/2166760/offers/26243-auric-cpv-in/" TargetMode="External"/><Relationship Id="rId1195" Type="http://schemas.openxmlformats.org/officeDocument/2006/relationships/hyperlink" Target="https://www.e-wie-einfach.de/" TargetMode="External"/><Relationship Id="rId2039" Type="http://schemas.openxmlformats.org/officeDocument/2006/relationships/hyperlink" Target="https://hetmanrecovery.com/" TargetMode="External"/><Relationship Id="rId2246" Type="http://schemas.openxmlformats.org/officeDocument/2006/relationships/hyperlink" Target="https://store.admitad.com/webmaster/websites/2166760/offers/26337-legimi-pl/" TargetMode="External"/><Relationship Id="rId2453" Type="http://schemas.openxmlformats.org/officeDocument/2006/relationships/hyperlink" Target="https://2407.pl/" TargetMode="External"/><Relationship Id="rId2660" Type="http://schemas.openxmlformats.org/officeDocument/2006/relationships/hyperlink" Target="https://store.admitad.com/webmaster/websites/2166760/offers/19229-infobus-cps-ww/" TargetMode="External"/><Relationship Id="rId2898" Type="http://schemas.openxmlformats.org/officeDocument/2006/relationships/hyperlink" Target="https://store.admitad.com/webmaster/websites/2166760/offers/8410-rail-nation-doi-ru-many-geos/" TargetMode="External"/><Relationship Id="rId3504" Type="http://schemas.openxmlformats.org/officeDocument/2006/relationships/hyperlink" Target="https://store.admitad.com/webmaster/websites/2166760/offers/21996-prego-ua/" TargetMode="External"/><Relationship Id="rId3711" Type="http://schemas.openxmlformats.org/officeDocument/2006/relationships/hyperlink" Target="https://www.eoutlet.com/" TargetMode="External"/><Relationship Id="rId3949" Type="http://schemas.openxmlformats.org/officeDocument/2006/relationships/hyperlink" Target="https://www.tatacliq.com/" TargetMode="External"/><Relationship Id="rId218" Type="http://schemas.openxmlformats.org/officeDocument/2006/relationships/hyperlink" Target="https://store.admitad.com/webmaster/websites/2166760/offers/23148-redcarpet-cpr-in/" TargetMode="External"/><Relationship Id="rId425" Type="http://schemas.openxmlformats.org/officeDocument/2006/relationships/hyperlink" Target="https://azimo.com/es" TargetMode="External"/><Relationship Id="rId632" Type="http://schemas.openxmlformats.org/officeDocument/2006/relationships/hyperlink" Target="https://store.admitad.com/webmaster/websites/2166760/offers/25682-bergdorf-goodman-neiman-marcus-us/" TargetMode="External"/><Relationship Id="rId1055" Type="http://schemas.openxmlformats.org/officeDocument/2006/relationships/hyperlink" Target="https://www.nencinisport.it/en/" TargetMode="External"/><Relationship Id="rId1262" Type="http://schemas.openxmlformats.org/officeDocument/2006/relationships/hyperlink" Target="https://store.admitad.com/webmaster/websites/2166760/offers/27058-goldsmiths-uk/" TargetMode="External"/><Relationship Id="rId2106" Type="http://schemas.openxmlformats.org/officeDocument/2006/relationships/hyperlink" Target="https://store.admitad.com/webmaster/websites/2166760/offers/27485-macxdvd-ww/" TargetMode="External"/><Relationship Id="rId2313" Type="http://schemas.openxmlformats.org/officeDocument/2006/relationships/hyperlink" Target="https://www.oakfurnituresuperstore.co.uk/" TargetMode="External"/><Relationship Id="rId2520" Type="http://schemas.openxmlformats.org/officeDocument/2006/relationships/hyperlink" Target="https://store.admitad.com/webmaster/websites/2166760/offers/26355-zooplus-pl/" TargetMode="External"/><Relationship Id="rId2758" Type="http://schemas.openxmlformats.org/officeDocument/2006/relationships/hyperlink" Target="https://store.admitad.com/webmaster/websites/2166760/offers/24312-otelz-many-geos/" TargetMode="External"/><Relationship Id="rId2965" Type="http://schemas.openxmlformats.org/officeDocument/2006/relationships/hyperlink" Target="https://conteshop.ru/" TargetMode="External"/><Relationship Id="rId3809" Type="http://schemas.openxmlformats.org/officeDocument/2006/relationships/hyperlink" Target="https://www.communityfibre.co.uk/" TargetMode="External"/><Relationship Id="rId937" Type="http://schemas.openxmlformats.org/officeDocument/2006/relationships/hyperlink" Target="https://www.leisurelakesbikes.com/" TargetMode="External"/><Relationship Id="rId1122" Type="http://schemas.openxmlformats.org/officeDocument/2006/relationships/hyperlink" Target="https://store.admitad.com/webmaster/websites/2166760/offers/26895-alhabib-bedding-ksa-offline-codes/" TargetMode="External"/><Relationship Id="rId1567" Type="http://schemas.openxmlformats.org/officeDocument/2006/relationships/hyperlink" Target="https://www.thetoyshop.com/" TargetMode="External"/><Relationship Id="rId1774" Type="http://schemas.openxmlformats.org/officeDocument/2006/relationships/hyperlink" Target="https://store.admitad.com/webmaster/websites/2166760/offers/23924-burts-bees-uk/" TargetMode="External"/><Relationship Id="rId1981" Type="http://schemas.openxmlformats.org/officeDocument/2006/relationships/hyperlink" Target="https://www.weirdfish.co.uk/" TargetMode="External"/><Relationship Id="rId2618" Type="http://schemas.openxmlformats.org/officeDocument/2006/relationships/hyperlink" Target="https://store.admitad.com/webmaster/websites/2166760/offers/27359-snaptrip-uk/" TargetMode="External"/><Relationship Id="rId2825" Type="http://schemas.openxmlformats.org/officeDocument/2006/relationships/hyperlink" Target="https://www.collectiflondon.com/" TargetMode="External"/><Relationship Id="rId4180" Type="http://schemas.openxmlformats.org/officeDocument/2006/relationships/hyperlink" Target="https://store.admitad.com/webmaster/websites/2166760/offers/20603-bigcommerce-many-geos/" TargetMode="External"/><Relationship Id="rId66" Type="http://schemas.openxmlformats.org/officeDocument/2006/relationships/hyperlink" Target="https://store.admitad.com/webmaster/websites/2166760/offers/20077-crocs-us/" TargetMode="External"/><Relationship Id="rId1427" Type="http://schemas.openxmlformats.org/officeDocument/2006/relationships/hyperlink" Target="https://shop.vodafone.co.uk/" TargetMode="External"/><Relationship Id="rId1634" Type="http://schemas.openxmlformats.org/officeDocument/2006/relationships/hyperlink" Target="https://store.admitad.com/webmaster/websites/2166760/offers/27538-my-majestic-pet-nl/" TargetMode="External"/><Relationship Id="rId1841" Type="http://schemas.openxmlformats.org/officeDocument/2006/relationships/hyperlink" Target="https://www.cesdeals.com/" TargetMode="External"/><Relationship Id="rId3087" Type="http://schemas.openxmlformats.org/officeDocument/2006/relationships/hyperlink" Target="https://www.mspy.com/" TargetMode="External"/><Relationship Id="rId3294" Type="http://schemas.openxmlformats.org/officeDocument/2006/relationships/hyperlink" Target="https://store.admitad.com/webmaster/websites/2166760/offers/19626-bagland-ua/" TargetMode="External"/><Relationship Id="rId4040" Type="http://schemas.openxmlformats.org/officeDocument/2006/relationships/hyperlink" Target="https://store.admitad.com/webmaster/websites/2166760/offers/22579-evaua/" TargetMode="External"/><Relationship Id="rId4138" Type="http://schemas.openxmlformats.org/officeDocument/2006/relationships/hyperlink" Target="https://store.admitad.com/webmaster/websites/2166760/offers/22695-novakid-es/" TargetMode="External"/><Relationship Id="rId1939" Type="http://schemas.openxmlformats.org/officeDocument/2006/relationships/hyperlink" Target="https://www.beyerdynamic.de/" TargetMode="External"/><Relationship Id="rId3599" Type="http://schemas.openxmlformats.org/officeDocument/2006/relationships/hyperlink" Target="http://tomtop.com/" TargetMode="External"/><Relationship Id="rId1701" Type="http://schemas.openxmlformats.org/officeDocument/2006/relationships/hyperlink" Target="https://www.superbottoms.com/collections/diapering?utm_source=admitad&amp;utm_medium=Affiliate" TargetMode="External"/><Relationship Id="rId3154" Type="http://schemas.openxmlformats.org/officeDocument/2006/relationships/hyperlink" Target="https://store.admitad.com/webmaster/websites/2166760/offers/25319-fanwars-doi-ru-cis/" TargetMode="External"/><Relationship Id="rId3361" Type="http://schemas.openxmlformats.org/officeDocument/2006/relationships/hyperlink" Target="https://www.bookdepository.com/" TargetMode="External"/><Relationship Id="rId3459" Type="http://schemas.openxmlformats.org/officeDocument/2006/relationships/hyperlink" Target="https://www.warbyparker.com/" TargetMode="External"/><Relationship Id="rId3666" Type="http://schemas.openxmlformats.org/officeDocument/2006/relationships/hyperlink" Target="https://store.admitad.com/webmaster/websites/2166760/offers/20678-fozzy/" TargetMode="External"/><Relationship Id="rId4205" Type="http://schemas.openxmlformats.org/officeDocument/2006/relationships/hyperlink" Target="http://iherb.com/" TargetMode="External"/><Relationship Id="rId282" Type="http://schemas.openxmlformats.org/officeDocument/2006/relationships/hyperlink" Target="https://store.admitad.com/webmaster/websites/2166760/offers/23808-dancenter-de/" TargetMode="External"/><Relationship Id="rId587" Type="http://schemas.openxmlformats.org/officeDocument/2006/relationships/hyperlink" Target="http://www.harveynichols.com/" TargetMode="External"/><Relationship Id="rId2170" Type="http://schemas.openxmlformats.org/officeDocument/2006/relationships/hyperlink" Target="https://store.admitad.com/webmaster/websites/2166760/offers/23346-vijay-sales-cps-in/" TargetMode="External"/><Relationship Id="rId2268" Type="http://schemas.openxmlformats.org/officeDocument/2006/relationships/hyperlink" Target="https://store.admitad.com/webmaster/websites/2166760/offers/26700-nastygal-uk/" TargetMode="External"/><Relationship Id="rId3014" Type="http://schemas.openxmlformats.org/officeDocument/2006/relationships/hyperlink" Target="https://store.admitad.com/webmaster/websites/2166760/offers/21930-hdfc-ergo-health-cpl-in/" TargetMode="External"/><Relationship Id="rId3221" Type="http://schemas.openxmlformats.org/officeDocument/2006/relationships/hyperlink" Target="https://www.underarmour.com/en-us/" TargetMode="External"/><Relationship Id="rId3319" Type="http://schemas.openxmlformats.org/officeDocument/2006/relationships/hyperlink" Target="http://blackdesert.inn.eu/click?pid=2&amp;offer_id=22&amp;ref_id=%7b%7badmitad_uid%7d%7d&amp;sub1=%7b%7bpublisher_id%7d%7d&amp;sub2=%7b%7bwebsite_id%7d%7d" TargetMode="External"/><Relationship Id="rId3873" Type="http://schemas.openxmlformats.org/officeDocument/2006/relationships/hyperlink" Target="https://www.oneplus.in/" TargetMode="External"/><Relationship Id="rId8" Type="http://schemas.openxmlformats.org/officeDocument/2006/relationships/hyperlink" Target="https://store.admitad.com/webmaster/websites/2166760/offers/14757-pepperfry-cps-in/" TargetMode="External"/><Relationship Id="rId142" Type="http://schemas.openxmlformats.org/officeDocument/2006/relationships/hyperlink" Target="https://store.admitad.com/webmaster/websites/2166760/offers/22446-lacoste-cz/" TargetMode="External"/><Relationship Id="rId447" Type="http://schemas.openxmlformats.org/officeDocument/2006/relationships/hyperlink" Target="https://www.leopard.es/" TargetMode="External"/><Relationship Id="rId794" Type="http://schemas.openxmlformats.org/officeDocument/2006/relationships/hyperlink" Target="https://store.admitad.com/webmaster/websites/2166760/offers/26311-aida-de/" TargetMode="External"/><Relationship Id="rId1077" Type="http://schemas.openxmlformats.org/officeDocument/2006/relationships/hyperlink" Target="https://www.wowcher.com/es/" TargetMode="External"/><Relationship Id="rId2030" Type="http://schemas.openxmlformats.org/officeDocument/2006/relationships/hyperlink" Target="https://store.admitad.com/webmaster/websites/2166760/offers/23592-china-play-cn/" TargetMode="External"/><Relationship Id="rId2128" Type="http://schemas.openxmlformats.org/officeDocument/2006/relationships/hyperlink" Target="https://store.admitad.com/webmaster/websites/2166760/offers/17520-archeage-cpp-ru-cis/" TargetMode="External"/><Relationship Id="rId2475" Type="http://schemas.openxmlformats.org/officeDocument/2006/relationships/hyperlink" Target="https://www.nbastore.eu/" TargetMode="External"/><Relationship Id="rId2682" Type="http://schemas.openxmlformats.org/officeDocument/2006/relationships/hyperlink" Target="https://store.admitad.com/webmaster/websites/2166760/offers/21308-foreo-us-ca/" TargetMode="External"/><Relationship Id="rId2987" Type="http://schemas.openxmlformats.org/officeDocument/2006/relationships/hyperlink" Target="https://www.durian.in/" TargetMode="External"/><Relationship Id="rId3526" Type="http://schemas.openxmlformats.org/officeDocument/2006/relationships/hyperlink" Target="https://store.admitad.com/webmaster/websites/2166760/offers/23291-sweettv-cpl-ua/" TargetMode="External"/><Relationship Id="rId3733" Type="http://schemas.openxmlformats.org/officeDocument/2006/relationships/hyperlink" Target="https://www.trustedhousesitters.com/" TargetMode="External"/><Relationship Id="rId3940" Type="http://schemas.openxmlformats.org/officeDocument/2006/relationships/hyperlink" Target="https://store.admitad.com/webmaster/websites/2166760/offers/26564-street-one-de/" TargetMode="External"/><Relationship Id="rId654" Type="http://schemas.openxmlformats.org/officeDocument/2006/relationships/hyperlink" Target="https://store.admitad.com/webmaster/websites/2166760/offers/25829-geliebtes-zuhause-de/" TargetMode="External"/><Relationship Id="rId861" Type="http://schemas.openxmlformats.org/officeDocument/2006/relationships/hyperlink" Target="https://www.thebodyshop.com/sv-se/" TargetMode="External"/><Relationship Id="rId959" Type="http://schemas.openxmlformats.org/officeDocument/2006/relationships/hyperlink" Target="https://impericon.com/" TargetMode="External"/><Relationship Id="rId1284" Type="http://schemas.openxmlformats.org/officeDocument/2006/relationships/hyperlink" Target="https://store.admitad.com/webmaster/websites/2166760/offers/27084-liquid-life-de/" TargetMode="External"/><Relationship Id="rId1491" Type="http://schemas.openxmlformats.org/officeDocument/2006/relationships/hyperlink" Target="https://www.unitedconsumers.com/" TargetMode="External"/><Relationship Id="rId1589" Type="http://schemas.openxmlformats.org/officeDocument/2006/relationships/hyperlink" Target="http://www.nextbase.com/en-gb/" TargetMode="External"/><Relationship Id="rId2335" Type="http://schemas.openxmlformats.org/officeDocument/2006/relationships/hyperlink" Target="https://www.wallis.co.uk/" TargetMode="External"/><Relationship Id="rId2542" Type="http://schemas.openxmlformats.org/officeDocument/2006/relationships/hyperlink" Target="https://store.admitad.com/webmaster/websites/2166760/offers/26637-biossance-br/" TargetMode="External"/><Relationship Id="rId3800" Type="http://schemas.openxmlformats.org/officeDocument/2006/relationships/hyperlink" Target="https://store.admitad.com/webmaster/websites/2166760/offers/26370-sparhandy-de/" TargetMode="External"/><Relationship Id="rId307" Type="http://schemas.openxmlformats.org/officeDocument/2006/relationships/hyperlink" Target="https://www.dell.com/en-in" TargetMode="External"/><Relationship Id="rId514" Type="http://schemas.openxmlformats.org/officeDocument/2006/relationships/hyperlink" Target="https://store.admitad.com/webmaster/websites/2166760/offers/25086-sky-uk/" TargetMode="External"/><Relationship Id="rId721" Type="http://schemas.openxmlformats.org/officeDocument/2006/relationships/hyperlink" Target="https://tfbank.de/" TargetMode="External"/><Relationship Id="rId1144" Type="http://schemas.openxmlformats.org/officeDocument/2006/relationships/hyperlink" Target="https://store.admitad.com/webmaster/websites/2166760/offers/26919-ted-baker-de/" TargetMode="External"/><Relationship Id="rId1351" Type="http://schemas.openxmlformats.org/officeDocument/2006/relationships/hyperlink" Target="https://www.enviedefraise.it/" TargetMode="External"/><Relationship Id="rId1449" Type="http://schemas.openxmlformats.org/officeDocument/2006/relationships/hyperlink" Target="https://www.farfetch.com/mx/" TargetMode="External"/><Relationship Id="rId1796" Type="http://schemas.openxmlformats.org/officeDocument/2006/relationships/hyperlink" Target="https://store.admitad.com/webmaster/websites/2166760/offers/26548-freddies-flowers-uk/" TargetMode="External"/><Relationship Id="rId2402" Type="http://schemas.openxmlformats.org/officeDocument/2006/relationships/hyperlink" Target="https://store.admitad.com/webmaster/websites/2166760/offers/22278-sugarcosmetic-cps-in/" TargetMode="External"/><Relationship Id="rId2847" Type="http://schemas.openxmlformats.org/officeDocument/2006/relationships/hyperlink" Target="https://www.lloydspharmacy.com/" TargetMode="External"/><Relationship Id="rId4062" Type="http://schemas.openxmlformats.org/officeDocument/2006/relationships/hyperlink" Target="https://store.admitad.com/webmaster/websites/2166760/offers/24189-sk-misto-cps-ua/" TargetMode="External"/><Relationship Id="rId88" Type="http://schemas.openxmlformats.org/officeDocument/2006/relationships/hyperlink" Target="https://store.admitad.com/webmaster/websites/2166760/offers/21361-hostinger-ww/" TargetMode="External"/><Relationship Id="rId819" Type="http://schemas.openxmlformats.org/officeDocument/2006/relationships/hyperlink" Target="https://www.bajajfinserv.in/" TargetMode="External"/><Relationship Id="rId1004" Type="http://schemas.openxmlformats.org/officeDocument/2006/relationships/hyperlink" Target="https://store.admitad.com/webmaster/websites/2166760/offers/26686-qatar-de/" TargetMode="External"/><Relationship Id="rId1211" Type="http://schemas.openxmlformats.org/officeDocument/2006/relationships/hyperlink" Target="https://www.underarmour.nl/" TargetMode="External"/><Relationship Id="rId1656" Type="http://schemas.openxmlformats.org/officeDocument/2006/relationships/hyperlink" Target="https://store.admitad.com/webmaster/websites/2166760/offers/27550-startselect-de/" TargetMode="External"/><Relationship Id="rId1863" Type="http://schemas.openxmlformats.org/officeDocument/2006/relationships/hyperlink" Target="https://www.bonprix.cz/" TargetMode="External"/><Relationship Id="rId2707" Type="http://schemas.openxmlformats.org/officeDocument/2006/relationships/hyperlink" Target="https://youtravel.me/" TargetMode="External"/><Relationship Id="rId2914" Type="http://schemas.openxmlformats.org/officeDocument/2006/relationships/hyperlink" Target="https://store.admitad.com/webmaster/websites/2166760/offers/15218-floraexpress/" TargetMode="External"/><Relationship Id="rId1309" Type="http://schemas.openxmlformats.org/officeDocument/2006/relationships/hyperlink" Target="https://www.orion.de/" TargetMode="External"/><Relationship Id="rId1516" Type="http://schemas.openxmlformats.org/officeDocument/2006/relationships/hyperlink" Target="https://store.admitad.com/webmaster/websites/2166760/offers/27399-footpatrol-nl/" TargetMode="External"/><Relationship Id="rId1723" Type="http://schemas.openxmlformats.org/officeDocument/2006/relationships/hyperlink" Target="https://play.google.com/store/apps/details?id=com.unocoin.unocoinwallet" TargetMode="External"/><Relationship Id="rId1930" Type="http://schemas.openxmlformats.org/officeDocument/2006/relationships/hyperlink" Target="https://store.admitad.com/webmaster/websites/2166760/offers/26222-naturadika-cps-es-it/" TargetMode="External"/><Relationship Id="rId3176" Type="http://schemas.openxmlformats.org/officeDocument/2006/relationships/hyperlink" Target="https://store.admitad.com/webmaster/websites/2166760/offers/26301-maxi-sport-it/" TargetMode="External"/><Relationship Id="rId3383" Type="http://schemas.openxmlformats.org/officeDocument/2006/relationships/hyperlink" Target="https://www.geekmaxi.com/" TargetMode="External"/><Relationship Id="rId3590" Type="http://schemas.openxmlformats.org/officeDocument/2006/relationships/hyperlink" Target="https://store.admitad.com/webmaster/websites/2166760/offers/12770-print-bar/" TargetMode="External"/><Relationship Id="rId4227" Type="http://schemas.openxmlformats.org/officeDocument/2006/relationships/hyperlink" Target="https://www.kotak.com/811-savingsaccount-ZeroBalanceAccount/811/ahome2.action?source" TargetMode="External"/><Relationship Id="rId15" Type="http://schemas.openxmlformats.org/officeDocument/2006/relationships/hyperlink" Target="http://lingualeo.com/" TargetMode="External"/><Relationship Id="rId2192" Type="http://schemas.openxmlformats.org/officeDocument/2006/relationships/hyperlink" Target="https://store.admitad.com/webmaster/websites/2166760/offers/23941-soul-dance-party-cpp-rucis/" TargetMode="External"/><Relationship Id="rId3036" Type="http://schemas.openxmlformats.org/officeDocument/2006/relationships/hyperlink" Target="https://store.admitad.com/webmaster/websites/2166760/offers/22780-tous-ua/" TargetMode="External"/><Relationship Id="rId3243" Type="http://schemas.openxmlformats.org/officeDocument/2006/relationships/hyperlink" Target="https://www.rattandirect.co.uk/" TargetMode="External"/><Relationship Id="rId3688" Type="http://schemas.openxmlformats.org/officeDocument/2006/relationships/hyperlink" Target="https://store.admitad.com/webmaster/websites/2166760/offers/22174-nextrp-cpp-ru-many-geos/" TargetMode="External"/><Relationship Id="rId3895" Type="http://schemas.openxmlformats.org/officeDocument/2006/relationships/hyperlink" Target="https://malinovka.org/" TargetMode="External"/><Relationship Id="rId164" Type="http://schemas.openxmlformats.org/officeDocument/2006/relationships/hyperlink" Target="https://store.admitad.com/webmaster/websites/2166760/offers/22726-rumbo-es/" TargetMode="External"/><Relationship Id="rId371" Type="http://schemas.openxmlformats.org/officeDocument/2006/relationships/hyperlink" Target="https://percko.com/" TargetMode="External"/><Relationship Id="rId2052" Type="http://schemas.openxmlformats.org/officeDocument/2006/relationships/hyperlink" Target="https://store.admitad.com/webmaster/websites/2166760/offers/26343-czasnabuty-pl/" TargetMode="External"/><Relationship Id="rId2497" Type="http://schemas.openxmlformats.org/officeDocument/2006/relationships/hyperlink" Target="https://fr.nuxe.com/" TargetMode="External"/><Relationship Id="rId3450" Type="http://schemas.openxmlformats.org/officeDocument/2006/relationships/hyperlink" Target="https://store.admitad.com/webmaster/websites/2166760/offers/26877-betreut-de/" TargetMode="External"/><Relationship Id="rId3548" Type="http://schemas.openxmlformats.org/officeDocument/2006/relationships/hyperlink" Target="https://store.admitad.com/webmaster/websites/2166760/offers/24467-minuto-seguros/" TargetMode="External"/><Relationship Id="rId3755" Type="http://schemas.openxmlformats.org/officeDocument/2006/relationships/hyperlink" Target="https://store.acer.com/en-in/" TargetMode="External"/><Relationship Id="rId469" Type="http://schemas.openxmlformats.org/officeDocument/2006/relationships/hyperlink" Target="https://www.freshtohome.com/" TargetMode="External"/><Relationship Id="rId676" Type="http://schemas.openxmlformats.org/officeDocument/2006/relationships/hyperlink" Target="https://store.admitad.com/webmaster/websites/2166760/offers/25938-brooks-brothers-mx/" TargetMode="External"/><Relationship Id="rId883" Type="http://schemas.openxmlformats.org/officeDocument/2006/relationships/hyperlink" Target="https://www.hrs.com/" TargetMode="External"/><Relationship Id="rId1099" Type="http://schemas.openxmlformats.org/officeDocument/2006/relationships/hyperlink" Target="https://radpowerbikes.eu/" TargetMode="External"/><Relationship Id="rId2357" Type="http://schemas.openxmlformats.org/officeDocument/2006/relationships/hyperlink" Target="http://booking.com/in" TargetMode="External"/><Relationship Id="rId2564" Type="http://schemas.openxmlformats.org/officeDocument/2006/relationships/hyperlink" Target="https://store.admitad.com/webmaster/websites/2166760/offers/26959-coopers-of-stortford-uk/" TargetMode="External"/><Relationship Id="rId3103" Type="http://schemas.openxmlformats.org/officeDocument/2006/relationships/hyperlink" Target="https://www.lentiamo.it/" TargetMode="External"/><Relationship Id="rId3310" Type="http://schemas.openxmlformats.org/officeDocument/2006/relationships/hyperlink" Target="https://store.admitad.com/webmaster/websites/2166760/offers/21000-submarino-br/" TargetMode="External"/><Relationship Id="rId3408" Type="http://schemas.openxmlformats.org/officeDocument/2006/relationships/hyperlink" Target="https://store.admitad.com/webmaster/websites/2166760/offers/25307-cooker-ua/" TargetMode="External"/><Relationship Id="rId3615" Type="http://schemas.openxmlformats.org/officeDocument/2006/relationships/hyperlink" Target="https://www.lakestone.ru/" TargetMode="External"/><Relationship Id="rId3962" Type="http://schemas.openxmlformats.org/officeDocument/2006/relationships/hyperlink" Target="https://store.admitad.com/webmaster/websites/2166760/offers/21562-eyewa-ae-sa-kw-qt-om-offline-codes-links/" TargetMode="External"/><Relationship Id="rId231" Type="http://schemas.openxmlformats.org/officeDocument/2006/relationships/hyperlink" Target="https://www.bershka.com/es/" TargetMode="External"/><Relationship Id="rId329" Type="http://schemas.openxmlformats.org/officeDocument/2006/relationships/hyperlink" Target="https://apps.apple.com/us/app/hola-vpn-privacy-security/id903869356" TargetMode="External"/><Relationship Id="rId536" Type="http://schemas.openxmlformats.org/officeDocument/2006/relationships/hyperlink" Target="https://store.admitad.com/webmaster/websites/2166760/offers/25166-aignermunich/" TargetMode="External"/><Relationship Id="rId1166" Type="http://schemas.openxmlformats.org/officeDocument/2006/relationships/hyperlink" Target="https://store.admitad.com/webmaster/websites/2166760/offers/26963-glossybox-de/" TargetMode="External"/><Relationship Id="rId1373" Type="http://schemas.openxmlformats.org/officeDocument/2006/relationships/hyperlink" Target="https://www.samsung.com/pt/" TargetMode="External"/><Relationship Id="rId2217" Type="http://schemas.openxmlformats.org/officeDocument/2006/relationships/hyperlink" Target="https://iqs.defactofashion.com/" TargetMode="External"/><Relationship Id="rId2771" Type="http://schemas.openxmlformats.org/officeDocument/2006/relationships/hyperlink" Target="https://roselinlin.com/" TargetMode="External"/><Relationship Id="rId2869" Type="http://schemas.openxmlformats.org/officeDocument/2006/relationships/hyperlink" Target="https://www.qustodio.com/" TargetMode="External"/><Relationship Id="rId3822" Type="http://schemas.openxmlformats.org/officeDocument/2006/relationships/hyperlink" Target="https://store.admitad.com/webmaster/websites/2166760/offers/27151-camif-fr/" TargetMode="External"/><Relationship Id="rId743" Type="http://schemas.openxmlformats.org/officeDocument/2006/relationships/hyperlink" Target="https://www.kiehls.sa/en/home" TargetMode="External"/><Relationship Id="rId950" Type="http://schemas.openxmlformats.org/officeDocument/2006/relationships/hyperlink" Target="https://store.admitad.com/webmaster/websites/2166760/offers/26612-gdata-dach/" TargetMode="External"/><Relationship Id="rId1026" Type="http://schemas.openxmlformats.org/officeDocument/2006/relationships/hyperlink" Target="https://store.admitad.com/webmaster/websites/2166760/offers/26708-airtel-postpaid-cpa-in/" TargetMode="External"/><Relationship Id="rId1580" Type="http://schemas.openxmlformats.org/officeDocument/2006/relationships/hyperlink" Target="https://store.admitad.com/webmaster/websites/2166760/offers/27466-aeg-de/" TargetMode="External"/><Relationship Id="rId1678" Type="http://schemas.openxmlformats.org/officeDocument/2006/relationships/hyperlink" Target="https://store.admitad.com/webmaster/websites/2166760/offers/27582-trend-collection-ua/" TargetMode="External"/><Relationship Id="rId1885" Type="http://schemas.openxmlformats.org/officeDocument/2006/relationships/hyperlink" Target="https://monese.com/" TargetMode="External"/><Relationship Id="rId2424" Type="http://schemas.openxmlformats.org/officeDocument/2006/relationships/hyperlink" Target="https://store.admitad.com/webmaster/websites/2166760/offers/22877-superstep-ua/" TargetMode="External"/><Relationship Id="rId2631" Type="http://schemas.openxmlformats.org/officeDocument/2006/relationships/hyperlink" Target="http://ru.strawberrynet.com/" TargetMode="External"/><Relationship Id="rId2729" Type="http://schemas.openxmlformats.org/officeDocument/2006/relationships/hyperlink" Target="https://uae.danubehome.com/" TargetMode="External"/><Relationship Id="rId2936" Type="http://schemas.openxmlformats.org/officeDocument/2006/relationships/hyperlink" Target="https://store.admitad.com/webmaster/websites/2166760/offers/17846-skillshare-many-geos/" TargetMode="External"/><Relationship Id="rId4084" Type="http://schemas.openxmlformats.org/officeDocument/2006/relationships/hyperlink" Target="https://store.admitad.com/webmaster/websites/2166760/offers/26648-druckerzubehoer-de/" TargetMode="External"/><Relationship Id="rId603" Type="http://schemas.openxmlformats.org/officeDocument/2006/relationships/hyperlink" Target="http://www.vattenfall.nl/" TargetMode="External"/><Relationship Id="rId810" Type="http://schemas.openxmlformats.org/officeDocument/2006/relationships/hyperlink" Target="https://store.admitad.com/webmaster/websites/2166760/offers/26350-t-mobile-pl/" TargetMode="External"/><Relationship Id="rId908" Type="http://schemas.openxmlformats.org/officeDocument/2006/relationships/hyperlink" Target="https://store.admitad.com/webmaster/websites/2166760/offers/26547-sonova-nl/" TargetMode="External"/><Relationship Id="rId1233" Type="http://schemas.openxmlformats.org/officeDocument/2006/relationships/hyperlink" Target="https://www.eon-energia.com/it/casa.html" TargetMode="External"/><Relationship Id="rId1440" Type="http://schemas.openxmlformats.org/officeDocument/2006/relationships/hyperlink" Target="https://store.admitad.com/webmaster/websites/2166760/offers/27291-uvpure-us/" TargetMode="External"/><Relationship Id="rId1538" Type="http://schemas.openxmlformats.org/officeDocument/2006/relationships/hyperlink" Target="https://store.admitad.com/webmaster/websites/2166760/offers/27421-book-outlet-us/" TargetMode="External"/><Relationship Id="rId4151" Type="http://schemas.openxmlformats.org/officeDocument/2006/relationships/hyperlink" Target="https://www.kinguin.net/" TargetMode="External"/><Relationship Id="rId1300" Type="http://schemas.openxmlformats.org/officeDocument/2006/relationships/hyperlink" Target="https://store.admitad.com/webmaster/websites/2166760/offers/27102-adler-modemarkte-de/" TargetMode="External"/><Relationship Id="rId1745" Type="http://schemas.openxmlformats.org/officeDocument/2006/relationships/hyperlink" Target="http://www.therange.co.uk/" TargetMode="External"/><Relationship Id="rId1952" Type="http://schemas.openxmlformats.org/officeDocument/2006/relationships/hyperlink" Target="https://store.admitad.com/webmaster/websites/2166760/offers/26588-probikekit-us-canada/" TargetMode="External"/><Relationship Id="rId3198" Type="http://schemas.openxmlformats.org/officeDocument/2006/relationships/hyperlink" Target="https://store.admitad.com/webmaster/websites/2166760/offers/26719-marionnaud-fr/" TargetMode="External"/><Relationship Id="rId4011" Type="http://schemas.openxmlformats.org/officeDocument/2006/relationships/hyperlink" Target="http://depositphotos.com/" TargetMode="External"/><Relationship Id="rId37" Type="http://schemas.openxmlformats.org/officeDocument/2006/relationships/hyperlink" Target="https://www.freshly.com/" TargetMode="External"/><Relationship Id="rId1605" Type="http://schemas.openxmlformats.org/officeDocument/2006/relationships/hyperlink" Target="https://scorector.com/uk" TargetMode="External"/><Relationship Id="rId1812" Type="http://schemas.openxmlformats.org/officeDocument/2006/relationships/hyperlink" Target="https://store.admitad.com/webmaster/websites/2166760/offers/26761-nastygal-fr/" TargetMode="External"/><Relationship Id="rId3058" Type="http://schemas.openxmlformats.org/officeDocument/2006/relationships/hyperlink" Target="https://store.admitad.com/webmaster/websites/2166760/offers/23171-wowbodyslim-ua/" TargetMode="External"/><Relationship Id="rId3265" Type="http://schemas.openxmlformats.org/officeDocument/2006/relationships/hyperlink" Target="https://sgroshi.com.ua/" TargetMode="External"/><Relationship Id="rId3472" Type="http://schemas.openxmlformats.org/officeDocument/2006/relationships/hyperlink" Target="https://store.admitad.com/webmaster/websites/2166760/offers/14339-volt-market-ru/" TargetMode="External"/><Relationship Id="rId4109" Type="http://schemas.openxmlformats.org/officeDocument/2006/relationships/hyperlink" Target="https://www.nayomi.com/" TargetMode="External"/><Relationship Id="rId186" Type="http://schemas.openxmlformats.org/officeDocument/2006/relationships/hyperlink" Target="https://store.admitad.com/webmaster/websites/2166760/offers/22899-reseller-club-cps-ww/" TargetMode="External"/><Relationship Id="rId393" Type="http://schemas.openxmlformats.org/officeDocument/2006/relationships/hyperlink" Target="https://www.bancobmg.com.br/vasco/" TargetMode="External"/><Relationship Id="rId2074" Type="http://schemas.openxmlformats.org/officeDocument/2006/relationships/hyperlink" Target="https://store.admitad.com/webmaster/websites/2166760/offers/26852-vermietet-de/" TargetMode="External"/><Relationship Id="rId2281" Type="http://schemas.openxmlformats.org/officeDocument/2006/relationships/hyperlink" Target="https://www.craftstash.co.uk/" TargetMode="External"/><Relationship Id="rId3125" Type="http://schemas.openxmlformats.org/officeDocument/2006/relationships/hyperlink" Target="https://www.happyeasygo.com/" TargetMode="External"/><Relationship Id="rId3332" Type="http://schemas.openxmlformats.org/officeDocument/2006/relationships/hyperlink" Target="https://store.admitad.com/webmaster/websites/2166760/offers/22414-redwolf-cps-in/" TargetMode="External"/><Relationship Id="rId3777" Type="http://schemas.openxmlformats.org/officeDocument/2006/relationships/hyperlink" Target="https://argo.com.ua/" TargetMode="External"/><Relationship Id="rId3984" Type="http://schemas.openxmlformats.org/officeDocument/2006/relationships/hyperlink" Target="https://store.admitad.com/webmaster/websites/2166760/offers/24209-game-of-thrones-soi-rucis/" TargetMode="External"/><Relationship Id="rId253" Type="http://schemas.openxmlformats.org/officeDocument/2006/relationships/hyperlink" Target="https://www.hunkemoller.es/" TargetMode="External"/><Relationship Id="rId460" Type="http://schemas.openxmlformats.org/officeDocument/2006/relationships/hyperlink" Target="https://store.admitad.com/webmaster/websites/2166760/offers/24869-foscam-de/" TargetMode="External"/><Relationship Id="rId698" Type="http://schemas.openxmlformats.org/officeDocument/2006/relationships/hyperlink" Target="https://store.admitad.com/webmaster/websites/2166760/offers/26078-currentbody-nl/" TargetMode="External"/><Relationship Id="rId1090" Type="http://schemas.openxmlformats.org/officeDocument/2006/relationships/hyperlink" Target="https://store.admitad.com/webmaster/websites/2166760/offers/26839-pottery-barn-ae-sa-kw-offline-codes/" TargetMode="External"/><Relationship Id="rId2141" Type="http://schemas.openxmlformats.org/officeDocument/2006/relationships/hyperlink" Target="https://www.6thstreet.com/" TargetMode="External"/><Relationship Id="rId2379" Type="http://schemas.openxmlformats.org/officeDocument/2006/relationships/hyperlink" Target="https://drimsim.com/" TargetMode="External"/><Relationship Id="rId2586" Type="http://schemas.openxmlformats.org/officeDocument/2006/relationships/hyperlink" Target="https://store.admitad.com/webmaster/websites/2166760/offers/27105-lacoste-de/" TargetMode="External"/><Relationship Id="rId2793" Type="http://schemas.openxmlformats.org/officeDocument/2006/relationships/hyperlink" Target="https://cashradar.kz/go" TargetMode="External"/><Relationship Id="rId3637" Type="http://schemas.openxmlformats.org/officeDocument/2006/relationships/hyperlink" Target="http://www.samsung.com/in/" TargetMode="External"/><Relationship Id="rId3844" Type="http://schemas.openxmlformats.org/officeDocument/2006/relationships/hyperlink" Target="https://store.admitad.com/webmaster/websites/2166760/offers/15481-myntra-cps-in/" TargetMode="External"/><Relationship Id="rId113" Type="http://schemas.openxmlformats.org/officeDocument/2006/relationships/hyperlink" Target="https://www.navabi.fr/" TargetMode="External"/><Relationship Id="rId320" Type="http://schemas.openxmlformats.org/officeDocument/2006/relationships/hyperlink" Target="https://store.admitad.com/webmaster/websites/2166760/offers/24061-stradivarius-uk/" TargetMode="External"/><Relationship Id="rId558" Type="http://schemas.openxmlformats.org/officeDocument/2006/relationships/hyperlink" Target="https://store.admitad.com/webmaster/websites/2166760/offers/25272-fussmattenwelt-de/" TargetMode="External"/><Relationship Id="rId765" Type="http://schemas.openxmlformats.org/officeDocument/2006/relationships/hyperlink" Target="https://www.emaarkt.com/" TargetMode="External"/><Relationship Id="rId972" Type="http://schemas.openxmlformats.org/officeDocument/2006/relationships/hyperlink" Target="https://store.admitad.com/webmaster/websites/2166760/offers/26659-koi-footwear-uk/" TargetMode="External"/><Relationship Id="rId1188" Type="http://schemas.openxmlformats.org/officeDocument/2006/relationships/hyperlink" Target="https://store.admitad.com/webmaster/websites/2166760/offers/26984-joules-us/" TargetMode="External"/><Relationship Id="rId1395" Type="http://schemas.openxmlformats.org/officeDocument/2006/relationships/hyperlink" Target="https://loans.flexiloans.com/?campaign_code=619cbe7f33xla&amp;utm_source=Affiliate&amp;utm_medium=Admitad&amp;utm_campaign=Admitad_PUBID&amp;utm_term=Web&amp;utm_content=Emailers" TargetMode="External"/><Relationship Id="rId2001" Type="http://schemas.openxmlformats.org/officeDocument/2006/relationships/hyperlink" Target="https://www.peoplefinders.com/reverse-phone" TargetMode="External"/><Relationship Id="rId2239" Type="http://schemas.openxmlformats.org/officeDocument/2006/relationships/hyperlink" Target="https://www.superfoodsonline.nl/" TargetMode="External"/><Relationship Id="rId2446" Type="http://schemas.openxmlformats.org/officeDocument/2006/relationships/hyperlink" Target="https://store.admitad.com/webmaster/websites/2166760/offers/23623-american-eagle-ae-sa-kw-eg/" TargetMode="External"/><Relationship Id="rId2653" Type="http://schemas.openxmlformats.org/officeDocument/2006/relationships/hyperlink" Target="https://www.foreo.com/" TargetMode="External"/><Relationship Id="rId2860" Type="http://schemas.openxmlformats.org/officeDocument/2006/relationships/hyperlink" Target="https://store.admitad.com/webmaster/websites/2166760/offers/27121-boots-photo-uk/" TargetMode="External"/><Relationship Id="rId3704" Type="http://schemas.openxmlformats.org/officeDocument/2006/relationships/hyperlink" Target="https://store.admitad.com/webmaster/websites/2166760/offers/23237-ovo-ua/" TargetMode="External"/><Relationship Id="rId418" Type="http://schemas.openxmlformats.org/officeDocument/2006/relationships/hyperlink" Target="https://store.admitad.com/webmaster/websites/2166760/offers/24640-muji-ae-bh-sa-kw-qt/" TargetMode="External"/><Relationship Id="rId625" Type="http://schemas.openxmlformats.org/officeDocument/2006/relationships/hyperlink" Target="https://www.all4golf.de/" TargetMode="External"/><Relationship Id="rId832" Type="http://schemas.openxmlformats.org/officeDocument/2006/relationships/hyperlink" Target="https://store.admitad.com/webmaster/websites/2166760/offers/26414-juicy-chemistry-cps-in/" TargetMode="External"/><Relationship Id="rId1048" Type="http://schemas.openxmlformats.org/officeDocument/2006/relationships/hyperlink" Target="https://store.admitad.com/webmaster/websites/2166760/offers/26746-sizeofficial-de/" TargetMode="External"/><Relationship Id="rId1255" Type="http://schemas.openxmlformats.org/officeDocument/2006/relationships/hyperlink" Target="https://www.recambioscoches.es/" TargetMode="External"/><Relationship Id="rId1462" Type="http://schemas.openxmlformats.org/officeDocument/2006/relationships/hyperlink" Target="https://store.admitad.com/webmaster/websites/2166760/offers/27327-jeans-direct-de/" TargetMode="External"/><Relationship Id="rId2306" Type="http://schemas.openxmlformats.org/officeDocument/2006/relationships/hyperlink" Target="https://store.admitad.com/webmaster/websites/2166760/offers/27009-coin-it/" TargetMode="External"/><Relationship Id="rId2513" Type="http://schemas.openxmlformats.org/officeDocument/2006/relationships/hyperlink" Target="https://www.rylko.com/" TargetMode="External"/><Relationship Id="rId2958" Type="http://schemas.openxmlformats.org/officeDocument/2006/relationships/hyperlink" Target="https://store.admitad.com/webmaster/websites/2166760/offers/19256-bombay-shaving-company-cps-in/" TargetMode="External"/><Relationship Id="rId3911" Type="http://schemas.openxmlformats.org/officeDocument/2006/relationships/hyperlink" Target="https://www.italki.com/" TargetMode="External"/><Relationship Id="rId1115" Type="http://schemas.openxmlformats.org/officeDocument/2006/relationships/hyperlink" Target="https://www.made.com/" TargetMode="External"/><Relationship Id="rId1322" Type="http://schemas.openxmlformats.org/officeDocument/2006/relationships/hyperlink" Target="https://store.admitad.com/webmaster/websites/2166760/offers/27125-jet2holidays-uk/" TargetMode="External"/><Relationship Id="rId1767" Type="http://schemas.openxmlformats.org/officeDocument/2006/relationships/hyperlink" Target="https://tails.com/de/" TargetMode="External"/><Relationship Id="rId1974" Type="http://schemas.openxmlformats.org/officeDocument/2006/relationships/hyperlink" Target="https://store.admitad.com/webmaster/websites/2166760/offers/26878-wordery-uk/" TargetMode="External"/><Relationship Id="rId2720" Type="http://schemas.openxmlformats.org/officeDocument/2006/relationships/hyperlink" Target="https://store.admitad.com/webmaster/websites/2166760/offers/23120-adidas-cps-id/" TargetMode="External"/><Relationship Id="rId2818" Type="http://schemas.openxmlformats.org/officeDocument/2006/relationships/hyperlink" Target="https://store.admitad.com/webmaster/websites/2166760/offers/26454-scapino-nl-be/" TargetMode="External"/><Relationship Id="rId4173" Type="http://schemas.openxmlformats.org/officeDocument/2006/relationships/hyperlink" Target="https://www.shutterstock.com/" TargetMode="External"/><Relationship Id="rId59" Type="http://schemas.openxmlformats.org/officeDocument/2006/relationships/hyperlink" Target="https://www.crocs.eu/" TargetMode="External"/><Relationship Id="rId1627" Type="http://schemas.openxmlformats.org/officeDocument/2006/relationships/hyperlink" Target="https://www.povison.com/" TargetMode="External"/><Relationship Id="rId1834" Type="http://schemas.openxmlformats.org/officeDocument/2006/relationships/hyperlink" Target="https://store.admitad.com/webmaster/websites/2166760/offers/27465-revolution-beauty-uk-de/" TargetMode="External"/><Relationship Id="rId3287" Type="http://schemas.openxmlformats.org/officeDocument/2006/relationships/hyperlink" Target="https://www.dewal.ru/" TargetMode="External"/><Relationship Id="rId4033" Type="http://schemas.openxmlformats.org/officeDocument/2006/relationships/hyperlink" Target="https://www.money4you.com.ua/" TargetMode="External"/><Relationship Id="rId2096" Type="http://schemas.openxmlformats.org/officeDocument/2006/relationships/hyperlink" Target="https://store.admitad.com/webmaster/websites/2166760/offers/27191-myprotein-us/" TargetMode="External"/><Relationship Id="rId3494" Type="http://schemas.openxmlformats.org/officeDocument/2006/relationships/hyperlink" Target="https://store.admitad.com/webmaster/websites/2166760/offers/20518-xistore-by/" TargetMode="External"/><Relationship Id="rId3799" Type="http://schemas.openxmlformats.org/officeDocument/2006/relationships/hyperlink" Target="https://www.sparhandy.de/" TargetMode="External"/><Relationship Id="rId4100" Type="http://schemas.openxmlformats.org/officeDocument/2006/relationships/hyperlink" Target="https://store.admitad.com/webmaster/websites/2166760/offers/15460-chitai-gorod/" TargetMode="External"/><Relationship Id="rId1901" Type="http://schemas.openxmlformats.org/officeDocument/2006/relationships/hyperlink" Target="http://www.atlasvpn.com/" TargetMode="External"/><Relationship Id="rId3147" Type="http://schemas.openxmlformats.org/officeDocument/2006/relationships/hyperlink" Target="https://www.brandrange.com/en/" TargetMode="External"/><Relationship Id="rId3354" Type="http://schemas.openxmlformats.org/officeDocument/2006/relationships/hyperlink" Target="https://store.admitad.com/webmaster/websites/2166760/offers/23860-linio-co/" TargetMode="External"/><Relationship Id="rId3561" Type="http://schemas.openxmlformats.org/officeDocument/2006/relationships/hyperlink" Target="https://dil.bankofbaroda.in/autoloan?utm_source=AdmitCLPT&amp;utm_medium=cpl&amp;utm_campaign=CLSept" TargetMode="External"/><Relationship Id="rId3659" Type="http://schemas.openxmlformats.org/officeDocument/2006/relationships/hyperlink" Target="https://msl.ua/" TargetMode="External"/><Relationship Id="rId275" Type="http://schemas.openxmlformats.org/officeDocument/2006/relationships/hyperlink" Target="https://www.dancenter.dk/" TargetMode="External"/><Relationship Id="rId482" Type="http://schemas.openxmlformats.org/officeDocument/2006/relationships/hyperlink" Target="https://store.admitad.com/webmaster/websites/2166760/offers/24983-oppo-india-cps-in/" TargetMode="External"/><Relationship Id="rId2163" Type="http://schemas.openxmlformats.org/officeDocument/2006/relationships/hyperlink" Target="https://www.coursera.org/" TargetMode="External"/><Relationship Id="rId2370" Type="http://schemas.openxmlformats.org/officeDocument/2006/relationships/hyperlink" Target="https://store.admitad.com/webmaster/websites/2166760/offers/18060-firsatme-tr/" TargetMode="External"/><Relationship Id="rId3007" Type="http://schemas.openxmlformats.org/officeDocument/2006/relationships/hyperlink" Target="https://termlife.policybazaar.com/" TargetMode="External"/><Relationship Id="rId3214" Type="http://schemas.openxmlformats.org/officeDocument/2006/relationships/hyperlink" Target="https://store.admitad.com/webmaster/websites/2166760/offers/26969-bunches-uk/" TargetMode="External"/><Relationship Id="rId3421" Type="http://schemas.openxmlformats.org/officeDocument/2006/relationships/hyperlink" Target="https://www.bookovka.ua/ru" TargetMode="External"/><Relationship Id="rId3866" Type="http://schemas.openxmlformats.org/officeDocument/2006/relationships/hyperlink" Target="https://store.admitad.com/webmaster/websites/2166760/offers/20807-trainline-ww/" TargetMode="External"/><Relationship Id="rId135" Type="http://schemas.openxmlformats.org/officeDocument/2006/relationships/hyperlink" Target="https://www.bathandbodyworks.ae/en/" TargetMode="External"/><Relationship Id="rId342" Type="http://schemas.openxmlformats.org/officeDocument/2006/relationships/hyperlink" Target="https://store.admitad.com/webmaster/websites/2166760/offers/24228-gamersbase-cps-android-ru-cis/" TargetMode="External"/><Relationship Id="rId787" Type="http://schemas.openxmlformats.org/officeDocument/2006/relationships/hyperlink" Target="https://www.whirlpool.com/" TargetMode="External"/><Relationship Id="rId994" Type="http://schemas.openxmlformats.org/officeDocument/2006/relationships/hyperlink" Target="https://store.admitad.com/webmaster/websites/2166760/offers/26678-radonline-deat/" TargetMode="External"/><Relationship Id="rId2023" Type="http://schemas.openxmlformats.org/officeDocument/2006/relationships/hyperlink" Target="https://tengeda.kz/" TargetMode="External"/><Relationship Id="rId2230" Type="http://schemas.openxmlformats.org/officeDocument/2006/relationships/hyperlink" Target="https://store.admitad.com/webmaster/websites/2166760/offers/25958-victorias-secret-mx/" TargetMode="External"/><Relationship Id="rId2468" Type="http://schemas.openxmlformats.org/officeDocument/2006/relationships/hyperlink" Target="https://store.admitad.com/webmaster/websites/2166760/offers/24459-equitas-bank-saving-cpa-in/" TargetMode="External"/><Relationship Id="rId2675" Type="http://schemas.openxmlformats.org/officeDocument/2006/relationships/hyperlink" Target="https://themeforest.net/" TargetMode="External"/><Relationship Id="rId2882" Type="http://schemas.openxmlformats.org/officeDocument/2006/relationships/hyperlink" Target="https://store.admitad.com/webmaster/websites/2166760/offers/173-tekhnomagiia-doi-cpp-ru/" TargetMode="External"/><Relationship Id="rId3519" Type="http://schemas.openxmlformats.org/officeDocument/2006/relationships/hyperlink" Target="https://www.edureka.co/" TargetMode="External"/><Relationship Id="rId3726" Type="http://schemas.openxmlformats.org/officeDocument/2006/relationships/hyperlink" Target="https://store.admitad.com/webmaster/websites/2166760/offers/23961-boat-lifestyle-cps-in/" TargetMode="External"/><Relationship Id="rId3933" Type="http://schemas.openxmlformats.org/officeDocument/2006/relationships/hyperlink" Target="https://www.21vek.by/" TargetMode="External"/><Relationship Id="rId202" Type="http://schemas.openxmlformats.org/officeDocument/2006/relationships/hyperlink" Target="https://store.admitad.com/webmaster/websites/2166760/offers/22994-bajaj-allianz-health-cpl-in/" TargetMode="External"/><Relationship Id="rId647" Type="http://schemas.openxmlformats.org/officeDocument/2006/relationships/hyperlink" Target="https://www.wingo.ch/" TargetMode="External"/><Relationship Id="rId854" Type="http://schemas.openxmlformats.org/officeDocument/2006/relationships/hyperlink" Target="https://store.admitad.com/webmaster/websites/2166760/offers/26450-benetton-eu/" TargetMode="External"/><Relationship Id="rId1277" Type="http://schemas.openxmlformats.org/officeDocument/2006/relationships/hyperlink" Target="https://de.defacto.com/" TargetMode="External"/><Relationship Id="rId1484" Type="http://schemas.openxmlformats.org/officeDocument/2006/relationships/hyperlink" Target="https://store.admitad.com/webmaster/websites/2166760/offers/27354-bueromoebel-experte-de/" TargetMode="External"/><Relationship Id="rId1691" Type="http://schemas.openxmlformats.org/officeDocument/2006/relationships/hyperlink" Target="https://www.domesticappliances.philips.co.in/" TargetMode="External"/><Relationship Id="rId2328" Type="http://schemas.openxmlformats.org/officeDocument/2006/relationships/hyperlink" Target="https://store.admitad.com/webmaster/websites/2166760/offers/27247-earthhero-us/" TargetMode="External"/><Relationship Id="rId2535" Type="http://schemas.openxmlformats.org/officeDocument/2006/relationships/hyperlink" Target="https://www.buysubscriptions.com/" TargetMode="External"/><Relationship Id="rId2742" Type="http://schemas.openxmlformats.org/officeDocument/2006/relationships/hyperlink" Target="https://store.admitad.com/webmaster/websites/2166760/offers/23829-wiggle-fr-es/" TargetMode="External"/><Relationship Id="rId4195" Type="http://schemas.openxmlformats.org/officeDocument/2006/relationships/hyperlink" Target="https://vogacloset.com/" TargetMode="External"/><Relationship Id="rId507" Type="http://schemas.openxmlformats.org/officeDocument/2006/relationships/hyperlink" Target="http://www.lidl.de/" TargetMode="External"/><Relationship Id="rId714" Type="http://schemas.openxmlformats.org/officeDocument/2006/relationships/hyperlink" Target="https://store.admitad.com/webmaster/websites/2166760/offers/26114-serpstat-cps-ww/" TargetMode="External"/><Relationship Id="rId921" Type="http://schemas.openxmlformats.org/officeDocument/2006/relationships/hyperlink" Target="https://deu.grandado.com/" TargetMode="External"/><Relationship Id="rId1137" Type="http://schemas.openxmlformats.org/officeDocument/2006/relationships/hyperlink" Target="https://www.dulux.co.uk/en" TargetMode="External"/><Relationship Id="rId1344" Type="http://schemas.openxmlformats.org/officeDocument/2006/relationships/hyperlink" Target="https://store.admitad.com/webmaster/websites/2166760/offers/27144-eset-dach/" TargetMode="External"/><Relationship Id="rId1551" Type="http://schemas.openxmlformats.org/officeDocument/2006/relationships/hyperlink" Target="http://honeylove.com/" TargetMode="External"/><Relationship Id="rId1789" Type="http://schemas.openxmlformats.org/officeDocument/2006/relationships/hyperlink" Target="https://mx.coach.com/" TargetMode="External"/><Relationship Id="rId1996" Type="http://schemas.openxmlformats.org/officeDocument/2006/relationships/hyperlink" Target="https://store.admitad.com/webmaster/websites/2166760/offers/27163-burton-uk/" TargetMode="External"/><Relationship Id="rId2602" Type="http://schemas.openxmlformats.org/officeDocument/2006/relationships/hyperlink" Target="https://store.admitad.com/webmaster/websites/2166760/offers/27223-topresume-us/" TargetMode="External"/><Relationship Id="rId4055" Type="http://schemas.openxmlformats.org/officeDocument/2006/relationships/hyperlink" Target="https://arx.com.ua/" TargetMode="External"/><Relationship Id="rId50" Type="http://schemas.openxmlformats.org/officeDocument/2006/relationships/hyperlink" Target="https://store.admitad.com/webmaster/websites/2166760/offers/19376-microsoft-cps-in-us-apac/" TargetMode="External"/><Relationship Id="rId1204" Type="http://schemas.openxmlformats.org/officeDocument/2006/relationships/hyperlink" Target="https://store.admitad.com/webmaster/websites/2166760/offers/27007-furniture-village-uk/" TargetMode="External"/><Relationship Id="rId1411" Type="http://schemas.openxmlformats.org/officeDocument/2006/relationships/hyperlink" Target="https://shopee.co.th/" TargetMode="External"/><Relationship Id="rId1649" Type="http://schemas.openxmlformats.org/officeDocument/2006/relationships/hyperlink" Target="https://shop.borussia.de/" TargetMode="External"/><Relationship Id="rId1856" Type="http://schemas.openxmlformats.org/officeDocument/2006/relationships/hyperlink" Target="https://store.admitad.com/webmaster/websites/2166760/offers/21967-gant-fr/" TargetMode="External"/><Relationship Id="rId2907" Type="http://schemas.openxmlformats.org/officeDocument/2006/relationships/hyperlink" Target="https://ru.4game.com/bns/install/" TargetMode="External"/><Relationship Id="rId3071" Type="http://schemas.openxmlformats.org/officeDocument/2006/relationships/hyperlink" Target="https://smartreading.ru/" TargetMode="External"/><Relationship Id="rId1509" Type="http://schemas.openxmlformats.org/officeDocument/2006/relationships/hyperlink" Target="https://itgen.io/" TargetMode="External"/><Relationship Id="rId1716" Type="http://schemas.openxmlformats.org/officeDocument/2006/relationships/hyperlink" Target="https://store.admitad.com/webmaster/websites/2166760/offers/27716-cosdlazdrowia-pl/" TargetMode="External"/><Relationship Id="rId1923" Type="http://schemas.openxmlformats.org/officeDocument/2006/relationships/hyperlink" Target="https://wavve.co/?ref=admitadaffiliatenetwork1" TargetMode="External"/><Relationship Id="rId3169" Type="http://schemas.openxmlformats.org/officeDocument/2006/relationships/hyperlink" Target="https://www.easeus.com/" TargetMode="External"/><Relationship Id="rId3376" Type="http://schemas.openxmlformats.org/officeDocument/2006/relationships/hyperlink" Target="https://store.admitad.com/webmaster/websites/2166760/offers/24570-clarins-ae/" TargetMode="External"/><Relationship Id="rId3583" Type="http://schemas.openxmlformats.org/officeDocument/2006/relationships/hyperlink" Target="https://lamoda.ua/" TargetMode="External"/><Relationship Id="rId4122" Type="http://schemas.openxmlformats.org/officeDocument/2006/relationships/hyperlink" Target="https://store.admitad.com/webmaster/websites/2166760/offers/8065-yakaboo-ua/" TargetMode="External"/><Relationship Id="rId297" Type="http://schemas.openxmlformats.org/officeDocument/2006/relationships/hyperlink" Target="https://uk.fudgeprofessional.com/" TargetMode="External"/><Relationship Id="rId2185" Type="http://schemas.openxmlformats.org/officeDocument/2006/relationships/hyperlink" Target="https://www.theproteinworks.com/" TargetMode="External"/><Relationship Id="rId2392" Type="http://schemas.openxmlformats.org/officeDocument/2006/relationships/hyperlink" Target="https://store.admitad.com/webmaster/websites/2166760/offers/21599-buslik-by/" TargetMode="External"/><Relationship Id="rId3029" Type="http://schemas.openxmlformats.org/officeDocument/2006/relationships/hyperlink" Target="https://www.veromoda.in/" TargetMode="External"/><Relationship Id="rId3236" Type="http://schemas.openxmlformats.org/officeDocument/2006/relationships/hyperlink" Target="https://store.admitad.com/webmaster/websites/2166760/offers/27277-samp-net-role-play-cpp-rucis/" TargetMode="External"/><Relationship Id="rId3790" Type="http://schemas.openxmlformats.org/officeDocument/2006/relationships/hyperlink" Target="https://store.admitad.com/webmaster/websites/2166760/offers/26109-lichi/" TargetMode="External"/><Relationship Id="rId3888" Type="http://schemas.openxmlformats.org/officeDocument/2006/relationships/hyperlink" Target="https://store.admitad.com/webmaster/websites/2166760/offers/22847-kumo-cps-api-ua/" TargetMode="External"/><Relationship Id="rId157" Type="http://schemas.openxmlformats.org/officeDocument/2006/relationships/hyperlink" Target="https://www.credy.com.ar/" TargetMode="External"/><Relationship Id="rId364" Type="http://schemas.openxmlformats.org/officeDocument/2006/relationships/hyperlink" Target="https://store.admitad.com/webmaster/websites/2166760/offers/24396-freelancehunt/" TargetMode="External"/><Relationship Id="rId2045" Type="http://schemas.openxmlformats.org/officeDocument/2006/relationships/hyperlink" Target="https://www.karaca-home.com/" TargetMode="External"/><Relationship Id="rId2697" Type="http://schemas.openxmlformats.org/officeDocument/2006/relationships/hyperlink" Target="https://www.footlocker.ae/en/" TargetMode="External"/><Relationship Id="rId3443" Type="http://schemas.openxmlformats.org/officeDocument/2006/relationships/hyperlink" Target="https://www.eqvvs.co.uk/" TargetMode="External"/><Relationship Id="rId3650" Type="http://schemas.openxmlformats.org/officeDocument/2006/relationships/hyperlink" Target="https://store.admitad.com/webmaster/websites/2166760/offers/19098-vdsina/" TargetMode="External"/><Relationship Id="rId3748" Type="http://schemas.openxmlformats.org/officeDocument/2006/relationships/hyperlink" Target="https://store.admitad.com/webmaster/websites/2166760/offers/24357-metro-brazil-many-geos-offline-codes-links/" TargetMode="External"/><Relationship Id="rId571" Type="http://schemas.openxmlformats.org/officeDocument/2006/relationships/hyperlink" Target="https://www.tila.com/en" TargetMode="External"/><Relationship Id="rId669" Type="http://schemas.openxmlformats.org/officeDocument/2006/relationships/hyperlink" Target="https://homzmart.com/" TargetMode="External"/><Relationship Id="rId876" Type="http://schemas.openxmlformats.org/officeDocument/2006/relationships/hyperlink" Target="https://store.admitad.com/webmaster/websites/2166760/offers/26489-crocs-cps-sg/" TargetMode="External"/><Relationship Id="rId1299" Type="http://schemas.openxmlformats.org/officeDocument/2006/relationships/hyperlink" Target="https://www.adlermode.com/de/de/home" TargetMode="External"/><Relationship Id="rId2252" Type="http://schemas.openxmlformats.org/officeDocument/2006/relationships/hyperlink" Target="https://store.admitad.com/webmaster/websites/2166760/offers/26512-decathlon-it/" TargetMode="External"/><Relationship Id="rId2557" Type="http://schemas.openxmlformats.org/officeDocument/2006/relationships/hyperlink" Target="https://www.hervis.at/" TargetMode="External"/><Relationship Id="rId3303" Type="http://schemas.openxmlformats.org/officeDocument/2006/relationships/hyperlink" Target="https://www.mymoneykarma.com/" TargetMode="External"/><Relationship Id="rId3510" Type="http://schemas.openxmlformats.org/officeDocument/2006/relationships/hyperlink" Target="https://store.admitad.com/webmaster/websites/2166760/offers/22178-policybazaar-health-cpl-in/" TargetMode="External"/><Relationship Id="rId3608" Type="http://schemas.openxmlformats.org/officeDocument/2006/relationships/hyperlink" Target="https://store.admitad.com/webmaster/websites/2166760/offers/15173-karkam/" TargetMode="External"/><Relationship Id="rId3955" Type="http://schemas.openxmlformats.org/officeDocument/2006/relationships/hyperlink" Target="https://www.ivory.co.il/" TargetMode="External"/><Relationship Id="rId224" Type="http://schemas.openxmlformats.org/officeDocument/2006/relationships/hyperlink" Target="https://store.admitad.com/webmaster/websites/2166760/offers/23219-rgi-car-insurance-cpl-in/" TargetMode="External"/><Relationship Id="rId431" Type="http://schemas.openxmlformats.org/officeDocument/2006/relationships/hyperlink" Target="https://www.latostadora.com/" TargetMode="External"/><Relationship Id="rId529" Type="http://schemas.openxmlformats.org/officeDocument/2006/relationships/hyperlink" Target="https://www.couvertureandthegarbstore.com/" TargetMode="External"/><Relationship Id="rId736" Type="http://schemas.openxmlformats.org/officeDocument/2006/relationships/hyperlink" Target="https://store.admitad.com/webmaster/websites/2166760/offers/26159-aspinal-of-london-uk/" TargetMode="External"/><Relationship Id="rId1061" Type="http://schemas.openxmlformats.org/officeDocument/2006/relationships/hyperlink" Target="https://www.amorelie.de/" TargetMode="External"/><Relationship Id="rId1159" Type="http://schemas.openxmlformats.org/officeDocument/2006/relationships/hyperlink" Target="https://www.whittard.co.uk/" TargetMode="External"/><Relationship Id="rId1366" Type="http://schemas.openxmlformats.org/officeDocument/2006/relationships/hyperlink" Target="https://store.admitad.com/webmaster/websites/2166760/offers/27176-spiegel-abo-de/" TargetMode="External"/><Relationship Id="rId2112" Type="http://schemas.openxmlformats.org/officeDocument/2006/relationships/hyperlink" Target="https://store.admitad.com/webmaster/websites/2166760/offers/9639-forexclub-many-geos/" TargetMode="External"/><Relationship Id="rId2417" Type="http://schemas.openxmlformats.org/officeDocument/2006/relationships/hyperlink" Target="http://volagratis.com/" TargetMode="External"/><Relationship Id="rId2764" Type="http://schemas.openxmlformats.org/officeDocument/2006/relationships/hyperlink" Target="https://store.admitad.com/webmaster/websites/2166760/offers/24473-icici-bank-hl-cpl-in/" TargetMode="External"/><Relationship Id="rId2971" Type="http://schemas.openxmlformats.org/officeDocument/2006/relationships/hyperlink" Target="https://www.berrylook.com/" TargetMode="External"/><Relationship Id="rId3815" Type="http://schemas.openxmlformats.org/officeDocument/2006/relationships/hyperlink" Target="http://herrenausstatter.de/" TargetMode="External"/><Relationship Id="rId943" Type="http://schemas.openxmlformats.org/officeDocument/2006/relationships/hyperlink" Target="https://www.lycamobile.us/en/" TargetMode="External"/><Relationship Id="rId1019" Type="http://schemas.openxmlformats.org/officeDocument/2006/relationships/hyperlink" Target="https://www.simbasleep.com/" TargetMode="External"/><Relationship Id="rId1573" Type="http://schemas.openxmlformats.org/officeDocument/2006/relationships/hyperlink" Target="https://www.marypaz.com/es_es" TargetMode="External"/><Relationship Id="rId1780" Type="http://schemas.openxmlformats.org/officeDocument/2006/relationships/hyperlink" Target="https://store.admitad.com/webmaster/websites/2166760/offers/25168-vision-express-cps-in/" TargetMode="External"/><Relationship Id="rId1878" Type="http://schemas.openxmlformats.org/officeDocument/2006/relationships/hyperlink" Target="https://store.admitad.com/webmaster/websites/2166760/offers/23387-magix-uk-dach/" TargetMode="External"/><Relationship Id="rId2624" Type="http://schemas.openxmlformats.org/officeDocument/2006/relationships/hyperlink" Target="https://store.admitad.com/webmaster/websites/2166760/offers/27413-dunkin-dounts-cps-in/" TargetMode="External"/><Relationship Id="rId2831" Type="http://schemas.openxmlformats.org/officeDocument/2006/relationships/hyperlink" Target="https://townofsins.com/" TargetMode="External"/><Relationship Id="rId2929" Type="http://schemas.openxmlformats.org/officeDocument/2006/relationships/hyperlink" Target="https://fishki.ua/" TargetMode="External"/><Relationship Id="rId4077" Type="http://schemas.openxmlformats.org/officeDocument/2006/relationships/hyperlink" Target="https://gentleherd.com/" TargetMode="External"/><Relationship Id="rId72" Type="http://schemas.openxmlformats.org/officeDocument/2006/relationships/hyperlink" Target="https://store.admitad.com/webmaster/websites/2166760/offers/20870-tiqets-many-geos/" TargetMode="External"/><Relationship Id="rId803" Type="http://schemas.openxmlformats.org/officeDocument/2006/relationships/hyperlink" Target="https://polskikoszyk.pl/" TargetMode="External"/><Relationship Id="rId1226" Type="http://schemas.openxmlformats.org/officeDocument/2006/relationships/hyperlink" Target="https://store.admitad.com/webmaster/websites/2166760/offers/27031-archiproducts-it/" TargetMode="External"/><Relationship Id="rId1433" Type="http://schemas.openxmlformats.org/officeDocument/2006/relationships/hyperlink" Target="https://kneesleeve.getcompressa.com/interstitial/c/" TargetMode="External"/><Relationship Id="rId1640" Type="http://schemas.openxmlformats.org/officeDocument/2006/relationships/hyperlink" Target="https://store.admitad.com/webmaster/websites/2166760/offers/27542-citarella-us/" TargetMode="External"/><Relationship Id="rId1738" Type="http://schemas.openxmlformats.org/officeDocument/2006/relationships/hyperlink" Target="https://store.admitad.com/webmaster/websites/2166760/offers/27821-atlasvpn-eu/" TargetMode="External"/><Relationship Id="rId3093" Type="http://schemas.openxmlformats.org/officeDocument/2006/relationships/hyperlink" Target="https://www.hamleys.in/" TargetMode="External"/><Relationship Id="rId4144" Type="http://schemas.openxmlformats.org/officeDocument/2006/relationships/hyperlink" Target="https://store.admitad.com/webmaster/websites/2166760/offers/23203-hillary-shop-ua/" TargetMode="External"/><Relationship Id="rId1500" Type="http://schemas.openxmlformats.org/officeDocument/2006/relationships/hyperlink" Target="https://store.admitad.com/webmaster/websites/2166760/offers/27364-toom-baumarkt-de/" TargetMode="External"/><Relationship Id="rId1945" Type="http://schemas.openxmlformats.org/officeDocument/2006/relationships/hyperlink" Target="https://www.names.co.uk/" TargetMode="External"/><Relationship Id="rId3160" Type="http://schemas.openxmlformats.org/officeDocument/2006/relationships/hyperlink" Target="https://store.admitad.com/webmaster/websites/2166760/offers/25915-indusind-credit-card-cpl-in/" TargetMode="External"/><Relationship Id="rId3398" Type="http://schemas.openxmlformats.org/officeDocument/2006/relationships/hyperlink" Target="https://store.admitad.com/webmaster/websites/2166760/offers/24985-eshko-by/" TargetMode="External"/><Relationship Id="rId4004" Type="http://schemas.openxmlformats.org/officeDocument/2006/relationships/hyperlink" Target="https://store.admitad.com/webmaster/websites/2166760/offers/15591-ajio-cps-in/" TargetMode="External"/><Relationship Id="rId4211" Type="http://schemas.openxmlformats.org/officeDocument/2006/relationships/hyperlink" Target="https://www.guess.ru/ru/" TargetMode="External"/><Relationship Id="rId1805" Type="http://schemas.openxmlformats.org/officeDocument/2006/relationships/hyperlink" Target="https://www.null-leasing.com/" TargetMode="External"/><Relationship Id="rId3020" Type="http://schemas.openxmlformats.org/officeDocument/2006/relationships/hyperlink" Target="https://store.admitad.com/webmaster/websites/2166760/offers/22034-gama-gama-ru-cis/" TargetMode="External"/><Relationship Id="rId3258" Type="http://schemas.openxmlformats.org/officeDocument/2006/relationships/hyperlink" Target="https://store.admitad.com/webmaster/websites/2166760/offers/12087-chicco-ua/" TargetMode="External"/><Relationship Id="rId3465" Type="http://schemas.openxmlformats.org/officeDocument/2006/relationships/hyperlink" Target="http://lingualeo.com/" TargetMode="External"/><Relationship Id="rId3672" Type="http://schemas.openxmlformats.org/officeDocument/2006/relationships/hyperlink" Target="https://store.admitad.com/webmaster/websites/2166760/offers/21497-themancompany-cps-in/" TargetMode="External"/><Relationship Id="rId179" Type="http://schemas.openxmlformats.org/officeDocument/2006/relationships/hyperlink" Target="https://hidesign.com/" TargetMode="External"/><Relationship Id="rId386" Type="http://schemas.openxmlformats.org/officeDocument/2006/relationships/hyperlink" Target="https://store.admitad.com/webmaster/websites/2166760/offers/24518-william-may-ww/" TargetMode="External"/><Relationship Id="rId593" Type="http://schemas.openxmlformats.org/officeDocument/2006/relationships/hyperlink" Target="https://www.druckerpatronenexpress.de/" TargetMode="External"/><Relationship Id="rId2067" Type="http://schemas.openxmlformats.org/officeDocument/2006/relationships/hyperlink" Target="https://www.europcar.de/" TargetMode="External"/><Relationship Id="rId2274" Type="http://schemas.openxmlformats.org/officeDocument/2006/relationships/hyperlink" Target="https://store.admitad.com/webmaster/websites/2166760/offers/26749-jd-sports-nl/" TargetMode="External"/><Relationship Id="rId2481" Type="http://schemas.openxmlformats.org/officeDocument/2006/relationships/hyperlink" Target="https://www.superwnetrze.pl/" TargetMode="External"/><Relationship Id="rId3118" Type="http://schemas.openxmlformats.org/officeDocument/2006/relationships/hyperlink" Target="https://store.admitad.com/webmaster/websites/2166760/offers/24668-prolon-gcc-offline-codes-links/" TargetMode="External"/><Relationship Id="rId3325" Type="http://schemas.openxmlformats.org/officeDocument/2006/relationships/hyperlink" Target="https://www.portaleducacao.com.br/" TargetMode="External"/><Relationship Id="rId3532" Type="http://schemas.openxmlformats.org/officeDocument/2006/relationships/hyperlink" Target="https://store.admitad.com/webmaster/websites/2166760/offers/23485-skysmart-ru/" TargetMode="External"/><Relationship Id="rId3977" Type="http://schemas.openxmlformats.org/officeDocument/2006/relationships/hyperlink" Target="https://www.lookfantastic.ae/" TargetMode="External"/><Relationship Id="rId246" Type="http://schemas.openxmlformats.org/officeDocument/2006/relationships/hyperlink" Target="https://store.admitad.com/webmaster/websites/2166760/offers/23418-toluna-cpa-in/" TargetMode="External"/><Relationship Id="rId453" Type="http://schemas.openxmlformats.org/officeDocument/2006/relationships/hyperlink" Target="https://www.chemist.co.uk/" TargetMode="External"/><Relationship Id="rId660" Type="http://schemas.openxmlformats.org/officeDocument/2006/relationships/hyperlink" Target="https://store.admitad.com/webmaster/websites/2166760/offers/25879-eprolo-ww/" TargetMode="External"/><Relationship Id="rId898" Type="http://schemas.openxmlformats.org/officeDocument/2006/relationships/hyperlink" Target="https://store.admitad.com/webmaster/websites/2166760/offers/26540-foot-locker-it/" TargetMode="External"/><Relationship Id="rId1083" Type="http://schemas.openxmlformats.org/officeDocument/2006/relationships/hyperlink" Target="https://www.westelm.ae/" TargetMode="External"/><Relationship Id="rId1290" Type="http://schemas.openxmlformats.org/officeDocument/2006/relationships/hyperlink" Target="https://store.admitad.com/webmaster/websites/2166760/offers/27089-neumaticos-online-es/" TargetMode="External"/><Relationship Id="rId2134" Type="http://schemas.openxmlformats.org/officeDocument/2006/relationships/hyperlink" Target="https://store.admitad.com/webmaster/websites/2166760/offers/18329-enterprise-us-ca/" TargetMode="External"/><Relationship Id="rId2341" Type="http://schemas.openxmlformats.org/officeDocument/2006/relationships/hyperlink" Target="https://www.tink.de/" TargetMode="External"/><Relationship Id="rId2579" Type="http://schemas.openxmlformats.org/officeDocument/2006/relationships/hyperlink" Target="https://www.thejewelhut.co.uk/" TargetMode="External"/><Relationship Id="rId2786" Type="http://schemas.openxmlformats.org/officeDocument/2006/relationships/hyperlink" Target="https://store.admitad.com/webmaster/websites/2166760/offers/25241-karaca-tr/" TargetMode="External"/><Relationship Id="rId2993" Type="http://schemas.openxmlformats.org/officeDocument/2006/relationships/hyperlink" Target="https://la.mail.ru/" TargetMode="External"/><Relationship Id="rId3837" Type="http://schemas.openxmlformats.org/officeDocument/2006/relationships/hyperlink" Target="https://kf.ua/" TargetMode="External"/><Relationship Id="rId106" Type="http://schemas.openxmlformats.org/officeDocument/2006/relationships/hyperlink" Target="https://store.admitad.com/webmaster/websites/2166760/offers/21700-smava-de/" TargetMode="External"/><Relationship Id="rId313" Type="http://schemas.openxmlformats.org/officeDocument/2006/relationships/hyperlink" Target="https://www.templespa.com/" TargetMode="External"/><Relationship Id="rId758" Type="http://schemas.openxmlformats.org/officeDocument/2006/relationships/hyperlink" Target="https://store.admitad.com/webmaster/websites/2166760/offers/26202-polisonline-kz/" TargetMode="External"/><Relationship Id="rId965" Type="http://schemas.openxmlformats.org/officeDocument/2006/relationships/hyperlink" Target="https://www.reifen.de/" TargetMode="External"/><Relationship Id="rId1150" Type="http://schemas.openxmlformats.org/officeDocument/2006/relationships/hyperlink" Target="https://store.admitad.com/webmaster/websites/2166760/offers/26937-anotah-fashion-ae-sa/" TargetMode="External"/><Relationship Id="rId1388" Type="http://schemas.openxmlformats.org/officeDocument/2006/relationships/hyperlink" Target="https://store.admitad.com/webmaster/websites/2166760/offers/27218-bee-pl/" TargetMode="External"/><Relationship Id="rId1595" Type="http://schemas.openxmlformats.org/officeDocument/2006/relationships/hyperlink" Target="https://andme.in/" TargetMode="External"/><Relationship Id="rId2439" Type="http://schemas.openxmlformats.org/officeDocument/2006/relationships/hyperlink" Target="https://click.hooligapps.com/?pid=18&amp;offer_id=16" TargetMode="External"/><Relationship Id="rId2646" Type="http://schemas.openxmlformats.org/officeDocument/2006/relationships/hyperlink" Target="https://store.admitad.com/webmaster/websites/2166760/offers/16015-joom-cps-ios-many-geos/" TargetMode="External"/><Relationship Id="rId2853" Type="http://schemas.openxmlformats.org/officeDocument/2006/relationships/hyperlink" Target="https://www.houseofwatches.co.uk/" TargetMode="External"/><Relationship Id="rId3904" Type="http://schemas.openxmlformats.org/officeDocument/2006/relationships/hyperlink" Target="https://store.admitad.com/webmaster/websites/2166760/offers/23702-jiomart-cpv-in/" TargetMode="External"/><Relationship Id="rId4099" Type="http://schemas.openxmlformats.org/officeDocument/2006/relationships/hyperlink" Target="http://www.chitai-gorod.ru/" TargetMode="External"/><Relationship Id="rId94" Type="http://schemas.openxmlformats.org/officeDocument/2006/relationships/hyperlink" Target="https://store.admitad.com/webmaster/websites/2166760/offers/21412-fabelio-id/" TargetMode="External"/><Relationship Id="rId520" Type="http://schemas.openxmlformats.org/officeDocument/2006/relationships/hyperlink" Target="https://store.admitad.com/webmaster/websites/2166760/offers/25120-ee-pay-monthly/" TargetMode="External"/><Relationship Id="rId618" Type="http://schemas.openxmlformats.org/officeDocument/2006/relationships/hyperlink" Target="https://store.admitad.com/webmaster/websites/2166760/offers/25512-vimcar-de/" TargetMode="External"/><Relationship Id="rId825" Type="http://schemas.openxmlformats.org/officeDocument/2006/relationships/hyperlink" Target="https://www.keeps.com/" TargetMode="External"/><Relationship Id="rId1248" Type="http://schemas.openxmlformats.org/officeDocument/2006/relationships/hyperlink" Target="https://store.admitad.com/webmaster/websites/2166760/offers/27049-autoersatzteile-de/" TargetMode="External"/><Relationship Id="rId1455" Type="http://schemas.openxmlformats.org/officeDocument/2006/relationships/hyperlink" Target="https://www.chronopost.fr/fr/envoyer-colis-chronopost?xtor=AL-301" TargetMode="External"/><Relationship Id="rId1662" Type="http://schemas.openxmlformats.org/officeDocument/2006/relationships/hyperlink" Target="https://store.admitad.com/webmaster/websites/2166760/offers/27563-myprotein-pl-1/" TargetMode="External"/><Relationship Id="rId2201" Type="http://schemas.openxmlformats.org/officeDocument/2006/relationships/hyperlink" Target="https://www.bodybuildingwarehouse.co.uk/" TargetMode="External"/><Relationship Id="rId2506" Type="http://schemas.openxmlformats.org/officeDocument/2006/relationships/hyperlink" Target="https://store.admitad.com/webmaster/websites/2166760/offers/26247-meetic-es/" TargetMode="External"/><Relationship Id="rId1010" Type="http://schemas.openxmlformats.org/officeDocument/2006/relationships/hyperlink" Target="https://store.admitad.com/webmaster/websites/2166760/offers/26690-autodoc-de/" TargetMode="External"/><Relationship Id="rId1108" Type="http://schemas.openxmlformats.org/officeDocument/2006/relationships/hyperlink" Target="https://store.admitad.com/webmaster/websites/2166760/offers/26871-conte-2020-it/" TargetMode="External"/><Relationship Id="rId1315" Type="http://schemas.openxmlformats.org/officeDocument/2006/relationships/hyperlink" Target="https://www.yopa.co.uk/" TargetMode="External"/><Relationship Id="rId1967" Type="http://schemas.openxmlformats.org/officeDocument/2006/relationships/hyperlink" Target="https://shop.samsung.com/it/" TargetMode="External"/><Relationship Id="rId2713" Type="http://schemas.openxmlformats.org/officeDocument/2006/relationships/hyperlink" Target="https://espritgames.com/fr/gameofthrones" TargetMode="External"/><Relationship Id="rId2920" Type="http://schemas.openxmlformats.org/officeDocument/2006/relationships/hyperlink" Target="https://store.admitad.com/webmaster/websites/2166760/offers/15689-mmt-df-cps-in/" TargetMode="External"/><Relationship Id="rId4166" Type="http://schemas.openxmlformats.org/officeDocument/2006/relationships/hyperlink" Target="https://store.admitad.com/webmaster/websites/2166760/offers/26613-tradition-cps-ua/" TargetMode="External"/><Relationship Id="rId1522" Type="http://schemas.openxmlformats.org/officeDocument/2006/relationships/hyperlink" Target="https://store.admitad.com/webmaster/websites/2166760/offers/27406-larise-de/" TargetMode="External"/><Relationship Id="rId21" Type="http://schemas.openxmlformats.org/officeDocument/2006/relationships/hyperlink" Target="https://libertex-secure.com/?a=247&amp;c=84" TargetMode="External"/><Relationship Id="rId2089" Type="http://schemas.openxmlformats.org/officeDocument/2006/relationships/hyperlink" Target="https://www.geox.com/it-IT/" TargetMode="External"/><Relationship Id="rId3487" Type="http://schemas.openxmlformats.org/officeDocument/2006/relationships/hyperlink" Target="https://modoza.com/" TargetMode="External"/><Relationship Id="rId3694" Type="http://schemas.openxmlformats.org/officeDocument/2006/relationships/hyperlink" Target="https://store.admitad.com/webmaster/websites/2166760/offers/22724-letyshops-cpllifetime-ios-many-geos/" TargetMode="External"/><Relationship Id="rId2296" Type="http://schemas.openxmlformats.org/officeDocument/2006/relationships/hyperlink" Target="https://store.admitad.com/webmaster/websites/2166760/offers/26967-coggles-uk/" TargetMode="External"/><Relationship Id="rId3347" Type="http://schemas.openxmlformats.org/officeDocument/2006/relationships/hyperlink" Target="http://luisbien.nl/" TargetMode="External"/><Relationship Id="rId3554" Type="http://schemas.openxmlformats.org/officeDocument/2006/relationships/hyperlink" Target="https://store.admitad.com/webmaster/websites/2166760/offers/24837-bajaj-finserv-insta-emi-cpl-in/" TargetMode="External"/><Relationship Id="rId3761" Type="http://schemas.openxmlformats.org/officeDocument/2006/relationships/hyperlink" Target="https://www.nealsyardremedies.com/" TargetMode="External"/><Relationship Id="rId268" Type="http://schemas.openxmlformats.org/officeDocument/2006/relationships/hyperlink" Target="https://store.admitad.com/webmaster/websites/2166760/offers/23654-flipkartseller-cpl-in/" TargetMode="External"/><Relationship Id="rId475" Type="http://schemas.openxmlformats.org/officeDocument/2006/relationships/hyperlink" Target="https://me.agentprovocateur.com/en-ae/" TargetMode="External"/><Relationship Id="rId682" Type="http://schemas.openxmlformats.org/officeDocument/2006/relationships/hyperlink" Target="https://store.admitad.com/webmaster/websites/2166760/offers/26024-viator-it/" TargetMode="External"/><Relationship Id="rId2156" Type="http://schemas.openxmlformats.org/officeDocument/2006/relationships/hyperlink" Target="https://store.admitad.com/webmaster/websites/2166760/offers/22156-dengiclick-cpl-kz-api/" TargetMode="External"/><Relationship Id="rId2363" Type="http://schemas.openxmlformats.org/officeDocument/2006/relationships/hyperlink" Target="http://thepanelstation.com/in/home" TargetMode="External"/><Relationship Id="rId2570" Type="http://schemas.openxmlformats.org/officeDocument/2006/relationships/hyperlink" Target="https://store.admitad.com/webmaster/websites/2166760/offers/27008-df-sport-specialist-it/" TargetMode="External"/><Relationship Id="rId3207" Type="http://schemas.openxmlformats.org/officeDocument/2006/relationships/hyperlink" Target="https://www.ottonova.de/" TargetMode="External"/><Relationship Id="rId3414" Type="http://schemas.openxmlformats.org/officeDocument/2006/relationships/hyperlink" Target="https://store.admitad.com/webmaster/websites/2166760/offers/25893-healthglow-cps-in/" TargetMode="External"/><Relationship Id="rId3621" Type="http://schemas.openxmlformats.org/officeDocument/2006/relationships/hyperlink" Target="https://www.ounass.ae/" TargetMode="External"/><Relationship Id="rId128" Type="http://schemas.openxmlformats.org/officeDocument/2006/relationships/hyperlink" Target="https://store.admitad.com/webmaster/websites/2166760/offers/22146-revolut-cpa-many-geos/" TargetMode="External"/><Relationship Id="rId335" Type="http://schemas.openxmlformats.org/officeDocument/2006/relationships/hyperlink" Target="https://www.vitacoco.co.uk/" TargetMode="External"/><Relationship Id="rId542" Type="http://schemas.openxmlformats.org/officeDocument/2006/relationships/hyperlink" Target="https://store.admitad.com/webmaster/websites/2166760/offers/25181-saa-uk/" TargetMode="External"/><Relationship Id="rId1172" Type="http://schemas.openxmlformats.org/officeDocument/2006/relationships/hyperlink" Target="https://store.admitad.com/webmaster/websites/2166760/offers/26968-scottsdale-golf-uk/" TargetMode="External"/><Relationship Id="rId2016" Type="http://schemas.openxmlformats.org/officeDocument/2006/relationships/hyperlink" Target="https://store.admitad.com/webmaster/websites/2166760/offers/22111-dengiclick-cps-kz-2/" TargetMode="External"/><Relationship Id="rId2223" Type="http://schemas.openxmlformats.org/officeDocument/2006/relationships/hyperlink" Target="https://www.libas.in/" TargetMode="External"/><Relationship Id="rId2430" Type="http://schemas.openxmlformats.org/officeDocument/2006/relationships/hyperlink" Target="https://store.admitad.com/webmaster/websites/2166760/offers/22964-star-conflict-cpp-many-geos/" TargetMode="External"/><Relationship Id="rId402" Type="http://schemas.openxmlformats.org/officeDocument/2006/relationships/hyperlink" Target="https://store.admitad.com/webmaster/websites/2166760/offers/24594-feelunique-uk/" TargetMode="External"/><Relationship Id="rId1032" Type="http://schemas.openxmlformats.org/officeDocument/2006/relationships/hyperlink" Target="https://store.admitad.com/webmaster/websites/2166760/offers/26714-forum-sport-es/" TargetMode="External"/><Relationship Id="rId4188" Type="http://schemas.openxmlformats.org/officeDocument/2006/relationships/hyperlink" Target="https://store.admitad.com/webmaster/websites/2166760/offers/14361-letyshops-lifetime/" TargetMode="External"/><Relationship Id="rId1989" Type="http://schemas.openxmlformats.org/officeDocument/2006/relationships/hyperlink" Target="https://www.emp.de/" TargetMode="External"/><Relationship Id="rId4048" Type="http://schemas.openxmlformats.org/officeDocument/2006/relationships/hyperlink" Target="https://store.admitad.com/webmaster/websites/2166760/offers/23481-skyeng-cps-many-geos/" TargetMode="External"/><Relationship Id="rId1849" Type="http://schemas.openxmlformats.org/officeDocument/2006/relationships/hyperlink" Target="https://www.hdfcergo.com/Campaign/Car-insurance-old.aspx" TargetMode="External"/><Relationship Id="rId3064" Type="http://schemas.openxmlformats.org/officeDocument/2006/relationships/hyperlink" Target="https://store.admitad.com/webmaster/websites/2166760/offers/23405-zavvi-many-geos/" TargetMode="External"/><Relationship Id="rId192" Type="http://schemas.openxmlformats.org/officeDocument/2006/relationships/hyperlink" Target="https://store.admitad.com/webmaster/websites/2166760/offers/22933-adda52-cpl-in/" TargetMode="External"/><Relationship Id="rId1709" Type="http://schemas.openxmlformats.org/officeDocument/2006/relationships/hyperlink" Target="https://new.bellavitaorganic.com/" TargetMode="External"/><Relationship Id="rId1916" Type="http://schemas.openxmlformats.org/officeDocument/2006/relationships/hyperlink" Target="https://store.admitad.com/webmaster/websites/2166760/offers/25999-pandavpn-ww/" TargetMode="External"/><Relationship Id="rId3271" Type="http://schemas.openxmlformats.org/officeDocument/2006/relationships/hyperlink" Target="https://go-to-sport.ru/" TargetMode="External"/><Relationship Id="rId4115" Type="http://schemas.openxmlformats.org/officeDocument/2006/relationships/hyperlink" Target="https://playcaliber.com/ru/" TargetMode="External"/><Relationship Id="rId2080" Type="http://schemas.openxmlformats.org/officeDocument/2006/relationships/hyperlink" Target="https://store.admitad.com/webmaster/websites/2166760/offers/26978-europcar-it/" TargetMode="External"/><Relationship Id="rId3131" Type="http://schemas.openxmlformats.org/officeDocument/2006/relationships/hyperlink" Target="https://www.hdfcsec.com/" TargetMode="External"/><Relationship Id="rId2897" Type="http://schemas.openxmlformats.org/officeDocument/2006/relationships/hyperlink" Target="http://onlinegame.railnation.ru/" TargetMode="External"/><Relationship Id="rId3948" Type="http://schemas.openxmlformats.org/officeDocument/2006/relationships/hyperlink" Target="https://store.admitad.com/webmaster/websites/2166760/offers/27304-adheart/" TargetMode="External"/><Relationship Id="rId869" Type="http://schemas.openxmlformats.org/officeDocument/2006/relationships/hyperlink" Target="https://www.voogueme.com/" TargetMode="External"/><Relationship Id="rId1499" Type="http://schemas.openxmlformats.org/officeDocument/2006/relationships/hyperlink" Target="https://www.toom.de/" TargetMode="External"/><Relationship Id="rId729" Type="http://schemas.openxmlformats.org/officeDocument/2006/relationships/hyperlink" Target="https://www.royal-fashion.cz/" TargetMode="External"/><Relationship Id="rId1359" Type="http://schemas.openxmlformats.org/officeDocument/2006/relationships/hyperlink" Target="https://www.insektenstop.net/" TargetMode="External"/><Relationship Id="rId2757" Type="http://schemas.openxmlformats.org/officeDocument/2006/relationships/hyperlink" Target="https://www.otelz.com/" TargetMode="External"/><Relationship Id="rId2964" Type="http://schemas.openxmlformats.org/officeDocument/2006/relationships/hyperlink" Target="https://store.admitad.com/webmaster/websites/2166760/offers/19350-drop-ww/" TargetMode="External"/><Relationship Id="rId3808" Type="http://schemas.openxmlformats.org/officeDocument/2006/relationships/hyperlink" Target="https://store.admitad.com/webmaster/websites/2166760/offers/26571-jd-sports-it/" TargetMode="External"/><Relationship Id="rId936" Type="http://schemas.openxmlformats.org/officeDocument/2006/relationships/hyperlink" Target="https://store.admitad.com/webmaster/websites/2166760/offers/26577-autodoc-fr/" TargetMode="External"/><Relationship Id="rId1219" Type="http://schemas.openxmlformats.org/officeDocument/2006/relationships/hyperlink" Target="https://www.english-heritage.org.uk/join" TargetMode="External"/><Relationship Id="rId1566" Type="http://schemas.openxmlformats.org/officeDocument/2006/relationships/hyperlink" Target="https://store.admitad.com/webmaster/websites/2166760/offers/27453-ulla-popken-deat/" TargetMode="External"/><Relationship Id="rId1773" Type="http://schemas.openxmlformats.org/officeDocument/2006/relationships/hyperlink" Target="https://www.burtsbees.co.uk/" TargetMode="External"/><Relationship Id="rId1980" Type="http://schemas.openxmlformats.org/officeDocument/2006/relationships/hyperlink" Target="https://store.admitad.com/webmaster/websites/2166760/offers/26956-glossybox-uk/" TargetMode="External"/><Relationship Id="rId2617" Type="http://schemas.openxmlformats.org/officeDocument/2006/relationships/hyperlink" Target="https://www.snaptrip.com/" TargetMode="External"/><Relationship Id="rId2824" Type="http://schemas.openxmlformats.org/officeDocument/2006/relationships/hyperlink" Target="https://store.admitad.com/webmaster/websites/2166760/offers/26538-aspinal-of-london/" TargetMode="External"/><Relationship Id="rId65" Type="http://schemas.openxmlformats.org/officeDocument/2006/relationships/hyperlink" Target="https://www.crocs.com/" TargetMode="External"/><Relationship Id="rId1426" Type="http://schemas.openxmlformats.org/officeDocument/2006/relationships/hyperlink" Target="https://store.admitad.com/webmaster/websites/2166760/offers/27272-simply-paving-uk/" TargetMode="External"/><Relationship Id="rId1633" Type="http://schemas.openxmlformats.org/officeDocument/2006/relationships/hyperlink" Target="https://mymajesticpet.com/" TargetMode="External"/><Relationship Id="rId1840" Type="http://schemas.openxmlformats.org/officeDocument/2006/relationships/hyperlink" Target="https://store.admitad.com/webmaster/websites/2166760/offers/14331-kaspersky-many-geos/" TargetMode="External"/><Relationship Id="rId1700" Type="http://schemas.openxmlformats.org/officeDocument/2006/relationships/hyperlink" Target="https://store.admitad.com/webmaster/websites/2166760/offers/27655-world-of-tanks-cpp-active-ww/" TargetMode="External"/><Relationship Id="rId3598" Type="http://schemas.openxmlformats.org/officeDocument/2006/relationships/hyperlink" Target="https://store.admitad.com/webmaster/websites/2166760/offers/14227-kasta-ua/" TargetMode="External"/><Relationship Id="rId3458" Type="http://schemas.openxmlformats.org/officeDocument/2006/relationships/hyperlink" Target="https://store.admitad.com/webmaster/websites/2166760/offers/27088-deporte-outlet-es/" TargetMode="External"/><Relationship Id="rId3665" Type="http://schemas.openxmlformats.org/officeDocument/2006/relationships/hyperlink" Target="https://fozzy.com/ru/index.shtml" TargetMode="External"/><Relationship Id="rId3872" Type="http://schemas.openxmlformats.org/officeDocument/2006/relationships/hyperlink" Target="https://store.admitad.com/webmaster/websites/2166760/offers/21334-asics-cps-in/" TargetMode="External"/><Relationship Id="rId379" Type="http://schemas.openxmlformats.org/officeDocument/2006/relationships/hyperlink" Target="https://www.tiendanimal.es/" TargetMode="External"/><Relationship Id="rId586" Type="http://schemas.openxmlformats.org/officeDocument/2006/relationships/hyperlink" Target="https://store.admitad.com/webmaster/websites/2166760/offers/25444-coronadirectbe-be/" TargetMode="External"/><Relationship Id="rId793" Type="http://schemas.openxmlformats.org/officeDocument/2006/relationships/hyperlink" Target="https://www.aida.de/" TargetMode="External"/><Relationship Id="rId2267" Type="http://schemas.openxmlformats.org/officeDocument/2006/relationships/hyperlink" Target="https://www.nastygal.com/gb" TargetMode="External"/><Relationship Id="rId2474" Type="http://schemas.openxmlformats.org/officeDocument/2006/relationships/hyperlink" Target="https://store.admitad.com/webmaster/websites/2166760/offers/24614-public-desire-us-ca/" TargetMode="External"/><Relationship Id="rId2681" Type="http://schemas.openxmlformats.org/officeDocument/2006/relationships/hyperlink" Target="https://www.foreo.com/" TargetMode="External"/><Relationship Id="rId3318" Type="http://schemas.openxmlformats.org/officeDocument/2006/relationships/hyperlink" Target="https://store.admitad.com/webmaster/websites/2166760/offers/21539-compensair-many-geos/" TargetMode="External"/><Relationship Id="rId3525" Type="http://schemas.openxmlformats.org/officeDocument/2006/relationships/hyperlink" Target="https://sweet.tv/promo_social_offer" TargetMode="External"/><Relationship Id="rId239" Type="http://schemas.openxmlformats.org/officeDocument/2006/relationships/hyperlink" Target="https://bride-forever.com/" TargetMode="External"/><Relationship Id="rId446" Type="http://schemas.openxmlformats.org/officeDocument/2006/relationships/hyperlink" Target="https://store.admitad.com/webmaster/websites/2166760/offers/24808-govee-many-geos/" TargetMode="External"/><Relationship Id="rId653" Type="http://schemas.openxmlformats.org/officeDocument/2006/relationships/hyperlink" Target="https://www.geliebtes-zuhause.de/" TargetMode="External"/><Relationship Id="rId1076" Type="http://schemas.openxmlformats.org/officeDocument/2006/relationships/hyperlink" Target="https://store.admitad.com/webmaster/websites/2166760/offers/26814-archiproducts-fr/" TargetMode="External"/><Relationship Id="rId1283" Type="http://schemas.openxmlformats.org/officeDocument/2006/relationships/hyperlink" Target="http://www.liquid-life.de/" TargetMode="External"/><Relationship Id="rId1490" Type="http://schemas.openxmlformats.org/officeDocument/2006/relationships/hyperlink" Target="https://store.admitad.com/webmaster/websites/2166760/offers/27357-da-direkt-de/" TargetMode="External"/><Relationship Id="rId2127" Type="http://schemas.openxmlformats.org/officeDocument/2006/relationships/hyperlink" Target="https://aa.mail.ru/" TargetMode="External"/><Relationship Id="rId2334" Type="http://schemas.openxmlformats.org/officeDocument/2006/relationships/hyperlink" Target="https://store.admitad.com/webmaster/websites/2166760/offers/27265-zooplus-cz/" TargetMode="External"/><Relationship Id="rId3732" Type="http://schemas.openxmlformats.org/officeDocument/2006/relationships/hyperlink" Target="https://store.admitad.com/webmaster/websites/2166760/offers/24065-darienzo-many-geos/" TargetMode="External"/><Relationship Id="rId306" Type="http://schemas.openxmlformats.org/officeDocument/2006/relationships/hyperlink" Target="https://store.admitad.com/webmaster/websites/2166760/offers/23973-tata-aig-two-wheeler-cpl-in/" TargetMode="External"/><Relationship Id="rId860" Type="http://schemas.openxmlformats.org/officeDocument/2006/relationships/hyperlink" Target="https://store.admitad.com/webmaster/websites/2166760/offers/26465-lyle-scott-uk/" TargetMode="External"/><Relationship Id="rId1143" Type="http://schemas.openxmlformats.org/officeDocument/2006/relationships/hyperlink" Target="https://www.tedbaker.com/de" TargetMode="External"/><Relationship Id="rId2541" Type="http://schemas.openxmlformats.org/officeDocument/2006/relationships/hyperlink" Target="https://biossance.com.br/" TargetMode="External"/><Relationship Id="rId513" Type="http://schemas.openxmlformats.org/officeDocument/2006/relationships/hyperlink" Target="https://www.sky.com/" TargetMode="External"/><Relationship Id="rId720" Type="http://schemas.openxmlformats.org/officeDocument/2006/relationships/hyperlink" Target="https://store.admitad.com/webmaster/websites/2166760/offers/26133-delonghi-cz/" TargetMode="External"/><Relationship Id="rId1350" Type="http://schemas.openxmlformats.org/officeDocument/2006/relationships/hyperlink" Target="https://store.admitad.com/webmaster/websites/2166760/offers/27158-converse-es/" TargetMode="External"/><Relationship Id="rId2401" Type="http://schemas.openxmlformats.org/officeDocument/2006/relationships/hyperlink" Target="https://in.sugarcosmetics.com/" TargetMode="External"/><Relationship Id="rId4159" Type="http://schemas.openxmlformats.org/officeDocument/2006/relationships/hyperlink" Target="https://www.zaplo.cz/" TargetMode="External"/><Relationship Id="rId1003" Type="http://schemas.openxmlformats.org/officeDocument/2006/relationships/hyperlink" Target="https://www.qatarairways.com/de-de/homepage.html" TargetMode="External"/><Relationship Id="rId1210" Type="http://schemas.openxmlformats.org/officeDocument/2006/relationships/hyperlink" Target="https://store.admitad.com/webmaster/websites/2166760/offers/27014-under-armour-it/" TargetMode="External"/><Relationship Id="rId3175" Type="http://schemas.openxmlformats.org/officeDocument/2006/relationships/hyperlink" Target="https://www.maxisport.com/" TargetMode="External"/><Relationship Id="rId3382" Type="http://schemas.openxmlformats.org/officeDocument/2006/relationships/hyperlink" Target="https://store.admitad.com/webmaster/websites/2166760/offers/24708-made-in-china-many-geos/" TargetMode="External"/><Relationship Id="rId4019" Type="http://schemas.openxmlformats.org/officeDocument/2006/relationships/hyperlink" Target="http://www.ivrose.com/" TargetMode="External"/><Relationship Id="rId4226" Type="http://schemas.openxmlformats.org/officeDocument/2006/relationships/hyperlink" Target="https://store.admitad.com/webmaster/websites/2166760/offers/22573-raid-shadow-legends-cpp-us-uk-ca-au-nz/" TargetMode="External"/><Relationship Id="rId2191" Type="http://schemas.openxmlformats.org/officeDocument/2006/relationships/hyperlink" Target="https://1cgames.net/ru/games/souldanceparty" TargetMode="External"/><Relationship Id="rId3035" Type="http://schemas.openxmlformats.org/officeDocument/2006/relationships/hyperlink" Target="https://www.tous.com/ua-uk/" TargetMode="External"/><Relationship Id="rId3242" Type="http://schemas.openxmlformats.org/officeDocument/2006/relationships/hyperlink" Target="https://store.admitad.com/webmaster/websites/2166760/offers/27412-weekendesk-es/" TargetMode="External"/><Relationship Id="rId163" Type="http://schemas.openxmlformats.org/officeDocument/2006/relationships/hyperlink" Target="https://www.rumbo.es/" TargetMode="External"/><Relationship Id="rId370" Type="http://schemas.openxmlformats.org/officeDocument/2006/relationships/hyperlink" Target="https://store.admitad.com/webmaster/websites/2166760/offers/24454-kiwoko-cps-es/" TargetMode="External"/><Relationship Id="rId2051" Type="http://schemas.openxmlformats.org/officeDocument/2006/relationships/hyperlink" Target="https://czasnabuty.pl/" TargetMode="External"/><Relationship Id="rId3102" Type="http://schemas.openxmlformats.org/officeDocument/2006/relationships/hyperlink" Target="https://store.admitad.com/webmaster/websites/2166760/offers/24316-fashion-sa-offline-codes/" TargetMode="External"/><Relationship Id="rId230" Type="http://schemas.openxmlformats.org/officeDocument/2006/relationships/hyperlink" Target="https://store.admitad.com/webmaster/websites/2166760/offers/23264-lastminute-uk/" TargetMode="External"/><Relationship Id="rId2868" Type="http://schemas.openxmlformats.org/officeDocument/2006/relationships/hyperlink" Target="https://store.admitad.com/webmaster/websites/2166760/offers/27220-chain-reaction-uk/" TargetMode="External"/><Relationship Id="rId3919" Type="http://schemas.openxmlformats.org/officeDocument/2006/relationships/hyperlink" Target="https://fo4.101xp.com/" TargetMode="External"/><Relationship Id="rId4083" Type="http://schemas.openxmlformats.org/officeDocument/2006/relationships/hyperlink" Target="https://www.druckerzubehoer.de/" TargetMode="External"/><Relationship Id="rId1677" Type="http://schemas.openxmlformats.org/officeDocument/2006/relationships/hyperlink" Target="http://trend-collection.com.ua/" TargetMode="External"/><Relationship Id="rId1884" Type="http://schemas.openxmlformats.org/officeDocument/2006/relationships/hyperlink" Target="https://store.admitad.com/webmaster/websites/2166760/offers/23893-garden-of-life-many-geos/" TargetMode="External"/><Relationship Id="rId2728" Type="http://schemas.openxmlformats.org/officeDocument/2006/relationships/hyperlink" Target="https://store.admitad.com/webmaster/websites/2166760/offers/23285-luis-bien-fr/" TargetMode="External"/><Relationship Id="rId2935" Type="http://schemas.openxmlformats.org/officeDocument/2006/relationships/hyperlink" Target="http://skillshare.evyy.net/c/269814/298081/4650" TargetMode="External"/><Relationship Id="rId907" Type="http://schemas.openxmlformats.org/officeDocument/2006/relationships/hyperlink" Target="https://www.schoonenberg.nl/" TargetMode="External"/><Relationship Id="rId1537" Type="http://schemas.openxmlformats.org/officeDocument/2006/relationships/hyperlink" Target="https://bookoutlet.com/" TargetMode="External"/><Relationship Id="rId1744" Type="http://schemas.openxmlformats.org/officeDocument/2006/relationships/hyperlink" Target="https://store.admitad.com/webmaster/websites/2166760/offers/27347-shopee-cps-in/" TargetMode="External"/><Relationship Id="rId1951" Type="http://schemas.openxmlformats.org/officeDocument/2006/relationships/hyperlink" Target="https://www.probikekit.com/" TargetMode="External"/><Relationship Id="rId4150" Type="http://schemas.openxmlformats.org/officeDocument/2006/relationships/hyperlink" Target="https://store.admitad.com/webmaster/websites/2166760/offers/24191-manipal-university-cpl-in/" TargetMode="External"/><Relationship Id="rId36" Type="http://schemas.openxmlformats.org/officeDocument/2006/relationships/hyperlink" Target="https://store.admitad.com/webmaster/websites/2166760/offers/18908-maxfashion-ae-offline-codes/" TargetMode="External"/><Relationship Id="rId1604" Type="http://schemas.openxmlformats.org/officeDocument/2006/relationships/hyperlink" Target="https://store.admitad.com/webmaster/websites/2166760/offers/27495-nadula-ww/" TargetMode="External"/><Relationship Id="rId4010" Type="http://schemas.openxmlformats.org/officeDocument/2006/relationships/hyperlink" Target="https://store.admitad.com/webmaster/websites/2166760/offers/16812-wizard101-soi-us-ca-au-nz/" TargetMode="External"/><Relationship Id="rId1811" Type="http://schemas.openxmlformats.org/officeDocument/2006/relationships/hyperlink" Target="https://www.nastygal.com/fr" TargetMode="External"/><Relationship Id="rId3569" Type="http://schemas.openxmlformats.org/officeDocument/2006/relationships/hyperlink" Target="https://www.gansel-rechtsanwaelte.de/" TargetMode="External"/><Relationship Id="rId697" Type="http://schemas.openxmlformats.org/officeDocument/2006/relationships/hyperlink" Target="https://www.currentbody.nl/" TargetMode="External"/><Relationship Id="rId2378" Type="http://schemas.openxmlformats.org/officeDocument/2006/relationships/hyperlink" Target="https://store.admitad.com/webmaster/websites/2166760/offers/18344-zaimer-cpl-kz/" TargetMode="External"/><Relationship Id="rId3429" Type="http://schemas.openxmlformats.org/officeDocument/2006/relationships/hyperlink" Target="https://megatool.com.ua/" TargetMode="External"/><Relationship Id="rId3776" Type="http://schemas.openxmlformats.org/officeDocument/2006/relationships/hyperlink" Target="https://store.admitad.com/webmaster/websites/2166760/offers/25131-planner5d-ww/" TargetMode="External"/><Relationship Id="rId3983" Type="http://schemas.openxmlformats.org/officeDocument/2006/relationships/hyperlink" Target="https://101xp.com/games/game_of_thrones" TargetMode="External"/><Relationship Id="rId1187" Type="http://schemas.openxmlformats.org/officeDocument/2006/relationships/hyperlink" Target="https://www.joulesusa.com/" TargetMode="External"/><Relationship Id="rId2585" Type="http://schemas.openxmlformats.org/officeDocument/2006/relationships/hyperlink" Target="https://www.lacoste.com/de" TargetMode="External"/><Relationship Id="rId2792" Type="http://schemas.openxmlformats.org/officeDocument/2006/relationships/hyperlink" Target="https://store.admitad.com/webmaster/websites/2166760/offers/25911-fast-up-cps-in/" TargetMode="External"/><Relationship Id="rId3636" Type="http://schemas.openxmlformats.org/officeDocument/2006/relationships/hyperlink" Target="https://store.admitad.com/webmaster/websites/2166760/offers/18541-lovelywholesale-ww/" TargetMode="External"/><Relationship Id="rId3843" Type="http://schemas.openxmlformats.org/officeDocument/2006/relationships/hyperlink" Target="http://myntra.com/" TargetMode="External"/><Relationship Id="rId557" Type="http://schemas.openxmlformats.org/officeDocument/2006/relationships/hyperlink" Target="https://fussmatten-welt.de/" TargetMode="External"/><Relationship Id="rId764" Type="http://schemas.openxmlformats.org/officeDocument/2006/relationships/hyperlink" Target="https://store.admitad.com/webmaster/websites/2166760/offers/26225-plesk-cps-ww/" TargetMode="External"/><Relationship Id="rId971" Type="http://schemas.openxmlformats.org/officeDocument/2006/relationships/hyperlink" Target="https://www.koifootwear.com/" TargetMode="External"/><Relationship Id="rId1394" Type="http://schemas.openxmlformats.org/officeDocument/2006/relationships/hyperlink" Target="https://store.admitad.com/webmaster/websites/2166760/offers/27232-maxpeedingrods-us/" TargetMode="External"/><Relationship Id="rId2238" Type="http://schemas.openxmlformats.org/officeDocument/2006/relationships/hyperlink" Target="https://store.admitad.com/webmaster/websites/2166760/offers/26226-glasswire-cps-ww/" TargetMode="External"/><Relationship Id="rId2445" Type="http://schemas.openxmlformats.org/officeDocument/2006/relationships/hyperlink" Target="https://www.americaneagle.ae/en/" TargetMode="External"/><Relationship Id="rId2652" Type="http://schemas.openxmlformats.org/officeDocument/2006/relationships/hyperlink" Target="https://store.admitad.com/webmaster/websites/2166760/offers/17605-travelist-pl/" TargetMode="External"/><Relationship Id="rId3703" Type="http://schemas.openxmlformats.org/officeDocument/2006/relationships/hyperlink" Target="https://ovo.ua/" TargetMode="External"/><Relationship Id="rId3910" Type="http://schemas.openxmlformats.org/officeDocument/2006/relationships/hyperlink" Target="https://store.admitad.com/webmaster/websites/2166760/offers/24482-theoriginals-ua/" TargetMode="External"/><Relationship Id="rId417" Type="http://schemas.openxmlformats.org/officeDocument/2006/relationships/hyperlink" Target="https://www.muji.ae/en/" TargetMode="External"/><Relationship Id="rId624" Type="http://schemas.openxmlformats.org/officeDocument/2006/relationships/hyperlink" Target="https://store.admitad.com/webmaster/websites/2166760/offers/25567-nelson-schoenen-nl/" TargetMode="External"/><Relationship Id="rId831" Type="http://schemas.openxmlformats.org/officeDocument/2006/relationships/hyperlink" Target="https://juicychemistry.com/" TargetMode="External"/><Relationship Id="rId1047" Type="http://schemas.openxmlformats.org/officeDocument/2006/relationships/hyperlink" Target="https://www.sizeofficial.de/" TargetMode="External"/><Relationship Id="rId1254" Type="http://schemas.openxmlformats.org/officeDocument/2006/relationships/hyperlink" Target="https://store.admitad.com/webmaster/websites/2166760/offers/27053-mappin-webb-uk/" TargetMode="External"/><Relationship Id="rId1461" Type="http://schemas.openxmlformats.org/officeDocument/2006/relationships/hyperlink" Target="https://www.jeans-direct.de/" TargetMode="External"/><Relationship Id="rId2305" Type="http://schemas.openxmlformats.org/officeDocument/2006/relationships/hyperlink" Target="https://www.coin.it/it-it/" TargetMode="External"/><Relationship Id="rId2512" Type="http://schemas.openxmlformats.org/officeDocument/2006/relationships/hyperlink" Target="https://store.admitad.com/webmaster/websites/2166760/offers/26313-idee-shop-de/" TargetMode="External"/><Relationship Id="rId1114" Type="http://schemas.openxmlformats.org/officeDocument/2006/relationships/hyperlink" Target="https://store.admitad.com/webmaster/websites/2166760/offers/26884-5vorflug-de/" TargetMode="External"/><Relationship Id="rId1321" Type="http://schemas.openxmlformats.org/officeDocument/2006/relationships/hyperlink" Target="https://www.jet2holidays.com/" TargetMode="External"/><Relationship Id="rId3079" Type="http://schemas.openxmlformats.org/officeDocument/2006/relationships/hyperlink" Target="https://www.alsaifgallery.com/" TargetMode="External"/><Relationship Id="rId3286" Type="http://schemas.openxmlformats.org/officeDocument/2006/relationships/hyperlink" Target="https://store.admitad.com/webmaster/websites/2166760/offers/18696-kiwicom-many-geos/" TargetMode="External"/><Relationship Id="rId3493" Type="http://schemas.openxmlformats.org/officeDocument/2006/relationships/hyperlink" Target="https://xistore.by/" TargetMode="External"/><Relationship Id="rId2095" Type="http://schemas.openxmlformats.org/officeDocument/2006/relationships/hyperlink" Target="https://us.myprotein.com/" TargetMode="External"/><Relationship Id="rId3146" Type="http://schemas.openxmlformats.org/officeDocument/2006/relationships/hyperlink" Target="https://store.admitad.com/webmaster/websites/2166760/offers/24987-sleepycat-cps-in/" TargetMode="External"/><Relationship Id="rId3353" Type="http://schemas.openxmlformats.org/officeDocument/2006/relationships/hyperlink" Target="https://www.linio.com.co/" TargetMode="External"/><Relationship Id="rId274" Type="http://schemas.openxmlformats.org/officeDocument/2006/relationships/hyperlink" Target="https://store.admitad.com/webmaster/websites/2166760/offers/23719-belvilla-fr/" TargetMode="External"/><Relationship Id="rId481" Type="http://schemas.openxmlformats.org/officeDocument/2006/relationships/hyperlink" Target="https://www.oppo.com/in/store/" TargetMode="External"/><Relationship Id="rId2162" Type="http://schemas.openxmlformats.org/officeDocument/2006/relationships/hyperlink" Target="https://store.admitad.com/webmaster/websites/2166760/offers/22705-mikyajy-ae-sa-offline-codes-links/" TargetMode="External"/><Relationship Id="rId3006" Type="http://schemas.openxmlformats.org/officeDocument/2006/relationships/hyperlink" Target="https://store.admitad.com/webmaster/websites/2166760/offers/21425-slon-credit-cpsapi-ua/" TargetMode="External"/><Relationship Id="rId3560" Type="http://schemas.openxmlformats.org/officeDocument/2006/relationships/hyperlink" Target="https://store.admitad.com/webmaster/websites/2166760/offers/26108-buser-br/" TargetMode="External"/><Relationship Id="rId134" Type="http://schemas.openxmlformats.org/officeDocument/2006/relationships/hyperlink" Target="https://store.admitad.com/webmaster/websites/2166760/offers/22262-pottery-barn-ae-sa-kw/" TargetMode="External"/><Relationship Id="rId3213" Type="http://schemas.openxmlformats.org/officeDocument/2006/relationships/hyperlink" Target="https://www.bunches.co.uk/" TargetMode="External"/><Relationship Id="rId3420" Type="http://schemas.openxmlformats.org/officeDocument/2006/relationships/hyperlink" Target="https://store.admitad.com/webmaster/websites/2166760/offers/26026-dyson-cps-in/" TargetMode="External"/><Relationship Id="rId341" Type="http://schemas.openxmlformats.org/officeDocument/2006/relationships/hyperlink" Target="https://play.google.com/store/apps/details?id=pro.enaza.gamersbase" TargetMode="External"/><Relationship Id="rId2022" Type="http://schemas.openxmlformats.org/officeDocument/2006/relationships/hyperlink" Target="https://store.admitad.com/webmaster/websites/2166760/offers/22778-ucando-pl/" TargetMode="External"/><Relationship Id="rId2979" Type="http://schemas.openxmlformats.org/officeDocument/2006/relationships/hyperlink" Target="https://www.secretescapes.com/" TargetMode="External"/><Relationship Id="rId201" Type="http://schemas.openxmlformats.org/officeDocument/2006/relationships/hyperlink" Target="https://www.bajajallianz.com/health-insurance-plans/individual-health-insurance-plans/buy-online.html?src=CBM_02636&amp;utm_source=email&amp;utm_medium=emailer&amp;utm_campaign=AprHealthLS&amp;utm_term=Lpub31" TargetMode="External"/><Relationship Id="rId1788" Type="http://schemas.openxmlformats.org/officeDocument/2006/relationships/hyperlink" Target="https://store.admitad.com/webmaster/websites/2166760/offers/26003-flormar-tr/" TargetMode="External"/><Relationship Id="rId1995" Type="http://schemas.openxmlformats.org/officeDocument/2006/relationships/hyperlink" Target="https://www.burton.co.uk/" TargetMode="External"/><Relationship Id="rId2839" Type="http://schemas.openxmlformats.org/officeDocument/2006/relationships/hyperlink" Target="https://www.musterhaus.net/hausbaukataloge-neu" TargetMode="External"/><Relationship Id="rId4194" Type="http://schemas.openxmlformats.org/officeDocument/2006/relationships/hyperlink" Target="https://store.admitad.com/webmaster/websites/2166760/offers/20385-sokolov/" TargetMode="External"/><Relationship Id="rId1648" Type="http://schemas.openxmlformats.org/officeDocument/2006/relationships/hyperlink" Target="https://store.admitad.com/webmaster/websites/2166760/offers/27546-momox-fr/" TargetMode="External"/><Relationship Id="rId4054" Type="http://schemas.openxmlformats.org/officeDocument/2006/relationships/hyperlink" Target="https://store.admitad.com/webmaster/websites/2166760/offers/23775-glo-cpl-cps-ua/" TargetMode="External"/><Relationship Id="rId1508" Type="http://schemas.openxmlformats.org/officeDocument/2006/relationships/hyperlink" Target="https://store.admitad.com/webmaster/websites/2166760/offers/27380-oberoi-hotels-cps-global/" TargetMode="External"/><Relationship Id="rId1855" Type="http://schemas.openxmlformats.org/officeDocument/2006/relationships/hyperlink" Target="https://fr.gant.com/" TargetMode="External"/><Relationship Id="rId2906" Type="http://schemas.openxmlformats.org/officeDocument/2006/relationships/hyperlink" Target="https://store.admitad.com/webmaster/websites/2166760/offers/14454-moi-karnaval/" TargetMode="External"/><Relationship Id="rId3070" Type="http://schemas.openxmlformats.org/officeDocument/2006/relationships/hyperlink" Target="https://store.admitad.com/webmaster/websites/2166760/offers/23462-kotak-life-insurance-cpl-in-2/" TargetMode="External"/><Relationship Id="rId4121" Type="http://schemas.openxmlformats.org/officeDocument/2006/relationships/hyperlink" Target="https://yakaboo.ua/" TargetMode="External"/><Relationship Id="rId1715" Type="http://schemas.openxmlformats.org/officeDocument/2006/relationships/hyperlink" Target="https://www.cosdlazdrowia.pl/" TargetMode="External"/><Relationship Id="rId1922" Type="http://schemas.openxmlformats.org/officeDocument/2006/relationships/hyperlink" Target="https://store.admitad.com/webmaster/websites/2166760/offers/26112-ekdum-biryani-cps-in/" TargetMode="External"/><Relationship Id="rId3887" Type="http://schemas.openxmlformats.org/officeDocument/2006/relationships/hyperlink" Target="https://kumo.com.ua/" TargetMode="External"/><Relationship Id="rId2489" Type="http://schemas.openxmlformats.org/officeDocument/2006/relationships/hyperlink" Target="https://www.portronics.com/" TargetMode="External"/><Relationship Id="rId2696" Type="http://schemas.openxmlformats.org/officeDocument/2006/relationships/hyperlink" Target="https://store.admitad.com/webmaster/websites/2166760/offers/22210-wakacje-pl/" TargetMode="External"/><Relationship Id="rId3747" Type="http://schemas.openxmlformats.org/officeDocument/2006/relationships/hyperlink" Target="https://metrobrazil.com/" TargetMode="External"/><Relationship Id="rId3954" Type="http://schemas.openxmlformats.org/officeDocument/2006/relationships/hyperlink" Target="https://store.admitad.com/webmaster/websites/2166760/offers/18423-movavi/" TargetMode="External"/><Relationship Id="rId668" Type="http://schemas.openxmlformats.org/officeDocument/2006/relationships/hyperlink" Target="https://store.admitad.com/webmaster/websites/2166760/offers/25908-adl-tr/" TargetMode="External"/><Relationship Id="rId875" Type="http://schemas.openxmlformats.org/officeDocument/2006/relationships/hyperlink" Target="https://www.crocs.com.sg/" TargetMode="External"/><Relationship Id="rId1298" Type="http://schemas.openxmlformats.org/officeDocument/2006/relationships/hyperlink" Target="https://store.admitad.com/webmaster/websites/2166760/offers/27101-autodoc-nl/" TargetMode="External"/><Relationship Id="rId2349" Type="http://schemas.openxmlformats.org/officeDocument/2006/relationships/hyperlink" Target="https://www.pharao24.de/" TargetMode="External"/><Relationship Id="rId2556" Type="http://schemas.openxmlformats.org/officeDocument/2006/relationships/hyperlink" Target="https://store.admitad.com/webmaster/websites/2166760/offers/26802-aosom-de/" TargetMode="External"/><Relationship Id="rId2763" Type="http://schemas.openxmlformats.org/officeDocument/2006/relationships/hyperlink" Target="https://campaigns.icicibank.com/home-loan-main/index.html?utm_source=affiliate&amp;utm_medium=email&amp;utm_campaign=icicibank-a2-hl-admitad&amp;utm_content=affiliate-cpl-admitad&amp;utm_lms=affiliate-cpl-admitad-subject1-generic-pubid" TargetMode="External"/><Relationship Id="rId2970" Type="http://schemas.openxmlformats.org/officeDocument/2006/relationships/hyperlink" Target="https://store.admitad.com/webmaster/websites/2166760/offers/19703-bigrock-cps-in/" TargetMode="External"/><Relationship Id="rId3607" Type="http://schemas.openxmlformats.org/officeDocument/2006/relationships/hyperlink" Target="http://carcam.ru/" TargetMode="External"/><Relationship Id="rId3814" Type="http://schemas.openxmlformats.org/officeDocument/2006/relationships/hyperlink" Target="https://store.admitad.com/webmaster/websites/2166760/offers/26783-aktivshop-de/" TargetMode="External"/><Relationship Id="rId528" Type="http://schemas.openxmlformats.org/officeDocument/2006/relationships/hyperlink" Target="https://store.admitad.com/webmaster/websites/2166760/offers/25133-saffola-marico-cps-in/" TargetMode="External"/><Relationship Id="rId735" Type="http://schemas.openxmlformats.org/officeDocument/2006/relationships/hyperlink" Target="https://www.aspinaloflondon.com/" TargetMode="External"/><Relationship Id="rId942" Type="http://schemas.openxmlformats.org/officeDocument/2006/relationships/hyperlink" Target="https://store.admitad.com/webmaster/websites/2166760/offers/26591-smartbuyglasses-uk/" TargetMode="External"/><Relationship Id="rId1158" Type="http://schemas.openxmlformats.org/officeDocument/2006/relationships/hyperlink" Target="https://store.admitad.com/webmaster/websites/2166760/offers/26955-suit-direct-uk/" TargetMode="External"/><Relationship Id="rId1365" Type="http://schemas.openxmlformats.org/officeDocument/2006/relationships/hyperlink" Target="https://abo.spiegel.de/de/c/microsites/pl/standard/plus-einstiegsangebot" TargetMode="External"/><Relationship Id="rId1572" Type="http://schemas.openxmlformats.org/officeDocument/2006/relationships/hyperlink" Target="https://store.admitad.com/webmaster/websites/2166760/offers/27458-zattoo-de/" TargetMode="External"/><Relationship Id="rId2209" Type="http://schemas.openxmlformats.org/officeDocument/2006/relationships/hyperlink" Target="https://www.megakoszulki.pl/" TargetMode="External"/><Relationship Id="rId2416" Type="http://schemas.openxmlformats.org/officeDocument/2006/relationships/hyperlink" Target="https://store.admitad.com/webmaster/websites/2166760/offers/22677-raketa-rocket-cps-android-ios-ua/" TargetMode="External"/><Relationship Id="rId2623" Type="http://schemas.openxmlformats.org/officeDocument/2006/relationships/hyperlink" Target="https://dunkinindia.com/" TargetMode="External"/><Relationship Id="rId1018" Type="http://schemas.openxmlformats.org/officeDocument/2006/relationships/hyperlink" Target="https://store.admitad.com/webmaster/websites/2166760/offers/26698-crocs-de-2/" TargetMode="External"/><Relationship Id="rId1225" Type="http://schemas.openxmlformats.org/officeDocument/2006/relationships/hyperlink" Target="https://www.archiproducts.com/it" TargetMode="External"/><Relationship Id="rId1432" Type="http://schemas.openxmlformats.org/officeDocument/2006/relationships/hyperlink" Target="https://store.admitad.com/webmaster/websites/2166760/offers/27287-compressa-compression-socks-us/" TargetMode="External"/><Relationship Id="rId2830" Type="http://schemas.openxmlformats.org/officeDocument/2006/relationships/hyperlink" Target="https://store.admitad.com/webmaster/websites/2166760/offers/26601-the-body-shop-us/" TargetMode="External"/><Relationship Id="rId71" Type="http://schemas.openxmlformats.org/officeDocument/2006/relationships/hyperlink" Target="https://www.tiqets.com/en/" TargetMode="External"/><Relationship Id="rId802" Type="http://schemas.openxmlformats.org/officeDocument/2006/relationships/hyperlink" Target="https://store.admitad.com/webmaster/websites/2166760/offers/26333-apetete-pl/" TargetMode="External"/><Relationship Id="rId3397" Type="http://schemas.openxmlformats.org/officeDocument/2006/relationships/hyperlink" Target="https://www.eshko.by/" TargetMode="External"/><Relationship Id="rId178" Type="http://schemas.openxmlformats.org/officeDocument/2006/relationships/hyperlink" Target="https://store.admitad.com/webmaster/websites/2166760/offers/22823-macys-many-geos/" TargetMode="External"/><Relationship Id="rId3257" Type="http://schemas.openxmlformats.org/officeDocument/2006/relationships/hyperlink" Target="http://chicco.com.ua/" TargetMode="External"/><Relationship Id="rId3464" Type="http://schemas.openxmlformats.org/officeDocument/2006/relationships/hyperlink" Target="https://store.admitad.com/webmaster/websites/2166760/offers/27452-hexclad-cookware-us/" TargetMode="External"/><Relationship Id="rId3671" Type="http://schemas.openxmlformats.org/officeDocument/2006/relationships/hyperlink" Target="https://www.themancompany.com/" TargetMode="External"/><Relationship Id="rId385" Type="http://schemas.openxmlformats.org/officeDocument/2006/relationships/hyperlink" Target="https://www.william-may.co.uk/" TargetMode="External"/><Relationship Id="rId592" Type="http://schemas.openxmlformats.org/officeDocument/2006/relationships/hyperlink" Target="https://store.admitad.com/webmaster/websites/2166760/offers/25475-matchesfashion-eu-uk/" TargetMode="External"/><Relationship Id="rId2066" Type="http://schemas.openxmlformats.org/officeDocument/2006/relationships/hyperlink" Target="https://store.admitad.com/webmaster/websites/2166760/offers/26646-feel-good-contacts-uk/" TargetMode="External"/><Relationship Id="rId2273" Type="http://schemas.openxmlformats.org/officeDocument/2006/relationships/hyperlink" Target="http://www.jdsports.nl/" TargetMode="External"/><Relationship Id="rId2480" Type="http://schemas.openxmlformats.org/officeDocument/2006/relationships/hyperlink" Target="https://store.admitad.com/webmaster/websites/2166760/offers/24812-home-fitness-code-uk/" TargetMode="External"/><Relationship Id="rId3117" Type="http://schemas.openxmlformats.org/officeDocument/2006/relationships/hyperlink" Target="https://prolon.ae/" TargetMode="External"/><Relationship Id="rId3324" Type="http://schemas.openxmlformats.org/officeDocument/2006/relationships/hyperlink" Target="https://store.admitad.com/webmaster/websites/2166760/offers/21945-uol-host-br/" TargetMode="External"/><Relationship Id="rId3531" Type="http://schemas.openxmlformats.org/officeDocument/2006/relationships/hyperlink" Target="https://skysmart.ru/" TargetMode="External"/><Relationship Id="rId245" Type="http://schemas.openxmlformats.org/officeDocument/2006/relationships/hyperlink" Target="https://in.toluna.com/" TargetMode="External"/><Relationship Id="rId452" Type="http://schemas.openxmlformats.org/officeDocument/2006/relationships/hyperlink" Target="https://store.admitad.com/webmaster/websites/2166760/offers/24834-red-letter-days-uk/" TargetMode="External"/><Relationship Id="rId1082" Type="http://schemas.openxmlformats.org/officeDocument/2006/relationships/hyperlink" Target="https://store.admitad.com/webmaster/websites/2166760/offers/26833-angel-one-cpl-in/" TargetMode="External"/><Relationship Id="rId2133" Type="http://schemas.openxmlformats.org/officeDocument/2006/relationships/hyperlink" Target="https://www.enterprise.ca/en/home.html" TargetMode="External"/><Relationship Id="rId2340" Type="http://schemas.openxmlformats.org/officeDocument/2006/relationships/hyperlink" Target="https://store.admitad.com/webmaster/websites/2166760/offers/27324-dorothy-perkins-uk/" TargetMode="External"/><Relationship Id="rId105" Type="http://schemas.openxmlformats.org/officeDocument/2006/relationships/hyperlink" Target="https://www.smava.de/" TargetMode="External"/><Relationship Id="rId312" Type="http://schemas.openxmlformats.org/officeDocument/2006/relationships/hyperlink" Target="https://store.admitad.com/webmaster/websites/2166760/offers/24014-fasthosts-uk-de/" TargetMode="External"/><Relationship Id="rId2200" Type="http://schemas.openxmlformats.org/officeDocument/2006/relationships/hyperlink" Target="https://store.admitad.com/webmaster/websites/2166760/offers/24291-decathlon-kz/" TargetMode="External"/><Relationship Id="rId4098" Type="http://schemas.openxmlformats.org/officeDocument/2006/relationships/hyperlink" Target="https://store.admitad.com/webmaster/websites/2166760/offers/14827-adidas-ru/" TargetMode="External"/><Relationship Id="rId1899" Type="http://schemas.openxmlformats.org/officeDocument/2006/relationships/hyperlink" Target="https://www.streetprorunning.com/" TargetMode="External"/><Relationship Id="rId4165" Type="http://schemas.openxmlformats.org/officeDocument/2006/relationships/hyperlink" Target="https://tradition.com.ua/ru" TargetMode="External"/><Relationship Id="rId1759" Type="http://schemas.openxmlformats.org/officeDocument/2006/relationships/hyperlink" Target="https://espritgames.com/gameofthrones" TargetMode="External"/><Relationship Id="rId1966" Type="http://schemas.openxmlformats.org/officeDocument/2006/relationships/hyperlink" Target="https://store.admitad.com/webmaster/websites/2166760/offers/26812-foot-locker-de/" TargetMode="External"/><Relationship Id="rId3181" Type="http://schemas.openxmlformats.org/officeDocument/2006/relationships/hyperlink" Target="https://www.christ.de/" TargetMode="External"/><Relationship Id="rId4025" Type="http://schemas.openxmlformats.org/officeDocument/2006/relationships/hyperlink" Target="https://www.patpat.com/" TargetMode="External"/><Relationship Id="rId1619" Type="http://schemas.openxmlformats.org/officeDocument/2006/relationships/hyperlink" Target="https://www.dhani.com/one-freedom/" TargetMode="External"/><Relationship Id="rId1826" Type="http://schemas.openxmlformats.org/officeDocument/2006/relationships/hyperlink" Target="https://store.admitad.com/webmaster/websites/2166760/offers/27100-cartridge-people-uk/" TargetMode="External"/><Relationship Id="rId4232" Type="http://schemas.openxmlformats.org/officeDocument/2006/relationships/hyperlink" Target="https://store.admitad.com/webmaster/websites/2166760/offers/23830-patpat-many-geos-offline-codes/" TargetMode="External"/><Relationship Id="rId3041" Type="http://schemas.openxmlformats.org/officeDocument/2006/relationships/hyperlink" Target="https://www.iciciprulife.com/term-insurance-plans/iprotect-smart-term-insurance-calculator.html?UID=35436&amp;utm_source=email&amp;utm_medium=affiliate&amp;utm_campaign=admitads-email-ips-affiliate-35436&amp;utm_content=secure-family" TargetMode="External"/><Relationship Id="rId3998" Type="http://schemas.openxmlformats.org/officeDocument/2006/relationships/hyperlink" Target="https://store.admitad.com/webmaster/websites/2166760/offers/14627-flipkart-cps-in/" TargetMode="External"/><Relationship Id="rId3858" Type="http://schemas.openxmlformats.org/officeDocument/2006/relationships/hyperlink" Target="https://store.admitad.com/webmaster/websites/2166760/offers/20062-auchan-ua/" TargetMode="External"/><Relationship Id="rId779" Type="http://schemas.openxmlformats.org/officeDocument/2006/relationships/hyperlink" Target="https://cz.euroelectronics.eu/" TargetMode="External"/><Relationship Id="rId986" Type="http://schemas.openxmlformats.org/officeDocument/2006/relationships/hyperlink" Target="https://store.admitad.com/webmaster/websites/2166760/offers/26672-sport-thieme-de/" TargetMode="External"/><Relationship Id="rId2667" Type="http://schemas.openxmlformats.org/officeDocument/2006/relationships/hyperlink" Target="http://global.redmagic.gg/" TargetMode="External"/><Relationship Id="rId3718" Type="http://schemas.openxmlformats.org/officeDocument/2006/relationships/hyperlink" Target="https://store.admitad.com/webmaster/websites/2166760/offers/23651-ringoo-ua/" TargetMode="External"/><Relationship Id="rId639" Type="http://schemas.openxmlformats.org/officeDocument/2006/relationships/hyperlink" Target="https://samsclub.com/" TargetMode="External"/><Relationship Id="rId1269" Type="http://schemas.openxmlformats.org/officeDocument/2006/relationships/hyperlink" Target="https://www.bitiba.it/" TargetMode="External"/><Relationship Id="rId1476" Type="http://schemas.openxmlformats.org/officeDocument/2006/relationships/hyperlink" Target="https://store.admitad.com/webmaster/websites/2166760/offers/27348-xiaomi-it/" TargetMode="External"/><Relationship Id="rId2874" Type="http://schemas.openxmlformats.org/officeDocument/2006/relationships/hyperlink" Target="https://store.admitad.com/webmaster/websites/2166760/offers/27262-screencast-o-matic-us-ca/" TargetMode="External"/><Relationship Id="rId3925" Type="http://schemas.openxmlformats.org/officeDocument/2006/relationships/hyperlink" Target="https://htmlacademy.ru/" TargetMode="External"/><Relationship Id="rId846" Type="http://schemas.openxmlformats.org/officeDocument/2006/relationships/hyperlink" Target="https://store.admitad.com/webmaster/websites/2166760/offers/26443-coach-fr-es-it-de/" TargetMode="External"/><Relationship Id="rId1129" Type="http://schemas.openxmlformats.org/officeDocument/2006/relationships/hyperlink" Target="https://www.pond5.com/" TargetMode="External"/><Relationship Id="rId1683" Type="http://schemas.openxmlformats.org/officeDocument/2006/relationships/hyperlink" Target="https://www.kuchenland.ru/" TargetMode="External"/><Relationship Id="rId1890" Type="http://schemas.openxmlformats.org/officeDocument/2006/relationships/hyperlink" Target="https://store.admitad.com/webmaster/websites/2166760/offers/24292-cox-cox-uk/" TargetMode="External"/><Relationship Id="rId2527" Type="http://schemas.openxmlformats.org/officeDocument/2006/relationships/hyperlink" Target="https://www.zooplus.it/" TargetMode="External"/><Relationship Id="rId2734" Type="http://schemas.openxmlformats.org/officeDocument/2006/relationships/hyperlink" Target="https://store.admitad.com/webmaster/websites/2166760/offers/23484-fragstore-ru-cis/" TargetMode="External"/><Relationship Id="rId2941" Type="http://schemas.openxmlformats.org/officeDocument/2006/relationships/hyperlink" Target="https://www.megazip.ru/" TargetMode="External"/><Relationship Id="rId706" Type="http://schemas.openxmlformats.org/officeDocument/2006/relationships/hyperlink" Target="https://store.admitad.com/webmaster/websites/2166760/offers/26084-currentbody-ru-uk/" TargetMode="External"/><Relationship Id="rId913" Type="http://schemas.openxmlformats.org/officeDocument/2006/relationships/hyperlink" Target="https://www.watchmaster.com/fr" TargetMode="External"/><Relationship Id="rId1336" Type="http://schemas.openxmlformats.org/officeDocument/2006/relationships/hyperlink" Target="https://store.admitad.com/webmaster/websites/2166760/offers/27139-somma-store-de/" TargetMode="External"/><Relationship Id="rId1543" Type="http://schemas.openxmlformats.org/officeDocument/2006/relationships/hyperlink" Target="https://www.thegreatcourses.com/" TargetMode="External"/><Relationship Id="rId1750" Type="http://schemas.openxmlformats.org/officeDocument/2006/relationships/hyperlink" Target="https://store.admitad.com/webmaster/websites/2166760/offers/15039-priceelf-ww/" TargetMode="External"/><Relationship Id="rId2801" Type="http://schemas.openxmlformats.org/officeDocument/2006/relationships/hyperlink" Target="https://micuento.com/" TargetMode="External"/><Relationship Id="rId42" Type="http://schemas.openxmlformats.org/officeDocument/2006/relationships/hyperlink" Target="https://store.admitad.com/webmaster/websites/2166760/offers/19158-noon-eg-offline-codes/" TargetMode="External"/><Relationship Id="rId1403" Type="http://schemas.openxmlformats.org/officeDocument/2006/relationships/hyperlink" Target="https://www.inspireuplift.com/" TargetMode="External"/><Relationship Id="rId1610" Type="http://schemas.openxmlformats.org/officeDocument/2006/relationships/hyperlink" Target="https://store.admitad.com/webmaster/websites/2166760/offers/27501-vida-xl-nl/" TargetMode="External"/><Relationship Id="rId3368" Type="http://schemas.openxmlformats.org/officeDocument/2006/relationships/hyperlink" Target="https://store.admitad.com/webmaster/websites/2166760/offers/24295-stylewe-ww/" TargetMode="External"/><Relationship Id="rId3575" Type="http://schemas.openxmlformats.org/officeDocument/2006/relationships/hyperlink" Target="https://www.serenataflowers.com/" TargetMode="External"/><Relationship Id="rId3782" Type="http://schemas.openxmlformats.org/officeDocument/2006/relationships/hyperlink" Target="https://store.admitad.com/webmaster/websites/2166760/offers/25856-private-sport-shop-de-at/" TargetMode="External"/><Relationship Id="rId289" Type="http://schemas.openxmlformats.org/officeDocument/2006/relationships/hyperlink" Target="https://www.apple.com/in/" TargetMode="External"/><Relationship Id="rId496" Type="http://schemas.openxmlformats.org/officeDocument/2006/relationships/hyperlink" Target="https://store.admitad.com/webmaster/websites/2166760/offers/25026-my-shaky-nl/" TargetMode="External"/><Relationship Id="rId2177" Type="http://schemas.openxmlformats.org/officeDocument/2006/relationships/hyperlink" Target="https://espritgames.com/wartime/" TargetMode="External"/><Relationship Id="rId2384" Type="http://schemas.openxmlformats.org/officeDocument/2006/relationships/hyperlink" Target="https://store.admitad.com/webmaster/websites/2166760/offers/20493-horacredit-cps-ro/" TargetMode="External"/><Relationship Id="rId2591" Type="http://schemas.openxmlformats.org/officeDocument/2006/relationships/hyperlink" Target="https://www.coolstays.com/" TargetMode="External"/><Relationship Id="rId3228" Type="http://schemas.openxmlformats.org/officeDocument/2006/relationships/hyperlink" Target="https://store.admitad.com/webmaster/websites/2166760/offers/27226-pyszne-pl/" TargetMode="External"/><Relationship Id="rId3435" Type="http://schemas.openxmlformats.org/officeDocument/2006/relationships/hyperlink" Target="https://www.poco.de/" TargetMode="External"/><Relationship Id="rId3642" Type="http://schemas.openxmlformats.org/officeDocument/2006/relationships/hyperlink" Target="https://store.admitad.com/webmaster/websites/2166760/offers/18789-fiverr-many-geos/" TargetMode="External"/><Relationship Id="rId149" Type="http://schemas.openxmlformats.org/officeDocument/2006/relationships/hyperlink" Target="https://www.sharekhan.com/" TargetMode="External"/><Relationship Id="rId356" Type="http://schemas.openxmlformats.org/officeDocument/2006/relationships/hyperlink" Target="https://store.admitad.com/webmaster/websites/2166760/offers/24328-butterfly-twists-uk/" TargetMode="External"/><Relationship Id="rId563" Type="http://schemas.openxmlformats.org/officeDocument/2006/relationships/hyperlink" Target="https://cjdropshipping.com/" TargetMode="External"/><Relationship Id="rId770" Type="http://schemas.openxmlformats.org/officeDocument/2006/relationships/hyperlink" Target="https://store.admitad.com/webmaster/websites/2166760/offers/26240-times-of-india-cpv-in/" TargetMode="External"/><Relationship Id="rId1193" Type="http://schemas.openxmlformats.org/officeDocument/2006/relationships/hyperlink" Target="https://www.samsung.com/es/" TargetMode="External"/><Relationship Id="rId2037" Type="http://schemas.openxmlformats.org/officeDocument/2006/relationships/hyperlink" Target="https://farmaciabaricentro.com/" TargetMode="External"/><Relationship Id="rId2244" Type="http://schemas.openxmlformats.org/officeDocument/2006/relationships/hyperlink" Target="https://store.admitad.com/webmaster/websites/2166760/offers/26276-m-net-de/" TargetMode="External"/><Relationship Id="rId2451" Type="http://schemas.openxmlformats.org/officeDocument/2006/relationships/hyperlink" Target="https://uk.sanctuary.com/" TargetMode="External"/><Relationship Id="rId216" Type="http://schemas.openxmlformats.org/officeDocument/2006/relationships/hyperlink" Target="https://store.admitad.com/webmaster/websites/2166760/offers/23113-myprotein-cps-many-geos/" TargetMode="External"/><Relationship Id="rId423" Type="http://schemas.openxmlformats.org/officeDocument/2006/relationships/hyperlink" Target="https://www.jabra.co.uk/" TargetMode="External"/><Relationship Id="rId1053" Type="http://schemas.openxmlformats.org/officeDocument/2006/relationships/hyperlink" Target="https://www.thebodyshop.com.kw/en/" TargetMode="External"/><Relationship Id="rId1260" Type="http://schemas.openxmlformats.org/officeDocument/2006/relationships/hyperlink" Target="https://store.admitad.com/webmaster/websites/2166760/offers/27056-berghaus-uk/" TargetMode="External"/><Relationship Id="rId2104" Type="http://schemas.openxmlformats.org/officeDocument/2006/relationships/hyperlink" Target="https://store.admitad.com/webmaster/websites/2166760/offers/27430-kombo-fr/" TargetMode="External"/><Relationship Id="rId3502" Type="http://schemas.openxmlformats.org/officeDocument/2006/relationships/hyperlink" Target="https://store.admitad.com/webmaster/websites/2166760/offers/21600-winetime-ua/" TargetMode="External"/><Relationship Id="rId630" Type="http://schemas.openxmlformats.org/officeDocument/2006/relationships/hyperlink" Target="https://store.admitad.com/webmaster/websites/2166760/offers/25635-hive-books-uk/" TargetMode="External"/><Relationship Id="rId2311" Type="http://schemas.openxmlformats.org/officeDocument/2006/relationships/hyperlink" Target="https://www.farmae.it/" TargetMode="External"/><Relationship Id="rId4069" Type="http://schemas.openxmlformats.org/officeDocument/2006/relationships/hyperlink" Target="https://www.hdfc.com/" TargetMode="External"/><Relationship Id="rId1120" Type="http://schemas.openxmlformats.org/officeDocument/2006/relationships/hyperlink" Target="https://store.admitad.com/webmaster/websites/2166760/offers/26894-hibobi-ww-offline-codes/" TargetMode="External"/><Relationship Id="rId1937" Type="http://schemas.openxmlformats.org/officeDocument/2006/relationships/hyperlink" Target="https://gabestore.ru/" TargetMode="External"/><Relationship Id="rId3085" Type="http://schemas.openxmlformats.org/officeDocument/2006/relationships/hyperlink" Target="https://www.buywow.in/" TargetMode="External"/><Relationship Id="rId3292" Type="http://schemas.openxmlformats.org/officeDocument/2006/relationships/hyperlink" Target="https://store.admitad.com/webmaster/websites/2166760/offers/19135-reebok-cps-in/" TargetMode="External"/><Relationship Id="rId4136" Type="http://schemas.openxmlformats.org/officeDocument/2006/relationships/hyperlink" Target="https://store.admitad.com/webmaster/websites/2166760/offers/22647-reliance-digital-cps-in/" TargetMode="External"/><Relationship Id="rId3152" Type="http://schemas.openxmlformats.org/officeDocument/2006/relationships/hyperlink" Target="https://store.admitad.com/webmaster/websites/2166760/offers/25312-desigual-cps-es-tr/" TargetMode="External"/><Relationship Id="rId4203" Type="http://schemas.openxmlformats.org/officeDocument/2006/relationships/hyperlink" Target="https://www.banggood.com/" TargetMode="External"/><Relationship Id="rId280" Type="http://schemas.openxmlformats.org/officeDocument/2006/relationships/hyperlink" Target="https://store.admitad.com/webmaster/websites/2166760/offers/23801-futurelearn-ww/" TargetMode="External"/><Relationship Id="rId3012" Type="http://schemas.openxmlformats.org/officeDocument/2006/relationships/hyperlink" Target="https://store.admitad.com/webmaster/websites/2166760/offers/21870-radisson-hotel-group-many-geos/" TargetMode="External"/><Relationship Id="rId140" Type="http://schemas.openxmlformats.org/officeDocument/2006/relationships/hyperlink" Target="https://store.admitad.com/webmaster/websites/2166760/offers/22444-credy-cpl-es/" TargetMode="External"/><Relationship Id="rId3969" Type="http://schemas.openxmlformats.org/officeDocument/2006/relationships/hyperlink" Target="https://creditbox.in.ua/" TargetMode="External"/><Relationship Id="rId6" Type="http://schemas.openxmlformats.org/officeDocument/2006/relationships/hyperlink" Target="https://store.admitad.com/webmaster/websites/2166760/offers/14111-agoda-ww/" TargetMode="External"/><Relationship Id="rId2778" Type="http://schemas.openxmlformats.org/officeDocument/2006/relationships/hyperlink" Target="https://store.admitad.com/webmaster/websites/2166760/offers/24877-weightworld-uk/" TargetMode="External"/><Relationship Id="rId2985" Type="http://schemas.openxmlformats.org/officeDocument/2006/relationships/hyperlink" Target="https://www.goibibo.com/hotels/" TargetMode="External"/><Relationship Id="rId3829" Type="http://schemas.openxmlformats.org/officeDocument/2006/relationships/hyperlink" Target="https://www.cocooncenter.com/" TargetMode="External"/><Relationship Id="rId957" Type="http://schemas.openxmlformats.org/officeDocument/2006/relationships/hyperlink" Target="https://www.oralb.nl/nl-nl" TargetMode="External"/><Relationship Id="rId1587" Type="http://schemas.openxmlformats.org/officeDocument/2006/relationships/hyperlink" Target="https://www.claires.com/" TargetMode="External"/><Relationship Id="rId1794" Type="http://schemas.openxmlformats.org/officeDocument/2006/relationships/hyperlink" Target="https://store.admitad.com/webmaster/websites/2166760/offers/26342-51015-pl/" TargetMode="External"/><Relationship Id="rId2638" Type="http://schemas.openxmlformats.org/officeDocument/2006/relationships/hyperlink" Target="https://store.admitad.com/webmaster/websites/2166760/offers/9794-yves-rocher-kz/" TargetMode="External"/><Relationship Id="rId2845" Type="http://schemas.openxmlformats.org/officeDocument/2006/relationships/hyperlink" Target="https://www.meshki.us/" TargetMode="External"/><Relationship Id="rId86" Type="http://schemas.openxmlformats.org/officeDocument/2006/relationships/hyperlink" Target="https://store.admitad.com/webmaster/websites/2166760/offers/21261-mandm-direct-pl/" TargetMode="External"/><Relationship Id="rId817" Type="http://schemas.openxmlformats.org/officeDocument/2006/relationships/hyperlink" Target="https://claw.games/sign-in" TargetMode="External"/><Relationship Id="rId1447" Type="http://schemas.openxmlformats.org/officeDocument/2006/relationships/hyperlink" Target="https://www.vivantis.sk/" TargetMode="External"/><Relationship Id="rId1654" Type="http://schemas.openxmlformats.org/officeDocument/2006/relationships/hyperlink" Target="https://store.admitad.com/webmaster/websites/2166760/offers/27549-startselect-fr/" TargetMode="External"/><Relationship Id="rId1861" Type="http://schemas.openxmlformats.org/officeDocument/2006/relationships/hyperlink" Target="https://satelonline.kz/" TargetMode="External"/><Relationship Id="rId2705" Type="http://schemas.openxmlformats.org/officeDocument/2006/relationships/hyperlink" Target="http://battleforthegalaxy.com/xsolla/" TargetMode="External"/><Relationship Id="rId2912" Type="http://schemas.openxmlformats.org/officeDocument/2006/relationships/hyperlink" Target="https://store.admitad.com/webmaster/websites/2166760/offers/15189-ru-vds-ww/" TargetMode="External"/><Relationship Id="rId4060" Type="http://schemas.openxmlformats.org/officeDocument/2006/relationships/hyperlink" Target="https://store.admitad.com/webmaster/websites/2166760/offers/24183-bellewholesale-ww/" TargetMode="External"/><Relationship Id="rId1307" Type="http://schemas.openxmlformats.org/officeDocument/2006/relationships/hyperlink" Target="https://www.buycarparts.co.uk/" TargetMode="External"/><Relationship Id="rId1514" Type="http://schemas.openxmlformats.org/officeDocument/2006/relationships/hyperlink" Target="https://store.admitad.com/webmaster/websites/2166760/offers/27392-currentbody-us/" TargetMode="External"/><Relationship Id="rId1721" Type="http://schemas.openxmlformats.org/officeDocument/2006/relationships/hyperlink" Target="https://www.vanheusenintimates.com/" TargetMode="External"/><Relationship Id="rId13" Type="http://schemas.openxmlformats.org/officeDocument/2006/relationships/hyperlink" Target="http://www.adidas.co.in/" TargetMode="External"/><Relationship Id="rId3479" Type="http://schemas.openxmlformats.org/officeDocument/2006/relationships/hyperlink" Target="https://www.englishdom.com/learn-effectively/" TargetMode="External"/><Relationship Id="rId3686" Type="http://schemas.openxmlformats.org/officeDocument/2006/relationships/hyperlink" Target="https://store.admitad.com/webmaster/websites/2166760/offers/22162-novakid-many-geos/" TargetMode="External"/><Relationship Id="rId2288" Type="http://schemas.openxmlformats.org/officeDocument/2006/relationships/hyperlink" Target="https://store.admitad.com/webmaster/websites/2166760/offers/26855-antica-farmacia-orlandi-it/" TargetMode="External"/><Relationship Id="rId2495" Type="http://schemas.openxmlformats.org/officeDocument/2006/relationships/hyperlink" Target="https://difmark.com/" TargetMode="External"/><Relationship Id="rId3339" Type="http://schemas.openxmlformats.org/officeDocument/2006/relationships/hyperlink" Target="https://iqoption.com/" TargetMode="External"/><Relationship Id="rId3893" Type="http://schemas.openxmlformats.org/officeDocument/2006/relationships/hyperlink" Target="https://www.mihyar.com/saudi-en" TargetMode="External"/><Relationship Id="rId467" Type="http://schemas.openxmlformats.org/officeDocument/2006/relationships/hyperlink" Target="https://www.charleskeith.co.uk/" TargetMode="External"/><Relationship Id="rId1097" Type="http://schemas.openxmlformats.org/officeDocument/2006/relationships/hyperlink" Target="https://www.gobicashmere.com/" TargetMode="External"/><Relationship Id="rId2148" Type="http://schemas.openxmlformats.org/officeDocument/2006/relationships/hyperlink" Target="https://store.admitad.com/webmaster/websites/2166760/offers/21434-caspitours-il/" TargetMode="External"/><Relationship Id="rId3546" Type="http://schemas.openxmlformats.org/officeDocument/2006/relationships/hyperlink" Target="https://store.admitad.com/webmaster/websites/2166760/offers/24334-sex-shop-ua/" TargetMode="External"/><Relationship Id="rId3753" Type="http://schemas.openxmlformats.org/officeDocument/2006/relationships/hyperlink" Target="https://mypandalife.com/" TargetMode="External"/><Relationship Id="rId3960" Type="http://schemas.openxmlformats.org/officeDocument/2006/relationships/hyperlink" Target="https://store.admitad.com/webmaster/websites/2166760/offers/21552-maxmilhas/" TargetMode="External"/><Relationship Id="rId674" Type="http://schemas.openxmlformats.org/officeDocument/2006/relationships/hyperlink" Target="https://store.admitad.com/webmaster/websites/2166760/offers/25921-orca-investment-app-cpa-android-uk/" TargetMode="External"/><Relationship Id="rId881" Type="http://schemas.openxmlformats.org/officeDocument/2006/relationships/hyperlink" Target="https://www.eon.de/" TargetMode="External"/><Relationship Id="rId2355" Type="http://schemas.openxmlformats.org/officeDocument/2006/relationships/hyperlink" Target="http://miniinthebox.com/" TargetMode="External"/><Relationship Id="rId2562" Type="http://schemas.openxmlformats.org/officeDocument/2006/relationships/hyperlink" Target="https://store.admitad.com/webmaster/websites/2166760/offers/26930-bajaj-sal-pl-cpl-in/" TargetMode="External"/><Relationship Id="rId3406" Type="http://schemas.openxmlformats.org/officeDocument/2006/relationships/hyperlink" Target="https://store.admitad.com/webmaster/websites/2166760/offers/25293-orto-line-ua/" TargetMode="External"/><Relationship Id="rId3613" Type="http://schemas.openxmlformats.org/officeDocument/2006/relationships/hyperlink" Target="https://imarket.by/" TargetMode="External"/><Relationship Id="rId3820" Type="http://schemas.openxmlformats.org/officeDocument/2006/relationships/hyperlink" Target="https://store.admitad.com/webmaster/websites/2166760/offers/27104-shopping24-de/" TargetMode="External"/><Relationship Id="rId327" Type="http://schemas.openxmlformats.org/officeDocument/2006/relationships/hyperlink" Target="https://robo.cash/" TargetMode="External"/><Relationship Id="rId534" Type="http://schemas.openxmlformats.org/officeDocument/2006/relationships/hyperlink" Target="https://store.admitad.com/webmaster/websites/2166760/offers/25148-kenzo-many-geos/" TargetMode="External"/><Relationship Id="rId741" Type="http://schemas.openxmlformats.org/officeDocument/2006/relationships/hyperlink" Target="https://app.pricebackers.com/?ref=admitadaffiliatenetwork9" TargetMode="External"/><Relationship Id="rId1164" Type="http://schemas.openxmlformats.org/officeDocument/2006/relationships/hyperlink" Target="https://store.admitad.com/webmaster/websites/2166760/offers/26961-fashion-eyewear-uk/" TargetMode="External"/><Relationship Id="rId1371" Type="http://schemas.openxmlformats.org/officeDocument/2006/relationships/hyperlink" Target="https://www.luluguinness.com/" TargetMode="External"/><Relationship Id="rId2008" Type="http://schemas.openxmlformats.org/officeDocument/2006/relationships/hyperlink" Target="https://store.admitad.com/webmaster/websites/2166760/offers/13005-peerstv-ww/" TargetMode="External"/><Relationship Id="rId2215" Type="http://schemas.openxmlformats.org/officeDocument/2006/relationships/hyperlink" Target="https://kz.defactofashion.com/" TargetMode="External"/><Relationship Id="rId2422" Type="http://schemas.openxmlformats.org/officeDocument/2006/relationships/hyperlink" Target="https://store.admitad.com/webmaster/websites/2166760/offers/22848-deadhaus-sonata-cps-many-geos/" TargetMode="External"/><Relationship Id="rId601" Type="http://schemas.openxmlformats.org/officeDocument/2006/relationships/hyperlink" Target="http://www.nike.com.br/" TargetMode="External"/><Relationship Id="rId1024" Type="http://schemas.openxmlformats.org/officeDocument/2006/relationships/hyperlink" Target="https://store.admitad.com/webmaster/websites/2166760/offers/26705-gorillas-uk/" TargetMode="External"/><Relationship Id="rId1231" Type="http://schemas.openxmlformats.org/officeDocument/2006/relationships/hyperlink" Target="https://www.flaconi.pl/" TargetMode="External"/><Relationship Id="rId3196" Type="http://schemas.openxmlformats.org/officeDocument/2006/relationships/hyperlink" Target="https://store.admitad.com/webmaster/websites/2166760/offers/26594-debenhams-uk/" TargetMode="External"/><Relationship Id="rId3056" Type="http://schemas.openxmlformats.org/officeDocument/2006/relationships/hyperlink" Target="https://store.admitad.com/webmaster/websites/2166760/offers/23157-wondershare-ww/" TargetMode="External"/><Relationship Id="rId3263" Type="http://schemas.openxmlformats.org/officeDocument/2006/relationships/hyperlink" Target="https://flashdeals.aliexpress.com/" TargetMode="External"/><Relationship Id="rId3470" Type="http://schemas.openxmlformats.org/officeDocument/2006/relationships/hyperlink" Target="https://store.admitad.com/webmaster/websites/2166760/offers/13903-tickets-cps-ua/" TargetMode="External"/><Relationship Id="rId4107" Type="http://schemas.openxmlformats.org/officeDocument/2006/relationships/hyperlink" Target="https://billiger.de/" TargetMode="External"/><Relationship Id="rId184" Type="http://schemas.openxmlformats.org/officeDocument/2006/relationships/hyperlink" Target="https://store.admitad.com/webmaster/websites/2166760/offers/22837-skyeng-cpa-ios-ru-by/" TargetMode="External"/><Relationship Id="rId391" Type="http://schemas.openxmlformats.org/officeDocument/2006/relationships/hyperlink" Target="https://www.bancobmg.com.br/galo/" TargetMode="External"/><Relationship Id="rId1908" Type="http://schemas.openxmlformats.org/officeDocument/2006/relationships/hyperlink" Target="https://store.admitad.com/webmaster/websites/2166760/offers/24878-slimcenter-de/" TargetMode="External"/><Relationship Id="rId2072" Type="http://schemas.openxmlformats.org/officeDocument/2006/relationships/hyperlink" Target="https://store.admitad.com/webmaster/websites/2166760/offers/26846-wayrates-ww/" TargetMode="External"/><Relationship Id="rId3123" Type="http://schemas.openxmlformats.org/officeDocument/2006/relationships/hyperlink" Target="https://espritgames.ru/darkgenesis/" TargetMode="External"/><Relationship Id="rId251" Type="http://schemas.openxmlformats.org/officeDocument/2006/relationships/hyperlink" Target="http://www.mcafee.com/" TargetMode="External"/><Relationship Id="rId3330" Type="http://schemas.openxmlformats.org/officeDocument/2006/relationships/hyperlink" Target="https://store.admitad.com/webmaster/websites/2166760/offers/22386-yves-rocher-by/" TargetMode="External"/><Relationship Id="rId2889" Type="http://schemas.openxmlformats.org/officeDocument/2006/relationships/hyperlink" Target="https://carnage.ru/" TargetMode="External"/><Relationship Id="rId111" Type="http://schemas.openxmlformats.org/officeDocument/2006/relationships/hyperlink" Target="https://www.iparts.pl/" TargetMode="External"/><Relationship Id="rId1698" Type="http://schemas.openxmlformats.org/officeDocument/2006/relationships/hyperlink" Target="https://store.admitad.com/webmaster/websites/2166760/offers/27654-world-of-tanks-soi-premium-ww/" TargetMode="External"/><Relationship Id="rId2749" Type="http://schemas.openxmlformats.org/officeDocument/2006/relationships/hyperlink" Target="https://www.idealfit.com/" TargetMode="External"/><Relationship Id="rId2956" Type="http://schemas.openxmlformats.org/officeDocument/2006/relationships/hyperlink" Target="https://store.admitad.com/webmaster/websites/2166760/offers/19156-oma-by/" TargetMode="External"/><Relationship Id="rId928" Type="http://schemas.openxmlformats.org/officeDocument/2006/relationships/hyperlink" Target="https://store.admitad.com/webmaster/websites/2166760/offers/26558-the-body-shop-pl/" TargetMode="External"/><Relationship Id="rId1558" Type="http://schemas.openxmlformats.org/officeDocument/2006/relationships/hyperlink" Target="https://store.admitad.com/webmaster/websites/2166760/offers/27447-swarovski-cps-many-geos/" TargetMode="External"/><Relationship Id="rId1765" Type="http://schemas.openxmlformats.org/officeDocument/2006/relationships/hyperlink" Target="https://www.sunglasses-shop.co.uk/" TargetMode="External"/><Relationship Id="rId2609" Type="http://schemas.openxmlformats.org/officeDocument/2006/relationships/hyperlink" Target="https://www.hellomolly.com/us/" TargetMode="External"/><Relationship Id="rId4171" Type="http://schemas.openxmlformats.org/officeDocument/2006/relationships/hyperlink" Target="http://emirates.com/in/english/destinations_offers/special_offers/featured-fares/?intcid=NavFaresLink_3440809&amp;id=3440809&amp;region=EU&amp;fsearch=" TargetMode="External"/><Relationship Id="rId57" Type="http://schemas.openxmlformats.org/officeDocument/2006/relationships/hyperlink" Target="https://www.livingkool.com/" TargetMode="External"/><Relationship Id="rId1418" Type="http://schemas.openxmlformats.org/officeDocument/2006/relationships/hyperlink" Target="https://store.admitad.com/webmaster/websites/2166760/offers/27263-megafoodstunter-nl/" TargetMode="External"/><Relationship Id="rId1972" Type="http://schemas.openxmlformats.org/officeDocument/2006/relationships/hyperlink" Target="https://store.admitad.com/webmaster/websites/2166760/offers/26873-body-fit-de/" TargetMode="External"/><Relationship Id="rId2816" Type="http://schemas.openxmlformats.org/officeDocument/2006/relationships/hyperlink" Target="https://store.admitad.com/webmaster/websites/2166760/offers/26387-grand-rp-cpl-ru-cis/" TargetMode="External"/><Relationship Id="rId4031" Type="http://schemas.openxmlformats.org/officeDocument/2006/relationships/hyperlink" Target="https://dok.ua/" TargetMode="External"/><Relationship Id="rId1625" Type="http://schemas.openxmlformats.org/officeDocument/2006/relationships/hyperlink" Target="https://www.thetowelshop.co.uk/" TargetMode="External"/><Relationship Id="rId1832" Type="http://schemas.openxmlformats.org/officeDocument/2006/relationships/hyperlink" Target="https://store.admitad.com/webmaster/websites/2166760/offers/27456-farmamia-it/" TargetMode="External"/><Relationship Id="rId3797" Type="http://schemas.openxmlformats.org/officeDocument/2006/relationships/hyperlink" Target="https://www.buecher.de/go/home/page/wea/1160025/" TargetMode="External"/><Relationship Id="rId2399" Type="http://schemas.openxmlformats.org/officeDocument/2006/relationships/hyperlink" Target="https://www.cadburygifting.in/cadbury-rakhshabandhan-special-gift-pack.html" TargetMode="External"/><Relationship Id="rId3657" Type="http://schemas.openxmlformats.org/officeDocument/2006/relationships/hyperlink" Target="https://kachay.com.ua/" TargetMode="External"/><Relationship Id="rId3864" Type="http://schemas.openxmlformats.org/officeDocument/2006/relationships/hyperlink" Target="https://store.admitad.com/webmaster/websites/2166760/offers/20793-uniplaces-cps-ww/" TargetMode="External"/><Relationship Id="rId578" Type="http://schemas.openxmlformats.org/officeDocument/2006/relationships/hyperlink" Target="https://store.admitad.com/webmaster/websites/2166760/offers/25379-udacity-affiliate-program/" TargetMode="External"/><Relationship Id="rId785" Type="http://schemas.openxmlformats.org/officeDocument/2006/relationships/hyperlink" Target="https://sanfe.in/" TargetMode="External"/><Relationship Id="rId992" Type="http://schemas.openxmlformats.org/officeDocument/2006/relationships/hyperlink" Target="https://store.admitad.com/webmaster/websites/2166760/offers/26677-von-rueden-de/" TargetMode="External"/><Relationship Id="rId2259" Type="http://schemas.openxmlformats.org/officeDocument/2006/relationships/hyperlink" Target="https://www.probikekit.co.uk/" TargetMode="External"/><Relationship Id="rId2466" Type="http://schemas.openxmlformats.org/officeDocument/2006/relationships/hyperlink" Target="https://store.admitad.com/webmaster/websites/2166760/offers/24387-basicslife-cps-in/" TargetMode="External"/><Relationship Id="rId2673" Type="http://schemas.openxmlformats.org/officeDocument/2006/relationships/hyperlink" Target="https://www.ancestry.com/" TargetMode="External"/><Relationship Id="rId2880" Type="http://schemas.openxmlformats.org/officeDocument/2006/relationships/hyperlink" Target="https://store.admitad.com/webmaster/websites/2166760/offers/92-lineage-2-cpp-ru-cis/" TargetMode="External"/><Relationship Id="rId3517" Type="http://schemas.openxmlformats.org/officeDocument/2006/relationships/hyperlink" Target="http://swsg.co/" TargetMode="External"/><Relationship Id="rId3724" Type="http://schemas.openxmlformats.org/officeDocument/2006/relationships/hyperlink" Target="https://store.admitad.com/webmaster/websites/2166760/offers/23759-vinho-facil/" TargetMode="External"/><Relationship Id="rId3931" Type="http://schemas.openxmlformats.org/officeDocument/2006/relationships/hyperlink" Target="https://www.zolucky.com/" TargetMode="External"/><Relationship Id="rId438" Type="http://schemas.openxmlformats.org/officeDocument/2006/relationships/hyperlink" Target="https://store.admitad.com/webmaster/websites/2166760/offers/24735-ralph-lauren-it/" TargetMode="External"/><Relationship Id="rId645" Type="http://schemas.openxmlformats.org/officeDocument/2006/relationships/hyperlink" Target="https://www.airarabia.com/" TargetMode="External"/><Relationship Id="rId852" Type="http://schemas.openxmlformats.org/officeDocument/2006/relationships/hyperlink" Target="https://store.admitad.com/webmaster/websites/2166760/offers/26449-nua-woman-cps-in/" TargetMode="External"/><Relationship Id="rId1068" Type="http://schemas.openxmlformats.org/officeDocument/2006/relationships/hyperlink" Target="https://store.admitad.com/webmaster/websites/2166760/offers/26795-wellness-forever-android-cps-in/" TargetMode="External"/><Relationship Id="rId1275" Type="http://schemas.openxmlformats.org/officeDocument/2006/relationships/hyperlink" Target="https://www.kidly.co.uk/" TargetMode="External"/><Relationship Id="rId1482" Type="http://schemas.openxmlformats.org/officeDocument/2006/relationships/hyperlink" Target="https://store.admitad.com/webmaster/websites/2166760/offers/27352-footpatrol-de/" TargetMode="External"/><Relationship Id="rId2119" Type="http://schemas.openxmlformats.org/officeDocument/2006/relationships/hyperlink" Target="https://www.airvistara.com/" TargetMode="External"/><Relationship Id="rId2326" Type="http://schemas.openxmlformats.org/officeDocument/2006/relationships/hyperlink" Target="https://store.admitad.com/webmaster/websites/2166760/offers/27225-ego-shoes-us-ca/" TargetMode="External"/><Relationship Id="rId2533" Type="http://schemas.openxmlformats.org/officeDocument/2006/relationships/hyperlink" Target="https://www.spartoo.co.uk/" TargetMode="External"/><Relationship Id="rId2740" Type="http://schemas.openxmlformats.org/officeDocument/2006/relationships/hyperlink" Target="https://store.admitad.com/webmaster/websites/2166760/offers/23788-logitech-g-emea/" TargetMode="External"/><Relationship Id="rId505" Type="http://schemas.openxmlformats.org/officeDocument/2006/relationships/hyperlink" Target="http://red-by-sfr.fr/" TargetMode="External"/><Relationship Id="rId712" Type="http://schemas.openxmlformats.org/officeDocument/2006/relationships/hyperlink" Target="https://store.admitad.com/webmaster/websites/2166760/offers/26103-godrej-exquisite-cpm-in/" TargetMode="External"/><Relationship Id="rId1135" Type="http://schemas.openxmlformats.org/officeDocument/2006/relationships/hyperlink" Target="https://www.weber.com/FR/fr/home/" TargetMode="External"/><Relationship Id="rId1342" Type="http://schemas.openxmlformats.org/officeDocument/2006/relationships/hyperlink" Target="https://store.admitad.com/webmaster/websites/2166760/offers/27142-envie-de-fraise-fr/" TargetMode="External"/><Relationship Id="rId1202" Type="http://schemas.openxmlformats.org/officeDocument/2006/relationships/hyperlink" Target="https://store.admitad.com/webmaster/websites/2166760/offers/27003-the-body-shop-fr/" TargetMode="External"/><Relationship Id="rId2600" Type="http://schemas.openxmlformats.org/officeDocument/2006/relationships/hyperlink" Target="https://store.admitad.com/webmaster/websites/2166760/offers/27181-demon-tweeks-uk/" TargetMode="External"/><Relationship Id="rId3167" Type="http://schemas.openxmlformats.org/officeDocument/2006/relationships/hyperlink" Target="http://www.supersim.com.br/" TargetMode="External"/><Relationship Id="rId295" Type="http://schemas.openxmlformats.org/officeDocument/2006/relationships/hyperlink" Target="https://www.sharekhan.com/" TargetMode="External"/><Relationship Id="rId3374" Type="http://schemas.openxmlformats.org/officeDocument/2006/relationships/hyperlink" Target="https://store.admitad.com/webmaster/websites/2166760/offers/24456-gardening-direct-uk/" TargetMode="External"/><Relationship Id="rId3581" Type="http://schemas.openxmlformats.org/officeDocument/2006/relationships/hyperlink" Target="http://kaspersky.ru/" TargetMode="External"/><Relationship Id="rId4218" Type="http://schemas.openxmlformats.org/officeDocument/2006/relationships/hyperlink" Target="https://store.admitad.com/webmaster/websites/2166760/offers/21659-admitad-lite/" TargetMode="External"/><Relationship Id="rId2183" Type="http://schemas.openxmlformats.org/officeDocument/2006/relationships/hyperlink" Target="https://www.mcdelivery.co.in/?utm_source=affiliate&amp;utm_medium=Admitad&amp;utm_campaign=%7b%7bpublisher_id%7d%7d_%7b%7bsubid%7d%7d&amp;admitad_uid=%7b%7badmitad_uid%7d%7d" TargetMode="External"/><Relationship Id="rId2390" Type="http://schemas.openxmlformats.org/officeDocument/2006/relationships/hyperlink" Target="https://store.admitad.com/webmaster/websites/2166760/offers/21556-stockx-ww/" TargetMode="External"/><Relationship Id="rId3027" Type="http://schemas.openxmlformats.org/officeDocument/2006/relationships/hyperlink" Target="https://office.alfabank.kz/login" TargetMode="External"/><Relationship Id="rId3234" Type="http://schemas.openxmlformats.org/officeDocument/2006/relationships/hyperlink" Target="https://store.admitad.com/webmaster/websites/2166760/offers/27241-ultimate-pet-nutrition-us/" TargetMode="External"/><Relationship Id="rId3441" Type="http://schemas.openxmlformats.org/officeDocument/2006/relationships/hyperlink" Target="https://www.jdsports.de/" TargetMode="External"/><Relationship Id="rId155" Type="http://schemas.openxmlformats.org/officeDocument/2006/relationships/hyperlink" Target="https://www.galaxus.de/" TargetMode="External"/><Relationship Id="rId362" Type="http://schemas.openxmlformats.org/officeDocument/2006/relationships/hyperlink" Target="https://store.admitad.com/webmaster/websites/2166760/offers/24352-wish-many-geos/" TargetMode="External"/><Relationship Id="rId2043" Type="http://schemas.openxmlformats.org/officeDocument/2006/relationships/hyperlink" Target="https://www.dghelp.com/" TargetMode="External"/><Relationship Id="rId2250" Type="http://schemas.openxmlformats.org/officeDocument/2006/relationships/hyperlink" Target="https://store.admitad.com/webmaster/websites/2166760/offers/26412-zakaz-uz/" TargetMode="External"/><Relationship Id="rId3301" Type="http://schemas.openxmlformats.org/officeDocument/2006/relationships/hyperlink" Target="https://letyshops.com/es" TargetMode="External"/><Relationship Id="rId222" Type="http://schemas.openxmlformats.org/officeDocument/2006/relationships/hyperlink" Target="https://store.admitad.com/webmaster/websites/2166760/offers/23196-west-elm-ae-sa-kw/" TargetMode="External"/><Relationship Id="rId2110" Type="http://schemas.openxmlformats.org/officeDocument/2006/relationships/hyperlink" Target="https://store.admitad.com/webmaster/websites/2166760/offers/1798-blood-and-soul-cpp-ru-cis/" TargetMode="External"/><Relationship Id="rId4075" Type="http://schemas.openxmlformats.org/officeDocument/2006/relationships/hyperlink" Target="https://ewacash.com.ua/" TargetMode="External"/><Relationship Id="rId1669" Type="http://schemas.openxmlformats.org/officeDocument/2006/relationships/hyperlink" Target="https://innova2.g2afse.com/click?pid=7&amp;offer_id=19" TargetMode="External"/><Relationship Id="rId1876" Type="http://schemas.openxmlformats.org/officeDocument/2006/relationships/hyperlink" Target="https://store.admitad.com/webmaster/websites/2166760/offers/23288-luis-bien-mena/" TargetMode="External"/><Relationship Id="rId2927" Type="http://schemas.openxmlformats.org/officeDocument/2006/relationships/hyperlink" Target="https://worldoftanks.com/" TargetMode="External"/><Relationship Id="rId3091" Type="http://schemas.openxmlformats.org/officeDocument/2006/relationships/hyperlink" Target="https://espritgames.ru/worldofchaos/" TargetMode="External"/><Relationship Id="rId4142" Type="http://schemas.openxmlformats.org/officeDocument/2006/relationships/hyperlink" Target="https://store.admitad.com/webmaster/websites/2166760/offers/23043-iubenda-many-geos/" TargetMode="External"/><Relationship Id="rId1529" Type="http://schemas.openxmlformats.org/officeDocument/2006/relationships/hyperlink" Target="https://www.sevenstore.com/" TargetMode="External"/><Relationship Id="rId1736" Type="http://schemas.openxmlformats.org/officeDocument/2006/relationships/hyperlink" Target="https://store.admitad.com/webmaster/websites/2166760/offers/27811-playship-rummy-android-apk-cpi-in/" TargetMode="External"/><Relationship Id="rId1943" Type="http://schemas.openxmlformats.org/officeDocument/2006/relationships/hyperlink" Target="https://www.spaceengineersgame.com/store/" TargetMode="External"/><Relationship Id="rId28" Type="http://schemas.openxmlformats.org/officeDocument/2006/relationships/hyperlink" Target="https://store.admitad.com/webmaster/websites/2166760/offers/18166-plus-pl/" TargetMode="External"/><Relationship Id="rId1803" Type="http://schemas.openxmlformats.org/officeDocument/2006/relationships/hyperlink" Target="https://www.lycamobile.fr/fr/" TargetMode="External"/><Relationship Id="rId4002" Type="http://schemas.openxmlformats.org/officeDocument/2006/relationships/hyperlink" Target="https://store.admitad.com/webmaster/websites/2166760/offers/15452-imrb-mobile-meter-cpr-android-in/" TargetMode="External"/><Relationship Id="rId3768" Type="http://schemas.openxmlformats.org/officeDocument/2006/relationships/hyperlink" Target="https://store.admitad.com/webmaster/websites/2166760/offers/24807-neocredit-cps-ua/" TargetMode="External"/><Relationship Id="rId3975" Type="http://schemas.openxmlformats.org/officeDocument/2006/relationships/hyperlink" Target="https://www.linio.cl/" TargetMode="External"/><Relationship Id="rId689" Type="http://schemas.openxmlformats.org/officeDocument/2006/relationships/hyperlink" Target="https://www.homedepot.com/" TargetMode="External"/><Relationship Id="rId896" Type="http://schemas.openxmlformats.org/officeDocument/2006/relationships/hyperlink" Target="https://store.admitad.com/webmaster/websites/2166760/offers/26539-yours-clothing-uk/" TargetMode="External"/><Relationship Id="rId2577" Type="http://schemas.openxmlformats.org/officeDocument/2006/relationships/hyperlink" Target="https://www.thecolvinco.com/es" TargetMode="External"/><Relationship Id="rId2784" Type="http://schemas.openxmlformats.org/officeDocument/2006/relationships/hyperlink" Target="https://store.admitad.com/webmaster/websites/2166760/offers/25225-intimo-ua/" TargetMode="External"/><Relationship Id="rId3628" Type="http://schemas.openxmlformats.org/officeDocument/2006/relationships/hyperlink" Target="https://store.admitad.com/webmaster/websites/2166760/offers/17776-pobeda-vkusa/" TargetMode="External"/><Relationship Id="rId549" Type="http://schemas.openxmlformats.org/officeDocument/2006/relationships/hyperlink" Target="https://lattelierstore.com/" TargetMode="External"/><Relationship Id="rId756" Type="http://schemas.openxmlformats.org/officeDocument/2006/relationships/hyperlink" Target="https://store.admitad.com/webmaster/websites/2166760/offers/26188-dyson-ee/" TargetMode="External"/><Relationship Id="rId1179" Type="http://schemas.openxmlformats.org/officeDocument/2006/relationships/hyperlink" Target="https://www.broadbandgenie.co.uk/offers" TargetMode="External"/><Relationship Id="rId1386" Type="http://schemas.openxmlformats.org/officeDocument/2006/relationships/hyperlink" Target="https://store.admitad.com/webmaster/websites/2166760/offers/27195-new-era-cap-de/" TargetMode="External"/><Relationship Id="rId1593" Type="http://schemas.openxmlformats.org/officeDocument/2006/relationships/hyperlink" Target="https://www.piecesauto24.com/" TargetMode="External"/><Relationship Id="rId2437" Type="http://schemas.openxmlformats.org/officeDocument/2006/relationships/hyperlink" Target="https://click.hooligapps.com/?pid=18&amp;offer_id=17" TargetMode="External"/><Relationship Id="rId2991" Type="http://schemas.openxmlformats.org/officeDocument/2006/relationships/hyperlink" Target="https://www.intercars-tickets.com/" TargetMode="External"/><Relationship Id="rId3835" Type="http://schemas.openxmlformats.org/officeDocument/2006/relationships/hyperlink" Target="https://new.city.travel/avia" TargetMode="External"/><Relationship Id="rId409" Type="http://schemas.openxmlformats.org/officeDocument/2006/relationships/hyperlink" Target="https://www.fanatics.com/" TargetMode="External"/><Relationship Id="rId963" Type="http://schemas.openxmlformats.org/officeDocument/2006/relationships/hyperlink" Target="https://www.doktorabc.com/de" TargetMode="External"/><Relationship Id="rId1039" Type="http://schemas.openxmlformats.org/officeDocument/2006/relationships/hyperlink" Target="https://www.cashify.in/" TargetMode="External"/><Relationship Id="rId1246" Type="http://schemas.openxmlformats.org/officeDocument/2006/relationships/hyperlink" Target="https://store.admitad.com/webmaster/websites/2166760/offers/27048-repuestoscoches24-es/" TargetMode="External"/><Relationship Id="rId2644" Type="http://schemas.openxmlformats.org/officeDocument/2006/relationships/hyperlink" Target="https://store.admitad.com/webmaster/websites/2166760/offers/15526-clovia-cps-in/" TargetMode="External"/><Relationship Id="rId2851" Type="http://schemas.openxmlformats.org/officeDocument/2006/relationships/hyperlink" Target="http://www.nominalia.com/" TargetMode="External"/><Relationship Id="rId3902" Type="http://schemas.openxmlformats.org/officeDocument/2006/relationships/hyperlink" Target="https://store.admitad.com/webmaster/websites/2166760/offers/23656-raid-shadow-legends-soi-nordics/" TargetMode="External"/><Relationship Id="rId92" Type="http://schemas.openxmlformats.org/officeDocument/2006/relationships/hyperlink" Target="https://store.admitad.com/webmaster/websites/2166760/offers/21394-groupon-ae/" TargetMode="External"/><Relationship Id="rId616" Type="http://schemas.openxmlformats.org/officeDocument/2006/relationships/hyperlink" Target="https://store.admitad.com/webmaster/websites/2166760/offers/25510-speedline-dk/" TargetMode="External"/><Relationship Id="rId823" Type="http://schemas.openxmlformats.org/officeDocument/2006/relationships/hyperlink" Target="https://www.paulaschoice.nl/nl" TargetMode="External"/><Relationship Id="rId1453" Type="http://schemas.openxmlformats.org/officeDocument/2006/relationships/hyperlink" Target="https://www.viator.com/en-GB/" TargetMode="External"/><Relationship Id="rId1660" Type="http://schemas.openxmlformats.org/officeDocument/2006/relationships/hyperlink" Target="https://store.admitad.com/webmaster/websites/2166760/offers/27562-myprotein-nl-1/" TargetMode="External"/><Relationship Id="rId2504" Type="http://schemas.openxmlformats.org/officeDocument/2006/relationships/hyperlink" Target="https://store.admitad.com/webmaster/websites/2166760/offers/26098-santander-alta-renda-br/" TargetMode="External"/><Relationship Id="rId2711" Type="http://schemas.openxmlformats.org/officeDocument/2006/relationships/hyperlink" Target="https://www.namecheap.com/" TargetMode="External"/><Relationship Id="rId1106" Type="http://schemas.openxmlformats.org/officeDocument/2006/relationships/hyperlink" Target="https://store.admitad.com/webmaster/websites/2166760/offers/26864-noon-ae-sa-offline-codes/" TargetMode="External"/><Relationship Id="rId1313" Type="http://schemas.openxmlformats.org/officeDocument/2006/relationships/hyperlink" Target="https://www.tom-tailor.de/" TargetMode="External"/><Relationship Id="rId1520" Type="http://schemas.openxmlformats.org/officeDocument/2006/relationships/hyperlink" Target="https://store.admitad.com/webmaster/websites/2166760/offers/27405-ella-paradis-us/" TargetMode="External"/><Relationship Id="rId3278" Type="http://schemas.openxmlformats.org/officeDocument/2006/relationships/hyperlink" Target="https://store.admitad.com/webmaster/websites/2166760/offers/17493-bodyshop-cpv-in/" TargetMode="External"/><Relationship Id="rId3485" Type="http://schemas.openxmlformats.org/officeDocument/2006/relationships/hyperlink" Target="https://www.gap.ae/" TargetMode="External"/><Relationship Id="rId3692" Type="http://schemas.openxmlformats.org/officeDocument/2006/relationships/hyperlink" Target="https://store.admitad.com/webmaster/websites/2166760/offers/22611-elctoys-ae-sa/" TargetMode="External"/><Relationship Id="rId199" Type="http://schemas.openxmlformats.org/officeDocument/2006/relationships/hyperlink" Target="https://www.bestbuy.com/" TargetMode="External"/><Relationship Id="rId2087" Type="http://schemas.openxmlformats.org/officeDocument/2006/relationships/hyperlink" Target="https://www.mytyres.co.uk/cgi-bin/rshop.pl" TargetMode="External"/><Relationship Id="rId2294" Type="http://schemas.openxmlformats.org/officeDocument/2006/relationships/hyperlink" Target="https://store.admitad.com/webmaster/websites/2166760/offers/26933-abekker-by/" TargetMode="External"/><Relationship Id="rId3138" Type="http://schemas.openxmlformats.org/officeDocument/2006/relationships/hyperlink" Target="https://store.admitad.com/webmaster/websites/2166760/offers/24918-kenzwoman-sa-offline-codes-and-links/" TargetMode="External"/><Relationship Id="rId3345" Type="http://schemas.openxmlformats.org/officeDocument/2006/relationships/hyperlink" Target="https://www.edrawsoft.com/" TargetMode="External"/><Relationship Id="rId3552" Type="http://schemas.openxmlformats.org/officeDocument/2006/relationships/hyperlink" Target="https://store.admitad.com/webmaster/websites/2166760/offers/24781-bluehost-cps-in/" TargetMode="External"/><Relationship Id="rId266" Type="http://schemas.openxmlformats.org/officeDocument/2006/relationships/hyperlink" Target="https://store.admitad.com/webmaster/websites/2166760/offers/23640-society6-ww/" TargetMode="External"/><Relationship Id="rId473" Type="http://schemas.openxmlformats.org/officeDocument/2006/relationships/hyperlink" Target="https://pre-order.monstrumgame.com/" TargetMode="External"/><Relationship Id="rId680" Type="http://schemas.openxmlformats.org/officeDocument/2006/relationships/hyperlink" Target="https://store.admitad.com/webmaster/websites/2166760/offers/26018-lfg-boost-cps-ww/" TargetMode="External"/><Relationship Id="rId2154" Type="http://schemas.openxmlformats.org/officeDocument/2006/relationships/hyperlink" Target="https://store.admitad.com/webmaster/websites/2166760/offers/22148-babbel-uk/" TargetMode="External"/><Relationship Id="rId2361" Type="http://schemas.openxmlformats.org/officeDocument/2006/relationships/hyperlink" Target="http://timeweb.com/ru" TargetMode="External"/><Relationship Id="rId3205" Type="http://schemas.openxmlformats.org/officeDocument/2006/relationships/hyperlink" Target="https://www.gear4music.com/" TargetMode="External"/><Relationship Id="rId3412" Type="http://schemas.openxmlformats.org/officeDocument/2006/relationships/hyperlink" Target="https://store.admitad.com/webmaster/websites/2166760/offers/25863-bebodywise-cps-in/" TargetMode="External"/><Relationship Id="rId126" Type="http://schemas.openxmlformats.org/officeDocument/2006/relationships/hyperlink" Target="https://store.admitad.com/webmaster/websites/2166760/offers/22136-secret-escapes-de/" TargetMode="External"/><Relationship Id="rId333" Type="http://schemas.openxmlformats.org/officeDocument/2006/relationships/hyperlink" Target="https://www.braunshop.co.uk/" TargetMode="External"/><Relationship Id="rId540" Type="http://schemas.openxmlformats.org/officeDocument/2006/relationships/hyperlink" Target="https://store.admitad.com/webmaster/websites/2166760/offers/25175-gute-makler-de/" TargetMode="External"/><Relationship Id="rId1170" Type="http://schemas.openxmlformats.org/officeDocument/2006/relationships/hyperlink" Target="https://store.admitad.com/webmaster/websites/2166760/offers/26966-hyperoptic-b2c-uk/" TargetMode="External"/><Relationship Id="rId2014" Type="http://schemas.openxmlformats.org/officeDocument/2006/relationships/hyperlink" Target="https://store.admitad.com/webmaster/websites/2166760/offers/21031-cashdo-il/" TargetMode="External"/><Relationship Id="rId2221" Type="http://schemas.openxmlformats.org/officeDocument/2006/relationships/hyperlink" Target="https://lab24.com.ua/" TargetMode="External"/><Relationship Id="rId1030" Type="http://schemas.openxmlformats.org/officeDocument/2006/relationships/hyperlink" Target="https://store.admitad.com/webmaster/websites/2166760/offers/26712-dudubags-gcc-offline-codes/" TargetMode="External"/><Relationship Id="rId4186" Type="http://schemas.openxmlformats.org/officeDocument/2006/relationships/hyperlink" Target="https://store.admitad.com/webmaster/websites/2166760/offers/6447-alfa-bank-cps-ua/" TargetMode="External"/><Relationship Id="rId400" Type="http://schemas.openxmlformats.org/officeDocument/2006/relationships/hyperlink" Target="https://store.admitad.com/webmaster/websites/2166760/offers/24593-anand-rathi-cpl-in/" TargetMode="External"/><Relationship Id="rId1987" Type="http://schemas.openxmlformats.org/officeDocument/2006/relationships/hyperlink" Target="https://www.footlocker.co.uk/en/homepage" TargetMode="External"/><Relationship Id="rId1847" Type="http://schemas.openxmlformats.org/officeDocument/2006/relationships/hyperlink" Target="http://global.blackshark.com/" TargetMode="External"/><Relationship Id="rId4046" Type="http://schemas.openxmlformats.org/officeDocument/2006/relationships/hyperlink" Target="https://store.admitad.com/webmaster/websites/2166760/offers/23281-marks-and-spencer-cps-in/" TargetMode="External"/><Relationship Id="rId1707" Type="http://schemas.openxmlformats.org/officeDocument/2006/relationships/hyperlink" Target="https://www.santander.com.br/banco/abrasuacontapj" TargetMode="External"/><Relationship Id="rId3062" Type="http://schemas.openxmlformats.org/officeDocument/2006/relationships/hyperlink" Target="https://store.admitad.com/webmaster/websites/2166760/offers/23188-boddess-cpv-in/" TargetMode="External"/><Relationship Id="rId4113" Type="http://schemas.openxmlformats.org/officeDocument/2006/relationships/hyperlink" Target="https://www.tyre-shopper.co.uk/" TargetMode="External"/><Relationship Id="rId190" Type="http://schemas.openxmlformats.org/officeDocument/2006/relationships/hyperlink" Target="https://store.admitad.com/webmaster/websites/2166760/offers/22929-onsitego-cpa-in/" TargetMode="External"/><Relationship Id="rId1914" Type="http://schemas.openxmlformats.org/officeDocument/2006/relationships/hyperlink" Target="https://store.admitad.com/webmaster/websites/2166760/offers/25844-sloudmygames-cps-rucis/" TargetMode="External"/><Relationship Id="rId3879" Type="http://schemas.openxmlformats.org/officeDocument/2006/relationships/hyperlink" Target="https://www.perfumesclub.com/" TargetMode="External"/><Relationship Id="rId2688" Type="http://schemas.openxmlformats.org/officeDocument/2006/relationships/hyperlink" Target="https://store.admitad.com/webmaster/websites/2166760/offers/22076-neverwinter-cpp-fr-be-lu-mc/" TargetMode="External"/><Relationship Id="rId2895" Type="http://schemas.openxmlformats.org/officeDocument/2006/relationships/hyperlink" Target="http://star-conflict.com/ru/" TargetMode="External"/><Relationship Id="rId3739" Type="http://schemas.openxmlformats.org/officeDocument/2006/relationships/hyperlink" Target="https://www.fordeal.com/" TargetMode="External"/><Relationship Id="rId3946" Type="http://schemas.openxmlformats.org/officeDocument/2006/relationships/hyperlink" Target="https://store.admitad.com/webmaster/websites/2166760/offers/26652-furniture-in-fashion/" TargetMode="External"/><Relationship Id="rId867" Type="http://schemas.openxmlformats.org/officeDocument/2006/relationships/hyperlink" Target="https://www.lcwaikiki.com/tr-TR/TR" TargetMode="External"/><Relationship Id="rId1497" Type="http://schemas.openxmlformats.org/officeDocument/2006/relationships/hyperlink" Target="https://www.eqvvswomen.co.uk/" TargetMode="External"/><Relationship Id="rId2548" Type="http://schemas.openxmlformats.org/officeDocument/2006/relationships/hyperlink" Target="https://store.admitad.com/webmaster/websites/2166760/offers/26684-iwantoneofthose-uk/" TargetMode="External"/><Relationship Id="rId2755" Type="http://schemas.openxmlformats.org/officeDocument/2006/relationships/hyperlink" Target="https://www.armadadeals.com/" TargetMode="External"/><Relationship Id="rId2962" Type="http://schemas.openxmlformats.org/officeDocument/2006/relationships/hyperlink" Target="https://store.admitad.com/webmaster/websites/2166760/offers/19333-sharafdg-ae/" TargetMode="External"/><Relationship Id="rId3806" Type="http://schemas.openxmlformats.org/officeDocument/2006/relationships/hyperlink" Target="https://store.admitad.com/webmaster/websites/2166760/offers/26567-jd-sports-es/" TargetMode="External"/><Relationship Id="rId727" Type="http://schemas.openxmlformats.org/officeDocument/2006/relationships/hyperlink" Target="https://www.kontakto.cz/" TargetMode="External"/><Relationship Id="rId934" Type="http://schemas.openxmlformats.org/officeDocument/2006/relationships/hyperlink" Target="https://store.admitad.com/webmaster/websites/2166760/offers/26572-autodoc-it/" TargetMode="External"/><Relationship Id="rId1357" Type="http://schemas.openxmlformats.org/officeDocument/2006/relationships/hyperlink" Target="https://popinabox.co.uk/" TargetMode="External"/><Relationship Id="rId1564" Type="http://schemas.openxmlformats.org/officeDocument/2006/relationships/hyperlink" Target="https://store.admitad.com/webmaster/websites/2166760/offers/27451-ribble-cycles-de/" TargetMode="External"/><Relationship Id="rId1771" Type="http://schemas.openxmlformats.org/officeDocument/2006/relationships/hyperlink" Target="https://f1store.formula1.com/" TargetMode="External"/><Relationship Id="rId2408" Type="http://schemas.openxmlformats.org/officeDocument/2006/relationships/hyperlink" Target="https://store.admitad.com/webmaster/websites/2166760/offers/22419-opinion-world-cpl-in/" TargetMode="External"/><Relationship Id="rId2615" Type="http://schemas.openxmlformats.org/officeDocument/2006/relationships/hyperlink" Target="http://www.bitiba.co.uk/" TargetMode="External"/><Relationship Id="rId2822" Type="http://schemas.openxmlformats.org/officeDocument/2006/relationships/hyperlink" Target="https://store.admitad.com/webmaster/websites/2166760/offers/26510-edreams-es/" TargetMode="External"/><Relationship Id="rId63" Type="http://schemas.openxmlformats.org/officeDocument/2006/relationships/hyperlink" Target="https://www.levelshoes.com/" TargetMode="External"/><Relationship Id="rId1217" Type="http://schemas.openxmlformats.org/officeDocument/2006/relationships/hyperlink" Target="https://www.europcar.co.uk/" TargetMode="External"/><Relationship Id="rId1424" Type="http://schemas.openxmlformats.org/officeDocument/2006/relationships/hyperlink" Target="https://store.admitad.com/webmaster/websites/2166760/offers/27271-womensecret-fr/" TargetMode="External"/><Relationship Id="rId1631" Type="http://schemas.openxmlformats.org/officeDocument/2006/relationships/hyperlink" Target="https://mills.com.ua/" TargetMode="External"/><Relationship Id="rId3389" Type="http://schemas.openxmlformats.org/officeDocument/2006/relationships/hyperlink" Target="https://play.uol.com.br/" TargetMode="External"/><Relationship Id="rId3596" Type="http://schemas.openxmlformats.org/officeDocument/2006/relationships/hyperlink" Target="https://store.admitad.com/webmaster/websites/2166760/offers/13574-lamoda-by/" TargetMode="External"/><Relationship Id="rId2198" Type="http://schemas.openxmlformats.org/officeDocument/2006/relationships/hyperlink" Target="https://store.admitad.com/webmaster/websites/2166760/offers/24276-netmeds-web-cps-in/" TargetMode="External"/><Relationship Id="rId3249" Type="http://schemas.openxmlformats.org/officeDocument/2006/relationships/hyperlink" Target="http://oldi.ru/" TargetMode="External"/><Relationship Id="rId3456" Type="http://schemas.openxmlformats.org/officeDocument/2006/relationships/hyperlink" Target="https://store.admitad.com/webmaster/websites/2166760/offers/27033-grandado-uk/" TargetMode="External"/><Relationship Id="rId377" Type="http://schemas.openxmlformats.org/officeDocument/2006/relationships/hyperlink" Target="http://searush.ae/" TargetMode="External"/><Relationship Id="rId584" Type="http://schemas.openxmlformats.org/officeDocument/2006/relationships/hyperlink" Target="https://store.admitad.com/webmaster/websites/2166760/offers/25423-segmueller-de/" TargetMode="External"/><Relationship Id="rId2058" Type="http://schemas.openxmlformats.org/officeDocument/2006/relationships/hyperlink" Target="https://store.admitad.com/webmaster/websites/2166760/offers/26427-intersport-de/" TargetMode="External"/><Relationship Id="rId2265" Type="http://schemas.openxmlformats.org/officeDocument/2006/relationships/hyperlink" Target="https://zaochnik.ru/" TargetMode="External"/><Relationship Id="rId3109" Type="http://schemas.openxmlformats.org/officeDocument/2006/relationships/hyperlink" Target="https://www.c-and-a.com/de/de/shop/damen" TargetMode="External"/><Relationship Id="rId3663" Type="http://schemas.openxmlformats.org/officeDocument/2006/relationships/hyperlink" Target="https://www.crediton.ua/" TargetMode="External"/><Relationship Id="rId3870" Type="http://schemas.openxmlformats.org/officeDocument/2006/relationships/hyperlink" Target="https://store.admitad.com/webmaster/websites/2166760/offers/21026-touch-ua/" TargetMode="External"/><Relationship Id="rId237" Type="http://schemas.openxmlformats.org/officeDocument/2006/relationships/hyperlink" Target="https://www.hidemyass.com/" TargetMode="External"/><Relationship Id="rId791" Type="http://schemas.openxmlformats.org/officeDocument/2006/relationships/hyperlink" Target="https://www.preisvergleich.de/" TargetMode="External"/><Relationship Id="rId1074" Type="http://schemas.openxmlformats.org/officeDocument/2006/relationships/hyperlink" Target="https://store.admitad.com/webmaster/websites/2166760/offers/26806-aosom-es/" TargetMode="External"/><Relationship Id="rId2472" Type="http://schemas.openxmlformats.org/officeDocument/2006/relationships/hyperlink" Target="https://store.admitad.com/webmaster/websites/2166760/offers/24612-arsenal-direct-uk/" TargetMode="External"/><Relationship Id="rId3316" Type="http://schemas.openxmlformats.org/officeDocument/2006/relationships/hyperlink" Target="https://store.admitad.com/webmaster/websites/2166760/offers/21441-ceneo-cpc-pl/" TargetMode="External"/><Relationship Id="rId3523" Type="http://schemas.openxmlformats.org/officeDocument/2006/relationships/hyperlink" Target="https://br.thebar.com/" TargetMode="External"/><Relationship Id="rId3730" Type="http://schemas.openxmlformats.org/officeDocument/2006/relationships/hyperlink" Target="https://store.admitad.com/webmaster/websites/2166760/offers/24018-etihad-cps-ww/" TargetMode="External"/><Relationship Id="rId444" Type="http://schemas.openxmlformats.org/officeDocument/2006/relationships/hyperlink" Target="https://store.admitad.com/webmaster/websites/2166760/offers/24788-fila-ae-offline-codes/" TargetMode="External"/><Relationship Id="rId651" Type="http://schemas.openxmlformats.org/officeDocument/2006/relationships/hyperlink" Target="https://www.cecil.de/" TargetMode="External"/><Relationship Id="rId1281" Type="http://schemas.openxmlformats.org/officeDocument/2006/relationships/hyperlink" Target="https://www.europcar.com/" TargetMode="External"/><Relationship Id="rId2125" Type="http://schemas.openxmlformats.org/officeDocument/2006/relationships/hyperlink" Target="https://en-ae.namshi.com/" TargetMode="External"/><Relationship Id="rId2332" Type="http://schemas.openxmlformats.org/officeDocument/2006/relationships/hyperlink" Target="https://store.admitad.com/webmaster/websites/2166760/offers/27264-triverna-pl/" TargetMode="External"/><Relationship Id="rId304" Type="http://schemas.openxmlformats.org/officeDocument/2006/relationships/hyperlink" Target="https://store.admitad.com/webmaster/websites/2166760/offers/23949-bodum-many-geos/" TargetMode="External"/><Relationship Id="rId511" Type="http://schemas.openxmlformats.org/officeDocument/2006/relationships/hyperlink" Target="https://premium.telegraph.co.uk/" TargetMode="External"/><Relationship Id="rId1141" Type="http://schemas.openxmlformats.org/officeDocument/2006/relationships/hyperlink" Target="https://www.docmorris.fr/" TargetMode="External"/><Relationship Id="rId1001" Type="http://schemas.openxmlformats.org/officeDocument/2006/relationships/hyperlink" Target="https://www.qatarairways.com/en-nl/homepage.html" TargetMode="External"/><Relationship Id="rId4157" Type="http://schemas.openxmlformats.org/officeDocument/2006/relationships/hyperlink" Target="https://www.datacamp.com/" TargetMode="External"/><Relationship Id="rId1958" Type="http://schemas.openxmlformats.org/officeDocument/2006/relationships/hyperlink" Target="https://store.admitad.com/webmaster/websites/2166760/offers/26726-best-western-hotels-uk/" TargetMode="External"/><Relationship Id="rId3173" Type="http://schemas.openxmlformats.org/officeDocument/2006/relationships/hyperlink" Target="https://www.stoffe-hemmers.de/" TargetMode="External"/><Relationship Id="rId3380" Type="http://schemas.openxmlformats.org/officeDocument/2006/relationships/hyperlink" Target="https://store.admitad.com/webmaster/websites/2166760/offers/24700-lacostecom-ua/" TargetMode="External"/><Relationship Id="rId4017" Type="http://schemas.openxmlformats.org/officeDocument/2006/relationships/hyperlink" Target="https://seikoclub.ru/" TargetMode="External"/><Relationship Id="rId4224" Type="http://schemas.openxmlformats.org/officeDocument/2006/relationships/hyperlink" Target="https://store.admitad.com/webmaster/websites/2166760/offers/22313-shop2gether-br/" TargetMode="External"/><Relationship Id="rId1818" Type="http://schemas.openxmlformats.org/officeDocument/2006/relationships/hyperlink" Target="https://store.admitad.com/webmaster/websites/2166760/offers/26851-la-roche-posay-uk/" TargetMode="External"/><Relationship Id="rId3033" Type="http://schemas.openxmlformats.org/officeDocument/2006/relationships/hyperlink" Target="https://play.google.com/store/apps/details?id=com.letyshops" TargetMode="External"/><Relationship Id="rId3240" Type="http://schemas.openxmlformats.org/officeDocument/2006/relationships/hyperlink" Target="https://store.admitad.com/webmaster/websites/2166760/offers/27404-cerascreen-de/" TargetMode="External"/><Relationship Id="rId161" Type="http://schemas.openxmlformats.org/officeDocument/2006/relationships/hyperlink" Target="https://www.weg.de/" TargetMode="External"/><Relationship Id="rId2799" Type="http://schemas.openxmlformats.org/officeDocument/2006/relationships/hyperlink" Target="https://www.myposter.nl/" TargetMode="External"/><Relationship Id="rId3100" Type="http://schemas.openxmlformats.org/officeDocument/2006/relationships/hyperlink" Target="https://store.admitad.com/webmaster/websites/2166760/offers/24288-lilicloth-ww/" TargetMode="External"/><Relationship Id="rId978" Type="http://schemas.openxmlformats.org/officeDocument/2006/relationships/hyperlink" Target="https://store.admitad.com/webmaster/websites/2166760/offers/26663-its-reisen-de/" TargetMode="External"/><Relationship Id="rId2659" Type="http://schemas.openxmlformats.org/officeDocument/2006/relationships/hyperlink" Target="https://infobus.eu/" TargetMode="External"/><Relationship Id="rId2866" Type="http://schemas.openxmlformats.org/officeDocument/2006/relationships/hyperlink" Target="https://store.admitad.com/webmaster/websites/2166760/offers/27162-clarks-uk/" TargetMode="External"/><Relationship Id="rId3917" Type="http://schemas.openxmlformats.org/officeDocument/2006/relationships/hyperlink" Target="https://www.mahzooz.ae/en" TargetMode="External"/><Relationship Id="rId838" Type="http://schemas.openxmlformats.org/officeDocument/2006/relationships/hyperlink" Target="https://store.admitad.com/webmaster/websites/2166760/offers/26431-zeb-be/" TargetMode="External"/><Relationship Id="rId1468" Type="http://schemas.openxmlformats.org/officeDocument/2006/relationships/hyperlink" Target="https://store.admitad.com/webmaster/websites/2166760/offers/27332-freshly-cosmetics-es/" TargetMode="External"/><Relationship Id="rId1675" Type="http://schemas.openxmlformats.org/officeDocument/2006/relationships/hyperlink" Target="https://innova2.g2afse.com/click?pid=7&amp;offer_id=15" TargetMode="External"/><Relationship Id="rId1882" Type="http://schemas.openxmlformats.org/officeDocument/2006/relationships/hyperlink" Target="https://store.admitad.com/webmaster/websites/2166760/offers/23468-mytrendyphone-cps-eu/" TargetMode="External"/><Relationship Id="rId2519" Type="http://schemas.openxmlformats.org/officeDocument/2006/relationships/hyperlink" Target="https://www.zooplus.pl/" TargetMode="External"/><Relationship Id="rId2726" Type="http://schemas.openxmlformats.org/officeDocument/2006/relationships/hyperlink" Target="https://store.admitad.com/webmaster/websites/2166760/offers/23279-tails-fr/" TargetMode="External"/><Relationship Id="rId4081" Type="http://schemas.openxmlformats.org/officeDocument/2006/relationships/hyperlink" Target="https://www.bilder.de/" TargetMode="External"/><Relationship Id="rId1328" Type="http://schemas.openxmlformats.org/officeDocument/2006/relationships/hyperlink" Target="https://store.admitad.com/webmaster/websites/2166760/offers/27134-secret-sales-uk/" TargetMode="External"/><Relationship Id="rId1535" Type="http://schemas.openxmlformats.org/officeDocument/2006/relationships/hyperlink" Target="https://womensecret.com/pt/pt" TargetMode="External"/><Relationship Id="rId2933" Type="http://schemas.openxmlformats.org/officeDocument/2006/relationships/hyperlink" Target="https://www.sima-land.ru/" TargetMode="External"/><Relationship Id="rId905" Type="http://schemas.openxmlformats.org/officeDocument/2006/relationships/hyperlink" Target="https://www.watchmaster.com/en" TargetMode="External"/><Relationship Id="rId1742" Type="http://schemas.openxmlformats.org/officeDocument/2006/relationships/hyperlink" Target="https://store.admitad.com/webmaster/websites/2166760/offers/26813-dhl-parcel-uk/" TargetMode="External"/><Relationship Id="rId34" Type="http://schemas.openxmlformats.org/officeDocument/2006/relationships/hyperlink" Target="https://store.admitad.com/webmaster/websites/2166760/offers/18753-liquid-web-ww/" TargetMode="External"/><Relationship Id="rId1602" Type="http://schemas.openxmlformats.org/officeDocument/2006/relationships/hyperlink" Target="https://store.admitad.com/webmaster/websites/2166760/offers/27491-kenko-health-cpl-in/" TargetMode="External"/><Relationship Id="rId3567" Type="http://schemas.openxmlformats.org/officeDocument/2006/relationships/hyperlink" Target="https://www.cadburygiftsdirect.co.uk/" TargetMode="External"/><Relationship Id="rId3774" Type="http://schemas.openxmlformats.org/officeDocument/2006/relationships/hyperlink" Target="https://store.admitad.com/webmaster/websites/2166760/offers/25004-artwinery-ua/" TargetMode="External"/><Relationship Id="rId3981" Type="http://schemas.openxmlformats.org/officeDocument/2006/relationships/hyperlink" Target="https://www.bellelily.com/" TargetMode="External"/><Relationship Id="rId488" Type="http://schemas.openxmlformats.org/officeDocument/2006/relationships/hyperlink" Target="https://store.admitad.com/webmaster/websites/2166760/offers/25002-purely-diamonds-uk/" TargetMode="External"/><Relationship Id="rId695" Type="http://schemas.openxmlformats.org/officeDocument/2006/relationships/hyperlink" Target="https://www.valmano.nl/" TargetMode="External"/><Relationship Id="rId2169" Type="http://schemas.openxmlformats.org/officeDocument/2006/relationships/hyperlink" Target="https://www.vijaysales.com/home" TargetMode="External"/><Relationship Id="rId2376" Type="http://schemas.openxmlformats.org/officeDocument/2006/relationships/hyperlink" Target="https://store.admitad.com/webmaster/websites/2166760/offers/18239-adorama-ww/" TargetMode="External"/><Relationship Id="rId2583" Type="http://schemas.openxmlformats.org/officeDocument/2006/relationships/hyperlink" Target="https://www.highstreettv.com/" TargetMode="External"/><Relationship Id="rId2790" Type="http://schemas.openxmlformats.org/officeDocument/2006/relationships/hyperlink" Target="https://store.admitad.com/webmaster/websites/2166760/offers/25358-dyson-cps-es/" TargetMode="External"/><Relationship Id="rId3427" Type="http://schemas.openxmlformats.org/officeDocument/2006/relationships/hyperlink" Target="https://aurum.in.ua/" TargetMode="External"/><Relationship Id="rId3634" Type="http://schemas.openxmlformats.org/officeDocument/2006/relationships/hyperlink" Target="https://store.admitad.com/webmaster/websites/2166760/offers/18428-sunsky-online-ww/" TargetMode="External"/><Relationship Id="rId3841" Type="http://schemas.openxmlformats.org/officeDocument/2006/relationships/hyperlink" Target="https://om.elvenar.com/ox/ru?ref=igcom" TargetMode="External"/><Relationship Id="rId348" Type="http://schemas.openxmlformats.org/officeDocument/2006/relationships/hyperlink" Target="https://store.admitad.com/webmaster/websites/2166760/offers/24268-no7-beauty-us/" TargetMode="External"/><Relationship Id="rId555" Type="http://schemas.openxmlformats.org/officeDocument/2006/relationships/hyperlink" Target="https://www.belvilla.es/" TargetMode="External"/><Relationship Id="rId762" Type="http://schemas.openxmlformats.org/officeDocument/2006/relationships/hyperlink" Target="https://store.admitad.com/webmaster/websites/2166760/offers/26216-omleela-game-cps-discount-ru-cis/" TargetMode="External"/><Relationship Id="rId1185" Type="http://schemas.openxmlformats.org/officeDocument/2006/relationships/hyperlink" Target="https://www.smartbuyglasses.de/" TargetMode="External"/><Relationship Id="rId1392" Type="http://schemas.openxmlformats.org/officeDocument/2006/relationships/hyperlink" Target="https://store.admitad.com/webmaster/websites/2166760/offers/27221-carphone-warehouse-uk/" TargetMode="External"/><Relationship Id="rId2029" Type="http://schemas.openxmlformats.org/officeDocument/2006/relationships/hyperlink" Target="https://chinaplay.store/" TargetMode="External"/><Relationship Id="rId2236" Type="http://schemas.openxmlformats.org/officeDocument/2006/relationships/hyperlink" Target="https://store.admitad.com/webmaster/websites/2166760/offers/26130-fifa-online-4-cpp-tr/" TargetMode="External"/><Relationship Id="rId2443" Type="http://schemas.openxmlformats.org/officeDocument/2006/relationships/hyperlink" Target="https://criminal-russia.com/" TargetMode="External"/><Relationship Id="rId2650" Type="http://schemas.openxmlformats.org/officeDocument/2006/relationships/hyperlink" Target="https://store.admitad.com/webmaster/websites/2166760/offers/16785-toyzz-shop-tr/" TargetMode="External"/><Relationship Id="rId3701" Type="http://schemas.openxmlformats.org/officeDocument/2006/relationships/hyperlink" Target="https://creditplus.kz/" TargetMode="External"/><Relationship Id="rId208" Type="http://schemas.openxmlformats.org/officeDocument/2006/relationships/hyperlink" Target="https://store.admitad.com/webmaster/websites/2166760/offers/23029-car-and-bike-cpv-in/" TargetMode="External"/><Relationship Id="rId415" Type="http://schemas.openxmlformats.org/officeDocument/2006/relationships/hyperlink" Target="https://ffin.life/individuals/freedom-corona/" TargetMode="External"/><Relationship Id="rId622" Type="http://schemas.openxmlformats.org/officeDocument/2006/relationships/hyperlink" Target="https://store.admitad.com/webmaster/websites/2166760/offers/25551-credimaxx-de-1/" TargetMode="External"/><Relationship Id="rId1045" Type="http://schemas.openxmlformats.org/officeDocument/2006/relationships/hyperlink" Target="https://www.alltours.de/" TargetMode="External"/><Relationship Id="rId1252" Type="http://schemas.openxmlformats.org/officeDocument/2006/relationships/hyperlink" Target="https://store.admitad.com/webmaster/websites/2166760/offers/27052-santander-consumer-bank-de/" TargetMode="External"/><Relationship Id="rId2303" Type="http://schemas.openxmlformats.org/officeDocument/2006/relationships/hyperlink" Target="https://www.snapfish.co.uk/" TargetMode="External"/><Relationship Id="rId2510" Type="http://schemas.openxmlformats.org/officeDocument/2006/relationships/hyperlink" Target="https://store.admitad.com/webmaster/websites/2166760/offers/26286-at-home-cps-in/" TargetMode="External"/><Relationship Id="rId1112" Type="http://schemas.openxmlformats.org/officeDocument/2006/relationships/hyperlink" Target="https://store.admitad.com/webmaster/websites/2166760/offers/26883-sidestep-de/" TargetMode="External"/><Relationship Id="rId3077" Type="http://schemas.openxmlformats.org/officeDocument/2006/relationships/hyperlink" Target="http://kiehls.in/" TargetMode="External"/><Relationship Id="rId3284" Type="http://schemas.openxmlformats.org/officeDocument/2006/relationships/hyperlink" Target="https://store.admitad.com/webmaster/websites/2166760/offers/18556-deka-ua/" TargetMode="External"/><Relationship Id="rId4128" Type="http://schemas.openxmlformats.org/officeDocument/2006/relationships/hyperlink" Target="https://store.admitad.com/webmaster/websites/2166760/offers/16070-joom-cps-android-many-geos/" TargetMode="External"/><Relationship Id="rId1929" Type="http://schemas.openxmlformats.org/officeDocument/2006/relationships/hyperlink" Target="https://naturadika.es/" TargetMode="External"/><Relationship Id="rId2093" Type="http://schemas.openxmlformats.org/officeDocument/2006/relationships/hyperlink" Target="https://www.wb-fernstudium.de/" TargetMode="External"/><Relationship Id="rId3491" Type="http://schemas.openxmlformats.org/officeDocument/2006/relationships/hyperlink" Target="http://aromacode.ru/" TargetMode="External"/><Relationship Id="rId3144" Type="http://schemas.openxmlformats.org/officeDocument/2006/relationships/hyperlink" Target="https://store.admitad.com/webmaster/websites/2166760/offers/24978-myprotein-fr/" TargetMode="External"/><Relationship Id="rId3351" Type="http://schemas.openxmlformats.org/officeDocument/2006/relationships/hyperlink" Target="https://www.owc.com/" TargetMode="External"/><Relationship Id="rId272" Type="http://schemas.openxmlformats.org/officeDocument/2006/relationships/hyperlink" Target="https://store.admitad.com/webmaster/websites/2166760/offers/23707-blinkist-ww/" TargetMode="External"/><Relationship Id="rId2160" Type="http://schemas.openxmlformats.org/officeDocument/2006/relationships/hyperlink" Target="https://store.admitad.com/webmaster/websites/2166760/offers/22550-arata-cps-in/" TargetMode="External"/><Relationship Id="rId3004" Type="http://schemas.openxmlformats.org/officeDocument/2006/relationships/hyperlink" Target="https://store.admitad.com/webmaster/websites/2166760/offers/21289-abebookscom-many-geos/" TargetMode="External"/><Relationship Id="rId3211" Type="http://schemas.openxmlformats.org/officeDocument/2006/relationships/hyperlink" Target="https://www.giordanoshop.com/" TargetMode="External"/><Relationship Id="rId132" Type="http://schemas.openxmlformats.org/officeDocument/2006/relationships/hyperlink" Target="https://store.admitad.com/webmaster/websites/2166760/offers/22261-hm-ae-sa-kw-eg/" TargetMode="External"/><Relationship Id="rId2020" Type="http://schemas.openxmlformats.org/officeDocument/2006/relationships/hyperlink" Target="https://store.admitad.com/webmaster/websites/2166760/offers/22216-hostgator-cps-in/" TargetMode="External"/><Relationship Id="rId1579" Type="http://schemas.openxmlformats.org/officeDocument/2006/relationships/hyperlink" Target="https://www.aeg.de/" TargetMode="External"/><Relationship Id="rId2977" Type="http://schemas.openxmlformats.org/officeDocument/2006/relationships/hyperlink" Target="https://www.mrmoney.com.ua/" TargetMode="External"/><Relationship Id="rId4192" Type="http://schemas.openxmlformats.org/officeDocument/2006/relationships/hyperlink" Target="https://store.admitad.com/webmaster/websites/2166760/offers/19816-forzacredit-cps-ua/" TargetMode="External"/><Relationship Id="rId949" Type="http://schemas.openxmlformats.org/officeDocument/2006/relationships/hyperlink" Target="https://www.gdata.de/" TargetMode="External"/><Relationship Id="rId1786" Type="http://schemas.openxmlformats.org/officeDocument/2006/relationships/hyperlink" Target="https://store.admitad.com/webmaster/websites/2166760/offers/25906-topbiz-fr/" TargetMode="External"/><Relationship Id="rId1993" Type="http://schemas.openxmlformats.org/officeDocument/2006/relationships/hyperlink" Target="https://www.lavazza.it/it.html" TargetMode="External"/><Relationship Id="rId2837" Type="http://schemas.openxmlformats.org/officeDocument/2006/relationships/hyperlink" Target="https://www.laredoute.co.uk/" TargetMode="External"/><Relationship Id="rId4052" Type="http://schemas.openxmlformats.org/officeDocument/2006/relationships/hyperlink" Target="https://store.admitad.com/webmaster/websites/2166760/offers/23756-world-of-warships-cpp-many-geos/" TargetMode="External"/><Relationship Id="rId78" Type="http://schemas.openxmlformats.org/officeDocument/2006/relationships/hyperlink" Target="https://store.admitad.com/webmaster/websites/2166760/offers/21162-rugsusa-ww/" TargetMode="External"/><Relationship Id="rId809" Type="http://schemas.openxmlformats.org/officeDocument/2006/relationships/hyperlink" Target="https://www.t-mobile.pl/" TargetMode="External"/><Relationship Id="rId1439" Type="http://schemas.openxmlformats.org/officeDocument/2006/relationships/hyperlink" Target="https://uvpure.luxestone.com/interstitial/c/" TargetMode="External"/><Relationship Id="rId1646" Type="http://schemas.openxmlformats.org/officeDocument/2006/relationships/hyperlink" Target="https://store.admitad.com/webmaster/websites/2166760/offers/27545-cleverbuy-de/" TargetMode="External"/><Relationship Id="rId1853" Type="http://schemas.openxmlformats.org/officeDocument/2006/relationships/hyperlink" Target="https://www.momondo.com/" TargetMode="External"/><Relationship Id="rId2904" Type="http://schemas.openxmlformats.org/officeDocument/2006/relationships/hyperlink" Target="https://store.admitad.com/webmaster/websites/2166760/offers/14076-vassa-co/" TargetMode="External"/><Relationship Id="rId1506" Type="http://schemas.openxmlformats.org/officeDocument/2006/relationships/hyperlink" Target="https://store.admitad.com/webmaster/websites/2166760/offers/27370-hdfc-securities-cpl-in/" TargetMode="External"/><Relationship Id="rId1713" Type="http://schemas.openxmlformats.org/officeDocument/2006/relationships/hyperlink" Target="https://spartan.go2cloud.org/aff_c?offer_id=45&amp;aff_id=1171&amp;aff_sub=%7bYOUR-CLICK-ID%7d&amp;aff_sub2=%7bPUBLISHER-ID%7d" TargetMode="External"/><Relationship Id="rId1920" Type="http://schemas.openxmlformats.org/officeDocument/2006/relationships/hyperlink" Target="https://store.admitad.com/webmaster/websites/2166760/offers/26021-viator-fr/" TargetMode="External"/><Relationship Id="rId3678" Type="http://schemas.openxmlformats.org/officeDocument/2006/relationships/hyperlink" Target="https://store.admitad.com/webmaster/websites/2166760/offers/21580-koke-cps-kz/" TargetMode="External"/><Relationship Id="rId3885" Type="http://schemas.openxmlformats.org/officeDocument/2006/relationships/hyperlink" Target="https://oh.ua/osago-promo/" TargetMode="External"/><Relationship Id="rId599" Type="http://schemas.openxmlformats.org/officeDocument/2006/relationships/hyperlink" Target="http://www.cultbeauty.co.uk/" TargetMode="External"/><Relationship Id="rId2487" Type="http://schemas.openxmlformats.org/officeDocument/2006/relationships/hyperlink" Target="https://www.hawalili.com/" TargetMode="External"/><Relationship Id="rId2694" Type="http://schemas.openxmlformats.org/officeDocument/2006/relationships/hyperlink" Target="https://store.admitad.com/webmaster/websites/2166760/offers/22207-crsed-foad-cpp-many-geos/" TargetMode="External"/><Relationship Id="rId3538" Type="http://schemas.openxmlformats.org/officeDocument/2006/relationships/hyperlink" Target="https://store.admitad.com/webmaster/websites/2166760/offers/23809-myvitamins-uk-de/" TargetMode="External"/><Relationship Id="rId3745" Type="http://schemas.openxmlformats.org/officeDocument/2006/relationships/hyperlink" Target="https://contented.ru/" TargetMode="External"/><Relationship Id="rId459" Type="http://schemas.openxmlformats.org/officeDocument/2006/relationships/hyperlink" Target="https://foscam-online.de/shop/" TargetMode="External"/><Relationship Id="rId666" Type="http://schemas.openxmlformats.org/officeDocument/2006/relationships/hyperlink" Target="https://store.admitad.com/webmaster/websites/2166760/offers/25896-lg-cpl-in/" TargetMode="External"/><Relationship Id="rId873" Type="http://schemas.openxmlformats.org/officeDocument/2006/relationships/hyperlink" Target="https://www.allingames.com/game/chernobylite-xsolla/" TargetMode="External"/><Relationship Id="rId1089" Type="http://schemas.openxmlformats.org/officeDocument/2006/relationships/hyperlink" Target="https://www.potterybarn.ae/" TargetMode="External"/><Relationship Id="rId1296" Type="http://schemas.openxmlformats.org/officeDocument/2006/relationships/hyperlink" Target="https://store.admitad.com/webmaster/websites/2166760/offers/27099-converse-it/" TargetMode="External"/><Relationship Id="rId2347" Type="http://schemas.openxmlformats.org/officeDocument/2006/relationships/hyperlink" Target="https://www.mutuisupermarket.it/" TargetMode="External"/><Relationship Id="rId2554" Type="http://schemas.openxmlformats.org/officeDocument/2006/relationships/hyperlink" Target="https://store.admitad.com/webmaster/websites/2166760/offers/26790-hansemerkur-versicherungsgruppe-de/" TargetMode="External"/><Relationship Id="rId3952" Type="http://schemas.openxmlformats.org/officeDocument/2006/relationships/hyperlink" Target="https://store.admitad.com/webmaster/websites/2166760/offers/18350-milanoo-ww/" TargetMode="External"/><Relationship Id="rId319" Type="http://schemas.openxmlformats.org/officeDocument/2006/relationships/hyperlink" Target="https://www.stradivarius.com/" TargetMode="External"/><Relationship Id="rId526" Type="http://schemas.openxmlformats.org/officeDocument/2006/relationships/hyperlink" Target="https://store.admitad.com/webmaster/websites/2166760/offers/25132-faces-ae-sa-kw-eg-qa/" TargetMode="External"/><Relationship Id="rId1156" Type="http://schemas.openxmlformats.org/officeDocument/2006/relationships/hyperlink" Target="https://store.admitad.com/webmaster/websites/2166760/offers/26951-canon-ch/" TargetMode="External"/><Relationship Id="rId1363" Type="http://schemas.openxmlformats.org/officeDocument/2006/relationships/hyperlink" Target="http://www.londonmintoffice.org/" TargetMode="External"/><Relationship Id="rId2207" Type="http://schemas.openxmlformats.org/officeDocument/2006/relationships/hyperlink" Target="https://lebs.com/" TargetMode="External"/><Relationship Id="rId2761" Type="http://schemas.openxmlformats.org/officeDocument/2006/relationships/hyperlink" Target="https://www.paramountplus.com/intl/" TargetMode="External"/><Relationship Id="rId3605" Type="http://schemas.openxmlformats.org/officeDocument/2006/relationships/hyperlink" Target="https://zelena.a-bank.com.ua/" TargetMode="External"/><Relationship Id="rId3812" Type="http://schemas.openxmlformats.org/officeDocument/2006/relationships/hyperlink" Target="https://store.admitad.com/webmaster/websites/2166760/offers/26748-hugendubel-de/" TargetMode="External"/><Relationship Id="rId733" Type="http://schemas.openxmlformats.org/officeDocument/2006/relationships/hyperlink" Target="https://www.focuscamera.com/" TargetMode="External"/><Relationship Id="rId940" Type="http://schemas.openxmlformats.org/officeDocument/2006/relationships/hyperlink" Target="https://store.admitad.com/webmaster/websites/2166760/offers/26583-everything-5-pounds-uk/" TargetMode="External"/><Relationship Id="rId1016" Type="http://schemas.openxmlformats.org/officeDocument/2006/relationships/hyperlink" Target="https://store.admitad.com/webmaster/websites/2166760/offers/26694-qatar-us/" TargetMode="External"/><Relationship Id="rId1570" Type="http://schemas.openxmlformats.org/officeDocument/2006/relationships/hyperlink" Target="https://store.admitad.com/webmaster/websites/2166760/offers/27455-foot-locker-fr/" TargetMode="External"/><Relationship Id="rId2414" Type="http://schemas.openxmlformats.org/officeDocument/2006/relationships/hyperlink" Target="https://store.admitad.com/webmaster/websites/2166760/offers/22604-top-rankers-cpa-in/" TargetMode="External"/><Relationship Id="rId2621" Type="http://schemas.openxmlformats.org/officeDocument/2006/relationships/hyperlink" Target="https://de.cupshe.com/" TargetMode="External"/><Relationship Id="rId800" Type="http://schemas.openxmlformats.org/officeDocument/2006/relationships/hyperlink" Target="https://store.admitad.com/webmaster/websites/2166760/offers/26331-afb-de/" TargetMode="External"/><Relationship Id="rId1223" Type="http://schemas.openxmlformats.org/officeDocument/2006/relationships/hyperlink" Target="https://www.emma-sleep.com/" TargetMode="External"/><Relationship Id="rId1430" Type="http://schemas.openxmlformats.org/officeDocument/2006/relationships/hyperlink" Target="https://store.admitad.com/webmaster/websites/2166760/offers/27276-musterhaus-cpl-de/" TargetMode="External"/><Relationship Id="rId3188" Type="http://schemas.openxmlformats.org/officeDocument/2006/relationships/hyperlink" Target="https://store.admitad.com/webmaster/websites/2166760/offers/26446-marie-fresh-cosmetics-many-geos/" TargetMode="External"/><Relationship Id="rId3395" Type="http://schemas.openxmlformats.org/officeDocument/2006/relationships/hyperlink" Target="https://oll.tv/ru/" TargetMode="External"/><Relationship Id="rId3048" Type="http://schemas.openxmlformats.org/officeDocument/2006/relationships/hyperlink" Target="https://store.admitad.com/webmaster/websites/2166760/offers/23063-yesfrukt-ua/" TargetMode="External"/><Relationship Id="rId3255" Type="http://schemas.openxmlformats.org/officeDocument/2006/relationships/hyperlink" Target="http://secunda.com.ua/" TargetMode="External"/><Relationship Id="rId3462" Type="http://schemas.openxmlformats.org/officeDocument/2006/relationships/hyperlink" Target="https://store.admitad.com/webmaster/websites/2166760/offers/27336-wild-natural-deodorant-uk/" TargetMode="External"/><Relationship Id="rId176" Type="http://schemas.openxmlformats.org/officeDocument/2006/relationships/hyperlink" Target="https://store.admitad.com/webmaster/websites/2166760/offers/22807-rebellion-pay-ios-cps-es/" TargetMode="External"/><Relationship Id="rId383" Type="http://schemas.openxmlformats.org/officeDocument/2006/relationships/hyperlink" Target="https://www.yoox.com/" TargetMode="External"/><Relationship Id="rId590" Type="http://schemas.openxmlformats.org/officeDocument/2006/relationships/hyperlink" Target="https://store.admitad.com/webmaster/websites/2166760/offers/25470-envato-elements/" TargetMode="External"/><Relationship Id="rId2064" Type="http://schemas.openxmlformats.org/officeDocument/2006/relationships/hyperlink" Target="https://store.admitad.com/webmaster/websites/2166760/offers/26592-ordnance-survey-uk/" TargetMode="External"/><Relationship Id="rId2271" Type="http://schemas.openxmlformats.org/officeDocument/2006/relationships/hyperlink" Target="https://www.thecakedecoratingcompany.co.uk/" TargetMode="External"/><Relationship Id="rId3115" Type="http://schemas.openxmlformats.org/officeDocument/2006/relationships/hyperlink" Target="https://bedfolk.com/" TargetMode="External"/><Relationship Id="rId3322" Type="http://schemas.openxmlformats.org/officeDocument/2006/relationships/hyperlink" Target="https://store.admitad.com/webmaster/websites/2166760/offers/21857-rakuten-fr/" TargetMode="External"/><Relationship Id="rId243" Type="http://schemas.openxmlformats.org/officeDocument/2006/relationships/hyperlink" Target="https://www.watconsult.com/" TargetMode="External"/><Relationship Id="rId450" Type="http://schemas.openxmlformats.org/officeDocument/2006/relationships/hyperlink" Target="https://store.admitad.com/webmaster/websites/2166760/offers/24833-buyagift-uk/" TargetMode="External"/><Relationship Id="rId1080" Type="http://schemas.openxmlformats.org/officeDocument/2006/relationships/hyperlink" Target="https://store.admitad.com/webmaster/websites/2166760/offers/26818-outspot-nl/" TargetMode="External"/><Relationship Id="rId2131" Type="http://schemas.openxmlformats.org/officeDocument/2006/relationships/hyperlink" Target="https://www.teknistore.com/" TargetMode="External"/><Relationship Id="rId103" Type="http://schemas.openxmlformats.org/officeDocument/2006/relationships/hyperlink" Target="https://www.mothercare.ae/en/" TargetMode="External"/><Relationship Id="rId310" Type="http://schemas.openxmlformats.org/officeDocument/2006/relationships/hyperlink" Target="https://store.admitad.com/webmaster/websites/2166760/offers/23998-every-health-uk/" TargetMode="External"/><Relationship Id="rId4096" Type="http://schemas.openxmlformats.org/officeDocument/2006/relationships/hyperlink" Target="https://store.admitad.com/webmaster/websites/2166760/offers/12438-zakaz-ua/" TargetMode="External"/><Relationship Id="rId1897" Type="http://schemas.openxmlformats.org/officeDocument/2006/relationships/hyperlink" Target="https://www.fonu.nl/" TargetMode="External"/><Relationship Id="rId2948" Type="http://schemas.openxmlformats.org/officeDocument/2006/relationships/hyperlink" Target="https://store.admitad.com/webmaster/websites/2166760/offers/18633-adobe-many-geos/" TargetMode="External"/><Relationship Id="rId1757" Type="http://schemas.openxmlformats.org/officeDocument/2006/relationships/hyperlink" Target="https://www.alamy.com/" TargetMode="External"/><Relationship Id="rId1964" Type="http://schemas.openxmlformats.org/officeDocument/2006/relationships/hyperlink" Target="https://store.admitad.com/webmaster/websites/2166760/offers/26793-alternate-es/" TargetMode="External"/><Relationship Id="rId2808" Type="http://schemas.openxmlformats.org/officeDocument/2006/relationships/hyperlink" Target="https://store.admitad.com/webmaster/websites/2166760/offers/26195-myprotein-de/" TargetMode="External"/><Relationship Id="rId4163" Type="http://schemas.openxmlformats.org/officeDocument/2006/relationships/hyperlink" Target="https://www.eis.de/" TargetMode="External"/><Relationship Id="rId49" Type="http://schemas.openxmlformats.org/officeDocument/2006/relationships/hyperlink" Target="https://www.microsoft.com/en-in" TargetMode="External"/><Relationship Id="rId1617" Type="http://schemas.openxmlformats.org/officeDocument/2006/relationships/hyperlink" Target="https://litactivewear.com/" TargetMode="External"/><Relationship Id="rId1824" Type="http://schemas.openxmlformats.org/officeDocument/2006/relationships/hyperlink" Target="https://store.admitad.com/webmaster/websites/2166760/offers/27077-esn-de/" TargetMode="External"/><Relationship Id="rId4023" Type="http://schemas.openxmlformats.org/officeDocument/2006/relationships/hyperlink" Target="http://www.fairyseason.com/" TargetMode="External"/><Relationship Id="rId4230" Type="http://schemas.openxmlformats.org/officeDocument/2006/relationships/hyperlink" Target="https://store.admitad.com/webmaster/websites/2166760/offers/22646-fortnite-doi-many-geos/" TargetMode="External"/><Relationship Id="rId3789" Type="http://schemas.openxmlformats.org/officeDocument/2006/relationships/hyperlink" Target="https://lichi.com/" TargetMode="External"/><Relationship Id="rId2598" Type="http://schemas.openxmlformats.org/officeDocument/2006/relationships/hyperlink" Target="https://store.admitad.com/webmaster/websites/2166760/offers/27169-allbeauty-uk/" TargetMode="External"/><Relationship Id="rId3996" Type="http://schemas.openxmlformats.org/officeDocument/2006/relationships/hyperlink" Target="https://store.admitad.com/webmaster/websites/2166760/offers/14070-world-of-tanks-soi-rucis/" TargetMode="External"/><Relationship Id="rId3649" Type="http://schemas.openxmlformats.org/officeDocument/2006/relationships/hyperlink" Target="https://vdsina.ru/" TargetMode="External"/><Relationship Id="rId3856" Type="http://schemas.openxmlformats.org/officeDocument/2006/relationships/hyperlink" Target="https://store.admitad.com/webmaster/websites/2166760/offers/19976-globkurier-cps-pl/" TargetMode="External"/><Relationship Id="rId777" Type="http://schemas.openxmlformats.org/officeDocument/2006/relationships/hyperlink" Target="https://unelefante.mx/" TargetMode="External"/><Relationship Id="rId984" Type="http://schemas.openxmlformats.org/officeDocument/2006/relationships/hyperlink" Target="https://store.admitad.com/webmaster/websites/2166760/offers/26671-goneo-de/" TargetMode="External"/><Relationship Id="rId2458" Type="http://schemas.openxmlformats.org/officeDocument/2006/relationships/hyperlink" Target="https://store.admitad.com/webmaster/websites/2166760/offers/24167-axis-direct-securities-cpl-in/" TargetMode="External"/><Relationship Id="rId2665" Type="http://schemas.openxmlformats.org/officeDocument/2006/relationships/hyperlink" Target="https://www.desertcart.ae/" TargetMode="External"/><Relationship Id="rId2872" Type="http://schemas.openxmlformats.org/officeDocument/2006/relationships/hyperlink" Target="https://store.admitad.com/webmaster/websites/2166760/offers/27249-scholarshipowl-us/" TargetMode="External"/><Relationship Id="rId3509" Type="http://schemas.openxmlformats.org/officeDocument/2006/relationships/hyperlink" Target="https://www.policybazaar.com/health-insurance" TargetMode="External"/><Relationship Id="rId3716" Type="http://schemas.openxmlformats.org/officeDocument/2006/relationships/hyperlink" Target="https://store.admitad.com/webmaster/websites/2166760/offers/23632-ekta-many-geos/" TargetMode="External"/><Relationship Id="rId3923" Type="http://schemas.openxmlformats.org/officeDocument/2006/relationships/hyperlink" Target="https://www.techwearclub.com/" TargetMode="External"/><Relationship Id="rId637" Type="http://schemas.openxmlformats.org/officeDocument/2006/relationships/hyperlink" Target="https://www.cottontraders.com/" TargetMode="External"/><Relationship Id="rId844" Type="http://schemas.openxmlformats.org/officeDocument/2006/relationships/hyperlink" Target="https://store.admitad.com/webmaster/websites/2166760/offers/26441-coindcx-cpr-in/" TargetMode="External"/><Relationship Id="rId1267" Type="http://schemas.openxmlformats.org/officeDocument/2006/relationships/hyperlink" Target="https://www.saldiprivati.com/" TargetMode="External"/><Relationship Id="rId1474" Type="http://schemas.openxmlformats.org/officeDocument/2006/relationships/hyperlink" Target="https://store.admitad.com/webmaster/websites/2166760/offers/27340-bigflex-cps-in/" TargetMode="External"/><Relationship Id="rId1681" Type="http://schemas.openxmlformats.org/officeDocument/2006/relationships/hyperlink" Target="https://rolidas-auto.com.ua/" TargetMode="External"/><Relationship Id="rId2318" Type="http://schemas.openxmlformats.org/officeDocument/2006/relationships/hyperlink" Target="https://store.admitad.com/webmaster/websites/2166760/offers/27093-never-fully-dressed-us/" TargetMode="External"/><Relationship Id="rId2525" Type="http://schemas.openxmlformats.org/officeDocument/2006/relationships/hyperlink" Target="https://eu.4game.com/lineage2/" TargetMode="External"/><Relationship Id="rId2732" Type="http://schemas.openxmlformats.org/officeDocument/2006/relationships/hyperlink" Target="https://store.admitad.com/webmaster/websites/2166760/offers/23456-eleve-life-br/" TargetMode="External"/><Relationship Id="rId704" Type="http://schemas.openxmlformats.org/officeDocument/2006/relationships/hyperlink" Target="https://store.admitad.com/webmaster/websites/2166760/offers/26082-new-balance-ae-sa-kw-qt-bh-offline-codes/" TargetMode="External"/><Relationship Id="rId911" Type="http://schemas.openxmlformats.org/officeDocument/2006/relationships/hyperlink" Target="https://www.audionovaitalia.it/" TargetMode="External"/><Relationship Id="rId1127" Type="http://schemas.openxmlformats.org/officeDocument/2006/relationships/hyperlink" Target="https://bloomscape.com/" TargetMode="External"/><Relationship Id="rId1334" Type="http://schemas.openxmlformats.org/officeDocument/2006/relationships/hyperlink" Target="https://store.admitad.com/webmaster/websites/2166760/offers/27138-shape-republic-de/" TargetMode="External"/><Relationship Id="rId1541" Type="http://schemas.openxmlformats.org/officeDocument/2006/relationships/hyperlink" Target="https://www.terrysfabrics.co.uk/" TargetMode="External"/><Relationship Id="rId40" Type="http://schemas.openxmlformats.org/officeDocument/2006/relationships/hyperlink" Target="https://store.admitad.com/webmaster/websites/2166760/offers/19040-onnit-us/" TargetMode="External"/><Relationship Id="rId1401" Type="http://schemas.openxmlformats.org/officeDocument/2006/relationships/hyperlink" Target="https://naphome.com/" TargetMode="External"/><Relationship Id="rId3299" Type="http://schemas.openxmlformats.org/officeDocument/2006/relationships/hyperlink" Target="https://store.blackview.hk/en" TargetMode="External"/><Relationship Id="rId3159" Type="http://schemas.openxmlformats.org/officeDocument/2006/relationships/hyperlink" Target="https://induseasycredit.indusind.com/customer/application/work-details" TargetMode="External"/><Relationship Id="rId3366" Type="http://schemas.openxmlformats.org/officeDocument/2006/relationships/hyperlink" Target="https://store.admitad.com/webmaster/websites/2166760/offers/24274-man-matters-cps-in/" TargetMode="External"/><Relationship Id="rId3573" Type="http://schemas.openxmlformats.org/officeDocument/2006/relationships/hyperlink" Target="https://www.beerwulf.com/en-gb" TargetMode="External"/><Relationship Id="rId287" Type="http://schemas.openxmlformats.org/officeDocument/2006/relationships/hyperlink" Target="https://alerabat.com/" TargetMode="External"/><Relationship Id="rId494" Type="http://schemas.openxmlformats.org/officeDocument/2006/relationships/hyperlink" Target="https://store.admitad.com/webmaster/websites/2166760/offers/25018-saturn/" TargetMode="External"/><Relationship Id="rId2175" Type="http://schemas.openxmlformats.org/officeDocument/2006/relationships/hyperlink" Target="https://www.tbdress.com/" TargetMode="External"/><Relationship Id="rId2382" Type="http://schemas.openxmlformats.org/officeDocument/2006/relationships/hyperlink" Target="https://store.admitad.com/webmaster/websites/2166760/offers/20441-crsed-foad-cpp-ru-cis/" TargetMode="External"/><Relationship Id="rId3019" Type="http://schemas.openxmlformats.org/officeDocument/2006/relationships/hyperlink" Target="https://gama-gama.ru/" TargetMode="External"/><Relationship Id="rId3226" Type="http://schemas.openxmlformats.org/officeDocument/2006/relationships/hyperlink" Target="https://store.admitad.com/webmaster/websites/2166760/offers/27182-blume2000-de/" TargetMode="External"/><Relationship Id="rId3780" Type="http://schemas.openxmlformats.org/officeDocument/2006/relationships/hyperlink" Target="https://store.admitad.com/webmaster/websites/2166760/offers/25258-wholesale21-ww/" TargetMode="External"/><Relationship Id="rId147" Type="http://schemas.openxmlformats.org/officeDocument/2006/relationships/hyperlink" Target="https://www.supermoney.eu/" TargetMode="External"/><Relationship Id="rId354" Type="http://schemas.openxmlformats.org/officeDocument/2006/relationships/hyperlink" Target="https://store.admitad.com/webmaster/websites/2166760/offers/24318-easylingo-many-geos/" TargetMode="External"/><Relationship Id="rId1191" Type="http://schemas.openxmlformats.org/officeDocument/2006/relationships/hyperlink" Target="https://www.tooled-up.com/" TargetMode="External"/><Relationship Id="rId2035" Type="http://schemas.openxmlformats.org/officeDocument/2006/relationships/hyperlink" Target="https://ethinos73.gotrackier.com/click?campaign_id=84&amp;pub_id=88&amp;p1=%7byour-transaction-id%7d&amp;source=%7byour-sub-aff-id%7d" TargetMode="External"/><Relationship Id="rId3433" Type="http://schemas.openxmlformats.org/officeDocument/2006/relationships/hyperlink" Target="https://www.goboo.com/" TargetMode="External"/><Relationship Id="rId3640" Type="http://schemas.openxmlformats.org/officeDocument/2006/relationships/hyperlink" Target="https://store.admitad.com/webmaster/websites/2166760/offers/18615-flagman-ua/" TargetMode="External"/><Relationship Id="rId561" Type="http://schemas.openxmlformats.org/officeDocument/2006/relationships/hyperlink" Target="https://www.bancointer.com.br/" TargetMode="External"/><Relationship Id="rId2242" Type="http://schemas.openxmlformats.org/officeDocument/2006/relationships/hyperlink" Target="https://store.admitad.com/webmaster/websites/2166760/offers/26245-guess-mx/" TargetMode="External"/><Relationship Id="rId3500" Type="http://schemas.openxmlformats.org/officeDocument/2006/relationships/hyperlink" Target="https://store.admitad.com/webmaster/websites/2166760/offers/21302-kontramarka-ua/" TargetMode="External"/><Relationship Id="rId214" Type="http://schemas.openxmlformats.org/officeDocument/2006/relationships/hyperlink" Target="https://store.admitad.com/webmaster/websites/2166760/offers/23059-voot-kids-android-cpt-in/" TargetMode="External"/><Relationship Id="rId421" Type="http://schemas.openxmlformats.org/officeDocument/2006/relationships/hyperlink" Target="https://www.olephone.es/" TargetMode="External"/><Relationship Id="rId1051" Type="http://schemas.openxmlformats.org/officeDocument/2006/relationships/hyperlink" Target="https://direct.purina.co.uk/" TargetMode="External"/><Relationship Id="rId2102" Type="http://schemas.openxmlformats.org/officeDocument/2006/relationships/hyperlink" Target="https://store.admitad.com/webmaster/websites/2166760/offers/27284-wellbeing-nutrition-cps-in/" TargetMode="External"/><Relationship Id="rId1868" Type="http://schemas.openxmlformats.org/officeDocument/2006/relationships/hyperlink" Target="https://store.admitad.com/webmaster/websites/2166760/offers/22953-ketto-cps-in/" TargetMode="External"/><Relationship Id="rId4067" Type="http://schemas.openxmlformats.org/officeDocument/2006/relationships/hyperlink" Target="https://www.komily.com/" TargetMode="External"/><Relationship Id="rId2919" Type="http://schemas.openxmlformats.org/officeDocument/2006/relationships/hyperlink" Target="https://www.makemytrip.com/flights" TargetMode="External"/><Relationship Id="rId3083" Type="http://schemas.openxmlformats.org/officeDocument/2006/relationships/hyperlink" Target="https://forenzi.kz/" TargetMode="External"/><Relationship Id="rId3290" Type="http://schemas.openxmlformats.org/officeDocument/2006/relationships/hyperlink" Target="https://store.admitad.com/webmaster/websites/2166760/offers/19016-jackjones-cps-in/" TargetMode="External"/><Relationship Id="rId4134" Type="http://schemas.openxmlformats.org/officeDocument/2006/relationships/hyperlink" Target="https://store.admitad.com/webmaster/websites/2166760/offers/22300-flydubai-ww/" TargetMode="External"/><Relationship Id="rId1728" Type="http://schemas.openxmlformats.org/officeDocument/2006/relationships/hyperlink" Target="https://store.admitad.com/webmaster/websites/2166760/offers/27800-rb-gcc-offline-codes/" TargetMode="External"/><Relationship Id="rId1935" Type="http://schemas.openxmlformats.org/officeDocument/2006/relationships/hyperlink" Target="http://www.douglas-shop.pl/" TargetMode="External"/><Relationship Id="rId3150" Type="http://schemas.openxmlformats.org/officeDocument/2006/relationships/hyperlink" Target="https://store.admitad.com/webmaster/websites/2166760/offers/25285-mensxp-cps-in/" TargetMode="External"/><Relationship Id="rId4201" Type="http://schemas.openxmlformats.org/officeDocument/2006/relationships/hyperlink" Target="http://booking.com/" TargetMode="External"/><Relationship Id="rId3010" Type="http://schemas.openxmlformats.org/officeDocument/2006/relationships/hyperlink" Target="https://store.admitad.com/webmaster/websites/2166760/offers/21707-camper-ru-tr/" TargetMode="External"/><Relationship Id="rId3967" Type="http://schemas.openxmlformats.org/officeDocument/2006/relationships/hyperlink" Target="https://www.canva.com/" TargetMode="External"/><Relationship Id="rId4" Type="http://schemas.openxmlformats.org/officeDocument/2006/relationships/hyperlink" Target="https://store.admitad.com/webmaster/websites/2166760/offers/13767-rentalcars-ww/" TargetMode="External"/><Relationship Id="rId888" Type="http://schemas.openxmlformats.org/officeDocument/2006/relationships/hyperlink" Target="https://store.admitad.com/webmaster/websites/2166760/offers/26514-steelseries/" TargetMode="External"/><Relationship Id="rId2569" Type="http://schemas.openxmlformats.org/officeDocument/2006/relationships/hyperlink" Target="https://www.df-sportspecialist.it/" TargetMode="External"/><Relationship Id="rId2776" Type="http://schemas.openxmlformats.org/officeDocument/2006/relationships/hyperlink" Target="https://store.admitad.com/webmaster/websites/2166760/offers/24858-uol-meu-negocio/" TargetMode="External"/><Relationship Id="rId2983" Type="http://schemas.openxmlformats.org/officeDocument/2006/relationships/hyperlink" Target="https://worldofwarships.ru/" TargetMode="External"/><Relationship Id="rId3827" Type="http://schemas.openxmlformats.org/officeDocument/2006/relationships/hyperlink" Target="https://www.lieferando.de/" TargetMode="External"/><Relationship Id="rId748" Type="http://schemas.openxmlformats.org/officeDocument/2006/relationships/hyperlink" Target="https://store.admitad.com/webmaster/websites/2166760/offers/26173-azadea-kw-qa-ae-offline-codes-links/" TargetMode="External"/><Relationship Id="rId955" Type="http://schemas.openxmlformats.org/officeDocument/2006/relationships/hyperlink" Target="https://reefi.me/" TargetMode="External"/><Relationship Id="rId1378" Type="http://schemas.openxmlformats.org/officeDocument/2006/relationships/hyperlink" Target="https://store.admitad.com/webmaster/websites/2166760/offers/27188-myposter-de/" TargetMode="External"/><Relationship Id="rId1585" Type="http://schemas.openxmlformats.org/officeDocument/2006/relationships/hyperlink" Target="https://www.longtallsally.com/" TargetMode="External"/><Relationship Id="rId1792" Type="http://schemas.openxmlformats.org/officeDocument/2006/relationships/hyperlink" Target="https://store.admitad.com/webmaster/websites/2166760/offers/26273-elemis-eu/" TargetMode="External"/><Relationship Id="rId2429" Type="http://schemas.openxmlformats.org/officeDocument/2006/relationships/hyperlink" Target="https://star-conflict.com/play4free" TargetMode="External"/><Relationship Id="rId2636" Type="http://schemas.openxmlformats.org/officeDocument/2006/relationships/hyperlink" Target="https://store.admitad.com/webmaster/websites/2166760/offers/7741-hotellook-many-geos/" TargetMode="External"/><Relationship Id="rId2843" Type="http://schemas.openxmlformats.org/officeDocument/2006/relationships/hyperlink" Target="https://www.underarmour.com/en-ca/" TargetMode="External"/><Relationship Id="rId84" Type="http://schemas.openxmlformats.org/officeDocument/2006/relationships/hyperlink" Target="https://store.admitad.com/webmaster/websites/2166760/offers/21242-lacoste-pl/" TargetMode="External"/><Relationship Id="rId608" Type="http://schemas.openxmlformats.org/officeDocument/2006/relationships/hyperlink" Target="https://store.admitad.com/webmaster/websites/2166760/offers/25502-sporthaus-schuster-de/" TargetMode="External"/><Relationship Id="rId815" Type="http://schemas.openxmlformats.org/officeDocument/2006/relationships/hyperlink" Target="https://www.isawitfirst.com/" TargetMode="External"/><Relationship Id="rId1238" Type="http://schemas.openxmlformats.org/officeDocument/2006/relationships/hyperlink" Target="https://store.admitad.com/webmaster/websites/2166760/offers/27043-yomonda-de/" TargetMode="External"/><Relationship Id="rId1445" Type="http://schemas.openxmlformats.org/officeDocument/2006/relationships/hyperlink" Target="https://shop.kodakphotoprinter.com/" TargetMode="External"/><Relationship Id="rId1652" Type="http://schemas.openxmlformats.org/officeDocument/2006/relationships/hyperlink" Target="https://store.admitad.com/webmaster/websites/2166760/offers/27548-sensilab-d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aguattallahehiri.egnyte.com/dd/k6bq5wuMNM?thumbNail=true&amp;entryId=4b4ff65a-e8f8-4f9b-ba65-1b287379c92c&amp;w=32&amp;h=32&amp;type=center" TargetMode="External"/><Relationship Id="rId2" Type="http://schemas.openxmlformats.org/officeDocument/2006/relationships/hyperlink" Target="https://www.dropbox.com/scl/fo/5lf0h6bx9erurinhmhbrw/h/Phone%20wallpapers2.jpeg?rlkey=bdsus9kws5pw3aejn3wvl87tn&amp;dl=0" TargetMode="External"/><Relationship Id="rId1" Type="http://schemas.openxmlformats.org/officeDocument/2006/relationships/hyperlink" Target="https://drive.internxt.com/folder/https:/drive.internxt.com/7efe42f8-5007-44bf-a7b1-1927c5b1dcb6" TargetMode="External"/><Relationship Id="rId4"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thumbs2.imgbox.com/b5/82/aVE2jo4C_t.jpeg" TargetMode="External"/><Relationship Id="rId1" Type="http://schemas.openxmlformats.org/officeDocument/2006/relationships/hyperlink" Target="https://imgbox.com/aVE2jo4C"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narmedicyna.ru/wp-content/uploads/2021/10/pediatr-218x150.jpg"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exe.io/st?api=%20a480072bd98881bdfc23c75aa2f815ea2428344e%20&amp;url=https://www.slideshare.net/marketingartwork/ai-trends-in-creative-operations-2024-by-artwork-flowpdf" TargetMode="External"/><Relationship Id="rId1" Type="http://schemas.openxmlformats.org/officeDocument/2006/relationships/hyperlink" Target="https://exe.io/st?api=a480072bd98881bdfc23c75aa2f815ea2428344e&amp;url="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https://narmedicyna.ru/wp-content/uploads/2021/10/pediatr-218x150.jpg"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sit-ly.com/q/?u=https://exe.io/aW9zD_OF_SITE" TargetMode="External"/><Relationship Id="rId1" Type="http://schemas.openxmlformats.org/officeDocument/2006/relationships/hyperlink" Target="https://narmedicyna.ru/wp-content/uploads/2021/10/pediatr-218x150.jpg"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narmedicyna.ru/wp-content/uploads/2021/10/pediatr-218x150.jpg" TargetMode="External"/></Relationships>
</file>

<file path=xl/worksheets/_rels/sheet14.xml.rels><?xml version="1.0" encoding="UTF-8" standalone="yes"?>
<Relationships xmlns="http://schemas.openxmlformats.org/package/2006/relationships"><Relationship Id="rId1" Type="http://schemas.openxmlformats.org/officeDocument/2006/relationships/hyperlink" Target="https://exe.io/st?api=a480072bd98881bdfc23c75aa2f815ea2428344e&amp;url=https://narmedicyna.ru/kontaktnye" TargetMode="External"/></Relationships>
</file>

<file path=xl/worksheets/_rels/sheet15.xml.rels><?xml version="1.0" encoding="UTF-8" standalone="yes"?>
<Relationships xmlns="http://schemas.openxmlformats.org/package/2006/relationships"><Relationship Id="rId1" Type="http://schemas.openxmlformats.org/officeDocument/2006/relationships/hyperlink" Target="https://narmedicyna.ru/ochanka-lekarstvennaya-dlya-glaz-primenenie/&amp;re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1"/>
  <dimension ref="A1:P183"/>
  <sheetViews>
    <sheetView workbookViewId="0">
      <selection activeCell="C1" sqref="C1"/>
    </sheetView>
  </sheetViews>
  <sheetFormatPr defaultRowHeight="15" x14ac:dyDescent="0.25"/>
  <cols>
    <col min="2" max="2" width="28" customWidth="1"/>
  </cols>
  <sheetData>
    <row r="1" spans="1:16" x14ac:dyDescent="0.25">
      <c r="A1" s="1">
        <v>13688</v>
      </c>
      <c r="B1" s="1" t="s">
        <v>0</v>
      </c>
      <c r="C1" s="2" t="s">
        <v>1</v>
      </c>
      <c r="D1" s="1" t="s">
        <v>2</v>
      </c>
      <c r="E1" s="2" t="s">
        <v>3</v>
      </c>
      <c r="F1" s="1" t="s">
        <v>4</v>
      </c>
      <c r="G1" s="1"/>
      <c r="H1" s="1" t="s">
        <v>5</v>
      </c>
      <c r="I1" s="1" t="s">
        <v>6</v>
      </c>
      <c r="J1" s="1" t="s">
        <v>7</v>
      </c>
      <c r="K1" s="1" t="s">
        <v>8</v>
      </c>
      <c r="L1" s="1" t="s">
        <v>9</v>
      </c>
      <c r="M1" s="1" t="s">
        <v>10</v>
      </c>
      <c r="N1" s="1" t="s">
        <v>11</v>
      </c>
      <c r="O1" s="1" t="s">
        <v>12</v>
      </c>
      <c r="P1" s="1" t="s">
        <v>13</v>
      </c>
    </row>
    <row r="2" spans="1:16" x14ac:dyDescent="0.25">
      <c r="A2" s="1">
        <v>15387</v>
      </c>
      <c r="B2" s="1" t="s">
        <v>14</v>
      </c>
      <c r="C2" s="2" t="s">
        <v>15</v>
      </c>
      <c r="D2" s="1" t="s">
        <v>2</v>
      </c>
      <c r="E2" s="2" t="s">
        <v>16</v>
      </c>
      <c r="F2" s="1" t="s">
        <v>17</v>
      </c>
      <c r="G2" s="1"/>
      <c r="H2" s="1"/>
      <c r="I2" s="1" t="s">
        <v>6</v>
      </c>
      <c r="J2" s="1" t="s">
        <v>18</v>
      </c>
      <c r="K2" s="1" t="s">
        <v>19</v>
      </c>
      <c r="L2" s="1" t="s">
        <v>20</v>
      </c>
      <c r="M2" s="1" t="s">
        <v>21</v>
      </c>
      <c r="N2" s="1" t="s">
        <v>22</v>
      </c>
      <c r="O2" s="1" t="s">
        <v>23</v>
      </c>
      <c r="P2" s="1" t="s">
        <v>13</v>
      </c>
    </row>
    <row r="3" spans="1:16" x14ac:dyDescent="0.25">
      <c r="A3" s="1">
        <v>16528</v>
      </c>
      <c r="B3" s="1" t="s">
        <v>24</v>
      </c>
      <c r="C3" s="2" t="s">
        <v>25</v>
      </c>
      <c r="D3" s="1" t="s">
        <v>2</v>
      </c>
      <c r="E3" s="2" t="s">
        <v>26</v>
      </c>
      <c r="F3" s="1" t="s">
        <v>27</v>
      </c>
      <c r="G3" s="1"/>
      <c r="H3" s="1" t="s">
        <v>28</v>
      </c>
      <c r="I3" s="1" t="s">
        <v>6</v>
      </c>
      <c r="J3" s="1" t="s">
        <v>29</v>
      </c>
      <c r="K3" s="1" t="s">
        <v>30</v>
      </c>
      <c r="L3" s="1" t="s">
        <v>31</v>
      </c>
      <c r="M3" s="1" t="s">
        <v>32</v>
      </c>
      <c r="N3" s="1" t="s">
        <v>33</v>
      </c>
      <c r="O3" s="1" t="s">
        <v>34</v>
      </c>
      <c r="P3" s="1" t="s">
        <v>13</v>
      </c>
    </row>
    <row r="4" spans="1:16" x14ac:dyDescent="0.25">
      <c r="A4" s="1">
        <v>17989</v>
      </c>
      <c r="B4" s="1" t="s">
        <v>35</v>
      </c>
      <c r="C4" s="2" t="s">
        <v>36</v>
      </c>
      <c r="D4" s="1" t="s">
        <v>2</v>
      </c>
      <c r="E4" s="2" t="s">
        <v>37</v>
      </c>
      <c r="F4" s="1" t="s">
        <v>38</v>
      </c>
      <c r="G4" s="1"/>
      <c r="H4" s="1" t="s">
        <v>39</v>
      </c>
      <c r="I4" s="1" t="s">
        <v>6</v>
      </c>
      <c r="J4" s="1" t="s">
        <v>40</v>
      </c>
      <c r="K4" s="1" t="s">
        <v>41</v>
      </c>
      <c r="L4" s="1" t="s">
        <v>41</v>
      </c>
      <c r="M4" s="1" t="s">
        <v>42</v>
      </c>
      <c r="N4" s="1"/>
      <c r="O4" s="1"/>
      <c r="P4" s="1" t="s">
        <v>13</v>
      </c>
    </row>
    <row r="5" spans="1:16" x14ac:dyDescent="0.25">
      <c r="A5" s="1">
        <v>18753</v>
      </c>
      <c r="B5" s="1" t="s">
        <v>43</v>
      </c>
      <c r="C5" s="2" t="s">
        <v>44</v>
      </c>
      <c r="D5" s="1" t="s">
        <v>2</v>
      </c>
      <c r="E5" s="2" t="s">
        <v>45</v>
      </c>
      <c r="F5" s="1" t="s">
        <v>46</v>
      </c>
      <c r="G5" s="1"/>
      <c r="H5" s="1" t="s">
        <v>47</v>
      </c>
      <c r="I5" s="1" t="s">
        <v>6</v>
      </c>
      <c r="J5" s="1" t="s">
        <v>48</v>
      </c>
      <c r="K5" s="1" t="s">
        <v>49</v>
      </c>
      <c r="L5" s="1" t="s">
        <v>50</v>
      </c>
      <c r="M5" s="1" t="s">
        <v>51</v>
      </c>
      <c r="N5" s="1" t="s">
        <v>52</v>
      </c>
      <c r="O5" s="1" t="s">
        <v>53</v>
      </c>
      <c r="P5" s="1" t="s">
        <v>13</v>
      </c>
    </row>
    <row r="6" spans="1:16" x14ac:dyDescent="0.25">
      <c r="A6" s="1">
        <v>21162</v>
      </c>
      <c r="B6" s="1" t="s">
        <v>54</v>
      </c>
      <c r="C6" s="2" t="s">
        <v>55</v>
      </c>
      <c r="D6" s="1" t="s">
        <v>2</v>
      </c>
      <c r="E6" s="2" t="s">
        <v>56</v>
      </c>
      <c r="F6" s="1" t="s">
        <v>57</v>
      </c>
      <c r="G6" s="1"/>
      <c r="H6" s="1" t="s">
        <v>58</v>
      </c>
      <c r="I6" s="1" t="s">
        <v>6</v>
      </c>
      <c r="J6" s="1" t="s">
        <v>59</v>
      </c>
      <c r="K6" s="1" t="s">
        <v>60</v>
      </c>
      <c r="L6" s="1" t="s">
        <v>61</v>
      </c>
      <c r="M6" s="1" t="s">
        <v>62</v>
      </c>
      <c r="N6" s="1" t="s">
        <v>63</v>
      </c>
      <c r="O6" s="1" t="s">
        <v>64</v>
      </c>
      <c r="P6" s="1" t="s">
        <v>13</v>
      </c>
    </row>
    <row r="7" spans="1:16" x14ac:dyDescent="0.25">
      <c r="A7" s="1">
        <v>21217</v>
      </c>
      <c r="B7" s="1" t="s">
        <v>65</v>
      </c>
      <c r="C7" s="2" t="s">
        <v>66</v>
      </c>
      <c r="D7" s="1" t="s">
        <v>2</v>
      </c>
      <c r="E7" s="2" t="s">
        <v>67</v>
      </c>
      <c r="F7" s="1" t="s">
        <v>68</v>
      </c>
      <c r="G7" s="1"/>
      <c r="H7" s="1" t="s">
        <v>69</v>
      </c>
      <c r="I7" s="1" t="s">
        <v>6</v>
      </c>
      <c r="J7" s="1" t="s">
        <v>70</v>
      </c>
      <c r="K7" s="1" t="s">
        <v>20</v>
      </c>
      <c r="L7" s="1" t="s">
        <v>71</v>
      </c>
      <c r="M7" s="1" t="s">
        <v>72</v>
      </c>
      <c r="N7" s="1" t="s">
        <v>73</v>
      </c>
      <c r="O7" s="1" t="s">
        <v>74</v>
      </c>
      <c r="P7" s="1" t="s">
        <v>13</v>
      </c>
    </row>
    <row r="8" spans="1:16" x14ac:dyDescent="0.25">
      <c r="A8" s="1">
        <v>21361</v>
      </c>
      <c r="B8" s="1" t="s">
        <v>75</v>
      </c>
      <c r="C8" s="2" t="s">
        <v>76</v>
      </c>
      <c r="D8" s="1" t="s">
        <v>2</v>
      </c>
      <c r="E8" s="2" t="s">
        <v>77</v>
      </c>
      <c r="F8" s="1" t="s">
        <v>78</v>
      </c>
      <c r="G8" s="1"/>
      <c r="H8" s="1" t="s">
        <v>79</v>
      </c>
      <c r="I8" s="1" t="s">
        <v>6</v>
      </c>
      <c r="J8" s="1" t="s">
        <v>80</v>
      </c>
      <c r="K8" s="1" t="s">
        <v>81</v>
      </c>
      <c r="L8" s="1" t="s">
        <v>82</v>
      </c>
      <c r="M8" s="1" t="s">
        <v>83</v>
      </c>
      <c r="N8" s="1" t="s">
        <v>84</v>
      </c>
      <c r="O8" s="1" t="s">
        <v>85</v>
      </c>
      <c r="P8" s="1" t="s">
        <v>13</v>
      </c>
    </row>
    <row r="9" spans="1:16" x14ac:dyDescent="0.25">
      <c r="A9" s="1">
        <v>23137</v>
      </c>
      <c r="B9" s="1" t="s">
        <v>86</v>
      </c>
      <c r="C9" s="2" t="s">
        <v>87</v>
      </c>
      <c r="D9" s="1" t="s">
        <v>2</v>
      </c>
      <c r="E9" s="2" t="s">
        <v>88</v>
      </c>
      <c r="F9" s="1" t="s">
        <v>89</v>
      </c>
      <c r="G9" s="1"/>
      <c r="H9" s="1" t="s">
        <v>90</v>
      </c>
      <c r="I9" s="1" t="s">
        <v>6</v>
      </c>
      <c r="J9" s="1" t="s">
        <v>91</v>
      </c>
      <c r="K9" s="1" t="s">
        <v>92</v>
      </c>
      <c r="L9" s="1" t="s">
        <v>71</v>
      </c>
      <c r="M9" s="1" t="s">
        <v>72</v>
      </c>
      <c r="N9" s="1"/>
      <c r="O9" s="1"/>
      <c r="P9" s="1" t="s">
        <v>13</v>
      </c>
    </row>
    <row r="10" spans="1:16" x14ac:dyDescent="0.25">
      <c r="A10" s="1">
        <v>23191</v>
      </c>
      <c r="B10" s="1" t="s">
        <v>93</v>
      </c>
      <c r="C10" s="2" t="s">
        <v>94</v>
      </c>
      <c r="D10" s="1" t="s">
        <v>2</v>
      </c>
      <c r="E10" s="2" t="s">
        <v>95</v>
      </c>
      <c r="F10" s="1" t="s">
        <v>96</v>
      </c>
      <c r="G10" s="1"/>
      <c r="H10" s="1" t="s">
        <v>97</v>
      </c>
      <c r="I10" s="1" t="s">
        <v>6</v>
      </c>
      <c r="J10" s="1" t="s">
        <v>98</v>
      </c>
      <c r="K10" s="1" t="s">
        <v>99</v>
      </c>
      <c r="L10" s="1" t="s">
        <v>82</v>
      </c>
      <c r="M10" s="1" t="s">
        <v>83</v>
      </c>
      <c r="N10" s="1" t="s">
        <v>100</v>
      </c>
      <c r="O10" s="1" t="s">
        <v>101</v>
      </c>
      <c r="P10" s="1" t="s">
        <v>13</v>
      </c>
    </row>
    <row r="11" spans="1:16" x14ac:dyDescent="0.25">
      <c r="A11" s="1">
        <v>23352</v>
      </c>
      <c r="B11" s="1" t="s">
        <v>102</v>
      </c>
      <c r="C11" s="2" t="s">
        <v>103</v>
      </c>
      <c r="D11" s="1" t="s">
        <v>2</v>
      </c>
      <c r="E11" s="2" t="s">
        <v>104</v>
      </c>
      <c r="F11" s="1" t="s">
        <v>105</v>
      </c>
      <c r="G11" s="1"/>
      <c r="H11" s="1" t="s">
        <v>106</v>
      </c>
      <c r="I11" s="1" t="s">
        <v>6</v>
      </c>
      <c r="J11" s="1" t="s">
        <v>107</v>
      </c>
      <c r="K11" s="1" t="s">
        <v>108</v>
      </c>
      <c r="L11" s="1" t="s">
        <v>8</v>
      </c>
      <c r="M11" s="1" t="s">
        <v>109</v>
      </c>
      <c r="N11" s="1" t="s">
        <v>110</v>
      </c>
      <c r="O11" s="1" t="s">
        <v>52</v>
      </c>
      <c r="P11" s="1" t="s">
        <v>13</v>
      </c>
    </row>
    <row r="12" spans="1:16" x14ac:dyDescent="0.25">
      <c r="A12" s="1">
        <v>23439</v>
      </c>
      <c r="B12" s="1" t="s">
        <v>111</v>
      </c>
      <c r="C12" s="2" t="s">
        <v>112</v>
      </c>
      <c r="D12" s="1" t="s">
        <v>2</v>
      </c>
      <c r="E12" s="2" t="s">
        <v>113</v>
      </c>
      <c r="F12" s="1" t="s">
        <v>114</v>
      </c>
      <c r="G12" s="1"/>
      <c r="H12" s="1" t="s">
        <v>115</v>
      </c>
      <c r="I12" s="1" t="s">
        <v>6</v>
      </c>
      <c r="J12" s="1" t="s">
        <v>116</v>
      </c>
      <c r="K12" s="1" t="s">
        <v>117</v>
      </c>
      <c r="L12" s="1" t="s">
        <v>8</v>
      </c>
      <c r="M12" s="1" t="s">
        <v>109</v>
      </c>
      <c r="N12" s="1" t="s">
        <v>118</v>
      </c>
      <c r="O12" s="1" t="s">
        <v>119</v>
      </c>
      <c r="P12" s="1" t="s">
        <v>13</v>
      </c>
    </row>
    <row r="13" spans="1:16" x14ac:dyDescent="0.25">
      <c r="A13" s="1">
        <v>23640</v>
      </c>
      <c r="B13" s="1" t="s">
        <v>120</v>
      </c>
      <c r="C13" s="2" t="s">
        <v>121</v>
      </c>
      <c r="D13" s="1" t="s">
        <v>2</v>
      </c>
      <c r="E13" s="2" t="s">
        <v>122</v>
      </c>
      <c r="F13" s="1" t="s">
        <v>123</v>
      </c>
      <c r="G13" s="1"/>
      <c r="H13" s="1" t="s">
        <v>58</v>
      </c>
      <c r="I13" s="1" t="s">
        <v>6</v>
      </c>
      <c r="J13" s="1" t="s">
        <v>124</v>
      </c>
      <c r="K13" s="1" t="s">
        <v>125</v>
      </c>
      <c r="L13" s="1" t="s">
        <v>82</v>
      </c>
      <c r="M13" s="1" t="s">
        <v>83</v>
      </c>
      <c r="N13" s="1" t="s">
        <v>126</v>
      </c>
      <c r="O13" s="1" t="s">
        <v>127</v>
      </c>
      <c r="P13" s="1" t="s">
        <v>13</v>
      </c>
    </row>
    <row r="14" spans="1:16" x14ac:dyDescent="0.25">
      <c r="A14" s="1">
        <v>23691</v>
      </c>
      <c r="B14" s="1" t="s">
        <v>128</v>
      </c>
      <c r="C14" s="2" t="s">
        <v>129</v>
      </c>
      <c r="D14" s="1" t="s">
        <v>2</v>
      </c>
      <c r="E14" s="2" t="s">
        <v>130</v>
      </c>
      <c r="F14" s="1" t="s">
        <v>131</v>
      </c>
      <c r="G14" s="1"/>
      <c r="H14" s="1" t="s">
        <v>132</v>
      </c>
      <c r="I14" s="1" t="s">
        <v>6</v>
      </c>
      <c r="J14" s="1" t="s">
        <v>133</v>
      </c>
      <c r="K14" s="1" t="s">
        <v>71</v>
      </c>
      <c r="L14" s="1" t="s">
        <v>71</v>
      </c>
      <c r="M14" s="1" t="s">
        <v>72</v>
      </c>
      <c r="N14" s="1"/>
      <c r="O14" s="1"/>
      <c r="P14" s="1" t="s">
        <v>13</v>
      </c>
    </row>
    <row r="15" spans="1:16" x14ac:dyDescent="0.25">
      <c r="A15" s="1">
        <v>23707</v>
      </c>
      <c r="B15" s="1" t="s">
        <v>134</v>
      </c>
      <c r="C15" s="2" t="s">
        <v>135</v>
      </c>
      <c r="D15" s="1" t="s">
        <v>2</v>
      </c>
      <c r="E15" s="2" t="s">
        <v>136</v>
      </c>
      <c r="F15" s="1" t="s">
        <v>137</v>
      </c>
      <c r="G15" s="1"/>
      <c r="H15" s="1" t="s">
        <v>138</v>
      </c>
      <c r="I15" s="1" t="s">
        <v>6</v>
      </c>
      <c r="J15" s="1" t="s">
        <v>139</v>
      </c>
      <c r="K15" s="1" t="s">
        <v>140</v>
      </c>
      <c r="L15" s="1" t="s">
        <v>31</v>
      </c>
      <c r="M15" s="1" t="s">
        <v>32</v>
      </c>
      <c r="N15" s="1" t="s">
        <v>141</v>
      </c>
      <c r="O15" s="1" t="s">
        <v>142</v>
      </c>
      <c r="P15" s="1" t="s">
        <v>13</v>
      </c>
    </row>
    <row r="16" spans="1:16" x14ac:dyDescent="0.25">
      <c r="A16" s="1">
        <v>23801</v>
      </c>
      <c r="B16" s="1" t="s">
        <v>143</v>
      </c>
      <c r="C16" s="2" t="s">
        <v>144</v>
      </c>
      <c r="D16" s="1" t="s">
        <v>2</v>
      </c>
      <c r="E16" s="2" t="s">
        <v>145</v>
      </c>
      <c r="F16" s="1" t="s">
        <v>146</v>
      </c>
      <c r="G16" s="1"/>
      <c r="H16" s="1" t="s">
        <v>147</v>
      </c>
      <c r="I16" s="1" t="s">
        <v>6</v>
      </c>
      <c r="J16" s="1" t="s">
        <v>148</v>
      </c>
      <c r="K16" s="1" t="s">
        <v>20</v>
      </c>
      <c r="L16" s="1" t="s">
        <v>8</v>
      </c>
      <c r="M16" s="1" t="s">
        <v>109</v>
      </c>
      <c r="N16" s="1" t="s">
        <v>149</v>
      </c>
      <c r="O16" s="1" t="s">
        <v>150</v>
      </c>
      <c r="P16" s="1" t="s">
        <v>13</v>
      </c>
    </row>
    <row r="17" spans="1:16" x14ac:dyDescent="0.25">
      <c r="A17" s="1">
        <v>23841</v>
      </c>
      <c r="B17" s="1" t="s">
        <v>151</v>
      </c>
      <c r="C17" s="2" t="s">
        <v>152</v>
      </c>
      <c r="D17" s="1" t="s">
        <v>2</v>
      </c>
      <c r="E17" s="2" t="s">
        <v>153</v>
      </c>
      <c r="F17" s="1" t="s">
        <v>154</v>
      </c>
      <c r="G17" s="1"/>
      <c r="H17" s="1" t="s">
        <v>155</v>
      </c>
      <c r="I17" s="1" t="s">
        <v>6</v>
      </c>
      <c r="J17" s="1" t="s">
        <v>156</v>
      </c>
      <c r="K17" s="1" t="s">
        <v>157</v>
      </c>
      <c r="L17" s="1" t="s">
        <v>41</v>
      </c>
      <c r="M17" s="1" t="s">
        <v>42</v>
      </c>
      <c r="N17" s="1" t="s">
        <v>158</v>
      </c>
      <c r="O17" s="1" t="s">
        <v>159</v>
      </c>
      <c r="P17" s="1" t="s">
        <v>13</v>
      </c>
    </row>
    <row r="18" spans="1:16" x14ac:dyDescent="0.25">
      <c r="A18" s="1">
        <v>24210</v>
      </c>
      <c r="B18" s="1" t="s">
        <v>160</v>
      </c>
      <c r="C18" s="2" t="s">
        <v>161</v>
      </c>
      <c r="D18" s="1" t="s">
        <v>2</v>
      </c>
      <c r="E18" s="2" t="s">
        <v>162</v>
      </c>
      <c r="F18" s="1" t="s">
        <v>163</v>
      </c>
      <c r="G18" s="1"/>
      <c r="H18" s="1" t="s">
        <v>106</v>
      </c>
      <c r="I18" s="1" t="s">
        <v>6</v>
      </c>
      <c r="J18" s="1" t="s">
        <v>164</v>
      </c>
      <c r="K18" s="1" t="s">
        <v>165</v>
      </c>
      <c r="L18" s="1" t="s">
        <v>81</v>
      </c>
      <c r="M18" s="1" t="s">
        <v>166</v>
      </c>
      <c r="N18" s="1" t="s">
        <v>167</v>
      </c>
      <c r="O18" s="1" t="s">
        <v>168</v>
      </c>
      <c r="P18" s="1" t="s">
        <v>13</v>
      </c>
    </row>
    <row r="19" spans="1:16" x14ac:dyDescent="0.25">
      <c r="A19" s="1">
        <v>24518</v>
      </c>
      <c r="B19" s="1" t="s">
        <v>169</v>
      </c>
      <c r="C19" s="2" t="s">
        <v>170</v>
      </c>
      <c r="D19" s="1" t="s">
        <v>2</v>
      </c>
      <c r="E19" s="2" t="s">
        <v>171</v>
      </c>
      <c r="F19" s="1" t="s">
        <v>172</v>
      </c>
      <c r="G19" s="1"/>
      <c r="H19" s="1" t="s">
        <v>173</v>
      </c>
      <c r="I19" s="1" t="s">
        <v>6</v>
      </c>
      <c r="J19" s="1" t="s">
        <v>174</v>
      </c>
      <c r="K19" s="1" t="s">
        <v>108</v>
      </c>
      <c r="L19" s="1" t="s">
        <v>41</v>
      </c>
      <c r="M19" s="1" t="s">
        <v>42</v>
      </c>
      <c r="N19" s="1" t="s">
        <v>175</v>
      </c>
      <c r="O19" s="1" t="s">
        <v>175</v>
      </c>
      <c r="P19" s="1" t="s">
        <v>13</v>
      </c>
    </row>
    <row r="20" spans="1:16" x14ac:dyDescent="0.25">
      <c r="A20" s="1">
        <v>24655</v>
      </c>
      <c r="B20" s="1" t="s">
        <v>176</v>
      </c>
      <c r="C20" s="2" t="s">
        <v>177</v>
      </c>
      <c r="D20" s="1" t="s">
        <v>2</v>
      </c>
      <c r="E20" s="2" t="s">
        <v>178</v>
      </c>
      <c r="F20" s="1" t="s">
        <v>179</v>
      </c>
      <c r="G20" s="1"/>
      <c r="H20" s="1" t="s">
        <v>180</v>
      </c>
      <c r="I20" s="1" t="s">
        <v>6</v>
      </c>
      <c r="J20" s="1" t="s">
        <v>181</v>
      </c>
      <c r="K20" s="1" t="s">
        <v>182</v>
      </c>
      <c r="L20" s="1" t="s">
        <v>108</v>
      </c>
      <c r="M20" s="1" t="s">
        <v>183</v>
      </c>
      <c r="N20" s="1" t="s">
        <v>184</v>
      </c>
      <c r="O20" s="1" t="s">
        <v>185</v>
      </c>
      <c r="P20" s="1" t="s">
        <v>13</v>
      </c>
    </row>
    <row r="21" spans="1:16" x14ac:dyDescent="0.25">
      <c r="A21" s="1">
        <v>24706</v>
      </c>
      <c r="B21" s="1" t="s">
        <v>186</v>
      </c>
      <c r="C21" s="2" t="s">
        <v>187</v>
      </c>
      <c r="D21" s="1" t="s">
        <v>2</v>
      </c>
      <c r="E21" s="2" t="s">
        <v>188</v>
      </c>
      <c r="F21" s="1" t="s">
        <v>189</v>
      </c>
      <c r="G21" s="1"/>
      <c r="H21" s="1" t="s">
        <v>190</v>
      </c>
      <c r="I21" s="1" t="s">
        <v>6</v>
      </c>
      <c r="J21" s="1" t="s">
        <v>191</v>
      </c>
      <c r="K21" s="1" t="s">
        <v>192</v>
      </c>
      <c r="L21" s="1" t="s">
        <v>71</v>
      </c>
      <c r="M21" s="1" t="s">
        <v>72</v>
      </c>
      <c r="N21" s="1"/>
      <c r="O21" s="1"/>
      <c r="P21" s="1" t="s">
        <v>13</v>
      </c>
    </row>
    <row r="22" spans="1:16" x14ac:dyDescent="0.25">
      <c r="A22" s="1">
        <v>24745</v>
      </c>
      <c r="B22" s="1" t="s">
        <v>193</v>
      </c>
      <c r="C22" s="2" t="s">
        <v>194</v>
      </c>
      <c r="D22" s="1" t="s">
        <v>2</v>
      </c>
      <c r="E22" s="2" t="s">
        <v>195</v>
      </c>
      <c r="F22" s="1" t="s">
        <v>196</v>
      </c>
      <c r="G22" s="1"/>
      <c r="H22" s="1" t="s">
        <v>197</v>
      </c>
      <c r="I22" s="1" t="s">
        <v>6</v>
      </c>
      <c r="J22" s="1" t="s">
        <v>198</v>
      </c>
      <c r="K22" s="1" t="s">
        <v>199</v>
      </c>
      <c r="L22" s="1" t="s">
        <v>200</v>
      </c>
      <c r="M22" s="1" t="s">
        <v>201</v>
      </c>
      <c r="N22" s="1" t="s">
        <v>202</v>
      </c>
      <c r="O22" s="1" t="s">
        <v>203</v>
      </c>
      <c r="P22" s="1" t="s">
        <v>13</v>
      </c>
    </row>
    <row r="23" spans="1:16" x14ac:dyDescent="0.25">
      <c r="A23" s="1">
        <v>24937</v>
      </c>
      <c r="B23" s="1" t="s">
        <v>204</v>
      </c>
      <c r="C23" s="2" t="s">
        <v>205</v>
      </c>
      <c r="D23" s="1" t="s">
        <v>2</v>
      </c>
      <c r="E23" s="2" t="s">
        <v>206</v>
      </c>
      <c r="F23" s="1" t="s">
        <v>207</v>
      </c>
      <c r="G23" s="1"/>
      <c r="H23" s="1" t="s">
        <v>208</v>
      </c>
      <c r="I23" s="1" t="s">
        <v>6</v>
      </c>
      <c r="J23" s="1" t="s">
        <v>209</v>
      </c>
      <c r="K23" s="1" t="s">
        <v>41</v>
      </c>
      <c r="L23" s="1" t="s">
        <v>71</v>
      </c>
      <c r="M23" s="1" t="s">
        <v>72</v>
      </c>
      <c r="N23" s="1"/>
      <c r="O23" s="1"/>
      <c r="P23" s="1" t="s">
        <v>13</v>
      </c>
    </row>
    <row r="24" spans="1:16" x14ac:dyDescent="0.25">
      <c r="A24" s="1">
        <v>24939</v>
      </c>
      <c r="B24" s="1" t="s">
        <v>210</v>
      </c>
      <c r="C24" s="2" t="s">
        <v>211</v>
      </c>
      <c r="D24" s="1" t="s">
        <v>2</v>
      </c>
      <c r="E24" s="2" t="s">
        <v>212</v>
      </c>
      <c r="F24" s="1" t="s">
        <v>207</v>
      </c>
      <c r="G24" s="1"/>
      <c r="H24" s="1" t="s">
        <v>213</v>
      </c>
      <c r="I24" s="1" t="s">
        <v>6</v>
      </c>
      <c r="J24" s="1" t="s">
        <v>214</v>
      </c>
      <c r="K24" s="1" t="s">
        <v>71</v>
      </c>
      <c r="L24" s="1" t="s">
        <v>71</v>
      </c>
      <c r="M24" s="1" t="s">
        <v>72</v>
      </c>
      <c r="N24" s="1"/>
      <c r="O24" s="1"/>
      <c r="P24" s="1" t="s">
        <v>13</v>
      </c>
    </row>
    <row r="25" spans="1:16" x14ac:dyDescent="0.25">
      <c r="A25" s="1">
        <v>24981</v>
      </c>
      <c r="B25" s="1" t="s">
        <v>215</v>
      </c>
      <c r="C25" s="2" t="s">
        <v>216</v>
      </c>
      <c r="D25" s="1" t="s">
        <v>2</v>
      </c>
      <c r="E25" s="2" t="s">
        <v>217</v>
      </c>
      <c r="F25" s="1" t="s">
        <v>218</v>
      </c>
      <c r="G25" s="1"/>
      <c r="H25" s="1" t="s">
        <v>219</v>
      </c>
      <c r="I25" s="1" t="s">
        <v>6</v>
      </c>
      <c r="J25" s="1" t="s">
        <v>220</v>
      </c>
      <c r="K25" s="1" t="s">
        <v>108</v>
      </c>
      <c r="L25" s="1" t="s">
        <v>41</v>
      </c>
      <c r="M25" s="1" t="s">
        <v>42</v>
      </c>
      <c r="N25" s="1" t="s">
        <v>221</v>
      </c>
      <c r="O25" s="1" t="s">
        <v>222</v>
      </c>
      <c r="P25" s="1" t="s">
        <v>13</v>
      </c>
    </row>
    <row r="26" spans="1:16" x14ac:dyDescent="0.25">
      <c r="A26" s="1">
        <v>24988</v>
      </c>
      <c r="B26" s="1" t="s">
        <v>223</v>
      </c>
      <c r="C26" s="2" t="s">
        <v>224</v>
      </c>
      <c r="D26" s="1" t="s">
        <v>2</v>
      </c>
      <c r="E26" s="2" t="s">
        <v>225</v>
      </c>
      <c r="F26" s="1" t="s">
        <v>226</v>
      </c>
      <c r="G26" s="1"/>
      <c r="H26" s="1" t="s">
        <v>79</v>
      </c>
      <c r="I26" s="1" t="s">
        <v>6</v>
      </c>
      <c r="J26" s="1" t="s">
        <v>227</v>
      </c>
      <c r="K26" s="1" t="s">
        <v>31</v>
      </c>
      <c r="L26" s="1" t="s">
        <v>41</v>
      </c>
      <c r="M26" s="1" t="s">
        <v>42</v>
      </c>
      <c r="N26" s="1" t="s">
        <v>228</v>
      </c>
      <c r="O26" s="1" t="s">
        <v>229</v>
      </c>
      <c r="P26" s="1" t="s">
        <v>13</v>
      </c>
    </row>
    <row r="27" spans="1:16" x14ac:dyDescent="0.25">
      <c r="A27" s="1">
        <v>25238</v>
      </c>
      <c r="B27" s="1" t="s">
        <v>230</v>
      </c>
      <c r="C27" s="2" t="s">
        <v>231</v>
      </c>
      <c r="D27" s="1" t="s">
        <v>2</v>
      </c>
      <c r="E27" s="2" t="s">
        <v>232</v>
      </c>
      <c r="F27" s="1" t="s">
        <v>233</v>
      </c>
      <c r="G27" s="1"/>
      <c r="H27" s="1" t="s">
        <v>219</v>
      </c>
      <c r="I27" s="1" t="s">
        <v>6</v>
      </c>
      <c r="J27" s="1" t="s">
        <v>234</v>
      </c>
      <c r="K27" s="1" t="s">
        <v>8</v>
      </c>
      <c r="L27" s="1" t="s">
        <v>71</v>
      </c>
      <c r="M27" s="1" t="s">
        <v>72</v>
      </c>
      <c r="N27" s="1"/>
      <c r="O27" s="1"/>
      <c r="P27" s="1" t="s">
        <v>13</v>
      </c>
    </row>
    <row r="28" spans="1:16" x14ac:dyDescent="0.25">
      <c r="A28" s="1">
        <v>25295</v>
      </c>
      <c r="B28" s="1" t="s">
        <v>235</v>
      </c>
      <c r="C28" s="2" t="s">
        <v>236</v>
      </c>
      <c r="D28" s="1" t="s">
        <v>2</v>
      </c>
      <c r="E28" s="2" t="s">
        <v>237</v>
      </c>
      <c r="F28" s="1" t="s">
        <v>238</v>
      </c>
      <c r="G28" s="1"/>
      <c r="H28" s="1" t="s">
        <v>239</v>
      </c>
      <c r="I28" s="1" t="s">
        <v>6</v>
      </c>
      <c r="J28" s="1" t="s">
        <v>240</v>
      </c>
      <c r="K28" s="1" t="s">
        <v>241</v>
      </c>
      <c r="L28" s="1" t="s">
        <v>71</v>
      </c>
      <c r="M28" s="1" t="s">
        <v>72</v>
      </c>
      <c r="N28" s="1" t="s">
        <v>242</v>
      </c>
      <c r="O28" s="1" t="s">
        <v>243</v>
      </c>
      <c r="P28" s="1" t="s">
        <v>13</v>
      </c>
    </row>
    <row r="29" spans="1:16" x14ac:dyDescent="0.25">
      <c r="A29" s="1">
        <v>25379</v>
      </c>
      <c r="B29" s="1" t="s">
        <v>244</v>
      </c>
      <c r="C29" s="2" t="s">
        <v>245</v>
      </c>
      <c r="D29" s="1" t="s">
        <v>2</v>
      </c>
      <c r="E29" s="2" t="s">
        <v>246</v>
      </c>
      <c r="F29" s="1" t="s">
        <v>247</v>
      </c>
      <c r="G29" s="1"/>
      <c r="H29" s="1" t="s">
        <v>147</v>
      </c>
      <c r="I29" s="1" t="s">
        <v>6</v>
      </c>
      <c r="J29" s="1" t="s">
        <v>248</v>
      </c>
      <c r="K29" s="1" t="s">
        <v>71</v>
      </c>
      <c r="L29" s="1" t="s">
        <v>71</v>
      </c>
      <c r="M29" s="1" t="s">
        <v>72</v>
      </c>
      <c r="N29" s="1" t="s">
        <v>249</v>
      </c>
      <c r="O29" s="1" t="s">
        <v>250</v>
      </c>
      <c r="P29" s="1" t="s">
        <v>13</v>
      </c>
    </row>
    <row r="30" spans="1:16" x14ac:dyDescent="0.25">
      <c r="A30" s="1">
        <v>25874</v>
      </c>
      <c r="B30" s="1" t="s">
        <v>251</v>
      </c>
      <c r="C30" s="2" t="s">
        <v>252</v>
      </c>
      <c r="D30" s="1" t="s">
        <v>2</v>
      </c>
      <c r="E30" s="2" t="s">
        <v>253</v>
      </c>
      <c r="F30" s="1" t="s">
        <v>254</v>
      </c>
      <c r="G30" s="1"/>
      <c r="H30" s="1" t="s">
        <v>255</v>
      </c>
      <c r="I30" s="1" t="s">
        <v>6</v>
      </c>
      <c r="J30" s="1" t="s">
        <v>256</v>
      </c>
      <c r="K30" s="1" t="s">
        <v>257</v>
      </c>
      <c r="L30" s="1" t="s">
        <v>71</v>
      </c>
      <c r="M30" s="1" t="s">
        <v>72</v>
      </c>
      <c r="N30" s="1"/>
      <c r="O30" s="1"/>
      <c r="P30" s="1" t="s">
        <v>13</v>
      </c>
    </row>
    <row r="31" spans="1:16" x14ac:dyDescent="0.25">
      <c r="A31" s="1">
        <v>25879</v>
      </c>
      <c r="B31" s="1" t="s">
        <v>258</v>
      </c>
      <c r="C31" s="2" t="s">
        <v>259</v>
      </c>
      <c r="D31" s="1" t="s">
        <v>2</v>
      </c>
      <c r="E31" s="2" t="s">
        <v>260</v>
      </c>
      <c r="F31" s="1" t="s">
        <v>261</v>
      </c>
      <c r="G31" s="1"/>
      <c r="H31" s="1" t="s">
        <v>262</v>
      </c>
      <c r="I31" s="1" t="s">
        <v>6</v>
      </c>
      <c r="J31" s="1" t="s">
        <v>263</v>
      </c>
      <c r="K31" s="1" t="s">
        <v>71</v>
      </c>
      <c r="L31" s="1" t="s">
        <v>71</v>
      </c>
      <c r="M31" s="1" t="s">
        <v>72</v>
      </c>
      <c r="N31" s="1"/>
      <c r="O31" s="1"/>
      <c r="P31" s="1" t="s">
        <v>13</v>
      </c>
    </row>
    <row r="32" spans="1:16" x14ac:dyDescent="0.25">
      <c r="A32" s="1">
        <v>26018</v>
      </c>
      <c r="B32" s="1" t="s">
        <v>264</v>
      </c>
      <c r="C32" s="2" t="s">
        <v>265</v>
      </c>
      <c r="D32" s="1" t="s">
        <v>2</v>
      </c>
      <c r="E32" s="2" t="s">
        <v>266</v>
      </c>
      <c r="F32" s="1" t="s">
        <v>267</v>
      </c>
      <c r="G32" s="1"/>
      <c r="H32" s="1" t="s">
        <v>268</v>
      </c>
      <c r="I32" s="1" t="s">
        <v>6</v>
      </c>
      <c r="J32" s="1" t="s">
        <v>269</v>
      </c>
      <c r="K32" s="1" t="s">
        <v>71</v>
      </c>
      <c r="L32" s="1" t="s">
        <v>71</v>
      </c>
      <c r="M32" s="1" t="s">
        <v>72</v>
      </c>
      <c r="N32" s="1"/>
      <c r="O32" s="1"/>
      <c r="P32" s="1" t="s">
        <v>13</v>
      </c>
    </row>
    <row r="33" spans="1:16" x14ac:dyDescent="0.25">
      <c r="A33" s="1">
        <v>26114</v>
      </c>
      <c r="B33" s="1" t="s">
        <v>270</v>
      </c>
      <c r="C33" s="2" t="s">
        <v>271</v>
      </c>
      <c r="D33" s="1" t="s">
        <v>2</v>
      </c>
      <c r="E33" s="2" t="s">
        <v>272</v>
      </c>
      <c r="F33" s="1" t="s">
        <v>273</v>
      </c>
      <c r="G33" s="1"/>
      <c r="H33" s="1" t="s">
        <v>79</v>
      </c>
      <c r="I33" s="1" t="s">
        <v>6</v>
      </c>
      <c r="J33" s="1" t="s">
        <v>274</v>
      </c>
      <c r="K33" s="1" t="s">
        <v>71</v>
      </c>
      <c r="L33" s="1" t="s">
        <v>71</v>
      </c>
      <c r="M33" s="1" t="s">
        <v>72</v>
      </c>
      <c r="N33" s="1"/>
      <c r="O33" s="1"/>
      <c r="P33" s="1" t="s">
        <v>13</v>
      </c>
    </row>
    <row r="34" spans="1:16" x14ac:dyDescent="0.25">
      <c r="A34" s="1">
        <v>26120</v>
      </c>
      <c r="B34" s="1" t="s">
        <v>275</v>
      </c>
      <c r="C34" s="2" t="s">
        <v>276</v>
      </c>
      <c r="D34" s="1" t="s">
        <v>2</v>
      </c>
      <c r="E34" s="2" t="s">
        <v>277</v>
      </c>
      <c r="F34" s="1" t="s">
        <v>278</v>
      </c>
      <c r="G34" s="1"/>
      <c r="H34" s="1" t="s">
        <v>279</v>
      </c>
      <c r="I34" s="1" t="s">
        <v>6</v>
      </c>
      <c r="J34" s="1" t="s">
        <v>280</v>
      </c>
      <c r="K34" s="1" t="s">
        <v>71</v>
      </c>
      <c r="L34" s="1" t="s">
        <v>71</v>
      </c>
      <c r="M34" s="1" t="s">
        <v>72</v>
      </c>
      <c r="N34" s="1"/>
      <c r="O34" s="1"/>
      <c r="P34" s="1" t="s">
        <v>13</v>
      </c>
    </row>
    <row r="35" spans="1:16" x14ac:dyDescent="0.25">
      <c r="A35" s="1">
        <v>26164</v>
      </c>
      <c r="B35" s="1" t="s">
        <v>281</v>
      </c>
      <c r="C35" s="2" t="s">
        <v>282</v>
      </c>
      <c r="D35" s="1" t="s">
        <v>2</v>
      </c>
      <c r="E35" s="2" t="s">
        <v>283</v>
      </c>
      <c r="F35" s="1" t="s">
        <v>284</v>
      </c>
      <c r="G35" s="1"/>
      <c r="H35" s="1" t="s">
        <v>285</v>
      </c>
      <c r="I35" s="1" t="s">
        <v>6</v>
      </c>
      <c r="J35" s="1" t="s">
        <v>286</v>
      </c>
      <c r="K35" s="1" t="s">
        <v>71</v>
      </c>
      <c r="L35" s="1" t="s">
        <v>71</v>
      </c>
      <c r="M35" s="1" t="s">
        <v>72</v>
      </c>
      <c r="N35" s="1"/>
      <c r="O35" s="1"/>
      <c r="P35" s="1" t="s">
        <v>13</v>
      </c>
    </row>
    <row r="36" spans="1:16" x14ac:dyDescent="0.25">
      <c r="A36" s="1">
        <v>26177</v>
      </c>
      <c r="B36" s="1" t="s">
        <v>287</v>
      </c>
      <c r="C36" s="2" t="s">
        <v>288</v>
      </c>
      <c r="D36" s="1" t="s">
        <v>2</v>
      </c>
      <c r="E36" s="2" t="s">
        <v>289</v>
      </c>
      <c r="F36" s="1" t="s">
        <v>290</v>
      </c>
      <c r="G36" s="1"/>
      <c r="H36" s="1" t="s">
        <v>219</v>
      </c>
      <c r="I36" s="1" t="s">
        <v>6</v>
      </c>
      <c r="J36" s="1" t="s">
        <v>291</v>
      </c>
      <c r="K36" s="1" t="s">
        <v>71</v>
      </c>
      <c r="L36" s="1" t="s">
        <v>71</v>
      </c>
      <c r="M36" s="1" t="s">
        <v>72</v>
      </c>
      <c r="N36" s="1"/>
      <c r="O36" s="1"/>
      <c r="P36" s="1" t="s">
        <v>13</v>
      </c>
    </row>
    <row r="37" spans="1:16" x14ac:dyDescent="0.25">
      <c r="A37" s="1">
        <v>26225</v>
      </c>
      <c r="B37" s="1" t="s">
        <v>292</v>
      </c>
      <c r="C37" s="2" t="s">
        <v>293</v>
      </c>
      <c r="D37" s="1" t="s">
        <v>2</v>
      </c>
      <c r="E37" s="2" t="s">
        <v>294</v>
      </c>
      <c r="F37" s="1" t="s">
        <v>295</v>
      </c>
      <c r="G37" s="1"/>
      <c r="H37" s="1" t="s">
        <v>79</v>
      </c>
      <c r="I37" s="1" t="s">
        <v>6</v>
      </c>
      <c r="J37" s="1" t="s">
        <v>296</v>
      </c>
      <c r="K37" s="1" t="s">
        <v>41</v>
      </c>
      <c r="L37" s="1" t="s">
        <v>71</v>
      </c>
      <c r="M37" s="1" t="s">
        <v>72</v>
      </c>
      <c r="N37" s="1"/>
      <c r="O37" s="1"/>
      <c r="P37" s="1" t="s">
        <v>13</v>
      </c>
    </row>
    <row r="38" spans="1:16" x14ac:dyDescent="0.25">
      <c r="A38" s="1">
        <v>26469</v>
      </c>
      <c r="B38" s="1" t="s">
        <v>297</v>
      </c>
      <c r="C38" s="2" t="s">
        <v>298</v>
      </c>
      <c r="D38" s="1" t="s">
        <v>2</v>
      </c>
      <c r="E38" s="2" t="s">
        <v>299</v>
      </c>
      <c r="F38" s="1" t="s">
        <v>300</v>
      </c>
      <c r="G38" s="1"/>
      <c r="H38" s="1" t="s">
        <v>268</v>
      </c>
      <c r="I38" s="1" t="s">
        <v>6</v>
      </c>
      <c r="J38" s="1" t="s">
        <v>301</v>
      </c>
      <c r="K38" s="1" t="s">
        <v>302</v>
      </c>
      <c r="L38" s="1" t="s">
        <v>71</v>
      </c>
      <c r="M38" s="1" t="s">
        <v>72</v>
      </c>
      <c r="N38" s="1"/>
      <c r="O38" s="1"/>
      <c r="P38" s="1" t="s">
        <v>13</v>
      </c>
    </row>
    <row r="39" spans="1:16" x14ac:dyDescent="0.25">
      <c r="A39" s="1">
        <v>26479</v>
      </c>
      <c r="B39" s="1" t="s">
        <v>303</v>
      </c>
      <c r="C39" s="2" t="s">
        <v>304</v>
      </c>
      <c r="D39" s="1" t="s">
        <v>2</v>
      </c>
      <c r="E39" s="2" t="s">
        <v>305</v>
      </c>
      <c r="F39" s="1" t="s">
        <v>306</v>
      </c>
      <c r="G39" s="1"/>
      <c r="H39" s="1" t="s">
        <v>307</v>
      </c>
      <c r="I39" s="1" t="s">
        <v>6</v>
      </c>
      <c r="J39" s="1" t="s">
        <v>308</v>
      </c>
      <c r="K39" s="1" t="s">
        <v>20</v>
      </c>
      <c r="L39" s="1" t="s">
        <v>41</v>
      </c>
      <c r="M39" s="1" t="s">
        <v>42</v>
      </c>
      <c r="N39" s="1" t="s">
        <v>309</v>
      </c>
      <c r="O39" s="1" t="s">
        <v>310</v>
      </c>
      <c r="P39" s="1" t="s">
        <v>13</v>
      </c>
    </row>
    <row r="40" spans="1:16" x14ac:dyDescent="0.25">
      <c r="A40" s="1">
        <v>26480</v>
      </c>
      <c r="B40" s="1" t="s">
        <v>311</v>
      </c>
      <c r="C40" s="2" t="s">
        <v>312</v>
      </c>
      <c r="D40" s="1" t="s">
        <v>2</v>
      </c>
      <c r="E40" s="2" t="s">
        <v>313</v>
      </c>
      <c r="F40" s="1" t="s">
        <v>314</v>
      </c>
      <c r="G40" s="1"/>
      <c r="H40" s="1" t="s">
        <v>315</v>
      </c>
      <c r="I40" s="1" t="s">
        <v>6</v>
      </c>
      <c r="J40" s="1" t="s">
        <v>316</v>
      </c>
      <c r="K40" s="1" t="s">
        <v>71</v>
      </c>
      <c r="L40" s="1" t="s">
        <v>71</v>
      </c>
      <c r="M40" s="1" t="s">
        <v>72</v>
      </c>
      <c r="N40" s="1"/>
      <c r="O40" s="1"/>
      <c r="P40" s="1" t="s">
        <v>13</v>
      </c>
    </row>
    <row r="41" spans="1:16" x14ac:dyDescent="0.25">
      <c r="A41" s="1">
        <v>26483</v>
      </c>
      <c r="B41" s="1" t="s">
        <v>317</v>
      </c>
      <c r="C41" s="2" t="s">
        <v>318</v>
      </c>
      <c r="D41" s="1" t="s">
        <v>2</v>
      </c>
      <c r="E41" s="2" t="s">
        <v>319</v>
      </c>
      <c r="F41" s="1" t="s">
        <v>314</v>
      </c>
      <c r="G41" s="1"/>
      <c r="H41" s="1" t="s">
        <v>315</v>
      </c>
      <c r="I41" s="1" t="s">
        <v>6</v>
      </c>
      <c r="J41" s="1" t="s">
        <v>209</v>
      </c>
      <c r="K41" s="1" t="s">
        <v>71</v>
      </c>
      <c r="L41" s="1" t="s">
        <v>71</v>
      </c>
      <c r="M41" s="1" t="s">
        <v>72</v>
      </c>
      <c r="N41" s="1"/>
      <c r="O41" s="1"/>
      <c r="P41" s="1" t="s">
        <v>13</v>
      </c>
    </row>
    <row r="42" spans="1:16" x14ac:dyDescent="0.25">
      <c r="A42" s="1">
        <v>26514</v>
      </c>
      <c r="B42" s="1" t="s">
        <v>320</v>
      </c>
      <c r="C42" s="2" t="s">
        <v>321</v>
      </c>
      <c r="D42" s="1" t="s">
        <v>2</v>
      </c>
      <c r="E42" s="2" t="s">
        <v>322</v>
      </c>
      <c r="F42" s="1" t="s">
        <v>323</v>
      </c>
      <c r="G42" s="1"/>
      <c r="H42" s="1" t="s">
        <v>90</v>
      </c>
      <c r="I42" s="1" t="s">
        <v>6</v>
      </c>
      <c r="J42" s="1" t="s">
        <v>324</v>
      </c>
      <c r="K42" s="1" t="s">
        <v>71</v>
      </c>
      <c r="L42" s="1" t="s">
        <v>71</v>
      </c>
      <c r="M42" s="1" t="s">
        <v>72</v>
      </c>
      <c r="N42" s="1"/>
      <c r="O42" s="1"/>
      <c r="P42" s="1" t="s">
        <v>13</v>
      </c>
    </row>
    <row r="43" spans="1:16" x14ac:dyDescent="0.25">
      <c r="A43" s="1">
        <v>26894</v>
      </c>
      <c r="B43" s="1" t="s">
        <v>325</v>
      </c>
      <c r="C43" s="2" t="s">
        <v>326</v>
      </c>
      <c r="D43" s="1" t="s">
        <v>2</v>
      </c>
      <c r="E43" s="2" t="s">
        <v>327</v>
      </c>
      <c r="F43" s="1" t="s">
        <v>328</v>
      </c>
      <c r="G43" s="1"/>
      <c r="H43" s="1" t="s">
        <v>329</v>
      </c>
      <c r="I43" s="1" t="s">
        <v>6</v>
      </c>
      <c r="J43" s="1" t="s">
        <v>330</v>
      </c>
      <c r="K43" s="1" t="s">
        <v>331</v>
      </c>
      <c r="L43" s="1" t="s">
        <v>332</v>
      </c>
      <c r="M43" s="1" t="s">
        <v>333</v>
      </c>
      <c r="N43" s="1"/>
      <c r="O43" s="1"/>
      <c r="P43" s="1" t="s">
        <v>13</v>
      </c>
    </row>
    <row r="44" spans="1:16" x14ac:dyDescent="0.25">
      <c r="A44" s="1">
        <v>26906</v>
      </c>
      <c r="B44" s="1" t="s">
        <v>334</v>
      </c>
      <c r="C44" s="2" t="s">
        <v>335</v>
      </c>
      <c r="D44" s="1" t="s">
        <v>2</v>
      </c>
      <c r="E44" s="2" t="s">
        <v>336</v>
      </c>
      <c r="F44" s="1" t="s">
        <v>337</v>
      </c>
      <c r="G44" s="1"/>
      <c r="H44" s="1" t="s">
        <v>338</v>
      </c>
      <c r="I44" s="1" t="s">
        <v>6</v>
      </c>
      <c r="J44" s="1" t="s">
        <v>339</v>
      </c>
      <c r="K44" s="1" t="s">
        <v>71</v>
      </c>
      <c r="L44" s="1" t="s">
        <v>71</v>
      </c>
      <c r="M44" s="1" t="s">
        <v>72</v>
      </c>
      <c r="N44" s="1"/>
      <c r="O44" s="1"/>
      <c r="P44" s="1" t="s">
        <v>13</v>
      </c>
    </row>
    <row r="45" spans="1:16" x14ac:dyDescent="0.25">
      <c r="A45" s="1">
        <v>27381</v>
      </c>
      <c r="B45" s="1" t="s">
        <v>340</v>
      </c>
      <c r="C45" s="2" t="s">
        <v>341</v>
      </c>
      <c r="D45" s="1" t="s">
        <v>2</v>
      </c>
      <c r="E45" s="2" t="s">
        <v>342</v>
      </c>
      <c r="F45" s="1" t="s">
        <v>343</v>
      </c>
      <c r="G45" s="1"/>
      <c r="H45" s="1" t="s">
        <v>344</v>
      </c>
      <c r="I45" s="1" t="s">
        <v>6</v>
      </c>
      <c r="J45" s="1" t="s">
        <v>345</v>
      </c>
      <c r="K45" s="1" t="s">
        <v>71</v>
      </c>
      <c r="L45" s="1" t="s">
        <v>71</v>
      </c>
      <c r="M45" s="1" t="s">
        <v>72</v>
      </c>
      <c r="N45" s="1"/>
      <c r="O45" s="1"/>
      <c r="P45" s="1" t="s">
        <v>13</v>
      </c>
    </row>
    <row r="46" spans="1:16" x14ac:dyDescent="0.25">
      <c r="A46" s="1">
        <v>27434</v>
      </c>
      <c r="B46" s="1" t="s">
        <v>346</v>
      </c>
      <c r="C46" s="2" t="s">
        <v>347</v>
      </c>
      <c r="D46" s="1" t="s">
        <v>2</v>
      </c>
      <c r="E46" s="2" t="s">
        <v>348</v>
      </c>
      <c r="F46" s="1" t="s">
        <v>349</v>
      </c>
      <c r="G46" s="1"/>
      <c r="H46" s="1" t="s">
        <v>219</v>
      </c>
      <c r="I46" s="1" t="s">
        <v>6</v>
      </c>
      <c r="J46" s="1" t="s">
        <v>350</v>
      </c>
      <c r="K46" s="1" t="s">
        <v>71</v>
      </c>
      <c r="L46" s="1" t="s">
        <v>71</v>
      </c>
      <c r="M46" s="1" t="s">
        <v>72</v>
      </c>
      <c r="N46" s="1"/>
      <c r="O46" s="1"/>
      <c r="P46" s="1" t="s">
        <v>13</v>
      </c>
    </row>
    <row r="47" spans="1:16" x14ac:dyDescent="0.25">
      <c r="A47" s="1">
        <v>27495</v>
      </c>
      <c r="B47" s="1" t="s">
        <v>351</v>
      </c>
      <c r="C47" s="2" t="s">
        <v>352</v>
      </c>
      <c r="D47" s="1" t="s">
        <v>2</v>
      </c>
      <c r="E47" s="2" t="s">
        <v>353</v>
      </c>
      <c r="F47" s="1" t="s">
        <v>354</v>
      </c>
      <c r="G47" s="1"/>
      <c r="H47" s="1" t="s">
        <v>355</v>
      </c>
      <c r="I47" s="1" t="s">
        <v>6</v>
      </c>
      <c r="J47" s="1" t="s">
        <v>356</v>
      </c>
      <c r="K47" s="1"/>
      <c r="L47" s="1"/>
      <c r="M47" s="1"/>
      <c r="N47" s="1"/>
      <c r="O47" s="1"/>
      <c r="P47" s="1" t="s">
        <v>13</v>
      </c>
    </row>
    <row r="48" spans="1:16" x14ac:dyDescent="0.25">
      <c r="A48" s="1">
        <v>27500</v>
      </c>
      <c r="B48" s="1" t="s">
        <v>357</v>
      </c>
      <c r="C48" s="2" t="s">
        <v>358</v>
      </c>
      <c r="D48" s="1" t="s">
        <v>2</v>
      </c>
      <c r="E48" s="2" t="s">
        <v>359</v>
      </c>
      <c r="F48" s="1" t="s">
        <v>360</v>
      </c>
      <c r="G48" s="1"/>
      <c r="H48" s="1" t="s">
        <v>361</v>
      </c>
      <c r="I48" s="1" t="s">
        <v>6</v>
      </c>
      <c r="J48" s="1" t="s">
        <v>362</v>
      </c>
      <c r="K48" s="1" t="s">
        <v>71</v>
      </c>
      <c r="L48" s="1" t="s">
        <v>71</v>
      </c>
      <c r="M48" s="1" t="s">
        <v>72</v>
      </c>
      <c r="N48" s="1"/>
      <c r="O48" s="1"/>
      <c r="P48" s="1" t="s">
        <v>13</v>
      </c>
    </row>
    <row r="49" spans="1:16" x14ac:dyDescent="0.25">
      <c r="A49" s="1">
        <v>27525</v>
      </c>
      <c r="B49" s="1" t="s">
        <v>363</v>
      </c>
      <c r="C49" s="2" t="s">
        <v>364</v>
      </c>
      <c r="D49" s="1" t="s">
        <v>2</v>
      </c>
      <c r="E49" s="2" t="s">
        <v>365</v>
      </c>
      <c r="F49" s="1" t="s">
        <v>366</v>
      </c>
      <c r="G49" s="1"/>
      <c r="H49" s="1" t="s">
        <v>307</v>
      </c>
      <c r="I49" s="1" t="s">
        <v>6</v>
      </c>
      <c r="J49" s="1" t="s">
        <v>367</v>
      </c>
      <c r="K49" s="1"/>
      <c r="L49" s="1"/>
      <c r="M49" s="1"/>
      <c r="N49" s="1"/>
      <c r="O49" s="1"/>
      <c r="P49" s="1" t="s">
        <v>13</v>
      </c>
    </row>
    <row r="50" spans="1:16" x14ac:dyDescent="0.25">
      <c r="A50" s="1">
        <v>27654</v>
      </c>
      <c r="B50" s="1" t="s">
        <v>368</v>
      </c>
      <c r="C50" s="2" t="s">
        <v>369</v>
      </c>
      <c r="D50" s="1" t="s">
        <v>2</v>
      </c>
      <c r="E50" s="2" t="s">
        <v>370</v>
      </c>
      <c r="F50" s="1" t="s">
        <v>273</v>
      </c>
      <c r="G50" s="1"/>
      <c r="H50" s="1" t="s">
        <v>213</v>
      </c>
      <c r="I50" s="1" t="s">
        <v>6</v>
      </c>
      <c r="J50" s="1" t="s">
        <v>371</v>
      </c>
      <c r="K50" s="1"/>
      <c r="L50" s="1"/>
      <c r="M50" s="1"/>
      <c r="N50" s="1"/>
      <c r="O50" s="1"/>
      <c r="P50" s="1" t="s">
        <v>13</v>
      </c>
    </row>
    <row r="51" spans="1:16" x14ac:dyDescent="0.25">
      <c r="A51" s="1">
        <v>27655</v>
      </c>
      <c r="B51" s="1" t="s">
        <v>372</v>
      </c>
      <c r="C51" s="2" t="s">
        <v>369</v>
      </c>
      <c r="D51" s="1" t="s">
        <v>2</v>
      </c>
      <c r="E51" s="2" t="s">
        <v>373</v>
      </c>
      <c r="F51" s="1" t="s">
        <v>273</v>
      </c>
      <c r="G51" s="1"/>
      <c r="H51" s="1" t="s">
        <v>315</v>
      </c>
      <c r="I51" s="1" t="s">
        <v>6</v>
      </c>
      <c r="J51" s="1" t="s">
        <v>374</v>
      </c>
      <c r="K51" s="1"/>
      <c r="L51" s="1"/>
      <c r="M51" s="1"/>
      <c r="N51" s="1"/>
      <c r="O51" s="1"/>
      <c r="P51" s="1" t="s">
        <v>13</v>
      </c>
    </row>
    <row r="52" spans="1:16" x14ac:dyDescent="0.25">
      <c r="A52" s="1">
        <v>22921</v>
      </c>
      <c r="B52" s="1" t="s">
        <v>375</v>
      </c>
      <c r="C52" s="2" t="s">
        <v>376</v>
      </c>
      <c r="D52" s="1" t="s">
        <v>2</v>
      </c>
      <c r="E52" s="2" t="s">
        <v>377</v>
      </c>
      <c r="F52" s="1" t="s">
        <v>378</v>
      </c>
      <c r="G52" s="1"/>
      <c r="H52" s="1" t="s">
        <v>379</v>
      </c>
      <c r="I52" s="1" t="s">
        <v>6</v>
      </c>
      <c r="J52" s="1" t="s">
        <v>380</v>
      </c>
      <c r="K52" s="1" t="s">
        <v>381</v>
      </c>
      <c r="L52" s="1" t="s">
        <v>49</v>
      </c>
      <c r="M52" s="1" t="s">
        <v>382</v>
      </c>
      <c r="N52" s="1" t="s">
        <v>383</v>
      </c>
      <c r="O52" s="1" t="s">
        <v>384</v>
      </c>
      <c r="P52" s="1" t="s">
        <v>385</v>
      </c>
    </row>
    <row r="53" spans="1:16" x14ac:dyDescent="0.25">
      <c r="A53" s="1">
        <v>25338</v>
      </c>
      <c r="B53" s="1" t="s">
        <v>386</v>
      </c>
      <c r="C53" s="2" t="s">
        <v>387</v>
      </c>
      <c r="D53" s="1" t="s">
        <v>2</v>
      </c>
      <c r="E53" s="2" t="s">
        <v>388</v>
      </c>
      <c r="F53" s="1" t="s">
        <v>389</v>
      </c>
      <c r="G53" s="1"/>
      <c r="H53" s="1" t="s">
        <v>106</v>
      </c>
      <c r="I53" s="1" t="s">
        <v>6</v>
      </c>
      <c r="J53" s="1" t="s">
        <v>291</v>
      </c>
      <c r="K53" s="1" t="s">
        <v>71</v>
      </c>
      <c r="L53" s="1" t="s">
        <v>71</v>
      </c>
      <c r="M53" s="1" t="s">
        <v>72</v>
      </c>
      <c r="N53" s="1"/>
      <c r="O53" s="1"/>
      <c r="P53" s="1" t="s">
        <v>385</v>
      </c>
    </row>
    <row r="54" spans="1:16" x14ac:dyDescent="0.25">
      <c r="A54" s="1">
        <v>20836</v>
      </c>
      <c r="B54" s="1" t="s">
        <v>390</v>
      </c>
      <c r="C54" s="2" t="s">
        <v>391</v>
      </c>
      <c r="D54" s="1" t="s">
        <v>2</v>
      </c>
      <c r="E54" s="2" t="s">
        <v>392</v>
      </c>
      <c r="F54" s="1" t="s">
        <v>393</v>
      </c>
      <c r="G54" s="1"/>
      <c r="H54" s="1" t="s">
        <v>394</v>
      </c>
      <c r="I54" s="1" t="s">
        <v>6</v>
      </c>
      <c r="J54" s="1" t="s">
        <v>395</v>
      </c>
      <c r="K54" s="1" t="s">
        <v>41</v>
      </c>
      <c r="L54" s="1" t="s">
        <v>71</v>
      </c>
      <c r="M54" s="1" t="s">
        <v>72</v>
      </c>
      <c r="N54" s="1" t="s">
        <v>396</v>
      </c>
      <c r="O54" s="1" t="s">
        <v>397</v>
      </c>
      <c r="P54" s="1" t="s">
        <v>398</v>
      </c>
    </row>
    <row r="55" spans="1:16" x14ac:dyDescent="0.25">
      <c r="A55" s="1">
        <v>21708</v>
      </c>
      <c r="B55" s="1" t="s">
        <v>399</v>
      </c>
      <c r="C55" s="2" t="s">
        <v>400</v>
      </c>
      <c r="D55" s="1" t="s">
        <v>2</v>
      </c>
      <c r="E55" s="2" t="s">
        <v>401</v>
      </c>
      <c r="F55" s="1" t="s">
        <v>402</v>
      </c>
      <c r="G55" s="1"/>
      <c r="H55" s="1" t="s">
        <v>268</v>
      </c>
      <c r="I55" s="1" t="s">
        <v>6</v>
      </c>
      <c r="J55" s="1" t="s">
        <v>403</v>
      </c>
      <c r="K55" s="1" t="s">
        <v>404</v>
      </c>
      <c r="L55" s="1" t="s">
        <v>41</v>
      </c>
      <c r="M55" s="1" t="s">
        <v>42</v>
      </c>
      <c r="N55" s="1" t="s">
        <v>405</v>
      </c>
      <c r="O55" s="1" t="s">
        <v>406</v>
      </c>
      <c r="P55" s="1" t="s">
        <v>398</v>
      </c>
    </row>
    <row r="56" spans="1:16" x14ac:dyDescent="0.25">
      <c r="A56" s="1">
        <v>25999</v>
      </c>
      <c r="B56" s="1" t="s">
        <v>407</v>
      </c>
      <c r="C56" s="2" t="s">
        <v>408</v>
      </c>
      <c r="D56" s="1" t="s">
        <v>2</v>
      </c>
      <c r="E56" s="2" t="s">
        <v>409</v>
      </c>
      <c r="F56" s="1" t="s">
        <v>314</v>
      </c>
      <c r="G56" s="1"/>
      <c r="H56" s="1" t="s">
        <v>106</v>
      </c>
      <c r="I56" s="1" t="s">
        <v>6</v>
      </c>
      <c r="J56" s="1" t="s">
        <v>410</v>
      </c>
      <c r="K56" s="1" t="s">
        <v>41</v>
      </c>
      <c r="L56" s="1" t="s">
        <v>71</v>
      </c>
      <c r="M56" s="1" t="s">
        <v>72</v>
      </c>
      <c r="N56" s="1" t="s">
        <v>411</v>
      </c>
      <c r="O56" s="1" t="s">
        <v>412</v>
      </c>
      <c r="P56" s="1" t="s">
        <v>398</v>
      </c>
    </row>
    <row r="57" spans="1:16" x14ac:dyDescent="0.25">
      <c r="A57" s="1">
        <v>26119</v>
      </c>
      <c r="B57" s="1" t="s">
        <v>413</v>
      </c>
      <c r="C57" s="2" t="s">
        <v>414</v>
      </c>
      <c r="D57" s="1" t="s">
        <v>2</v>
      </c>
      <c r="E57" s="2" t="s">
        <v>415</v>
      </c>
      <c r="F57" s="1" t="s">
        <v>278</v>
      </c>
      <c r="G57" s="1"/>
      <c r="H57" s="1" t="s">
        <v>416</v>
      </c>
      <c r="I57" s="1" t="s">
        <v>6</v>
      </c>
      <c r="J57" s="1" t="s">
        <v>417</v>
      </c>
      <c r="K57" s="1" t="s">
        <v>31</v>
      </c>
      <c r="L57" s="1" t="s">
        <v>71</v>
      </c>
      <c r="M57" s="1" t="s">
        <v>72</v>
      </c>
      <c r="N57" s="1" t="s">
        <v>418</v>
      </c>
      <c r="O57" s="1" t="s">
        <v>419</v>
      </c>
      <c r="P57" s="1" t="s">
        <v>398</v>
      </c>
    </row>
    <row r="58" spans="1:16" x14ac:dyDescent="0.25">
      <c r="A58" s="1">
        <v>26122</v>
      </c>
      <c r="B58" s="1" t="s">
        <v>420</v>
      </c>
      <c r="C58" s="2" t="s">
        <v>421</v>
      </c>
      <c r="D58" s="1" t="s">
        <v>2</v>
      </c>
      <c r="E58" s="2" t="s">
        <v>422</v>
      </c>
      <c r="F58" s="1" t="s">
        <v>278</v>
      </c>
      <c r="G58" s="1"/>
      <c r="H58" s="1" t="s">
        <v>423</v>
      </c>
      <c r="I58" s="1" t="s">
        <v>6</v>
      </c>
      <c r="J58" s="1" t="s">
        <v>424</v>
      </c>
      <c r="K58" s="1" t="s">
        <v>425</v>
      </c>
      <c r="L58" s="1" t="s">
        <v>8</v>
      </c>
      <c r="M58" s="1" t="s">
        <v>109</v>
      </c>
      <c r="N58" s="1" t="s">
        <v>426</v>
      </c>
      <c r="O58" s="1" t="s">
        <v>427</v>
      </c>
      <c r="P58" s="1" t="s">
        <v>398</v>
      </c>
    </row>
    <row r="59" spans="1:16" x14ac:dyDescent="0.25">
      <c r="A59" s="1">
        <v>26481</v>
      </c>
      <c r="B59" s="1" t="s">
        <v>428</v>
      </c>
      <c r="C59" s="2" t="s">
        <v>429</v>
      </c>
      <c r="D59" s="1" t="s">
        <v>2</v>
      </c>
      <c r="E59" s="2" t="s">
        <v>430</v>
      </c>
      <c r="F59" s="1" t="s">
        <v>328</v>
      </c>
      <c r="G59" s="1"/>
      <c r="H59" s="1" t="s">
        <v>208</v>
      </c>
      <c r="I59" s="1" t="s">
        <v>6</v>
      </c>
      <c r="J59" s="1" t="s">
        <v>209</v>
      </c>
      <c r="K59" s="1" t="s">
        <v>41</v>
      </c>
      <c r="L59" s="1" t="s">
        <v>71</v>
      </c>
      <c r="M59" s="1" t="s">
        <v>72</v>
      </c>
      <c r="N59" s="1"/>
      <c r="O59" s="1"/>
      <c r="P59" s="1" t="s">
        <v>398</v>
      </c>
    </row>
    <row r="60" spans="1:16" x14ac:dyDescent="0.25">
      <c r="A60" s="1">
        <v>13005</v>
      </c>
      <c r="B60" s="1" t="s">
        <v>431</v>
      </c>
      <c r="C60" s="2" t="s">
        <v>432</v>
      </c>
      <c r="D60" s="1" t="s">
        <v>2</v>
      </c>
      <c r="E60" s="2" t="s">
        <v>433</v>
      </c>
      <c r="F60" s="1" t="s">
        <v>434</v>
      </c>
      <c r="G60" s="1"/>
      <c r="H60" s="1" t="s">
        <v>435</v>
      </c>
      <c r="I60" s="1" t="s">
        <v>6</v>
      </c>
      <c r="J60" s="1" t="s">
        <v>436</v>
      </c>
      <c r="K60" s="1" t="s">
        <v>257</v>
      </c>
      <c r="L60" s="1" t="s">
        <v>157</v>
      </c>
      <c r="M60" s="1" t="s">
        <v>437</v>
      </c>
      <c r="N60" s="1" t="s">
        <v>221</v>
      </c>
      <c r="O60" s="1" t="s">
        <v>438</v>
      </c>
      <c r="P60" s="1" t="s">
        <v>439</v>
      </c>
    </row>
    <row r="61" spans="1:16" x14ac:dyDescent="0.25">
      <c r="A61" s="1">
        <v>23156</v>
      </c>
      <c r="B61" s="1" t="s">
        <v>440</v>
      </c>
      <c r="C61" s="2" t="s">
        <v>441</v>
      </c>
      <c r="D61" s="1" t="s">
        <v>2</v>
      </c>
      <c r="E61" s="2" t="s">
        <v>442</v>
      </c>
      <c r="F61" s="1" t="s">
        <v>443</v>
      </c>
      <c r="G61" s="1"/>
      <c r="H61" s="1" t="s">
        <v>444</v>
      </c>
      <c r="I61" s="1" t="s">
        <v>6</v>
      </c>
      <c r="J61" s="1" t="s">
        <v>445</v>
      </c>
      <c r="K61" s="1" t="s">
        <v>446</v>
      </c>
      <c r="L61" s="1" t="s">
        <v>302</v>
      </c>
      <c r="M61" s="1" t="s">
        <v>447</v>
      </c>
      <c r="N61" s="1" t="s">
        <v>448</v>
      </c>
      <c r="O61" s="1" t="s">
        <v>449</v>
      </c>
      <c r="P61" s="1" t="s">
        <v>439</v>
      </c>
    </row>
    <row r="62" spans="1:16" x14ac:dyDescent="0.25">
      <c r="A62" s="1">
        <v>24844</v>
      </c>
      <c r="B62" s="1" t="s">
        <v>450</v>
      </c>
      <c r="C62" s="2" t="s">
        <v>451</v>
      </c>
      <c r="D62" s="1" t="s">
        <v>2</v>
      </c>
      <c r="E62" s="2" t="s">
        <v>452</v>
      </c>
      <c r="F62" s="1" t="s">
        <v>453</v>
      </c>
      <c r="G62" s="1"/>
      <c r="H62" s="1" t="s">
        <v>106</v>
      </c>
      <c r="I62" s="1" t="s">
        <v>6</v>
      </c>
      <c r="J62" s="1" t="s">
        <v>454</v>
      </c>
      <c r="K62" s="1" t="s">
        <v>31</v>
      </c>
      <c r="L62" s="1" t="s">
        <v>192</v>
      </c>
      <c r="M62" s="1" t="s">
        <v>455</v>
      </c>
      <c r="N62" s="1" t="s">
        <v>456</v>
      </c>
      <c r="O62" s="1" t="s">
        <v>456</v>
      </c>
      <c r="P62" s="1" t="s">
        <v>439</v>
      </c>
    </row>
    <row r="63" spans="1:16" x14ac:dyDescent="0.25">
      <c r="A63" s="1">
        <v>26846</v>
      </c>
      <c r="B63" s="1" t="s">
        <v>457</v>
      </c>
      <c r="C63" s="2" t="s">
        <v>458</v>
      </c>
      <c r="D63" s="1" t="s">
        <v>2</v>
      </c>
      <c r="E63" s="2" t="s">
        <v>459</v>
      </c>
      <c r="F63" s="1" t="s">
        <v>460</v>
      </c>
      <c r="G63" s="1"/>
      <c r="H63" s="1" t="s">
        <v>461</v>
      </c>
      <c r="I63" s="1" t="s">
        <v>6</v>
      </c>
      <c r="J63" s="1" t="s">
        <v>367</v>
      </c>
      <c r="K63" s="1" t="s">
        <v>41</v>
      </c>
      <c r="L63" s="1" t="s">
        <v>71</v>
      </c>
      <c r="M63" s="1" t="s">
        <v>72</v>
      </c>
      <c r="N63" s="1" t="s">
        <v>462</v>
      </c>
      <c r="O63" s="1" t="s">
        <v>463</v>
      </c>
      <c r="P63" s="1" t="s">
        <v>439</v>
      </c>
    </row>
    <row r="64" spans="1:16" x14ac:dyDescent="0.25">
      <c r="A64" s="1">
        <v>27485</v>
      </c>
      <c r="B64" s="1" t="s">
        <v>464</v>
      </c>
      <c r="C64" s="2" t="s">
        <v>465</v>
      </c>
      <c r="D64" s="1" t="s">
        <v>2</v>
      </c>
      <c r="E64" s="2" t="s">
        <v>466</v>
      </c>
      <c r="F64" s="1" t="s">
        <v>467</v>
      </c>
      <c r="G64" s="1"/>
      <c r="H64" s="1" t="s">
        <v>106</v>
      </c>
      <c r="I64" s="1" t="s">
        <v>6</v>
      </c>
      <c r="J64" s="1" t="s">
        <v>468</v>
      </c>
      <c r="K64" s="1" t="s">
        <v>71</v>
      </c>
      <c r="L64" s="1" t="s">
        <v>71</v>
      </c>
      <c r="M64" s="1" t="s">
        <v>72</v>
      </c>
      <c r="N64" s="1"/>
      <c r="O64" s="1"/>
      <c r="P64" s="1" t="s">
        <v>439</v>
      </c>
    </row>
    <row r="65" spans="1:16" x14ac:dyDescent="0.25">
      <c r="A65" s="1">
        <v>15352</v>
      </c>
      <c r="B65" s="1" t="s">
        <v>469</v>
      </c>
      <c r="C65" s="2" t="s">
        <v>470</v>
      </c>
      <c r="D65" s="1" t="s">
        <v>2</v>
      </c>
      <c r="E65" s="2" t="s">
        <v>471</v>
      </c>
      <c r="F65" s="1" t="s">
        <v>472</v>
      </c>
      <c r="G65" s="1"/>
      <c r="H65" s="1" t="s">
        <v>473</v>
      </c>
      <c r="I65" s="1" t="s">
        <v>6</v>
      </c>
      <c r="J65" s="1" t="s">
        <v>59</v>
      </c>
      <c r="K65" s="1" t="s">
        <v>81</v>
      </c>
      <c r="L65" s="1" t="s">
        <v>41</v>
      </c>
      <c r="M65" s="1" t="s">
        <v>42</v>
      </c>
      <c r="N65" s="1" t="s">
        <v>474</v>
      </c>
      <c r="O65" s="1" t="s">
        <v>475</v>
      </c>
      <c r="P65" s="1" t="s">
        <v>476</v>
      </c>
    </row>
    <row r="66" spans="1:16" x14ac:dyDescent="0.25">
      <c r="A66" s="1">
        <v>16283</v>
      </c>
      <c r="B66" s="1" t="s">
        <v>477</v>
      </c>
      <c r="C66" s="2" t="s">
        <v>478</v>
      </c>
      <c r="D66" s="1" t="s">
        <v>2</v>
      </c>
      <c r="E66" s="2" t="s">
        <v>479</v>
      </c>
      <c r="F66" s="1" t="s">
        <v>480</v>
      </c>
      <c r="G66" s="1"/>
      <c r="H66" s="1" t="s">
        <v>481</v>
      </c>
      <c r="I66" s="1" t="s">
        <v>6</v>
      </c>
      <c r="J66" s="1" t="s">
        <v>482</v>
      </c>
      <c r="K66" s="1" t="s">
        <v>9</v>
      </c>
      <c r="L66" s="1" t="s">
        <v>41</v>
      </c>
      <c r="M66" s="1" t="s">
        <v>42</v>
      </c>
      <c r="N66" s="1" t="s">
        <v>483</v>
      </c>
      <c r="O66" s="1" t="s">
        <v>484</v>
      </c>
      <c r="P66" s="1" t="s">
        <v>476</v>
      </c>
    </row>
    <row r="67" spans="1:16" x14ac:dyDescent="0.25">
      <c r="A67" s="1">
        <v>16891</v>
      </c>
      <c r="B67" s="1" t="s">
        <v>485</v>
      </c>
      <c r="C67" s="2" t="s">
        <v>486</v>
      </c>
      <c r="D67" s="1" t="s">
        <v>2</v>
      </c>
      <c r="E67" s="2" t="s">
        <v>487</v>
      </c>
      <c r="F67" s="1" t="s">
        <v>488</v>
      </c>
      <c r="G67" s="1"/>
      <c r="H67" s="1" t="s">
        <v>489</v>
      </c>
      <c r="I67" s="1" t="s">
        <v>6</v>
      </c>
      <c r="J67" s="1" t="s">
        <v>490</v>
      </c>
      <c r="K67" s="1" t="s">
        <v>491</v>
      </c>
      <c r="L67" s="1" t="s">
        <v>492</v>
      </c>
      <c r="M67" s="1" t="s">
        <v>493</v>
      </c>
      <c r="N67" s="1" t="s">
        <v>494</v>
      </c>
      <c r="O67" s="1" t="s">
        <v>495</v>
      </c>
      <c r="P67" s="1" t="s">
        <v>476</v>
      </c>
    </row>
    <row r="68" spans="1:16" x14ac:dyDescent="0.25">
      <c r="A68" s="1">
        <v>17970</v>
      </c>
      <c r="B68" s="1" t="s">
        <v>496</v>
      </c>
      <c r="C68" s="2" t="s">
        <v>497</v>
      </c>
      <c r="D68" s="1" t="s">
        <v>2</v>
      </c>
      <c r="E68" s="2" t="s">
        <v>498</v>
      </c>
      <c r="F68" s="1" t="s">
        <v>499</v>
      </c>
      <c r="G68" s="1"/>
      <c r="H68" s="1" t="s">
        <v>500</v>
      </c>
      <c r="I68" s="1" t="s">
        <v>6</v>
      </c>
      <c r="J68" s="1" t="s">
        <v>501</v>
      </c>
      <c r="K68" s="1" t="s">
        <v>502</v>
      </c>
      <c r="L68" s="1" t="s">
        <v>41</v>
      </c>
      <c r="M68" s="1" t="s">
        <v>42</v>
      </c>
      <c r="N68" s="1" t="s">
        <v>503</v>
      </c>
      <c r="O68" s="1" t="s">
        <v>504</v>
      </c>
      <c r="P68" s="1" t="s">
        <v>476</v>
      </c>
    </row>
    <row r="69" spans="1:16" x14ac:dyDescent="0.25">
      <c r="A69" s="1">
        <v>18071</v>
      </c>
      <c r="B69" s="1" t="s">
        <v>505</v>
      </c>
      <c r="C69" s="2" t="s">
        <v>506</v>
      </c>
      <c r="D69" s="1" t="s">
        <v>2</v>
      </c>
      <c r="E69" s="2" t="s">
        <v>507</v>
      </c>
      <c r="F69" s="1" t="s">
        <v>508</v>
      </c>
      <c r="G69" s="1"/>
      <c r="H69" s="1" t="s">
        <v>509</v>
      </c>
      <c r="I69" s="1" t="s">
        <v>6</v>
      </c>
      <c r="J69" s="1" t="s">
        <v>510</v>
      </c>
      <c r="K69" s="1" t="s">
        <v>92</v>
      </c>
      <c r="L69" s="1" t="s">
        <v>71</v>
      </c>
      <c r="M69" s="1" t="s">
        <v>72</v>
      </c>
      <c r="N69" s="1" t="s">
        <v>511</v>
      </c>
      <c r="O69" s="1" t="s">
        <v>512</v>
      </c>
      <c r="P69" s="1" t="s">
        <v>476</v>
      </c>
    </row>
    <row r="70" spans="1:16" x14ac:dyDescent="0.25">
      <c r="A70" s="1">
        <v>18341</v>
      </c>
      <c r="B70" s="1" t="s">
        <v>513</v>
      </c>
      <c r="C70" s="2" t="s">
        <v>514</v>
      </c>
      <c r="D70" s="1" t="s">
        <v>2</v>
      </c>
      <c r="E70" s="2" t="s">
        <v>515</v>
      </c>
      <c r="F70" s="1" t="s">
        <v>516</v>
      </c>
      <c r="G70" s="1"/>
      <c r="H70" s="1" t="s">
        <v>28</v>
      </c>
      <c r="I70" s="1" t="s">
        <v>6</v>
      </c>
      <c r="J70" s="1" t="s">
        <v>517</v>
      </c>
      <c r="K70" s="1" t="s">
        <v>82</v>
      </c>
      <c r="L70" s="1" t="s">
        <v>71</v>
      </c>
      <c r="M70" s="1" t="s">
        <v>72</v>
      </c>
      <c r="N70" s="1" t="s">
        <v>518</v>
      </c>
      <c r="O70" s="1" t="s">
        <v>519</v>
      </c>
      <c r="P70" s="1" t="s">
        <v>476</v>
      </c>
    </row>
    <row r="71" spans="1:16" x14ac:dyDescent="0.25">
      <c r="A71" s="1">
        <v>18809</v>
      </c>
      <c r="B71" s="1" t="s">
        <v>520</v>
      </c>
      <c r="C71" s="2" t="s">
        <v>521</v>
      </c>
      <c r="D71" s="1" t="s">
        <v>2</v>
      </c>
      <c r="E71" s="2" t="s">
        <v>522</v>
      </c>
      <c r="F71" s="1" t="s">
        <v>523</v>
      </c>
      <c r="G71" s="1"/>
      <c r="H71" s="1" t="s">
        <v>115</v>
      </c>
      <c r="I71" s="1" t="s">
        <v>6</v>
      </c>
      <c r="J71" s="1" t="s">
        <v>524</v>
      </c>
      <c r="K71" s="1" t="s">
        <v>525</v>
      </c>
      <c r="L71" s="1" t="s">
        <v>8</v>
      </c>
      <c r="M71" s="1" t="s">
        <v>109</v>
      </c>
      <c r="N71" s="1" t="s">
        <v>526</v>
      </c>
      <c r="O71" s="1" t="s">
        <v>527</v>
      </c>
      <c r="P71" s="1" t="s">
        <v>476</v>
      </c>
    </row>
    <row r="72" spans="1:16" x14ac:dyDescent="0.25">
      <c r="A72" s="1">
        <v>19710</v>
      </c>
      <c r="B72" s="1" t="s">
        <v>528</v>
      </c>
      <c r="C72" s="2" t="s">
        <v>529</v>
      </c>
      <c r="D72" s="1" t="s">
        <v>2</v>
      </c>
      <c r="E72" s="2" t="s">
        <v>530</v>
      </c>
      <c r="F72" s="1" t="s">
        <v>531</v>
      </c>
      <c r="G72" s="1"/>
      <c r="H72" s="1" t="s">
        <v>307</v>
      </c>
      <c r="I72" s="1" t="s">
        <v>6</v>
      </c>
      <c r="J72" s="1" t="s">
        <v>532</v>
      </c>
      <c r="K72" s="1" t="s">
        <v>199</v>
      </c>
      <c r="L72" s="1" t="s">
        <v>41</v>
      </c>
      <c r="M72" s="1" t="s">
        <v>42</v>
      </c>
      <c r="N72" s="1" t="s">
        <v>533</v>
      </c>
      <c r="O72" s="1" t="s">
        <v>534</v>
      </c>
      <c r="P72" s="1" t="s">
        <v>476</v>
      </c>
    </row>
    <row r="73" spans="1:16" x14ac:dyDescent="0.25">
      <c r="A73" s="1">
        <v>20065</v>
      </c>
      <c r="B73" s="1" t="s">
        <v>535</v>
      </c>
      <c r="C73" s="2" t="s">
        <v>536</v>
      </c>
      <c r="D73" s="1" t="s">
        <v>2</v>
      </c>
      <c r="E73" s="2" t="s">
        <v>537</v>
      </c>
      <c r="F73" s="1" t="s">
        <v>538</v>
      </c>
      <c r="G73" s="1"/>
      <c r="H73" s="1" t="s">
        <v>539</v>
      </c>
      <c r="I73" s="1" t="s">
        <v>6</v>
      </c>
      <c r="J73" s="1" t="s">
        <v>540</v>
      </c>
      <c r="K73" s="1" t="s">
        <v>541</v>
      </c>
      <c r="L73" s="1" t="s">
        <v>192</v>
      </c>
      <c r="M73" s="1" t="s">
        <v>455</v>
      </c>
      <c r="N73" s="1" t="s">
        <v>542</v>
      </c>
      <c r="O73" s="1" t="s">
        <v>543</v>
      </c>
      <c r="P73" s="1" t="s">
        <v>476</v>
      </c>
    </row>
    <row r="74" spans="1:16" x14ac:dyDescent="0.25">
      <c r="A74" s="1">
        <v>22998</v>
      </c>
      <c r="B74" s="1" t="s">
        <v>544</v>
      </c>
      <c r="C74" s="2" t="s">
        <v>545</v>
      </c>
      <c r="D74" s="1" t="s">
        <v>2</v>
      </c>
      <c r="E74" s="2" t="s">
        <v>546</v>
      </c>
      <c r="F74" s="1" t="s">
        <v>123</v>
      </c>
      <c r="G74" s="1"/>
      <c r="H74" s="1" t="s">
        <v>147</v>
      </c>
      <c r="I74" s="1" t="s">
        <v>6</v>
      </c>
      <c r="J74" s="1" t="s">
        <v>547</v>
      </c>
      <c r="K74" s="1" t="s">
        <v>548</v>
      </c>
      <c r="L74" s="1" t="s">
        <v>41</v>
      </c>
      <c r="M74" s="1" t="s">
        <v>42</v>
      </c>
      <c r="N74" s="1" t="s">
        <v>549</v>
      </c>
      <c r="O74" s="1" t="s">
        <v>550</v>
      </c>
      <c r="P74" s="1" t="s">
        <v>476</v>
      </c>
    </row>
    <row r="75" spans="1:16" x14ac:dyDescent="0.25">
      <c r="A75" s="1">
        <v>23070</v>
      </c>
      <c r="B75" s="1" t="s">
        <v>551</v>
      </c>
      <c r="C75" s="2" t="s">
        <v>552</v>
      </c>
      <c r="D75" s="1" t="s">
        <v>2</v>
      </c>
      <c r="E75" s="2" t="s">
        <v>553</v>
      </c>
      <c r="F75" s="1" t="s">
        <v>554</v>
      </c>
      <c r="G75" s="1"/>
      <c r="H75" s="1" t="s">
        <v>106</v>
      </c>
      <c r="I75" s="1" t="s">
        <v>6</v>
      </c>
      <c r="J75" s="1" t="s">
        <v>555</v>
      </c>
      <c r="K75" s="1" t="s">
        <v>108</v>
      </c>
      <c r="L75" s="1" t="s">
        <v>41</v>
      </c>
      <c r="M75" s="1" t="s">
        <v>42</v>
      </c>
      <c r="N75" s="1" t="s">
        <v>556</v>
      </c>
      <c r="O75" s="1" t="s">
        <v>556</v>
      </c>
      <c r="P75" s="1" t="s">
        <v>476</v>
      </c>
    </row>
    <row r="76" spans="1:16" x14ac:dyDescent="0.25">
      <c r="A76" s="1">
        <v>23427</v>
      </c>
      <c r="B76" s="1" t="s">
        <v>557</v>
      </c>
      <c r="C76" s="2" t="s">
        <v>558</v>
      </c>
      <c r="D76" s="1" t="s">
        <v>2</v>
      </c>
      <c r="E76" s="2" t="s">
        <v>559</v>
      </c>
      <c r="F76" s="1" t="s">
        <v>560</v>
      </c>
      <c r="G76" s="1"/>
      <c r="H76" s="1" t="s">
        <v>106</v>
      </c>
      <c r="I76" s="1" t="s">
        <v>6</v>
      </c>
      <c r="J76" s="1" t="s">
        <v>561</v>
      </c>
      <c r="K76" s="1" t="s">
        <v>302</v>
      </c>
      <c r="L76" s="1" t="s">
        <v>8</v>
      </c>
      <c r="M76" s="1" t="s">
        <v>109</v>
      </c>
      <c r="N76" s="1" t="s">
        <v>562</v>
      </c>
      <c r="O76" s="1" t="s">
        <v>463</v>
      </c>
      <c r="P76" s="1" t="s">
        <v>476</v>
      </c>
    </row>
    <row r="77" spans="1:16" x14ac:dyDescent="0.25">
      <c r="A77" s="1">
        <v>24801</v>
      </c>
      <c r="B77" s="1" t="s">
        <v>563</v>
      </c>
      <c r="C77" s="2" t="s">
        <v>564</v>
      </c>
      <c r="D77" s="1" t="s">
        <v>2</v>
      </c>
      <c r="E77" s="2" t="s">
        <v>565</v>
      </c>
      <c r="F77" s="1" t="s">
        <v>566</v>
      </c>
      <c r="G77" s="1"/>
      <c r="H77" s="1" t="s">
        <v>147</v>
      </c>
      <c r="I77" s="1" t="s">
        <v>6</v>
      </c>
      <c r="J77" s="1" t="s">
        <v>567</v>
      </c>
      <c r="K77" s="1" t="s">
        <v>568</v>
      </c>
      <c r="L77" s="1" t="s">
        <v>8</v>
      </c>
      <c r="M77" s="1" t="s">
        <v>109</v>
      </c>
      <c r="N77" s="1" t="s">
        <v>569</v>
      </c>
      <c r="O77" s="1" t="s">
        <v>569</v>
      </c>
      <c r="P77" s="1" t="s">
        <v>476</v>
      </c>
    </row>
    <row r="78" spans="1:16" x14ac:dyDescent="0.25">
      <c r="A78" s="1">
        <v>25960</v>
      </c>
      <c r="B78" s="1" t="s">
        <v>570</v>
      </c>
      <c r="C78" s="2" t="s">
        <v>571</v>
      </c>
      <c r="D78" s="1" t="s">
        <v>2</v>
      </c>
      <c r="E78" s="2" t="s">
        <v>572</v>
      </c>
      <c r="F78" s="1" t="s">
        <v>573</v>
      </c>
      <c r="G78" s="1"/>
      <c r="H78" s="1" t="s">
        <v>79</v>
      </c>
      <c r="I78" s="1" t="s">
        <v>6</v>
      </c>
      <c r="J78" s="1" t="s">
        <v>574</v>
      </c>
      <c r="K78" s="1" t="s">
        <v>108</v>
      </c>
      <c r="L78" s="1" t="s">
        <v>71</v>
      </c>
      <c r="M78" s="1" t="s">
        <v>72</v>
      </c>
      <c r="N78" s="1" t="s">
        <v>575</v>
      </c>
      <c r="O78" s="1" t="s">
        <v>576</v>
      </c>
      <c r="P78" s="1" t="s">
        <v>476</v>
      </c>
    </row>
    <row r="79" spans="1:16" x14ac:dyDescent="0.25">
      <c r="A79" s="1">
        <v>26226</v>
      </c>
      <c r="B79" s="1" t="s">
        <v>577</v>
      </c>
      <c r="C79" s="2" t="s">
        <v>578</v>
      </c>
      <c r="D79" s="1" t="s">
        <v>2</v>
      </c>
      <c r="E79" s="2" t="s">
        <v>579</v>
      </c>
      <c r="F79" s="1" t="s">
        <v>580</v>
      </c>
      <c r="G79" s="1"/>
      <c r="H79" s="1" t="s">
        <v>106</v>
      </c>
      <c r="I79" s="1" t="s">
        <v>6</v>
      </c>
      <c r="J79" s="1" t="s">
        <v>581</v>
      </c>
      <c r="K79" s="1" t="s">
        <v>8</v>
      </c>
      <c r="L79" s="1" t="s">
        <v>71</v>
      </c>
      <c r="M79" s="1" t="s">
        <v>72</v>
      </c>
      <c r="N79" s="1"/>
      <c r="O79" s="1"/>
      <c r="P79" s="1" t="s">
        <v>476</v>
      </c>
    </row>
    <row r="80" spans="1:16" x14ac:dyDescent="0.25">
      <c r="A80" s="1">
        <v>5711</v>
      </c>
      <c r="B80" s="1" t="s">
        <v>582</v>
      </c>
      <c r="C80" s="2" t="s">
        <v>583</v>
      </c>
      <c r="D80" s="1" t="s">
        <v>2</v>
      </c>
      <c r="E80" s="2" t="s">
        <v>584</v>
      </c>
      <c r="F80" s="1" t="s">
        <v>585</v>
      </c>
      <c r="G80" s="1"/>
      <c r="H80" s="1" t="s">
        <v>586</v>
      </c>
      <c r="I80" s="1" t="s">
        <v>6</v>
      </c>
      <c r="J80" s="1" t="s">
        <v>587</v>
      </c>
      <c r="K80" s="1" t="s">
        <v>588</v>
      </c>
      <c r="L80" s="1" t="s">
        <v>41</v>
      </c>
      <c r="M80" s="1" t="s">
        <v>42</v>
      </c>
      <c r="N80" s="1" t="s">
        <v>589</v>
      </c>
      <c r="O80" s="1" t="s">
        <v>590</v>
      </c>
      <c r="P80" s="1" t="s">
        <v>591</v>
      </c>
    </row>
    <row r="81" spans="1:16" x14ac:dyDescent="0.25">
      <c r="A81" s="1">
        <v>18174</v>
      </c>
      <c r="B81" s="1" t="s">
        <v>592</v>
      </c>
      <c r="C81" s="2" t="s">
        <v>593</v>
      </c>
      <c r="D81" s="1" t="s">
        <v>2</v>
      </c>
      <c r="E81" s="2" t="s">
        <v>594</v>
      </c>
      <c r="F81" s="1" t="s">
        <v>595</v>
      </c>
      <c r="G81" s="1"/>
      <c r="H81" s="1" t="s">
        <v>596</v>
      </c>
      <c r="I81" s="1" t="s">
        <v>6</v>
      </c>
      <c r="J81" s="1" t="s">
        <v>597</v>
      </c>
      <c r="K81" s="1" t="s">
        <v>598</v>
      </c>
      <c r="L81" s="1" t="s">
        <v>108</v>
      </c>
      <c r="M81" s="1" t="s">
        <v>183</v>
      </c>
      <c r="N81" s="1" t="s">
        <v>599</v>
      </c>
      <c r="O81" s="1" t="s">
        <v>600</v>
      </c>
      <c r="P81" s="1" t="s">
        <v>591</v>
      </c>
    </row>
    <row r="82" spans="1:16" x14ac:dyDescent="0.25">
      <c r="A82" s="1">
        <v>18239</v>
      </c>
      <c r="B82" s="1" t="s">
        <v>601</v>
      </c>
      <c r="C82" s="2" t="s">
        <v>602</v>
      </c>
      <c r="D82" s="1" t="s">
        <v>2</v>
      </c>
      <c r="E82" s="2" t="s">
        <v>603</v>
      </c>
      <c r="F82" s="1" t="s">
        <v>604</v>
      </c>
      <c r="G82" s="1"/>
      <c r="H82" s="1" t="s">
        <v>605</v>
      </c>
      <c r="I82" s="1" t="s">
        <v>6</v>
      </c>
      <c r="J82" s="1" t="s">
        <v>606</v>
      </c>
      <c r="K82" s="1" t="s">
        <v>588</v>
      </c>
      <c r="L82" s="1" t="s">
        <v>41</v>
      </c>
      <c r="M82" s="1" t="s">
        <v>42</v>
      </c>
      <c r="N82" s="1" t="s">
        <v>607</v>
      </c>
      <c r="O82" s="1" t="s">
        <v>608</v>
      </c>
      <c r="P82" s="1" t="s">
        <v>591</v>
      </c>
    </row>
    <row r="83" spans="1:16" x14ac:dyDescent="0.25">
      <c r="A83" s="1">
        <v>20342</v>
      </c>
      <c r="B83" s="1" t="s">
        <v>609</v>
      </c>
      <c r="C83" s="2" t="s">
        <v>610</v>
      </c>
      <c r="D83" s="1" t="s">
        <v>2</v>
      </c>
      <c r="E83" s="2" t="s">
        <v>611</v>
      </c>
      <c r="F83" s="1" t="s">
        <v>612</v>
      </c>
      <c r="G83" s="1"/>
      <c r="H83" s="1" t="s">
        <v>47</v>
      </c>
      <c r="I83" s="1" t="s">
        <v>6</v>
      </c>
      <c r="J83" s="1" t="s">
        <v>613</v>
      </c>
      <c r="K83" s="1" t="s">
        <v>492</v>
      </c>
      <c r="L83" s="1" t="s">
        <v>41</v>
      </c>
      <c r="M83" s="1" t="s">
        <v>42</v>
      </c>
      <c r="N83" s="1" t="s">
        <v>614</v>
      </c>
      <c r="O83" s="1" t="s">
        <v>615</v>
      </c>
      <c r="P83" s="1" t="s">
        <v>591</v>
      </c>
    </row>
    <row r="84" spans="1:16" x14ac:dyDescent="0.25">
      <c r="A84" s="1">
        <v>21556</v>
      </c>
      <c r="B84" s="1" t="s">
        <v>616</v>
      </c>
      <c r="C84" s="2" t="s">
        <v>617</v>
      </c>
      <c r="D84" s="1" t="s">
        <v>2</v>
      </c>
      <c r="E84" s="2" t="s">
        <v>618</v>
      </c>
      <c r="F84" s="1" t="s">
        <v>619</v>
      </c>
      <c r="G84" s="1"/>
      <c r="H84" s="1" t="s">
        <v>115</v>
      </c>
      <c r="I84" s="1" t="s">
        <v>6</v>
      </c>
      <c r="J84" s="1" t="s">
        <v>620</v>
      </c>
      <c r="K84" s="1" t="s">
        <v>621</v>
      </c>
      <c r="L84" s="1" t="s">
        <v>622</v>
      </c>
      <c r="M84" s="1" t="s">
        <v>623</v>
      </c>
      <c r="N84" s="1" t="s">
        <v>624</v>
      </c>
      <c r="O84" s="1" t="s">
        <v>625</v>
      </c>
      <c r="P84" s="1" t="s">
        <v>591</v>
      </c>
    </row>
    <row r="85" spans="1:16" x14ac:dyDescent="0.25">
      <c r="A85" s="1">
        <v>22848</v>
      </c>
      <c r="B85" s="1" t="s">
        <v>626</v>
      </c>
      <c r="C85" s="2" t="s">
        <v>627</v>
      </c>
      <c r="D85" s="1" t="s">
        <v>2</v>
      </c>
      <c r="E85" s="2" t="s">
        <v>628</v>
      </c>
      <c r="F85" s="1" t="s">
        <v>629</v>
      </c>
      <c r="G85" s="1"/>
      <c r="H85" s="1" t="s">
        <v>208</v>
      </c>
      <c r="I85" s="1" t="s">
        <v>6</v>
      </c>
      <c r="J85" s="1" t="s">
        <v>316</v>
      </c>
      <c r="K85" s="1" t="s">
        <v>8</v>
      </c>
      <c r="L85" s="1" t="s">
        <v>41</v>
      </c>
      <c r="M85" s="1" t="s">
        <v>42</v>
      </c>
      <c r="N85" s="1" t="s">
        <v>599</v>
      </c>
      <c r="O85" s="1" t="s">
        <v>600</v>
      </c>
      <c r="P85" s="1" t="s">
        <v>591</v>
      </c>
    </row>
    <row r="86" spans="1:16" x14ac:dyDescent="0.25">
      <c r="A86" s="1">
        <v>23008</v>
      </c>
      <c r="B86" s="1" t="s">
        <v>630</v>
      </c>
      <c r="C86" s="2" t="s">
        <v>631</v>
      </c>
      <c r="D86" s="1" t="s">
        <v>2</v>
      </c>
      <c r="E86" s="2" t="s">
        <v>632</v>
      </c>
      <c r="F86" s="1" t="s">
        <v>633</v>
      </c>
      <c r="G86" s="1"/>
      <c r="H86" s="1" t="s">
        <v>634</v>
      </c>
      <c r="I86" s="1" t="s">
        <v>6</v>
      </c>
      <c r="J86" s="1" t="s">
        <v>635</v>
      </c>
      <c r="K86" s="1" t="s">
        <v>31</v>
      </c>
      <c r="L86" s="1" t="s">
        <v>71</v>
      </c>
      <c r="M86" s="1" t="s">
        <v>72</v>
      </c>
      <c r="N86" s="1" t="s">
        <v>405</v>
      </c>
      <c r="O86" s="1" t="s">
        <v>636</v>
      </c>
      <c r="P86" s="1" t="s">
        <v>591</v>
      </c>
    </row>
    <row r="87" spans="1:16" x14ac:dyDescent="0.25">
      <c r="A87" s="1">
        <v>23869</v>
      </c>
      <c r="B87" s="1" t="s">
        <v>637</v>
      </c>
      <c r="C87" s="2" t="s">
        <v>638</v>
      </c>
      <c r="D87" s="1" t="s">
        <v>2</v>
      </c>
      <c r="E87" s="2" t="s">
        <v>639</v>
      </c>
      <c r="F87" s="1" t="s">
        <v>154</v>
      </c>
      <c r="G87" s="1"/>
      <c r="H87" s="1" t="s">
        <v>640</v>
      </c>
      <c r="I87" s="1" t="s">
        <v>6</v>
      </c>
      <c r="J87" s="1" t="s">
        <v>641</v>
      </c>
      <c r="K87" s="1" t="s">
        <v>425</v>
      </c>
      <c r="L87" s="1" t="s">
        <v>82</v>
      </c>
      <c r="M87" s="1" t="s">
        <v>83</v>
      </c>
      <c r="N87" s="1" t="s">
        <v>642</v>
      </c>
      <c r="O87" s="1" t="s">
        <v>643</v>
      </c>
      <c r="P87" s="1" t="s">
        <v>591</v>
      </c>
    </row>
    <row r="88" spans="1:16" x14ac:dyDescent="0.25">
      <c r="A88" s="1">
        <v>24667</v>
      </c>
      <c r="B88" s="1" t="s">
        <v>644</v>
      </c>
      <c r="C88" s="2" t="s">
        <v>645</v>
      </c>
      <c r="D88" s="1" t="s">
        <v>2</v>
      </c>
      <c r="E88" s="2" t="s">
        <v>646</v>
      </c>
      <c r="F88" s="1" t="s">
        <v>647</v>
      </c>
      <c r="G88" s="1"/>
      <c r="H88" s="1" t="s">
        <v>648</v>
      </c>
      <c r="I88" s="1" t="s">
        <v>6</v>
      </c>
      <c r="J88" s="1" t="s">
        <v>649</v>
      </c>
      <c r="K88" s="1" t="s">
        <v>9</v>
      </c>
      <c r="L88" s="1" t="s">
        <v>650</v>
      </c>
      <c r="M88" s="1" t="s">
        <v>651</v>
      </c>
      <c r="N88" s="1" t="s">
        <v>652</v>
      </c>
      <c r="O88" s="1" t="s">
        <v>653</v>
      </c>
      <c r="P88" s="1" t="s">
        <v>591</v>
      </c>
    </row>
    <row r="89" spans="1:16" x14ac:dyDescent="0.25">
      <c r="A89" s="1">
        <v>24994</v>
      </c>
      <c r="B89" s="1" t="s">
        <v>654</v>
      </c>
      <c r="C89" s="2" t="s">
        <v>655</v>
      </c>
      <c r="D89" s="1" t="s">
        <v>2</v>
      </c>
      <c r="E89" s="2" t="s">
        <v>656</v>
      </c>
      <c r="F89" s="1" t="s">
        <v>226</v>
      </c>
      <c r="G89" s="1"/>
      <c r="H89" s="1" t="s">
        <v>500</v>
      </c>
      <c r="I89" s="1" t="s">
        <v>6</v>
      </c>
      <c r="J89" s="1" t="s">
        <v>532</v>
      </c>
      <c r="K89" s="1" t="s">
        <v>622</v>
      </c>
      <c r="L89" s="1" t="s">
        <v>8</v>
      </c>
      <c r="M89" s="1" t="s">
        <v>109</v>
      </c>
      <c r="N89" s="1" t="s">
        <v>657</v>
      </c>
      <c r="O89" s="1" t="s">
        <v>658</v>
      </c>
      <c r="P89" s="1" t="s">
        <v>591</v>
      </c>
    </row>
    <row r="90" spans="1:16" x14ac:dyDescent="0.25">
      <c r="A90" s="1">
        <v>25861</v>
      </c>
      <c r="B90" s="1" t="s">
        <v>659</v>
      </c>
      <c r="C90" s="2" t="s">
        <v>660</v>
      </c>
      <c r="D90" s="1" t="s">
        <v>2</v>
      </c>
      <c r="E90" s="2" t="s">
        <v>661</v>
      </c>
      <c r="F90" s="1" t="s">
        <v>662</v>
      </c>
      <c r="G90" s="1"/>
      <c r="H90" s="1" t="s">
        <v>208</v>
      </c>
      <c r="I90" s="1" t="s">
        <v>6</v>
      </c>
      <c r="J90" s="1" t="s">
        <v>350</v>
      </c>
      <c r="K90" s="1" t="s">
        <v>99</v>
      </c>
      <c r="L90" s="1" t="s">
        <v>41</v>
      </c>
      <c r="M90" s="1" t="s">
        <v>42</v>
      </c>
      <c r="N90" s="1" t="s">
        <v>663</v>
      </c>
      <c r="O90" s="1" t="s">
        <v>664</v>
      </c>
      <c r="P90" s="1" t="s">
        <v>591</v>
      </c>
    </row>
    <row r="91" spans="1:16" x14ac:dyDescent="0.25">
      <c r="A91" s="1">
        <v>26626</v>
      </c>
      <c r="B91" s="1" t="s">
        <v>665</v>
      </c>
      <c r="C91" s="2" t="s">
        <v>666</v>
      </c>
      <c r="D91" s="1" t="s">
        <v>2</v>
      </c>
      <c r="E91" s="2" t="s">
        <v>667</v>
      </c>
      <c r="F91" s="1" t="s">
        <v>668</v>
      </c>
      <c r="G91" s="1"/>
      <c r="H91" s="1" t="s">
        <v>219</v>
      </c>
      <c r="I91" s="1" t="s">
        <v>6</v>
      </c>
      <c r="J91" s="1" t="s">
        <v>669</v>
      </c>
      <c r="K91" s="1" t="s">
        <v>82</v>
      </c>
      <c r="L91" s="1" t="s">
        <v>71</v>
      </c>
      <c r="M91" s="1" t="s">
        <v>72</v>
      </c>
      <c r="N91" s="1"/>
      <c r="O91" s="1"/>
      <c r="P91" s="1" t="s">
        <v>591</v>
      </c>
    </row>
    <row r="92" spans="1:16" x14ac:dyDescent="0.25">
      <c r="A92" s="1">
        <v>7741</v>
      </c>
      <c r="B92" s="1" t="s">
        <v>670</v>
      </c>
      <c r="C92" s="2" t="s">
        <v>671</v>
      </c>
      <c r="D92" s="1" t="s">
        <v>2</v>
      </c>
      <c r="E92" s="2" t="s">
        <v>672</v>
      </c>
      <c r="F92" s="1" t="s">
        <v>673</v>
      </c>
      <c r="G92" s="1"/>
      <c r="H92" s="1" t="s">
        <v>361</v>
      </c>
      <c r="I92" s="1" t="s">
        <v>6</v>
      </c>
      <c r="J92" s="1" t="s">
        <v>674</v>
      </c>
      <c r="K92" s="1" t="s">
        <v>675</v>
      </c>
      <c r="L92" s="1" t="s">
        <v>676</v>
      </c>
      <c r="M92" s="1" t="s">
        <v>677</v>
      </c>
      <c r="N92" s="1" t="s">
        <v>678</v>
      </c>
      <c r="O92" s="1" t="s">
        <v>679</v>
      </c>
      <c r="P92" s="1" t="s">
        <v>680</v>
      </c>
    </row>
    <row r="93" spans="1:16" x14ac:dyDescent="0.25">
      <c r="A93" s="1">
        <v>16495</v>
      </c>
      <c r="B93" s="1" t="s">
        <v>681</v>
      </c>
      <c r="C93" s="2" t="s">
        <v>682</v>
      </c>
      <c r="D93" s="1" t="s">
        <v>2</v>
      </c>
      <c r="E93" s="2" t="s">
        <v>683</v>
      </c>
      <c r="F93" s="1" t="s">
        <v>684</v>
      </c>
      <c r="G93" s="1"/>
      <c r="H93" s="1" t="s">
        <v>685</v>
      </c>
      <c r="I93" s="1" t="s">
        <v>6</v>
      </c>
      <c r="J93" s="1" t="s">
        <v>686</v>
      </c>
      <c r="K93" s="1" t="s">
        <v>687</v>
      </c>
      <c r="L93" s="1" t="s">
        <v>688</v>
      </c>
      <c r="M93" s="1" t="s">
        <v>689</v>
      </c>
      <c r="N93" s="1" t="s">
        <v>690</v>
      </c>
      <c r="O93" s="1" t="s">
        <v>691</v>
      </c>
      <c r="P93" s="1" t="s">
        <v>680</v>
      </c>
    </row>
    <row r="94" spans="1:16" x14ac:dyDescent="0.25">
      <c r="A94" s="1">
        <v>18930</v>
      </c>
      <c r="B94" s="1" t="s">
        <v>692</v>
      </c>
      <c r="C94" s="2" t="s">
        <v>693</v>
      </c>
      <c r="D94" s="1" t="s">
        <v>2</v>
      </c>
      <c r="E94" s="2" t="s">
        <v>694</v>
      </c>
      <c r="F94" s="1" t="s">
        <v>695</v>
      </c>
      <c r="G94" s="1"/>
      <c r="H94" s="1" t="s">
        <v>696</v>
      </c>
      <c r="I94" s="1" t="s">
        <v>6</v>
      </c>
      <c r="J94" s="1" t="s">
        <v>697</v>
      </c>
      <c r="K94" s="1" t="s">
        <v>698</v>
      </c>
      <c r="L94" s="1" t="s">
        <v>82</v>
      </c>
      <c r="M94" s="1" t="s">
        <v>83</v>
      </c>
      <c r="N94" s="1" t="s">
        <v>438</v>
      </c>
      <c r="O94" s="1" t="s">
        <v>699</v>
      </c>
      <c r="P94" s="1" t="s">
        <v>680</v>
      </c>
    </row>
    <row r="95" spans="1:16" x14ac:dyDescent="0.25">
      <c r="A95" s="1">
        <v>19838</v>
      </c>
      <c r="B95" s="1" t="s">
        <v>700</v>
      </c>
      <c r="C95" s="2" t="s">
        <v>701</v>
      </c>
      <c r="D95" s="1" t="s">
        <v>2</v>
      </c>
      <c r="E95" s="2" t="s">
        <v>702</v>
      </c>
      <c r="F95" s="1" t="s">
        <v>703</v>
      </c>
      <c r="G95" s="1"/>
      <c r="H95" s="1" t="s">
        <v>704</v>
      </c>
      <c r="I95" s="1" t="s">
        <v>6</v>
      </c>
      <c r="J95" s="1" t="s">
        <v>705</v>
      </c>
      <c r="K95" s="1" t="s">
        <v>706</v>
      </c>
      <c r="L95" s="1" t="s">
        <v>502</v>
      </c>
      <c r="M95" s="1" t="s">
        <v>707</v>
      </c>
      <c r="N95" s="1" t="s">
        <v>708</v>
      </c>
      <c r="O95" s="1" t="s">
        <v>709</v>
      </c>
      <c r="P95" s="1" t="s">
        <v>680</v>
      </c>
    </row>
    <row r="96" spans="1:16" x14ac:dyDescent="0.25">
      <c r="A96" s="1">
        <v>20543</v>
      </c>
      <c r="B96" s="1" t="s">
        <v>710</v>
      </c>
      <c r="C96" s="2" t="s">
        <v>711</v>
      </c>
      <c r="D96" s="1" t="s">
        <v>2</v>
      </c>
      <c r="E96" s="2" t="s">
        <v>712</v>
      </c>
      <c r="F96" s="1" t="s">
        <v>713</v>
      </c>
      <c r="G96" s="1"/>
      <c r="H96" s="1" t="s">
        <v>714</v>
      </c>
      <c r="I96" s="1" t="s">
        <v>6</v>
      </c>
      <c r="J96" s="1" t="s">
        <v>715</v>
      </c>
      <c r="K96" s="1" t="s">
        <v>716</v>
      </c>
      <c r="L96" s="1" t="s">
        <v>31</v>
      </c>
      <c r="M96" s="1" t="s">
        <v>32</v>
      </c>
      <c r="N96" s="1" t="s">
        <v>717</v>
      </c>
      <c r="O96" s="1" t="s">
        <v>718</v>
      </c>
      <c r="P96" s="1" t="s">
        <v>680</v>
      </c>
    </row>
    <row r="97" spans="1:16" x14ac:dyDescent="0.25">
      <c r="A97" s="1">
        <v>20677</v>
      </c>
      <c r="B97" s="1" t="s">
        <v>719</v>
      </c>
      <c r="C97" s="2" t="s">
        <v>720</v>
      </c>
      <c r="D97" s="1" t="s">
        <v>2</v>
      </c>
      <c r="E97" s="2" t="s">
        <v>721</v>
      </c>
      <c r="F97" s="1" t="s">
        <v>722</v>
      </c>
      <c r="G97" s="1"/>
      <c r="H97" s="1" t="s">
        <v>361</v>
      </c>
      <c r="I97" s="1" t="s">
        <v>6</v>
      </c>
      <c r="J97" s="1" t="s">
        <v>723</v>
      </c>
      <c r="K97" s="1" t="s">
        <v>724</v>
      </c>
      <c r="L97" s="1" t="s">
        <v>92</v>
      </c>
      <c r="M97" s="1" t="s">
        <v>725</v>
      </c>
      <c r="N97" s="1" t="s">
        <v>726</v>
      </c>
      <c r="O97" s="1" t="s">
        <v>727</v>
      </c>
      <c r="P97" s="1" t="s">
        <v>680</v>
      </c>
    </row>
    <row r="98" spans="1:16" x14ac:dyDescent="0.25">
      <c r="A98" s="1">
        <v>21172</v>
      </c>
      <c r="B98" s="1" t="s">
        <v>728</v>
      </c>
      <c r="C98" s="2" t="s">
        <v>729</v>
      </c>
      <c r="D98" s="1" t="s">
        <v>2</v>
      </c>
      <c r="E98" s="2" t="s">
        <v>730</v>
      </c>
      <c r="F98" s="1" t="s">
        <v>731</v>
      </c>
      <c r="G98" s="1"/>
      <c r="H98" s="1" t="s">
        <v>732</v>
      </c>
      <c r="I98" s="1" t="s">
        <v>6</v>
      </c>
      <c r="J98" s="1" t="s">
        <v>733</v>
      </c>
      <c r="K98" s="1" t="s">
        <v>734</v>
      </c>
      <c r="L98" s="1" t="s">
        <v>82</v>
      </c>
      <c r="M98" s="1" t="s">
        <v>83</v>
      </c>
      <c r="N98" s="1" t="s">
        <v>735</v>
      </c>
      <c r="O98" s="1" t="s">
        <v>556</v>
      </c>
      <c r="P98" s="1" t="s">
        <v>680</v>
      </c>
    </row>
    <row r="99" spans="1:16" x14ac:dyDescent="0.25">
      <c r="A99" s="1">
        <v>22673</v>
      </c>
      <c r="B99" s="1" t="s">
        <v>736</v>
      </c>
      <c r="C99" s="2" t="s">
        <v>737</v>
      </c>
      <c r="D99" s="1" t="s">
        <v>2</v>
      </c>
      <c r="E99" s="2" t="s">
        <v>738</v>
      </c>
      <c r="F99" s="1" t="s">
        <v>739</v>
      </c>
      <c r="G99" s="1"/>
      <c r="H99" s="1" t="s">
        <v>208</v>
      </c>
      <c r="I99" s="1" t="s">
        <v>6</v>
      </c>
      <c r="J99" s="1" t="s">
        <v>740</v>
      </c>
      <c r="K99" s="1" t="s">
        <v>49</v>
      </c>
      <c r="L99" s="1" t="s">
        <v>41</v>
      </c>
      <c r="M99" s="1" t="s">
        <v>42</v>
      </c>
      <c r="N99" s="1" t="s">
        <v>741</v>
      </c>
      <c r="O99" s="1" t="s">
        <v>463</v>
      </c>
      <c r="P99" s="1" t="s">
        <v>680</v>
      </c>
    </row>
    <row r="100" spans="1:16" x14ac:dyDescent="0.25">
      <c r="A100" s="1">
        <v>22709</v>
      </c>
      <c r="B100" s="1" t="s">
        <v>742</v>
      </c>
      <c r="C100" s="2" t="s">
        <v>743</v>
      </c>
      <c r="D100" s="1" t="s">
        <v>2</v>
      </c>
      <c r="E100" s="2" t="s">
        <v>744</v>
      </c>
      <c r="F100" s="1" t="s">
        <v>745</v>
      </c>
      <c r="G100" s="1"/>
      <c r="H100" s="1" t="s">
        <v>746</v>
      </c>
      <c r="I100" s="1" t="s">
        <v>6</v>
      </c>
      <c r="J100" s="1" t="s">
        <v>747</v>
      </c>
      <c r="K100" s="1" t="s">
        <v>588</v>
      </c>
      <c r="L100" s="1" t="s">
        <v>525</v>
      </c>
      <c r="M100" s="1" t="s">
        <v>748</v>
      </c>
      <c r="N100" s="1" t="s">
        <v>749</v>
      </c>
      <c r="O100" s="1" t="s">
        <v>750</v>
      </c>
      <c r="P100" s="1" t="s">
        <v>680</v>
      </c>
    </row>
    <row r="101" spans="1:16" x14ac:dyDescent="0.25">
      <c r="A101" s="1">
        <v>22887</v>
      </c>
      <c r="B101" s="1" t="s">
        <v>751</v>
      </c>
      <c r="C101" s="2" t="s">
        <v>752</v>
      </c>
      <c r="D101" s="1" t="s">
        <v>2</v>
      </c>
      <c r="E101" s="2" t="s">
        <v>753</v>
      </c>
      <c r="F101" s="1" t="s">
        <v>754</v>
      </c>
      <c r="G101" s="1"/>
      <c r="H101" s="1" t="s">
        <v>755</v>
      </c>
      <c r="I101" s="1" t="s">
        <v>6</v>
      </c>
      <c r="J101" s="1" t="s">
        <v>756</v>
      </c>
      <c r="K101" s="1" t="s">
        <v>757</v>
      </c>
      <c r="L101" s="1" t="s">
        <v>8</v>
      </c>
      <c r="M101" s="1" t="s">
        <v>109</v>
      </c>
      <c r="N101" s="1" t="s">
        <v>758</v>
      </c>
      <c r="O101" s="1" t="s">
        <v>759</v>
      </c>
      <c r="P101" s="1" t="s">
        <v>680</v>
      </c>
    </row>
    <row r="102" spans="1:16" x14ac:dyDescent="0.25">
      <c r="A102" s="1">
        <v>22965</v>
      </c>
      <c r="B102" s="1" t="s">
        <v>760</v>
      </c>
      <c r="C102" s="2" t="s">
        <v>761</v>
      </c>
      <c r="D102" s="1" t="s">
        <v>2</v>
      </c>
      <c r="E102" s="2" t="s">
        <v>762</v>
      </c>
      <c r="F102" s="1" t="s">
        <v>633</v>
      </c>
      <c r="G102" s="1"/>
      <c r="H102" s="1" t="s">
        <v>763</v>
      </c>
      <c r="I102" s="1" t="s">
        <v>6</v>
      </c>
      <c r="J102" s="1" t="s">
        <v>764</v>
      </c>
      <c r="K102" s="1" t="s">
        <v>765</v>
      </c>
      <c r="L102" s="1" t="s">
        <v>82</v>
      </c>
      <c r="M102" s="1" t="s">
        <v>83</v>
      </c>
      <c r="N102" s="1" t="s">
        <v>766</v>
      </c>
      <c r="O102" s="1" t="s">
        <v>767</v>
      </c>
      <c r="P102" s="1" t="s">
        <v>680</v>
      </c>
    </row>
    <row r="103" spans="1:16" x14ac:dyDescent="0.25">
      <c r="A103" s="1">
        <v>23222</v>
      </c>
      <c r="B103" s="1" t="s">
        <v>768</v>
      </c>
      <c r="C103" s="2" t="s">
        <v>769</v>
      </c>
      <c r="D103" s="1" t="s">
        <v>2</v>
      </c>
      <c r="E103" s="2" t="s">
        <v>770</v>
      </c>
      <c r="F103" s="1" t="s">
        <v>771</v>
      </c>
      <c r="G103" s="1"/>
      <c r="H103" s="1" t="s">
        <v>208</v>
      </c>
      <c r="I103" s="1" t="s">
        <v>6</v>
      </c>
      <c r="J103" s="1" t="s">
        <v>772</v>
      </c>
      <c r="K103" s="1" t="s">
        <v>241</v>
      </c>
      <c r="L103" s="1" t="s">
        <v>8</v>
      </c>
      <c r="M103" s="1" t="s">
        <v>109</v>
      </c>
      <c r="N103" s="1" t="s">
        <v>773</v>
      </c>
      <c r="O103" s="1" t="s">
        <v>774</v>
      </c>
      <c r="P103" s="1" t="s">
        <v>680</v>
      </c>
    </row>
    <row r="104" spans="1:16" x14ac:dyDescent="0.25">
      <c r="A104" s="1">
        <v>24669</v>
      </c>
      <c r="B104" s="1" t="s">
        <v>775</v>
      </c>
      <c r="C104" s="2" t="s">
        <v>776</v>
      </c>
      <c r="D104" s="1" t="s">
        <v>2</v>
      </c>
      <c r="E104" s="2" t="s">
        <v>777</v>
      </c>
      <c r="F104" s="1" t="s">
        <v>778</v>
      </c>
      <c r="G104" s="1"/>
      <c r="H104" s="1" t="s">
        <v>307</v>
      </c>
      <c r="I104" s="1" t="s">
        <v>6</v>
      </c>
      <c r="J104" s="1" t="s">
        <v>532</v>
      </c>
      <c r="K104" s="1" t="s">
        <v>779</v>
      </c>
      <c r="L104" s="1" t="s">
        <v>8</v>
      </c>
      <c r="M104" s="1" t="s">
        <v>109</v>
      </c>
      <c r="N104" s="1" t="s">
        <v>709</v>
      </c>
      <c r="O104" s="1" t="s">
        <v>780</v>
      </c>
      <c r="P104" s="1" t="s">
        <v>680</v>
      </c>
    </row>
    <row r="105" spans="1:16" x14ac:dyDescent="0.25">
      <c r="A105" s="1">
        <v>25249</v>
      </c>
      <c r="B105" s="1" t="s">
        <v>781</v>
      </c>
      <c r="C105" s="2" t="s">
        <v>782</v>
      </c>
      <c r="D105" s="1" t="s">
        <v>2</v>
      </c>
      <c r="E105" s="2" t="s">
        <v>783</v>
      </c>
      <c r="F105" s="1" t="s">
        <v>784</v>
      </c>
      <c r="G105" s="1"/>
      <c r="H105" s="1" t="s">
        <v>79</v>
      </c>
      <c r="I105" s="1" t="s">
        <v>6</v>
      </c>
      <c r="J105" s="1"/>
      <c r="K105" s="1" t="s">
        <v>9</v>
      </c>
      <c r="L105" s="1" t="s">
        <v>41</v>
      </c>
      <c r="M105" s="1" t="s">
        <v>42</v>
      </c>
      <c r="N105" s="1" t="s">
        <v>785</v>
      </c>
      <c r="O105" s="1" t="s">
        <v>786</v>
      </c>
      <c r="P105" s="1" t="s">
        <v>680</v>
      </c>
    </row>
    <row r="106" spans="1:16" x14ac:dyDescent="0.25">
      <c r="A106" s="1">
        <v>15189</v>
      </c>
      <c r="B106" s="1" t="s">
        <v>787</v>
      </c>
      <c r="C106" s="2" t="s">
        <v>788</v>
      </c>
      <c r="D106" s="1" t="s">
        <v>2</v>
      </c>
      <c r="E106" s="2" t="s">
        <v>789</v>
      </c>
      <c r="F106" s="1" t="s">
        <v>790</v>
      </c>
      <c r="G106" s="1"/>
      <c r="H106" s="1" t="s">
        <v>106</v>
      </c>
      <c r="I106" s="1" t="s">
        <v>6</v>
      </c>
      <c r="J106" s="1" t="s">
        <v>791</v>
      </c>
      <c r="K106" s="1" t="s">
        <v>792</v>
      </c>
      <c r="L106" s="1" t="s">
        <v>793</v>
      </c>
      <c r="M106" s="1" t="s">
        <v>794</v>
      </c>
      <c r="N106" s="1" t="s">
        <v>795</v>
      </c>
      <c r="O106" s="1" t="s">
        <v>796</v>
      </c>
      <c r="P106" s="1" t="s">
        <v>797</v>
      </c>
    </row>
    <row r="107" spans="1:16" x14ac:dyDescent="0.25">
      <c r="A107" s="1">
        <v>15218</v>
      </c>
      <c r="B107" s="1" t="s">
        <v>798</v>
      </c>
      <c r="C107" s="2" t="s">
        <v>799</v>
      </c>
      <c r="D107" s="1" t="s">
        <v>2</v>
      </c>
      <c r="E107" s="2" t="s">
        <v>800</v>
      </c>
      <c r="F107" s="1" t="s">
        <v>801</v>
      </c>
      <c r="G107" s="1"/>
      <c r="H107" s="1" t="s">
        <v>802</v>
      </c>
      <c r="I107" s="1" t="s">
        <v>6</v>
      </c>
      <c r="J107" s="1" t="s">
        <v>803</v>
      </c>
      <c r="K107" s="1" t="s">
        <v>804</v>
      </c>
      <c r="L107" s="1" t="s">
        <v>805</v>
      </c>
      <c r="M107" s="1" t="s">
        <v>806</v>
      </c>
      <c r="N107" s="1" t="s">
        <v>807</v>
      </c>
      <c r="O107" s="1" t="s">
        <v>808</v>
      </c>
      <c r="P107" s="1" t="s">
        <v>797</v>
      </c>
    </row>
    <row r="108" spans="1:16" x14ac:dyDescent="0.25">
      <c r="A108" s="1">
        <v>16163</v>
      </c>
      <c r="B108" s="1" t="s">
        <v>809</v>
      </c>
      <c r="C108" s="2" t="s">
        <v>810</v>
      </c>
      <c r="D108" s="1" t="s">
        <v>2</v>
      </c>
      <c r="E108" s="2" t="s">
        <v>811</v>
      </c>
      <c r="F108" s="1" t="s">
        <v>812</v>
      </c>
      <c r="G108" s="1"/>
      <c r="H108" s="1" t="s">
        <v>813</v>
      </c>
      <c r="I108" s="1" t="s">
        <v>6</v>
      </c>
      <c r="J108" s="1" t="s">
        <v>814</v>
      </c>
      <c r="K108" s="1" t="s">
        <v>815</v>
      </c>
      <c r="L108" s="1" t="s">
        <v>816</v>
      </c>
      <c r="M108" s="1" t="s">
        <v>817</v>
      </c>
      <c r="N108" s="1" t="s">
        <v>818</v>
      </c>
      <c r="O108" s="1" t="s">
        <v>819</v>
      </c>
      <c r="P108" s="1" t="s">
        <v>797</v>
      </c>
    </row>
    <row r="109" spans="1:16" x14ac:dyDescent="0.25">
      <c r="A109" s="1">
        <v>17413</v>
      </c>
      <c r="B109" s="1" t="s">
        <v>820</v>
      </c>
      <c r="C109" s="2" t="s">
        <v>821</v>
      </c>
      <c r="D109" s="1" t="s">
        <v>2</v>
      </c>
      <c r="E109" s="2" t="s">
        <v>822</v>
      </c>
      <c r="F109" s="1" t="s">
        <v>823</v>
      </c>
      <c r="G109" s="1"/>
      <c r="H109" s="1" t="s">
        <v>147</v>
      </c>
      <c r="I109" s="1" t="s">
        <v>6</v>
      </c>
      <c r="J109" s="1" t="s">
        <v>824</v>
      </c>
      <c r="K109" s="1" t="s">
        <v>425</v>
      </c>
      <c r="L109" s="1" t="s">
        <v>825</v>
      </c>
      <c r="M109" s="1" t="s">
        <v>826</v>
      </c>
      <c r="N109" s="1" t="s">
        <v>827</v>
      </c>
      <c r="O109" s="1" t="s">
        <v>828</v>
      </c>
      <c r="P109" s="1" t="s">
        <v>797</v>
      </c>
    </row>
    <row r="110" spans="1:16" x14ac:dyDescent="0.25">
      <c r="A110" s="1">
        <v>17985</v>
      </c>
      <c r="B110" s="1" t="s">
        <v>829</v>
      </c>
      <c r="C110" s="2" t="s">
        <v>830</v>
      </c>
      <c r="D110" s="1" t="s">
        <v>2</v>
      </c>
      <c r="E110" s="2" t="s">
        <v>831</v>
      </c>
      <c r="F110" s="1" t="s">
        <v>832</v>
      </c>
      <c r="G110" s="1"/>
      <c r="H110" s="1" t="s">
        <v>106</v>
      </c>
      <c r="I110" s="1" t="s">
        <v>6</v>
      </c>
      <c r="J110" s="1" t="s">
        <v>833</v>
      </c>
      <c r="K110" s="1" t="s">
        <v>548</v>
      </c>
      <c r="L110" s="1" t="s">
        <v>108</v>
      </c>
      <c r="M110" s="1" t="s">
        <v>183</v>
      </c>
      <c r="N110" s="1" t="s">
        <v>834</v>
      </c>
      <c r="O110" s="1" t="s">
        <v>615</v>
      </c>
      <c r="P110" s="1" t="s">
        <v>797</v>
      </c>
    </row>
    <row r="111" spans="1:16" x14ac:dyDescent="0.25">
      <c r="A111" s="1">
        <v>18363</v>
      </c>
      <c r="B111" s="1" t="s">
        <v>835</v>
      </c>
      <c r="C111" s="2" t="s">
        <v>836</v>
      </c>
      <c r="D111" s="1" t="s">
        <v>2</v>
      </c>
      <c r="E111" s="2" t="s">
        <v>837</v>
      </c>
      <c r="F111" s="1" t="s">
        <v>838</v>
      </c>
      <c r="G111" s="1"/>
      <c r="H111" s="1" t="s">
        <v>106</v>
      </c>
      <c r="I111" s="1" t="s">
        <v>6</v>
      </c>
      <c r="J111" s="1" t="s">
        <v>839</v>
      </c>
      <c r="K111" s="1" t="s">
        <v>840</v>
      </c>
      <c r="L111" s="1" t="s">
        <v>8</v>
      </c>
      <c r="M111" s="1" t="s">
        <v>109</v>
      </c>
      <c r="N111" s="1" t="s">
        <v>841</v>
      </c>
      <c r="O111" s="1" t="s">
        <v>841</v>
      </c>
      <c r="P111" s="1" t="s">
        <v>797</v>
      </c>
    </row>
    <row r="112" spans="1:16" x14ac:dyDescent="0.25">
      <c r="A112" s="1">
        <v>19350</v>
      </c>
      <c r="B112" s="1" t="s">
        <v>842</v>
      </c>
      <c r="C112" s="2" t="s">
        <v>843</v>
      </c>
      <c r="D112" s="1" t="s">
        <v>2</v>
      </c>
      <c r="E112" s="2" t="s">
        <v>844</v>
      </c>
      <c r="F112" s="1" t="s">
        <v>845</v>
      </c>
      <c r="G112" s="1"/>
      <c r="H112" s="1" t="s">
        <v>846</v>
      </c>
      <c r="I112" s="1" t="s">
        <v>6</v>
      </c>
      <c r="J112" s="1" t="s">
        <v>847</v>
      </c>
      <c r="K112" s="1" t="s">
        <v>848</v>
      </c>
      <c r="L112" s="1" t="s">
        <v>302</v>
      </c>
      <c r="M112" s="1" t="s">
        <v>447</v>
      </c>
      <c r="N112" s="1" t="s">
        <v>849</v>
      </c>
      <c r="O112" s="1" t="s">
        <v>850</v>
      </c>
      <c r="P112" s="1" t="s">
        <v>797</v>
      </c>
    </row>
    <row r="113" spans="1:16" x14ac:dyDescent="0.25">
      <c r="A113" s="1">
        <v>20949</v>
      </c>
      <c r="B113" s="1" t="s">
        <v>851</v>
      </c>
      <c r="C113" s="2" t="s">
        <v>852</v>
      </c>
      <c r="D113" s="1" t="s">
        <v>2</v>
      </c>
      <c r="E113" s="2" t="s">
        <v>853</v>
      </c>
      <c r="F113" s="1" t="s">
        <v>854</v>
      </c>
      <c r="G113" s="1"/>
      <c r="H113" s="1" t="s">
        <v>219</v>
      </c>
      <c r="I113" s="1" t="s">
        <v>6</v>
      </c>
      <c r="J113" s="1" t="s">
        <v>350</v>
      </c>
      <c r="K113" s="1" t="s">
        <v>855</v>
      </c>
      <c r="L113" s="1" t="s">
        <v>302</v>
      </c>
      <c r="M113" s="1" t="s">
        <v>447</v>
      </c>
      <c r="N113" s="1" t="s">
        <v>856</v>
      </c>
      <c r="O113" s="1" t="s">
        <v>857</v>
      </c>
      <c r="P113" s="1" t="s">
        <v>797</v>
      </c>
    </row>
    <row r="114" spans="1:16" x14ac:dyDescent="0.25">
      <c r="A114" s="1">
        <v>21238</v>
      </c>
      <c r="B114" s="1" t="s">
        <v>858</v>
      </c>
      <c r="C114" s="2" t="s">
        <v>859</v>
      </c>
      <c r="D114" s="1" t="s">
        <v>2</v>
      </c>
      <c r="E114" s="2" t="s">
        <v>860</v>
      </c>
      <c r="F114" s="1" t="s">
        <v>861</v>
      </c>
      <c r="G114" s="1"/>
      <c r="H114" s="1" t="s">
        <v>268</v>
      </c>
      <c r="I114" s="1" t="s">
        <v>6</v>
      </c>
      <c r="J114" s="1" t="s">
        <v>862</v>
      </c>
      <c r="K114" s="1" t="s">
        <v>863</v>
      </c>
      <c r="L114" s="1" t="s">
        <v>41</v>
      </c>
      <c r="M114" s="1" t="s">
        <v>42</v>
      </c>
      <c r="N114" s="1" t="s">
        <v>864</v>
      </c>
      <c r="O114" s="1" t="s">
        <v>504</v>
      </c>
      <c r="P114" s="1" t="s">
        <v>797</v>
      </c>
    </row>
    <row r="115" spans="1:16" x14ac:dyDescent="0.25">
      <c r="A115" s="1">
        <v>22811</v>
      </c>
      <c r="B115" s="1" t="s">
        <v>865</v>
      </c>
      <c r="C115" s="2" t="s">
        <v>866</v>
      </c>
      <c r="D115" s="1" t="s">
        <v>2</v>
      </c>
      <c r="E115" s="2" t="s">
        <v>867</v>
      </c>
      <c r="F115" s="1" t="s">
        <v>868</v>
      </c>
      <c r="G115" s="1"/>
      <c r="H115" s="1" t="s">
        <v>213</v>
      </c>
      <c r="I115" s="1" t="s">
        <v>6</v>
      </c>
      <c r="J115" s="1" t="s">
        <v>869</v>
      </c>
      <c r="K115" s="1" t="s">
        <v>792</v>
      </c>
      <c r="L115" s="1" t="s">
        <v>71</v>
      </c>
      <c r="M115" s="1" t="s">
        <v>72</v>
      </c>
      <c r="N115" s="1" t="s">
        <v>533</v>
      </c>
      <c r="O115" s="1" t="s">
        <v>870</v>
      </c>
      <c r="P115" s="1" t="s">
        <v>797</v>
      </c>
    </row>
    <row r="116" spans="1:16" x14ac:dyDescent="0.25">
      <c r="A116" s="1">
        <v>23119</v>
      </c>
      <c r="B116" s="1" t="s">
        <v>871</v>
      </c>
      <c r="C116" s="2" t="s">
        <v>872</v>
      </c>
      <c r="D116" s="1" t="s">
        <v>2</v>
      </c>
      <c r="E116" s="2" t="s">
        <v>873</v>
      </c>
      <c r="F116" s="1" t="s">
        <v>874</v>
      </c>
      <c r="G116" s="1"/>
      <c r="H116" s="1" t="s">
        <v>875</v>
      </c>
      <c r="I116" s="1" t="s">
        <v>6</v>
      </c>
      <c r="J116" s="1" t="s">
        <v>876</v>
      </c>
      <c r="K116" s="1" t="s">
        <v>157</v>
      </c>
      <c r="L116" s="1" t="s">
        <v>877</v>
      </c>
      <c r="M116" s="1" t="s">
        <v>878</v>
      </c>
      <c r="N116" s="1" t="s">
        <v>879</v>
      </c>
      <c r="O116" s="1" t="s">
        <v>418</v>
      </c>
      <c r="P116" s="1" t="s">
        <v>797</v>
      </c>
    </row>
    <row r="117" spans="1:16" x14ac:dyDescent="0.25">
      <c r="A117" s="1">
        <v>24286</v>
      </c>
      <c r="B117" s="1" t="s">
        <v>880</v>
      </c>
      <c r="C117" s="2" t="s">
        <v>881</v>
      </c>
      <c r="D117" s="1" t="s">
        <v>2</v>
      </c>
      <c r="E117" s="2" t="s">
        <v>882</v>
      </c>
      <c r="F117" s="1" t="s">
        <v>883</v>
      </c>
      <c r="G117" s="1"/>
      <c r="H117" s="1" t="s">
        <v>884</v>
      </c>
      <c r="I117" s="1" t="s">
        <v>6</v>
      </c>
      <c r="J117" s="1" t="s">
        <v>532</v>
      </c>
      <c r="K117" s="1" t="s">
        <v>568</v>
      </c>
      <c r="L117" s="1" t="s">
        <v>31</v>
      </c>
      <c r="M117" s="1" t="s">
        <v>32</v>
      </c>
      <c r="N117" s="1" t="s">
        <v>780</v>
      </c>
      <c r="O117" s="1" t="s">
        <v>885</v>
      </c>
      <c r="P117" s="1" t="s">
        <v>797</v>
      </c>
    </row>
    <row r="118" spans="1:16" x14ac:dyDescent="0.25">
      <c r="A118" s="1">
        <v>24288</v>
      </c>
      <c r="B118" s="1" t="s">
        <v>886</v>
      </c>
      <c r="C118" s="2" t="s">
        <v>887</v>
      </c>
      <c r="D118" s="1" t="s">
        <v>2</v>
      </c>
      <c r="E118" s="2" t="s">
        <v>888</v>
      </c>
      <c r="F118" s="1" t="s">
        <v>883</v>
      </c>
      <c r="G118" s="1"/>
      <c r="H118" s="1" t="s">
        <v>884</v>
      </c>
      <c r="I118" s="1" t="s">
        <v>6</v>
      </c>
      <c r="J118" s="1" t="s">
        <v>532</v>
      </c>
      <c r="K118" s="1" t="s">
        <v>889</v>
      </c>
      <c r="L118" s="1" t="s">
        <v>199</v>
      </c>
      <c r="M118" s="1" t="s">
        <v>890</v>
      </c>
      <c r="N118" s="1" t="s">
        <v>891</v>
      </c>
      <c r="O118" s="1" t="s">
        <v>892</v>
      </c>
      <c r="P118" s="1" t="s">
        <v>797</v>
      </c>
    </row>
    <row r="119" spans="1:16" x14ac:dyDescent="0.25">
      <c r="A119" s="1">
        <v>24677</v>
      </c>
      <c r="B119" s="1" t="s">
        <v>893</v>
      </c>
      <c r="C119" s="2" t="s">
        <v>894</v>
      </c>
      <c r="D119" s="1" t="s">
        <v>2</v>
      </c>
      <c r="E119" s="2" t="s">
        <v>895</v>
      </c>
      <c r="F119" s="1" t="s">
        <v>896</v>
      </c>
      <c r="G119" s="1"/>
      <c r="H119" s="1" t="s">
        <v>897</v>
      </c>
      <c r="I119" s="1" t="s">
        <v>6</v>
      </c>
      <c r="J119" s="1" t="s">
        <v>898</v>
      </c>
      <c r="K119" s="1" t="s">
        <v>899</v>
      </c>
      <c r="L119" s="1" t="s">
        <v>687</v>
      </c>
      <c r="M119" s="1" t="s">
        <v>900</v>
      </c>
      <c r="N119" s="1" t="s">
        <v>901</v>
      </c>
      <c r="O119" s="1" t="s">
        <v>902</v>
      </c>
      <c r="P119" s="1" t="s">
        <v>797</v>
      </c>
    </row>
    <row r="120" spans="1:16" x14ac:dyDescent="0.25">
      <c r="A120" s="1">
        <v>26118</v>
      </c>
      <c r="B120" s="1" t="s">
        <v>903</v>
      </c>
      <c r="C120" s="2" t="s">
        <v>904</v>
      </c>
      <c r="D120" s="1" t="s">
        <v>2</v>
      </c>
      <c r="E120" s="2" t="s">
        <v>905</v>
      </c>
      <c r="F120" s="1" t="s">
        <v>278</v>
      </c>
      <c r="G120" s="1"/>
      <c r="H120" s="1" t="s">
        <v>763</v>
      </c>
      <c r="I120" s="1" t="s">
        <v>6</v>
      </c>
      <c r="J120" s="1" t="s">
        <v>906</v>
      </c>
      <c r="K120" s="1" t="s">
        <v>50</v>
      </c>
      <c r="L120" s="1" t="s">
        <v>82</v>
      </c>
      <c r="M120" s="1" t="s">
        <v>83</v>
      </c>
      <c r="N120" s="1" t="s">
        <v>907</v>
      </c>
      <c r="O120" s="1" t="s">
        <v>908</v>
      </c>
      <c r="P120" s="1" t="s">
        <v>797</v>
      </c>
    </row>
    <row r="121" spans="1:16" x14ac:dyDescent="0.25">
      <c r="A121" s="1">
        <v>26224</v>
      </c>
      <c r="B121" s="1" t="s">
        <v>909</v>
      </c>
      <c r="C121" s="2" t="s">
        <v>910</v>
      </c>
      <c r="D121" s="1" t="s">
        <v>2</v>
      </c>
      <c r="E121" s="2" t="s">
        <v>911</v>
      </c>
      <c r="F121" s="1" t="s">
        <v>389</v>
      </c>
      <c r="G121" s="1"/>
      <c r="H121" s="1" t="s">
        <v>79</v>
      </c>
      <c r="I121" s="1" t="s">
        <v>6</v>
      </c>
      <c r="J121" s="1" t="s">
        <v>912</v>
      </c>
      <c r="K121" s="1" t="s">
        <v>20</v>
      </c>
      <c r="L121" s="1" t="s">
        <v>8</v>
      </c>
      <c r="M121" s="1" t="s">
        <v>109</v>
      </c>
      <c r="N121" s="1"/>
      <c r="O121" s="1"/>
      <c r="P121" s="1" t="s">
        <v>797</v>
      </c>
    </row>
    <row r="122" spans="1:16" x14ac:dyDescent="0.25">
      <c r="A122" s="1">
        <v>26446</v>
      </c>
      <c r="B122" s="1" t="s">
        <v>913</v>
      </c>
      <c r="C122" s="2" t="s">
        <v>914</v>
      </c>
      <c r="D122" s="1" t="s">
        <v>2</v>
      </c>
      <c r="E122" s="2" t="s">
        <v>915</v>
      </c>
      <c r="F122" s="1" t="s">
        <v>389</v>
      </c>
      <c r="G122" s="1"/>
      <c r="H122" s="1" t="s">
        <v>916</v>
      </c>
      <c r="I122" s="1" t="s">
        <v>6</v>
      </c>
      <c r="J122" s="1" t="s">
        <v>917</v>
      </c>
      <c r="K122" s="1" t="s">
        <v>446</v>
      </c>
      <c r="L122" s="1" t="s">
        <v>918</v>
      </c>
      <c r="M122" s="1" t="s">
        <v>919</v>
      </c>
      <c r="N122" s="1" t="s">
        <v>920</v>
      </c>
      <c r="O122" s="1" t="s">
        <v>920</v>
      </c>
      <c r="P122" s="1" t="s">
        <v>797</v>
      </c>
    </row>
    <row r="123" spans="1:16" x14ac:dyDescent="0.25">
      <c r="A123" s="1">
        <v>26470</v>
      </c>
      <c r="B123" s="1" t="s">
        <v>921</v>
      </c>
      <c r="C123" s="2" t="s">
        <v>922</v>
      </c>
      <c r="D123" s="1" t="s">
        <v>2</v>
      </c>
      <c r="E123" s="2" t="s">
        <v>923</v>
      </c>
      <c r="F123" s="1" t="s">
        <v>924</v>
      </c>
      <c r="G123" s="1"/>
      <c r="H123" s="1" t="s">
        <v>884</v>
      </c>
      <c r="I123" s="1" t="s">
        <v>6</v>
      </c>
      <c r="J123" s="1" t="s">
        <v>925</v>
      </c>
      <c r="K123" s="1" t="s">
        <v>926</v>
      </c>
      <c r="L123" s="1" t="s">
        <v>31</v>
      </c>
      <c r="M123" s="1" t="s">
        <v>32</v>
      </c>
      <c r="N123" s="1" t="s">
        <v>927</v>
      </c>
      <c r="O123" s="1" t="s">
        <v>928</v>
      </c>
      <c r="P123" s="1" t="s">
        <v>797</v>
      </c>
    </row>
    <row r="124" spans="1:16" x14ac:dyDescent="0.25">
      <c r="A124" s="1">
        <v>16236</v>
      </c>
      <c r="B124" s="1" t="s">
        <v>929</v>
      </c>
      <c r="C124" s="2" t="s">
        <v>930</v>
      </c>
      <c r="D124" s="1" t="s">
        <v>2</v>
      </c>
      <c r="E124" s="2" t="s">
        <v>931</v>
      </c>
      <c r="F124" s="1" t="s">
        <v>932</v>
      </c>
      <c r="G124" s="1"/>
      <c r="H124" s="1" t="s">
        <v>115</v>
      </c>
      <c r="I124" s="1" t="s">
        <v>6</v>
      </c>
      <c r="J124" s="1" t="s">
        <v>933</v>
      </c>
      <c r="K124" s="1" t="s">
        <v>934</v>
      </c>
      <c r="L124" s="1" t="s">
        <v>935</v>
      </c>
      <c r="M124" s="1" t="s">
        <v>936</v>
      </c>
      <c r="N124" s="1" t="s">
        <v>657</v>
      </c>
      <c r="O124" s="1" t="s">
        <v>937</v>
      </c>
      <c r="P124" s="1" t="s">
        <v>938</v>
      </c>
    </row>
    <row r="125" spans="1:16" x14ac:dyDescent="0.25">
      <c r="A125" s="1">
        <v>17887</v>
      </c>
      <c r="B125" s="1" t="s">
        <v>939</v>
      </c>
      <c r="C125" s="2" t="s">
        <v>940</v>
      </c>
      <c r="D125" s="1" t="s">
        <v>2</v>
      </c>
      <c r="E125" s="2" t="s">
        <v>941</v>
      </c>
      <c r="F125" s="1" t="s">
        <v>942</v>
      </c>
      <c r="G125" s="1"/>
      <c r="H125" s="1" t="s">
        <v>106</v>
      </c>
      <c r="I125" s="1" t="s">
        <v>6</v>
      </c>
      <c r="J125" s="1" t="s">
        <v>943</v>
      </c>
      <c r="K125" s="1" t="s">
        <v>944</v>
      </c>
      <c r="L125" s="1" t="s">
        <v>945</v>
      </c>
      <c r="M125" s="1" t="s">
        <v>946</v>
      </c>
      <c r="N125" s="1" t="s">
        <v>947</v>
      </c>
      <c r="O125" s="1" t="s">
        <v>948</v>
      </c>
      <c r="P125" s="1" t="s">
        <v>938</v>
      </c>
    </row>
    <row r="126" spans="1:16" x14ac:dyDescent="0.25">
      <c r="A126" s="1">
        <v>18696</v>
      </c>
      <c r="B126" s="1" t="s">
        <v>949</v>
      </c>
      <c r="C126" s="2" t="s">
        <v>950</v>
      </c>
      <c r="D126" s="1" t="s">
        <v>2</v>
      </c>
      <c r="E126" s="2" t="s">
        <v>951</v>
      </c>
      <c r="F126" s="1" t="s">
        <v>952</v>
      </c>
      <c r="G126" s="1"/>
      <c r="H126" s="1" t="s">
        <v>596</v>
      </c>
      <c r="I126" s="1" t="s">
        <v>6</v>
      </c>
      <c r="J126" s="1" t="s">
        <v>953</v>
      </c>
      <c r="K126" s="1" t="s">
        <v>257</v>
      </c>
      <c r="L126" s="1" t="s">
        <v>8</v>
      </c>
      <c r="M126" s="1" t="s">
        <v>109</v>
      </c>
      <c r="N126" s="1" t="s">
        <v>954</v>
      </c>
      <c r="O126" s="1" t="s">
        <v>955</v>
      </c>
      <c r="P126" s="1" t="s">
        <v>938</v>
      </c>
    </row>
    <row r="127" spans="1:16" x14ac:dyDescent="0.25">
      <c r="A127" s="1">
        <v>19827</v>
      </c>
      <c r="B127" s="1" t="s">
        <v>956</v>
      </c>
      <c r="C127" s="2" t="s">
        <v>957</v>
      </c>
      <c r="D127" s="1" t="s">
        <v>2</v>
      </c>
      <c r="E127" s="2" t="s">
        <v>958</v>
      </c>
      <c r="F127" s="1" t="s">
        <v>959</v>
      </c>
      <c r="G127" s="1"/>
      <c r="H127" s="1" t="s">
        <v>960</v>
      </c>
      <c r="I127" s="1" t="s">
        <v>6</v>
      </c>
      <c r="J127" s="1" t="s">
        <v>961</v>
      </c>
      <c r="K127" s="1" t="s">
        <v>20</v>
      </c>
      <c r="L127" s="1" t="s">
        <v>962</v>
      </c>
      <c r="M127" s="1" t="s">
        <v>963</v>
      </c>
      <c r="N127" s="1" t="s">
        <v>964</v>
      </c>
      <c r="O127" s="1" t="s">
        <v>965</v>
      </c>
      <c r="P127" s="1" t="s">
        <v>938</v>
      </c>
    </row>
    <row r="128" spans="1:16" x14ac:dyDescent="0.25">
      <c r="A128" s="1">
        <v>19861</v>
      </c>
      <c r="B128" s="1" t="s">
        <v>966</v>
      </c>
      <c r="C128" s="2" t="s">
        <v>967</v>
      </c>
      <c r="D128" s="1" t="s">
        <v>2</v>
      </c>
      <c r="E128" s="2" t="s">
        <v>968</v>
      </c>
      <c r="F128" s="1" t="s">
        <v>969</v>
      </c>
      <c r="G128" s="1"/>
      <c r="H128" s="1" t="s">
        <v>970</v>
      </c>
      <c r="I128" s="1" t="s">
        <v>6</v>
      </c>
      <c r="J128" s="1" t="s">
        <v>324</v>
      </c>
      <c r="K128" s="1" t="s">
        <v>492</v>
      </c>
      <c r="L128" s="1" t="s">
        <v>31</v>
      </c>
      <c r="M128" s="1" t="s">
        <v>32</v>
      </c>
      <c r="N128" s="1" t="s">
        <v>971</v>
      </c>
      <c r="O128" s="1" t="s">
        <v>972</v>
      </c>
      <c r="P128" s="1" t="s">
        <v>938</v>
      </c>
    </row>
    <row r="129" spans="1:16" x14ac:dyDescent="0.25">
      <c r="A129" s="1">
        <v>21539</v>
      </c>
      <c r="B129" s="1" t="s">
        <v>973</v>
      </c>
      <c r="C129" s="2" t="s">
        <v>974</v>
      </c>
      <c r="D129" s="1" t="s">
        <v>2</v>
      </c>
      <c r="E129" s="2" t="s">
        <v>975</v>
      </c>
      <c r="F129" s="1" t="s">
        <v>854</v>
      </c>
      <c r="G129" s="1"/>
      <c r="H129" s="1" t="s">
        <v>976</v>
      </c>
      <c r="I129" s="1" t="s">
        <v>6</v>
      </c>
      <c r="J129" s="1" t="s">
        <v>977</v>
      </c>
      <c r="K129" s="1" t="s">
        <v>978</v>
      </c>
      <c r="L129" s="1" t="s">
        <v>241</v>
      </c>
      <c r="M129" s="1" t="s">
        <v>979</v>
      </c>
      <c r="N129" s="1" t="s">
        <v>427</v>
      </c>
      <c r="O129" s="1" t="s">
        <v>980</v>
      </c>
      <c r="P129" s="1" t="s">
        <v>938</v>
      </c>
    </row>
    <row r="130" spans="1:16" x14ac:dyDescent="0.25">
      <c r="A130" s="1">
        <v>23077</v>
      </c>
      <c r="B130" s="1" t="s">
        <v>981</v>
      </c>
      <c r="C130" s="2" t="s">
        <v>982</v>
      </c>
      <c r="D130" s="1" t="s">
        <v>2</v>
      </c>
      <c r="E130" s="2" t="s">
        <v>983</v>
      </c>
      <c r="F130" s="1" t="s">
        <v>984</v>
      </c>
      <c r="G130" s="1"/>
      <c r="H130" s="1" t="s">
        <v>985</v>
      </c>
      <c r="I130" s="1" t="s">
        <v>6</v>
      </c>
      <c r="J130" s="1" t="s">
        <v>986</v>
      </c>
      <c r="K130" s="1" t="s">
        <v>987</v>
      </c>
      <c r="L130" s="1" t="s">
        <v>988</v>
      </c>
      <c r="M130" s="1" t="s">
        <v>989</v>
      </c>
      <c r="N130" s="1" t="s">
        <v>990</v>
      </c>
      <c r="O130" s="1" t="s">
        <v>690</v>
      </c>
      <c r="P130" s="1" t="s">
        <v>938</v>
      </c>
    </row>
    <row r="131" spans="1:16" x14ac:dyDescent="0.25">
      <c r="A131" s="1">
        <v>23477</v>
      </c>
      <c r="B131" s="1" t="s">
        <v>991</v>
      </c>
      <c r="C131" s="2" t="s">
        <v>992</v>
      </c>
      <c r="D131" s="1" t="s">
        <v>2</v>
      </c>
      <c r="E131" s="2" t="s">
        <v>993</v>
      </c>
      <c r="F131" s="1" t="s">
        <v>994</v>
      </c>
      <c r="G131" s="1"/>
      <c r="H131" s="1" t="s">
        <v>995</v>
      </c>
      <c r="I131" s="1" t="s">
        <v>6</v>
      </c>
      <c r="J131" s="1" t="s">
        <v>996</v>
      </c>
      <c r="K131" s="1" t="s">
        <v>997</v>
      </c>
      <c r="L131" s="1" t="s">
        <v>998</v>
      </c>
      <c r="M131" s="1" t="s">
        <v>999</v>
      </c>
      <c r="N131" s="1" t="s">
        <v>1000</v>
      </c>
      <c r="O131" s="1" t="s">
        <v>1001</v>
      </c>
      <c r="P131" s="1" t="s">
        <v>938</v>
      </c>
    </row>
    <row r="132" spans="1:16" x14ac:dyDescent="0.25">
      <c r="A132" s="1">
        <v>24295</v>
      </c>
      <c r="B132" s="1" t="s">
        <v>1002</v>
      </c>
      <c r="C132" s="2" t="s">
        <v>1003</v>
      </c>
      <c r="D132" s="1" t="s">
        <v>2</v>
      </c>
      <c r="E132" s="2" t="s">
        <v>1004</v>
      </c>
      <c r="F132" s="1" t="s">
        <v>179</v>
      </c>
      <c r="G132" s="1"/>
      <c r="H132" s="1" t="s">
        <v>884</v>
      </c>
      <c r="I132" s="1" t="s">
        <v>6</v>
      </c>
      <c r="J132" s="1" t="s">
        <v>532</v>
      </c>
      <c r="K132" s="1" t="s">
        <v>199</v>
      </c>
      <c r="L132" s="1" t="s">
        <v>41</v>
      </c>
      <c r="M132" s="1" t="s">
        <v>42</v>
      </c>
      <c r="N132" s="1" t="s">
        <v>1005</v>
      </c>
      <c r="O132" s="1" t="s">
        <v>1006</v>
      </c>
      <c r="P132" s="1" t="s">
        <v>938</v>
      </c>
    </row>
    <row r="133" spans="1:16" x14ac:dyDescent="0.25">
      <c r="A133" s="1">
        <v>24762</v>
      </c>
      <c r="B133" s="1" t="s">
        <v>1007</v>
      </c>
      <c r="C133" s="2" t="s">
        <v>1008</v>
      </c>
      <c r="D133" s="1" t="s">
        <v>2</v>
      </c>
      <c r="E133" s="2" t="s">
        <v>1009</v>
      </c>
      <c r="F133" s="1" t="s">
        <v>1010</v>
      </c>
      <c r="G133" s="1"/>
      <c r="H133" s="1" t="s">
        <v>344</v>
      </c>
      <c r="I133" s="1" t="s">
        <v>6</v>
      </c>
      <c r="J133" s="1" t="s">
        <v>1011</v>
      </c>
      <c r="K133" s="1" t="s">
        <v>502</v>
      </c>
      <c r="L133" s="1" t="s">
        <v>1012</v>
      </c>
      <c r="M133" s="1" t="s">
        <v>1013</v>
      </c>
      <c r="N133" s="1" t="s">
        <v>1014</v>
      </c>
      <c r="O133" s="1" t="s">
        <v>1000</v>
      </c>
      <c r="P133" s="1" t="s">
        <v>938</v>
      </c>
    </row>
    <row r="134" spans="1:16" x14ac:dyDescent="0.25">
      <c r="A134" s="1">
        <v>25141</v>
      </c>
      <c r="B134" s="1" t="s">
        <v>1015</v>
      </c>
      <c r="C134" s="2" t="s">
        <v>1016</v>
      </c>
      <c r="D134" s="1" t="s">
        <v>2</v>
      </c>
      <c r="E134" s="2" t="s">
        <v>1017</v>
      </c>
      <c r="F134" s="1" t="s">
        <v>1018</v>
      </c>
      <c r="G134" s="1"/>
      <c r="H134" s="1" t="s">
        <v>147</v>
      </c>
      <c r="I134" s="1" t="s">
        <v>6</v>
      </c>
      <c r="J134" s="1" t="s">
        <v>1019</v>
      </c>
      <c r="K134" s="1" t="s">
        <v>1020</v>
      </c>
      <c r="L134" s="1" t="s">
        <v>1021</v>
      </c>
      <c r="M134" s="1" t="s">
        <v>1022</v>
      </c>
      <c r="N134" s="1" t="s">
        <v>1023</v>
      </c>
      <c r="O134" s="1" t="s">
        <v>1024</v>
      </c>
      <c r="P134" s="1" t="s">
        <v>938</v>
      </c>
    </row>
    <row r="135" spans="1:16" x14ac:dyDescent="0.25">
      <c r="A135" s="1">
        <v>25572</v>
      </c>
      <c r="B135" s="1" t="s">
        <v>1025</v>
      </c>
      <c r="C135" s="2" t="s">
        <v>1026</v>
      </c>
      <c r="D135" s="1" t="s">
        <v>2</v>
      </c>
      <c r="E135" s="2" t="s">
        <v>1027</v>
      </c>
      <c r="F135" s="1" t="s">
        <v>1028</v>
      </c>
      <c r="G135" s="1"/>
      <c r="H135" s="1" t="s">
        <v>1029</v>
      </c>
      <c r="I135" s="1" t="s">
        <v>6</v>
      </c>
      <c r="J135" s="1" t="s">
        <v>1030</v>
      </c>
      <c r="K135" s="1" t="s">
        <v>1031</v>
      </c>
      <c r="L135" s="1" t="s">
        <v>241</v>
      </c>
      <c r="M135" s="1" t="s">
        <v>979</v>
      </c>
      <c r="N135" s="1" t="s">
        <v>678</v>
      </c>
      <c r="O135" s="1" t="s">
        <v>1032</v>
      </c>
      <c r="P135" s="1" t="s">
        <v>938</v>
      </c>
    </row>
    <row r="136" spans="1:16" x14ac:dyDescent="0.25">
      <c r="A136" s="1">
        <v>26434</v>
      </c>
      <c r="B136" s="1" t="s">
        <v>1033</v>
      </c>
      <c r="C136" s="2" t="s">
        <v>1034</v>
      </c>
      <c r="D136" s="1" t="s">
        <v>2</v>
      </c>
      <c r="E136" s="2" t="s">
        <v>1035</v>
      </c>
      <c r="F136" s="1" t="s">
        <v>1036</v>
      </c>
      <c r="G136" s="1"/>
      <c r="H136" s="1" t="s">
        <v>79</v>
      </c>
      <c r="I136" s="1" t="s">
        <v>6</v>
      </c>
      <c r="J136" s="1" t="s">
        <v>1037</v>
      </c>
      <c r="K136" s="1" t="s">
        <v>82</v>
      </c>
      <c r="L136" s="1" t="s">
        <v>41</v>
      </c>
      <c r="M136" s="1" t="s">
        <v>42</v>
      </c>
      <c r="N136" s="1" t="s">
        <v>1038</v>
      </c>
      <c r="O136" s="1" t="s">
        <v>1039</v>
      </c>
      <c r="P136" s="1" t="s">
        <v>938</v>
      </c>
    </row>
    <row r="137" spans="1:16" x14ac:dyDescent="0.25">
      <c r="A137" s="1">
        <v>15098</v>
      </c>
      <c r="B137" s="1" t="s">
        <v>1040</v>
      </c>
      <c r="C137" s="2" t="s">
        <v>1041</v>
      </c>
      <c r="D137" s="1" t="s">
        <v>2</v>
      </c>
      <c r="E137" s="2" t="s">
        <v>1042</v>
      </c>
      <c r="F137" s="1" t="s">
        <v>1043</v>
      </c>
      <c r="G137" s="1"/>
      <c r="H137" s="1" t="s">
        <v>1044</v>
      </c>
      <c r="I137" s="1" t="s">
        <v>6</v>
      </c>
      <c r="J137" s="1" t="s">
        <v>1045</v>
      </c>
      <c r="K137" s="1" t="s">
        <v>1046</v>
      </c>
      <c r="L137" s="1" t="s">
        <v>1047</v>
      </c>
      <c r="M137" s="1" t="s">
        <v>1048</v>
      </c>
      <c r="N137" s="1" t="s">
        <v>1049</v>
      </c>
      <c r="O137" s="1" t="s">
        <v>1050</v>
      </c>
      <c r="P137" s="1" t="s">
        <v>1051</v>
      </c>
    </row>
    <row r="138" spans="1:16" x14ac:dyDescent="0.25">
      <c r="A138" s="1">
        <v>23097</v>
      </c>
      <c r="B138" s="1" t="s">
        <v>1052</v>
      </c>
      <c r="C138" s="2" t="s">
        <v>1053</v>
      </c>
      <c r="D138" s="1" t="s">
        <v>2</v>
      </c>
      <c r="E138" s="2" t="s">
        <v>1054</v>
      </c>
      <c r="F138" s="1" t="s">
        <v>1055</v>
      </c>
      <c r="G138" s="1"/>
      <c r="H138" s="1" t="s">
        <v>344</v>
      </c>
      <c r="I138" s="1" t="s">
        <v>6</v>
      </c>
      <c r="J138" s="1" t="s">
        <v>1056</v>
      </c>
      <c r="K138" s="1" t="s">
        <v>49</v>
      </c>
      <c r="L138" s="1" t="s">
        <v>1057</v>
      </c>
      <c r="M138" s="1" t="s">
        <v>1058</v>
      </c>
      <c r="N138" s="1" t="s">
        <v>1059</v>
      </c>
      <c r="O138" s="1" t="s">
        <v>1059</v>
      </c>
      <c r="P138" s="1" t="s">
        <v>1051</v>
      </c>
    </row>
    <row r="139" spans="1:16" x14ac:dyDescent="0.25">
      <c r="A139" s="1">
        <v>23111</v>
      </c>
      <c r="B139" s="1" t="s">
        <v>1060</v>
      </c>
      <c r="C139" s="2" t="s">
        <v>1061</v>
      </c>
      <c r="D139" s="1" t="s">
        <v>2</v>
      </c>
      <c r="E139" s="2" t="s">
        <v>1062</v>
      </c>
      <c r="F139" s="1" t="s">
        <v>1063</v>
      </c>
      <c r="G139" s="1"/>
      <c r="H139" s="1" t="s">
        <v>884</v>
      </c>
      <c r="I139" s="1" t="s">
        <v>6</v>
      </c>
      <c r="J139" s="1" t="s">
        <v>1064</v>
      </c>
      <c r="K139" s="1" t="s">
        <v>1065</v>
      </c>
      <c r="L139" s="1" t="s">
        <v>82</v>
      </c>
      <c r="M139" s="1" t="s">
        <v>83</v>
      </c>
      <c r="N139" s="1" t="s">
        <v>1066</v>
      </c>
      <c r="O139" s="1" t="s">
        <v>1067</v>
      </c>
      <c r="P139" s="1" t="s">
        <v>1051</v>
      </c>
    </row>
    <row r="140" spans="1:16" x14ac:dyDescent="0.25">
      <c r="A140" s="1">
        <v>23964</v>
      </c>
      <c r="B140" s="1" t="s">
        <v>1068</v>
      </c>
      <c r="C140" s="2" t="s">
        <v>1069</v>
      </c>
      <c r="D140" s="1" t="s">
        <v>2</v>
      </c>
      <c r="E140" s="2" t="s">
        <v>1070</v>
      </c>
      <c r="F140" s="1" t="s">
        <v>1071</v>
      </c>
      <c r="G140" s="1"/>
      <c r="H140" s="1" t="s">
        <v>1072</v>
      </c>
      <c r="I140" s="1" t="s">
        <v>6</v>
      </c>
      <c r="J140" s="1" t="s">
        <v>291</v>
      </c>
      <c r="K140" s="1" t="s">
        <v>926</v>
      </c>
      <c r="L140" s="1" t="s">
        <v>9</v>
      </c>
      <c r="M140" s="1" t="s">
        <v>10</v>
      </c>
      <c r="N140" s="1" t="s">
        <v>1073</v>
      </c>
      <c r="O140" s="1" t="s">
        <v>1074</v>
      </c>
      <c r="P140" s="1" t="s">
        <v>1051</v>
      </c>
    </row>
    <row r="141" spans="1:16" x14ac:dyDescent="0.25">
      <c r="A141" s="1">
        <v>14350</v>
      </c>
      <c r="B141" s="1" t="s">
        <v>1075</v>
      </c>
      <c r="C141" s="2" t="s">
        <v>1076</v>
      </c>
      <c r="D141" s="1" t="s">
        <v>2</v>
      </c>
      <c r="E141" s="2" t="s">
        <v>1077</v>
      </c>
      <c r="F141" s="1" t="s">
        <v>1078</v>
      </c>
      <c r="G141" s="1"/>
      <c r="H141" s="1" t="s">
        <v>1079</v>
      </c>
      <c r="I141" s="1" t="s">
        <v>6</v>
      </c>
      <c r="J141" s="1" t="s">
        <v>1080</v>
      </c>
      <c r="K141" s="1" t="s">
        <v>588</v>
      </c>
      <c r="L141" s="1" t="s">
        <v>8</v>
      </c>
      <c r="M141" s="1" t="s">
        <v>109</v>
      </c>
      <c r="N141" s="1" t="s">
        <v>1081</v>
      </c>
      <c r="O141" s="1" t="s">
        <v>1082</v>
      </c>
      <c r="P141" s="1" t="s">
        <v>1083</v>
      </c>
    </row>
    <row r="142" spans="1:16" x14ac:dyDescent="0.25">
      <c r="A142" s="1">
        <v>16145</v>
      </c>
      <c r="B142" s="1" t="s">
        <v>1084</v>
      </c>
      <c r="C142" s="2" t="s">
        <v>1085</v>
      </c>
      <c r="D142" s="1" t="s">
        <v>2</v>
      </c>
      <c r="E142" s="2" t="s">
        <v>1086</v>
      </c>
      <c r="F142" s="1" t="s">
        <v>1087</v>
      </c>
      <c r="G142" s="1"/>
      <c r="H142" s="1" t="s">
        <v>394</v>
      </c>
      <c r="I142" s="1" t="s">
        <v>6</v>
      </c>
      <c r="J142" s="1" t="s">
        <v>1088</v>
      </c>
      <c r="K142" s="1" t="s">
        <v>92</v>
      </c>
      <c r="L142" s="1" t="s">
        <v>31</v>
      </c>
      <c r="M142" s="1" t="s">
        <v>32</v>
      </c>
      <c r="N142" s="1" t="s">
        <v>653</v>
      </c>
      <c r="O142" s="1" t="s">
        <v>1089</v>
      </c>
      <c r="P142" s="1" t="s">
        <v>1083</v>
      </c>
    </row>
    <row r="143" spans="1:16" x14ac:dyDescent="0.25">
      <c r="A143" s="1">
        <v>18421</v>
      </c>
      <c r="B143" s="1" t="s">
        <v>1090</v>
      </c>
      <c r="C143" s="2" t="s">
        <v>1091</v>
      </c>
      <c r="D143" s="1" t="s">
        <v>2</v>
      </c>
      <c r="E143" s="2" t="s">
        <v>1092</v>
      </c>
      <c r="F143" s="1" t="s">
        <v>1093</v>
      </c>
      <c r="G143" s="1"/>
      <c r="H143" s="1" t="s">
        <v>106</v>
      </c>
      <c r="I143" s="1" t="s">
        <v>6</v>
      </c>
      <c r="J143" s="1" t="s">
        <v>1094</v>
      </c>
      <c r="K143" s="1" t="s">
        <v>1095</v>
      </c>
      <c r="L143" s="1" t="s">
        <v>31</v>
      </c>
      <c r="M143" s="1" t="s">
        <v>32</v>
      </c>
      <c r="N143" s="1" t="s">
        <v>1096</v>
      </c>
      <c r="O143" s="1" t="s">
        <v>1038</v>
      </c>
      <c r="P143" s="1" t="s">
        <v>1083</v>
      </c>
    </row>
    <row r="144" spans="1:16" x14ac:dyDescent="0.25">
      <c r="A144" s="1">
        <v>18428</v>
      </c>
      <c r="B144" s="1" t="s">
        <v>1097</v>
      </c>
      <c r="C144" s="2" t="s">
        <v>1098</v>
      </c>
      <c r="D144" s="1" t="s">
        <v>2</v>
      </c>
      <c r="E144" s="2" t="s">
        <v>1099</v>
      </c>
      <c r="F144" s="1" t="s">
        <v>1100</v>
      </c>
      <c r="G144" s="1"/>
      <c r="H144" s="1" t="s">
        <v>714</v>
      </c>
      <c r="I144" s="1" t="s">
        <v>6</v>
      </c>
      <c r="J144" s="1" t="s">
        <v>308</v>
      </c>
      <c r="K144" s="1" t="s">
        <v>1101</v>
      </c>
      <c r="L144" s="1" t="s">
        <v>302</v>
      </c>
      <c r="M144" s="1" t="s">
        <v>447</v>
      </c>
      <c r="N144" s="1" t="s">
        <v>1102</v>
      </c>
      <c r="O144" s="1" t="s">
        <v>1102</v>
      </c>
      <c r="P144" s="1" t="s">
        <v>1083</v>
      </c>
    </row>
    <row r="145" spans="1:16" x14ac:dyDescent="0.25">
      <c r="A145" s="1">
        <v>18541</v>
      </c>
      <c r="B145" s="1" t="s">
        <v>1103</v>
      </c>
      <c r="C145" s="2" t="s">
        <v>1104</v>
      </c>
      <c r="D145" s="1" t="s">
        <v>2</v>
      </c>
      <c r="E145" s="2" t="s">
        <v>1105</v>
      </c>
      <c r="F145" s="1" t="s">
        <v>1106</v>
      </c>
      <c r="G145" s="1"/>
      <c r="H145" s="1" t="s">
        <v>1107</v>
      </c>
      <c r="I145" s="1" t="s">
        <v>6</v>
      </c>
      <c r="J145" s="1" t="s">
        <v>59</v>
      </c>
      <c r="K145" s="1" t="s">
        <v>1108</v>
      </c>
      <c r="L145" s="1" t="s">
        <v>31</v>
      </c>
      <c r="M145" s="1" t="s">
        <v>32</v>
      </c>
      <c r="N145" s="1" t="s">
        <v>1109</v>
      </c>
      <c r="O145" s="1" t="s">
        <v>1110</v>
      </c>
      <c r="P145" s="1" t="s">
        <v>1083</v>
      </c>
    </row>
    <row r="146" spans="1:16" x14ac:dyDescent="0.25">
      <c r="A146" s="1">
        <v>19009</v>
      </c>
      <c r="B146" s="1" t="s">
        <v>1111</v>
      </c>
      <c r="C146" s="2" t="s">
        <v>1112</v>
      </c>
      <c r="D146" s="1" t="s">
        <v>2</v>
      </c>
      <c r="E146" s="2" t="s">
        <v>1113</v>
      </c>
      <c r="F146" s="1" t="s">
        <v>1114</v>
      </c>
      <c r="G146" s="1"/>
      <c r="H146" s="1" t="s">
        <v>106</v>
      </c>
      <c r="I146" s="1" t="s">
        <v>6</v>
      </c>
      <c r="J146" s="1" t="s">
        <v>1115</v>
      </c>
      <c r="K146" s="1" t="s">
        <v>302</v>
      </c>
      <c r="L146" s="1" t="s">
        <v>41</v>
      </c>
      <c r="M146" s="1" t="s">
        <v>42</v>
      </c>
      <c r="N146" s="1" t="s">
        <v>1116</v>
      </c>
      <c r="O146" s="1" t="s">
        <v>1117</v>
      </c>
      <c r="P146" s="1" t="s">
        <v>1083</v>
      </c>
    </row>
    <row r="147" spans="1:16" x14ac:dyDescent="0.25">
      <c r="A147" s="1">
        <v>19038</v>
      </c>
      <c r="B147" s="1" t="s">
        <v>1118</v>
      </c>
      <c r="C147" s="2" t="s">
        <v>1119</v>
      </c>
      <c r="D147" s="1" t="s">
        <v>2</v>
      </c>
      <c r="E147" s="2" t="s">
        <v>1120</v>
      </c>
      <c r="F147" s="1" t="s">
        <v>1121</v>
      </c>
      <c r="G147" s="1"/>
      <c r="H147" s="1" t="s">
        <v>1122</v>
      </c>
      <c r="I147" s="1" t="s">
        <v>6</v>
      </c>
      <c r="J147" s="1" t="s">
        <v>1123</v>
      </c>
      <c r="K147" s="1" t="s">
        <v>257</v>
      </c>
      <c r="L147" s="1" t="s">
        <v>1124</v>
      </c>
      <c r="M147" s="1" t="s">
        <v>1125</v>
      </c>
      <c r="N147" s="1" t="s">
        <v>589</v>
      </c>
      <c r="O147" s="1" t="s">
        <v>590</v>
      </c>
      <c r="P147" s="1" t="s">
        <v>1083</v>
      </c>
    </row>
    <row r="148" spans="1:16" x14ac:dyDescent="0.25">
      <c r="A148" s="1">
        <v>23259</v>
      </c>
      <c r="B148" s="1" t="s">
        <v>1126</v>
      </c>
      <c r="C148" s="2" t="s">
        <v>1127</v>
      </c>
      <c r="D148" s="1" t="s">
        <v>2</v>
      </c>
      <c r="E148" s="2" t="s">
        <v>1128</v>
      </c>
      <c r="F148" s="1" t="s">
        <v>1129</v>
      </c>
      <c r="G148" s="1"/>
      <c r="H148" s="1" t="s">
        <v>1130</v>
      </c>
      <c r="I148" s="1" t="s">
        <v>6</v>
      </c>
      <c r="J148" s="1" t="s">
        <v>1131</v>
      </c>
      <c r="K148" s="1" t="s">
        <v>99</v>
      </c>
      <c r="L148" s="1" t="s">
        <v>1132</v>
      </c>
      <c r="M148" s="1" t="s">
        <v>1133</v>
      </c>
      <c r="N148" s="1" t="s">
        <v>1096</v>
      </c>
      <c r="O148" s="1" t="s">
        <v>1134</v>
      </c>
      <c r="P148" s="1" t="s">
        <v>1083</v>
      </c>
    </row>
    <row r="149" spans="1:16" x14ac:dyDescent="0.25">
      <c r="A149" s="1">
        <v>23733</v>
      </c>
      <c r="B149" s="1" t="s">
        <v>1135</v>
      </c>
      <c r="C149" s="2" t="s">
        <v>1136</v>
      </c>
      <c r="D149" s="1" t="s">
        <v>2</v>
      </c>
      <c r="E149" s="2" t="s">
        <v>1137</v>
      </c>
      <c r="F149" s="1" t="s">
        <v>1138</v>
      </c>
      <c r="G149" s="1"/>
      <c r="H149" s="1" t="s">
        <v>1139</v>
      </c>
      <c r="I149" s="1" t="s">
        <v>6</v>
      </c>
      <c r="J149" s="1" t="s">
        <v>1140</v>
      </c>
      <c r="K149" s="1" t="s">
        <v>1141</v>
      </c>
      <c r="L149" s="1" t="s">
        <v>31</v>
      </c>
      <c r="M149" s="1" t="s">
        <v>32</v>
      </c>
      <c r="N149" s="1" t="s">
        <v>1142</v>
      </c>
      <c r="O149" s="1" t="s">
        <v>427</v>
      </c>
      <c r="P149" s="1" t="s">
        <v>1083</v>
      </c>
    </row>
    <row r="150" spans="1:16" x14ac:dyDescent="0.25">
      <c r="A150" s="1">
        <v>24018</v>
      </c>
      <c r="B150" s="1" t="s">
        <v>1143</v>
      </c>
      <c r="C150" s="2" t="s">
        <v>1144</v>
      </c>
      <c r="D150" s="1" t="s">
        <v>2</v>
      </c>
      <c r="E150" s="2" t="s">
        <v>1145</v>
      </c>
      <c r="F150" s="1" t="s">
        <v>1146</v>
      </c>
      <c r="G150" s="1"/>
      <c r="H150" s="1" t="s">
        <v>5</v>
      </c>
      <c r="I150" s="1" t="s">
        <v>6</v>
      </c>
      <c r="J150" s="1" t="s">
        <v>1147</v>
      </c>
      <c r="K150" s="1" t="s">
        <v>20</v>
      </c>
      <c r="L150" s="1" t="s">
        <v>82</v>
      </c>
      <c r="M150" s="1" t="s">
        <v>83</v>
      </c>
      <c r="N150" s="1" t="s">
        <v>1148</v>
      </c>
      <c r="O150" s="1" t="s">
        <v>1149</v>
      </c>
      <c r="P150" s="1" t="s">
        <v>1083</v>
      </c>
    </row>
    <row r="151" spans="1:16" x14ac:dyDescent="0.25">
      <c r="A151" s="1">
        <v>25131</v>
      </c>
      <c r="B151" s="1" t="s">
        <v>1150</v>
      </c>
      <c r="C151" s="2" t="s">
        <v>1151</v>
      </c>
      <c r="D151" s="1" t="s">
        <v>2</v>
      </c>
      <c r="E151" s="2" t="s">
        <v>1152</v>
      </c>
      <c r="F151" s="1" t="s">
        <v>1153</v>
      </c>
      <c r="G151" s="1"/>
      <c r="H151" s="1" t="s">
        <v>1154</v>
      </c>
      <c r="I151" s="1" t="s">
        <v>6</v>
      </c>
      <c r="J151" s="1" t="s">
        <v>1155</v>
      </c>
      <c r="K151" s="1" t="s">
        <v>944</v>
      </c>
      <c r="L151" s="1" t="s">
        <v>9</v>
      </c>
      <c r="M151" s="1" t="s">
        <v>10</v>
      </c>
      <c r="N151" s="1" t="s">
        <v>1156</v>
      </c>
      <c r="O151" s="1" t="s">
        <v>1157</v>
      </c>
      <c r="P151" s="1" t="s">
        <v>1083</v>
      </c>
    </row>
    <row r="152" spans="1:16" x14ac:dyDescent="0.25">
      <c r="A152" s="1">
        <v>25258</v>
      </c>
      <c r="B152" s="1" t="s">
        <v>1158</v>
      </c>
      <c r="C152" s="2" t="s">
        <v>1159</v>
      </c>
      <c r="D152" s="1" t="s">
        <v>2</v>
      </c>
      <c r="E152" s="2" t="s">
        <v>1160</v>
      </c>
      <c r="F152" s="1" t="s">
        <v>1161</v>
      </c>
      <c r="G152" s="1"/>
      <c r="H152" s="1" t="s">
        <v>307</v>
      </c>
      <c r="I152" s="1" t="s">
        <v>6</v>
      </c>
      <c r="J152" s="1" t="s">
        <v>1162</v>
      </c>
      <c r="K152" s="1" t="s">
        <v>734</v>
      </c>
      <c r="L152" s="1" t="s">
        <v>81</v>
      </c>
      <c r="M152" s="1" t="s">
        <v>166</v>
      </c>
      <c r="N152" s="1" t="s">
        <v>1163</v>
      </c>
      <c r="O152" s="1" t="s">
        <v>229</v>
      </c>
      <c r="P152" s="1" t="s">
        <v>1083</v>
      </c>
    </row>
    <row r="153" spans="1:16" x14ac:dyDescent="0.25">
      <c r="A153" s="1">
        <v>26109</v>
      </c>
      <c r="B153" s="1" t="s">
        <v>1164</v>
      </c>
      <c r="C153" s="2" t="s">
        <v>1165</v>
      </c>
      <c r="D153" s="1" t="s">
        <v>2</v>
      </c>
      <c r="E153" s="2" t="s">
        <v>1166</v>
      </c>
      <c r="F153" s="1" t="s">
        <v>306</v>
      </c>
      <c r="G153" s="1"/>
      <c r="H153" s="1" t="s">
        <v>1167</v>
      </c>
      <c r="I153" s="1" t="s">
        <v>6</v>
      </c>
      <c r="J153" s="1" t="s">
        <v>1168</v>
      </c>
      <c r="K153" s="1" t="s">
        <v>926</v>
      </c>
      <c r="L153" s="1" t="s">
        <v>1169</v>
      </c>
      <c r="M153" s="1" t="s">
        <v>1170</v>
      </c>
      <c r="N153" s="1" t="s">
        <v>534</v>
      </c>
      <c r="O153" s="1" t="s">
        <v>483</v>
      </c>
      <c r="P153" s="1" t="s">
        <v>1083</v>
      </c>
    </row>
    <row r="154" spans="1:16" x14ac:dyDescent="0.25">
      <c r="A154" s="1">
        <v>1816</v>
      </c>
      <c r="B154" s="1" t="s">
        <v>1171</v>
      </c>
      <c r="C154" s="2" t="s">
        <v>1172</v>
      </c>
      <c r="D154" s="1" t="s">
        <v>2</v>
      </c>
      <c r="E154" s="2" t="s">
        <v>1173</v>
      </c>
      <c r="F154" s="1" t="s">
        <v>1174</v>
      </c>
      <c r="G154" s="1"/>
      <c r="H154" s="1" t="s">
        <v>1175</v>
      </c>
      <c r="I154" s="1" t="s">
        <v>6</v>
      </c>
      <c r="J154" s="1" t="s">
        <v>1176</v>
      </c>
      <c r="K154" s="1" t="s">
        <v>1177</v>
      </c>
      <c r="L154" s="1" t="s">
        <v>1178</v>
      </c>
      <c r="M154" s="1" t="s">
        <v>1179</v>
      </c>
      <c r="N154" s="1" t="s">
        <v>1180</v>
      </c>
      <c r="O154" s="1" t="s">
        <v>928</v>
      </c>
      <c r="P154" s="1" t="s">
        <v>1181</v>
      </c>
    </row>
    <row r="155" spans="1:16" x14ac:dyDescent="0.25">
      <c r="A155" s="1">
        <v>17514</v>
      </c>
      <c r="B155" s="1" t="s">
        <v>1182</v>
      </c>
      <c r="C155" s="2" t="s">
        <v>1183</v>
      </c>
      <c r="D155" s="1" t="s">
        <v>2</v>
      </c>
      <c r="E155" s="2" t="s">
        <v>1184</v>
      </c>
      <c r="F155" s="1" t="s">
        <v>1185</v>
      </c>
      <c r="G155" s="1"/>
      <c r="H155" s="1" t="s">
        <v>115</v>
      </c>
      <c r="I155" s="1" t="s">
        <v>6</v>
      </c>
      <c r="J155" s="1" t="s">
        <v>1186</v>
      </c>
      <c r="K155" s="1" t="s">
        <v>1187</v>
      </c>
      <c r="L155" s="1" t="s">
        <v>1188</v>
      </c>
      <c r="M155" s="1" t="s">
        <v>1189</v>
      </c>
      <c r="N155" s="1" t="s">
        <v>1190</v>
      </c>
      <c r="O155" s="1" t="s">
        <v>1191</v>
      </c>
      <c r="P155" s="1" t="s">
        <v>1181</v>
      </c>
    </row>
    <row r="156" spans="1:16" x14ac:dyDescent="0.25">
      <c r="A156" s="1">
        <v>20793</v>
      </c>
      <c r="B156" s="1" t="s">
        <v>1192</v>
      </c>
      <c r="C156" s="2" t="s">
        <v>1193</v>
      </c>
      <c r="D156" s="1" t="s">
        <v>2</v>
      </c>
      <c r="E156" s="2" t="s">
        <v>1194</v>
      </c>
      <c r="F156" s="1" t="s">
        <v>1195</v>
      </c>
      <c r="G156" s="1"/>
      <c r="H156" s="1" t="s">
        <v>1196</v>
      </c>
      <c r="I156" s="1" t="s">
        <v>6</v>
      </c>
      <c r="J156" s="1" t="s">
        <v>1197</v>
      </c>
      <c r="K156" s="1" t="s">
        <v>1198</v>
      </c>
      <c r="L156" s="1" t="s">
        <v>1199</v>
      </c>
      <c r="M156" s="1" t="s">
        <v>1200</v>
      </c>
      <c r="N156" s="1" t="s">
        <v>1201</v>
      </c>
      <c r="O156" s="1" t="s">
        <v>1202</v>
      </c>
      <c r="P156" s="1" t="s">
        <v>1181</v>
      </c>
    </row>
    <row r="157" spans="1:16" x14ac:dyDescent="0.25">
      <c r="A157" s="1">
        <v>20807</v>
      </c>
      <c r="B157" s="1" t="s">
        <v>1203</v>
      </c>
      <c r="C157" s="2" t="s">
        <v>1204</v>
      </c>
      <c r="D157" s="1" t="s">
        <v>2</v>
      </c>
      <c r="E157" s="2" t="s">
        <v>1205</v>
      </c>
      <c r="F157" s="1" t="s">
        <v>1206</v>
      </c>
      <c r="G157" s="1"/>
      <c r="H157" s="1" t="s">
        <v>596</v>
      </c>
      <c r="I157" s="1" t="s">
        <v>6</v>
      </c>
      <c r="J157" s="1" t="s">
        <v>1207</v>
      </c>
      <c r="K157" s="1" t="s">
        <v>1208</v>
      </c>
      <c r="L157" s="1" t="s">
        <v>8</v>
      </c>
      <c r="M157" s="1" t="s">
        <v>109</v>
      </c>
      <c r="N157" s="1" t="s">
        <v>1209</v>
      </c>
      <c r="O157" s="1" t="s">
        <v>1210</v>
      </c>
      <c r="P157" s="1" t="s">
        <v>1181</v>
      </c>
    </row>
    <row r="158" spans="1:16" x14ac:dyDescent="0.25">
      <c r="A158" s="1">
        <v>22448</v>
      </c>
      <c r="B158" s="1" t="s">
        <v>1211</v>
      </c>
      <c r="C158" s="2" t="s">
        <v>1212</v>
      </c>
      <c r="D158" s="1" t="s">
        <v>2</v>
      </c>
      <c r="E158" s="2" t="s">
        <v>1213</v>
      </c>
      <c r="F158" s="1" t="s">
        <v>1214</v>
      </c>
      <c r="G158" s="1"/>
      <c r="H158" s="1" t="s">
        <v>344</v>
      </c>
      <c r="I158" s="1" t="s">
        <v>6</v>
      </c>
      <c r="J158" s="1" t="s">
        <v>1215</v>
      </c>
      <c r="K158" s="1" t="s">
        <v>1216</v>
      </c>
      <c r="L158" s="1" t="s">
        <v>1217</v>
      </c>
      <c r="M158" s="1" t="s">
        <v>1218</v>
      </c>
      <c r="N158" s="1" t="s">
        <v>1219</v>
      </c>
      <c r="O158" s="1" t="s">
        <v>1220</v>
      </c>
      <c r="P158" s="1" t="s">
        <v>1181</v>
      </c>
    </row>
    <row r="159" spans="1:16" x14ac:dyDescent="0.25">
      <c r="A159" s="1">
        <v>24346</v>
      </c>
      <c r="B159" s="1" t="s">
        <v>1221</v>
      </c>
      <c r="C159" s="2" t="s">
        <v>1222</v>
      </c>
      <c r="D159" s="1" t="s">
        <v>2</v>
      </c>
      <c r="E159" s="2" t="s">
        <v>1223</v>
      </c>
      <c r="F159" s="1" t="s">
        <v>1224</v>
      </c>
      <c r="G159" s="1"/>
      <c r="H159" s="1" t="s">
        <v>1225</v>
      </c>
      <c r="I159" s="1" t="s">
        <v>6</v>
      </c>
      <c r="J159" s="1" t="s">
        <v>1226</v>
      </c>
      <c r="K159" s="1" t="s">
        <v>1216</v>
      </c>
      <c r="L159" s="1" t="s">
        <v>1227</v>
      </c>
      <c r="M159" s="1" t="s">
        <v>1228</v>
      </c>
      <c r="N159" s="1" t="s">
        <v>1229</v>
      </c>
      <c r="O159" s="1" t="s">
        <v>827</v>
      </c>
      <c r="P159" s="1" t="s">
        <v>1181</v>
      </c>
    </row>
    <row r="160" spans="1:16" x14ac:dyDescent="0.25">
      <c r="A160" s="1">
        <v>24736</v>
      </c>
      <c r="B160" s="1" t="s">
        <v>1230</v>
      </c>
      <c r="C160" s="2" t="s">
        <v>1231</v>
      </c>
      <c r="D160" s="1" t="s">
        <v>2</v>
      </c>
      <c r="E160" s="2" t="s">
        <v>1232</v>
      </c>
      <c r="F160" s="1" t="s">
        <v>1233</v>
      </c>
      <c r="G160" s="1"/>
      <c r="H160" s="1" t="s">
        <v>1234</v>
      </c>
      <c r="I160" s="1" t="s">
        <v>6</v>
      </c>
      <c r="J160" s="1" t="s">
        <v>1235</v>
      </c>
      <c r="K160" s="1" t="s">
        <v>1236</v>
      </c>
      <c r="L160" s="1" t="s">
        <v>82</v>
      </c>
      <c r="M160" s="1" t="s">
        <v>83</v>
      </c>
      <c r="N160" s="1" t="s">
        <v>1237</v>
      </c>
      <c r="O160" s="1" t="s">
        <v>418</v>
      </c>
      <c r="P160" s="1" t="s">
        <v>1181</v>
      </c>
    </row>
    <row r="161" spans="1:16" x14ac:dyDescent="0.25">
      <c r="A161" s="1">
        <v>24851</v>
      </c>
      <c r="B161" s="1" t="s">
        <v>1238</v>
      </c>
      <c r="C161" s="2" t="s">
        <v>1239</v>
      </c>
      <c r="D161" s="1" t="s">
        <v>2</v>
      </c>
      <c r="E161" s="2" t="s">
        <v>1240</v>
      </c>
      <c r="F161" s="1" t="s">
        <v>1241</v>
      </c>
      <c r="G161" s="1"/>
      <c r="H161" s="1" t="s">
        <v>1079</v>
      </c>
      <c r="I161" s="1" t="s">
        <v>6</v>
      </c>
      <c r="J161" s="1" t="s">
        <v>1242</v>
      </c>
      <c r="K161" s="1" t="s">
        <v>1243</v>
      </c>
      <c r="L161" s="1" t="s">
        <v>241</v>
      </c>
      <c r="M161" s="1" t="s">
        <v>979</v>
      </c>
      <c r="N161" s="1" t="s">
        <v>1244</v>
      </c>
      <c r="O161" s="1" t="s">
        <v>749</v>
      </c>
      <c r="P161" s="1" t="s">
        <v>1181</v>
      </c>
    </row>
    <row r="162" spans="1:16" x14ac:dyDescent="0.25">
      <c r="A162" s="1">
        <v>24940</v>
      </c>
      <c r="B162" s="1" t="s">
        <v>1245</v>
      </c>
      <c r="C162" s="2" t="s">
        <v>1246</v>
      </c>
      <c r="D162" s="1" t="s">
        <v>2</v>
      </c>
      <c r="E162" s="2" t="s">
        <v>1247</v>
      </c>
      <c r="F162" s="1" t="s">
        <v>207</v>
      </c>
      <c r="G162" s="1"/>
      <c r="H162" s="1" t="s">
        <v>268</v>
      </c>
      <c r="I162" s="1" t="s">
        <v>6</v>
      </c>
      <c r="J162" s="1" t="s">
        <v>1248</v>
      </c>
      <c r="K162" s="1" t="s">
        <v>1249</v>
      </c>
      <c r="L162" s="1" t="s">
        <v>9</v>
      </c>
      <c r="M162" s="1" t="s">
        <v>10</v>
      </c>
      <c r="N162" s="1" t="s">
        <v>1014</v>
      </c>
      <c r="O162" s="1" t="s">
        <v>474</v>
      </c>
      <c r="P162" s="1" t="s">
        <v>1181</v>
      </c>
    </row>
    <row r="163" spans="1:16" x14ac:dyDescent="0.25">
      <c r="A163" s="1">
        <v>25007</v>
      </c>
      <c r="B163" s="1" t="s">
        <v>1250</v>
      </c>
      <c r="C163" s="2" t="s">
        <v>1251</v>
      </c>
      <c r="D163" s="1" t="s">
        <v>2</v>
      </c>
      <c r="E163" s="2" t="s">
        <v>1252</v>
      </c>
      <c r="F163" s="1" t="s">
        <v>1253</v>
      </c>
      <c r="G163" s="1"/>
      <c r="H163" s="1" t="s">
        <v>500</v>
      </c>
      <c r="I163" s="1" t="s">
        <v>6</v>
      </c>
      <c r="J163" s="1" t="s">
        <v>291</v>
      </c>
      <c r="K163" s="1" t="s">
        <v>1254</v>
      </c>
      <c r="L163" s="1" t="s">
        <v>81</v>
      </c>
      <c r="M163" s="1" t="s">
        <v>166</v>
      </c>
      <c r="N163" s="1" t="s">
        <v>1073</v>
      </c>
      <c r="O163" s="1" t="s">
        <v>1255</v>
      </c>
      <c r="P163" s="1" t="s">
        <v>1181</v>
      </c>
    </row>
    <row r="164" spans="1:16" x14ac:dyDescent="0.25">
      <c r="A164" s="1">
        <v>26167</v>
      </c>
      <c r="B164" s="1" t="s">
        <v>1256</v>
      </c>
      <c r="C164" s="2" t="s">
        <v>1257</v>
      </c>
      <c r="D164" s="1" t="s">
        <v>2</v>
      </c>
      <c r="E164" s="2" t="s">
        <v>1258</v>
      </c>
      <c r="F164" s="1" t="s">
        <v>784</v>
      </c>
      <c r="G164" s="1"/>
      <c r="H164" s="1" t="s">
        <v>115</v>
      </c>
      <c r="I164" s="1" t="s">
        <v>6</v>
      </c>
      <c r="J164" s="1" t="s">
        <v>532</v>
      </c>
      <c r="K164" s="1" t="s">
        <v>1259</v>
      </c>
      <c r="L164" s="1" t="s">
        <v>82</v>
      </c>
      <c r="M164" s="1" t="s">
        <v>83</v>
      </c>
      <c r="N164" s="1" t="s">
        <v>1260</v>
      </c>
      <c r="O164" s="1" t="s">
        <v>1261</v>
      </c>
      <c r="P164" s="1" t="s">
        <v>1181</v>
      </c>
    </row>
    <row r="165" spans="1:16" x14ac:dyDescent="0.25">
      <c r="A165" s="1">
        <v>26617</v>
      </c>
      <c r="B165" s="1" t="s">
        <v>1262</v>
      </c>
      <c r="C165" s="2" t="s">
        <v>1263</v>
      </c>
      <c r="D165" s="1" t="s">
        <v>2</v>
      </c>
      <c r="E165" s="2" t="s">
        <v>1264</v>
      </c>
      <c r="F165" s="1" t="s">
        <v>1265</v>
      </c>
      <c r="G165" s="1"/>
      <c r="H165" s="1" t="s">
        <v>1266</v>
      </c>
      <c r="I165" s="1" t="s">
        <v>6</v>
      </c>
      <c r="J165" s="1" t="s">
        <v>925</v>
      </c>
      <c r="K165" s="1" t="s">
        <v>192</v>
      </c>
      <c r="L165" s="1" t="s">
        <v>302</v>
      </c>
      <c r="M165" s="1" t="s">
        <v>447</v>
      </c>
      <c r="N165" s="1" t="s">
        <v>483</v>
      </c>
      <c r="O165" s="1" t="s">
        <v>1267</v>
      </c>
      <c r="P165" s="1" t="s">
        <v>1181</v>
      </c>
    </row>
    <row r="166" spans="1:16" x14ac:dyDescent="0.25">
      <c r="A166" s="1">
        <v>18350</v>
      </c>
      <c r="B166" s="1" t="s">
        <v>1268</v>
      </c>
      <c r="C166" s="2" t="s">
        <v>1269</v>
      </c>
      <c r="D166" s="1" t="s">
        <v>2</v>
      </c>
      <c r="E166" s="2" t="s">
        <v>1270</v>
      </c>
      <c r="F166" s="1" t="s">
        <v>1271</v>
      </c>
      <c r="G166" s="1"/>
      <c r="H166" s="1" t="s">
        <v>500</v>
      </c>
      <c r="I166" s="1" t="s">
        <v>6</v>
      </c>
      <c r="J166" s="1" t="s">
        <v>367</v>
      </c>
      <c r="K166" s="1" t="s">
        <v>1272</v>
      </c>
      <c r="L166" s="1" t="s">
        <v>9</v>
      </c>
      <c r="M166" s="1" t="s">
        <v>10</v>
      </c>
      <c r="N166" s="1" t="s">
        <v>902</v>
      </c>
      <c r="O166" s="1" t="s">
        <v>1273</v>
      </c>
      <c r="P166" s="1" t="s">
        <v>1274</v>
      </c>
    </row>
    <row r="167" spans="1:16" x14ac:dyDescent="0.25">
      <c r="A167" s="1">
        <v>17314</v>
      </c>
      <c r="B167" s="1" t="s">
        <v>1275</v>
      </c>
      <c r="C167" s="2" t="s">
        <v>1276</v>
      </c>
      <c r="D167" s="1" t="s">
        <v>2</v>
      </c>
      <c r="E167" s="2" t="s">
        <v>1277</v>
      </c>
      <c r="F167" s="1" t="s">
        <v>1278</v>
      </c>
      <c r="G167" s="1"/>
      <c r="H167" s="1" t="s">
        <v>1279</v>
      </c>
      <c r="I167" s="1" t="s">
        <v>6</v>
      </c>
      <c r="J167" s="1" t="s">
        <v>1280</v>
      </c>
      <c r="K167" s="1" t="s">
        <v>1281</v>
      </c>
      <c r="L167" s="1" t="s">
        <v>81</v>
      </c>
      <c r="M167" s="1" t="s">
        <v>166</v>
      </c>
      <c r="N167" s="1" t="s">
        <v>1282</v>
      </c>
      <c r="O167" s="1" t="s">
        <v>1282</v>
      </c>
      <c r="P167" s="1" t="s">
        <v>1283</v>
      </c>
    </row>
    <row r="168" spans="1:16" x14ac:dyDescent="0.25">
      <c r="A168" s="1">
        <v>18183</v>
      </c>
      <c r="B168" s="1" t="s">
        <v>1284</v>
      </c>
      <c r="C168" s="2" t="s">
        <v>1285</v>
      </c>
      <c r="D168" s="1" t="s">
        <v>2</v>
      </c>
      <c r="E168" s="2" t="s">
        <v>1286</v>
      </c>
      <c r="F168" s="1" t="s">
        <v>1287</v>
      </c>
      <c r="G168" s="1"/>
      <c r="H168" s="1" t="s">
        <v>1288</v>
      </c>
      <c r="I168" s="1" t="s">
        <v>6</v>
      </c>
      <c r="J168" s="1" t="s">
        <v>1289</v>
      </c>
      <c r="K168" s="1" t="s">
        <v>1188</v>
      </c>
      <c r="L168" s="1" t="s">
        <v>49</v>
      </c>
      <c r="M168" s="1" t="s">
        <v>382</v>
      </c>
      <c r="N168" s="1"/>
      <c r="O168" s="1"/>
      <c r="P168" s="1" t="s">
        <v>1283</v>
      </c>
    </row>
    <row r="169" spans="1:16" x14ac:dyDescent="0.25">
      <c r="A169" s="1">
        <v>18867</v>
      </c>
      <c r="B169" s="1" t="s">
        <v>1290</v>
      </c>
      <c r="C169" s="2" t="s">
        <v>1291</v>
      </c>
      <c r="D169" s="1" t="s">
        <v>2</v>
      </c>
      <c r="E169" s="2" t="s">
        <v>1292</v>
      </c>
      <c r="F169" s="1" t="s">
        <v>1293</v>
      </c>
      <c r="G169" s="1"/>
      <c r="H169" s="1" t="s">
        <v>1294</v>
      </c>
      <c r="I169" s="1" t="s">
        <v>6</v>
      </c>
      <c r="J169" s="1" t="s">
        <v>1295</v>
      </c>
      <c r="K169" s="1" t="s">
        <v>1236</v>
      </c>
      <c r="L169" s="1" t="s">
        <v>49</v>
      </c>
      <c r="M169" s="1" t="s">
        <v>382</v>
      </c>
      <c r="N169" s="1" t="s">
        <v>1296</v>
      </c>
      <c r="O169" s="1" t="s">
        <v>1297</v>
      </c>
      <c r="P169" s="1" t="s">
        <v>1283</v>
      </c>
    </row>
    <row r="170" spans="1:16" x14ac:dyDescent="0.25">
      <c r="A170" s="1">
        <v>19992</v>
      </c>
      <c r="B170" s="1" t="s">
        <v>1298</v>
      </c>
      <c r="C170" s="2" t="s">
        <v>1299</v>
      </c>
      <c r="D170" s="1" t="s">
        <v>2</v>
      </c>
      <c r="E170" s="2" t="s">
        <v>1300</v>
      </c>
      <c r="F170" s="1" t="s">
        <v>1301</v>
      </c>
      <c r="G170" s="1"/>
      <c r="H170" s="1" t="s">
        <v>329</v>
      </c>
      <c r="I170" s="1" t="s">
        <v>6</v>
      </c>
      <c r="J170" s="1" t="s">
        <v>1302</v>
      </c>
      <c r="K170" s="1" t="s">
        <v>1254</v>
      </c>
      <c r="L170" s="1" t="s">
        <v>82</v>
      </c>
      <c r="M170" s="1" t="s">
        <v>83</v>
      </c>
      <c r="N170" s="1" t="s">
        <v>1303</v>
      </c>
      <c r="O170" s="1" t="s">
        <v>1304</v>
      </c>
      <c r="P170" s="1" t="s">
        <v>1283</v>
      </c>
    </row>
    <row r="171" spans="1:16" x14ac:dyDescent="0.25">
      <c r="A171" s="1">
        <v>24183</v>
      </c>
      <c r="B171" s="1" t="s">
        <v>1305</v>
      </c>
      <c r="C171" s="2" t="s">
        <v>1306</v>
      </c>
      <c r="D171" s="1" t="s">
        <v>2</v>
      </c>
      <c r="E171" s="2" t="s">
        <v>1307</v>
      </c>
      <c r="F171" s="1" t="s">
        <v>1308</v>
      </c>
      <c r="G171" s="1"/>
      <c r="H171" s="1" t="s">
        <v>500</v>
      </c>
      <c r="I171" s="1" t="s">
        <v>6</v>
      </c>
      <c r="J171" s="1" t="s">
        <v>1309</v>
      </c>
      <c r="K171" s="1" t="s">
        <v>1310</v>
      </c>
      <c r="L171" s="1" t="s">
        <v>9</v>
      </c>
      <c r="M171" s="1" t="s">
        <v>10</v>
      </c>
      <c r="N171" s="1" t="s">
        <v>1267</v>
      </c>
      <c r="O171" s="1" t="s">
        <v>1311</v>
      </c>
      <c r="P171" s="1" t="s">
        <v>1283</v>
      </c>
    </row>
    <row r="172" spans="1:16" x14ac:dyDescent="0.25">
      <c r="A172" s="1">
        <v>26287</v>
      </c>
      <c r="B172" s="1" t="s">
        <v>1312</v>
      </c>
      <c r="C172" s="2" t="s">
        <v>1313</v>
      </c>
      <c r="D172" s="1" t="s">
        <v>2</v>
      </c>
      <c r="E172" s="2" t="s">
        <v>1314</v>
      </c>
      <c r="F172" s="1" t="s">
        <v>254</v>
      </c>
      <c r="G172" s="1"/>
      <c r="H172" s="1" t="s">
        <v>1315</v>
      </c>
      <c r="I172" s="1" t="s">
        <v>6</v>
      </c>
      <c r="J172" s="1" t="s">
        <v>291</v>
      </c>
      <c r="K172" s="1" t="s">
        <v>1316</v>
      </c>
      <c r="L172" s="1" t="s">
        <v>165</v>
      </c>
      <c r="M172" s="1" t="s">
        <v>1317</v>
      </c>
      <c r="N172" s="1" t="s">
        <v>397</v>
      </c>
      <c r="O172" s="1" t="s">
        <v>1318</v>
      </c>
      <c r="P172" s="1" t="s">
        <v>1283</v>
      </c>
    </row>
    <row r="173" spans="1:16" x14ac:dyDescent="0.25">
      <c r="A173" s="1">
        <v>1678</v>
      </c>
      <c r="B173" s="1" t="s">
        <v>1319</v>
      </c>
      <c r="C173" s="2" t="s">
        <v>1320</v>
      </c>
      <c r="D173" s="1" t="s">
        <v>2</v>
      </c>
      <c r="E173" s="2" t="s">
        <v>1321</v>
      </c>
      <c r="F173" s="1" t="s">
        <v>1322</v>
      </c>
      <c r="G173" s="1"/>
      <c r="H173" s="1" t="s">
        <v>596</v>
      </c>
      <c r="I173" s="1" t="s">
        <v>6</v>
      </c>
      <c r="J173" s="1" t="s">
        <v>1323</v>
      </c>
      <c r="K173" s="1" t="s">
        <v>1324</v>
      </c>
      <c r="L173" s="1" t="s">
        <v>1325</v>
      </c>
      <c r="M173" s="1" t="s">
        <v>1326</v>
      </c>
      <c r="N173" s="1" t="s">
        <v>1327</v>
      </c>
      <c r="O173" s="1" t="s">
        <v>1328</v>
      </c>
      <c r="P173" s="1" t="s">
        <v>1329</v>
      </c>
    </row>
    <row r="174" spans="1:16" x14ac:dyDescent="0.25">
      <c r="A174" s="1">
        <v>22300</v>
      </c>
      <c r="B174" s="1" t="s">
        <v>1330</v>
      </c>
      <c r="C174" s="2" t="s">
        <v>1331</v>
      </c>
      <c r="D174" s="1" t="s">
        <v>2</v>
      </c>
      <c r="E174" s="2" t="s">
        <v>1332</v>
      </c>
      <c r="F174" s="1" t="s">
        <v>1333</v>
      </c>
      <c r="G174" s="1"/>
      <c r="H174" s="1" t="s">
        <v>596</v>
      </c>
      <c r="I174" s="1" t="s">
        <v>6</v>
      </c>
      <c r="J174" s="1" t="s">
        <v>1334</v>
      </c>
      <c r="K174" s="1" t="s">
        <v>1335</v>
      </c>
      <c r="L174" s="1" t="s">
        <v>302</v>
      </c>
      <c r="M174" s="1" t="s">
        <v>447</v>
      </c>
      <c r="N174" s="1" t="s">
        <v>1336</v>
      </c>
      <c r="O174" s="1" t="s">
        <v>1337</v>
      </c>
      <c r="P174" s="1" t="s">
        <v>1329</v>
      </c>
    </row>
    <row r="175" spans="1:16" x14ac:dyDescent="0.25">
      <c r="A175" s="1">
        <v>23441</v>
      </c>
      <c r="B175" s="1" t="s">
        <v>1338</v>
      </c>
      <c r="C175" s="2" t="s">
        <v>1339</v>
      </c>
      <c r="D175" s="1" t="s">
        <v>2</v>
      </c>
      <c r="E175" s="2" t="s">
        <v>1340</v>
      </c>
      <c r="F175" s="1" t="s">
        <v>1341</v>
      </c>
      <c r="G175" s="1"/>
      <c r="H175" s="1" t="s">
        <v>995</v>
      </c>
      <c r="I175" s="1" t="s">
        <v>6</v>
      </c>
      <c r="J175" s="1" t="s">
        <v>1342</v>
      </c>
      <c r="K175" s="1" t="s">
        <v>92</v>
      </c>
      <c r="L175" s="1" t="s">
        <v>1343</v>
      </c>
      <c r="M175" s="1" t="s">
        <v>1344</v>
      </c>
      <c r="N175" s="1" t="s">
        <v>1345</v>
      </c>
      <c r="O175" s="1" t="s">
        <v>1346</v>
      </c>
      <c r="P175" s="1" t="s">
        <v>1329</v>
      </c>
    </row>
    <row r="176" spans="1:16" x14ac:dyDescent="0.25">
      <c r="A176" s="1">
        <v>25873</v>
      </c>
      <c r="B176" s="1" t="s">
        <v>1347</v>
      </c>
      <c r="C176" s="2" t="s">
        <v>1348</v>
      </c>
      <c r="D176" s="1" t="s">
        <v>2</v>
      </c>
      <c r="E176" s="2" t="s">
        <v>1349</v>
      </c>
      <c r="F176" s="1" t="s">
        <v>1350</v>
      </c>
      <c r="G176" s="1"/>
      <c r="H176" s="1" t="s">
        <v>147</v>
      </c>
      <c r="I176" s="1" t="s">
        <v>6</v>
      </c>
      <c r="J176" s="1" t="s">
        <v>1351</v>
      </c>
      <c r="K176" s="1" t="s">
        <v>1352</v>
      </c>
      <c r="L176" s="1" t="s">
        <v>199</v>
      </c>
      <c r="M176" s="1" t="s">
        <v>890</v>
      </c>
      <c r="N176" s="1" t="s">
        <v>1353</v>
      </c>
      <c r="O176" s="1" t="s">
        <v>1354</v>
      </c>
      <c r="P176" s="1" t="s">
        <v>1329</v>
      </c>
    </row>
    <row r="177" spans="1:16" x14ac:dyDescent="0.25">
      <c r="A177" s="1">
        <v>26000</v>
      </c>
      <c r="B177" s="1" t="s">
        <v>1355</v>
      </c>
      <c r="C177" s="2" t="s">
        <v>1356</v>
      </c>
      <c r="D177" s="1" t="s">
        <v>2</v>
      </c>
      <c r="E177" s="2" t="s">
        <v>1357</v>
      </c>
      <c r="F177" s="1" t="s">
        <v>1358</v>
      </c>
      <c r="G177" s="1"/>
      <c r="H177" s="1" t="s">
        <v>1359</v>
      </c>
      <c r="I177" s="1" t="s">
        <v>6</v>
      </c>
      <c r="J177" s="1" t="s">
        <v>1360</v>
      </c>
      <c r="K177" s="1" t="s">
        <v>1361</v>
      </c>
      <c r="L177" s="1" t="s">
        <v>31</v>
      </c>
      <c r="M177" s="1" t="s">
        <v>32</v>
      </c>
      <c r="N177" s="1" t="s">
        <v>1362</v>
      </c>
      <c r="O177" s="1" t="s">
        <v>1363</v>
      </c>
      <c r="P177" s="1" t="s">
        <v>1329</v>
      </c>
    </row>
    <row r="178" spans="1:16" x14ac:dyDescent="0.25">
      <c r="A178" s="1">
        <v>15787</v>
      </c>
      <c r="B178" s="1" t="s">
        <v>1364</v>
      </c>
      <c r="C178" s="2" t="s">
        <v>1365</v>
      </c>
      <c r="D178" s="1" t="s">
        <v>2</v>
      </c>
      <c r="E178" s="2" t="s">
        <v>1366</v>
      </c>
      <c r="F178" s="1" t="s">
        <v>1367</v>
      </c>
      <c r="G178" s="1"/>
      <c r="H178" s="1" t="s">
        <v>596</v>
      </c>
      <c r="I178" s="1" t="s">
        <v>6</v>
      </c>
      <c r="J178" s="1" t="s">
        <v>1368</v>
      </c>
      <c r="K178" s="1" t="s">
        <v>1369</v>
      </c>
      <c r="L178" s="1" t="s">
        <v>49</v>
      </c>
      <c r="M178" s="1" t="s">
        <v>382</v>
      </c>
      <c r="N178" s="1" t="s">
        <v>22</v>
      </c>
      <c r="O178" s="1" t="s">
        <v>908</v>
      </c>
      <c r="P178" s="1" t="s">
        <v>1023</v>
      </c>
    </row>
    <row r="179" spans="1:16" x14ac:dyDescent="0.25">
      <c r="A179" s="1">
        <v>17600</v>
      </c>
      <c r="B179" s="1" t="s">
        <v>1370</v>
      </c>
      <c r="C179" s="2" t="s">
        <v>1371</v>
      </c>
      <c r="D179" s="1" t="s">
        <v>2</v>
      </c>
      <c r="E179" s="2" t="s">
        <v>1372</v>
      </c>
      <c r="F179" s="1" t="s">
        <v>1373</v>
      </c>
      <c r="G179" s="1"/>
      <c r="H179" s="1" t="s">
        <v>39</v>
      </c>
      <c r="I179" s="1" t="s">
        <v>6</v>
      </c>
      <c r="J179" s="1" t="s">
        <v>1374</v>
      </c>
      <c r="K179" s="1" t="s">
        <v>734</v>
      </c>
      <c r="L179" s="1" t="s">
        <v>82</v>
      </c>
      <c r="M179" s="1" t="s">
        <v>83</v>
      </c>
      <c r="N179" s="1" t="s">
        <v>1375</v>
      </c>
      <c r="O179" s="1" t="s">
        <v>1142</v>
      </c>
      <c r="P179" s="1" t="s">
        <v>1023</v>
      </c>
    </row>
    <row r="180" spans="1:16" x14ac:dyDescent="0.25">
      <c r="A180" s="1">
        <v>25001</v>
      </c>
      <c r="B180" s="1" t="s">
        <v>1376</v>
      </c>
      <c r="C180" s="2" t="s">
        <v>1377</v>
      </c>
      <c r="D180" s="1" t="s">
        <v>2</v>
      </c>
      <c r="E180" s="2" t="s">
        <v>1378</v>
      </c>
      <c r="F180" s="1" t="s">
        <v>1379</v>
      </c>
      <c r="G180" s="1"/>
      <c r="H180" s="1" t="s">
        <v>1380</v>
      </c>
      <c r="I180" s="1" t="s">
        <v>6</v>
      </c>
      <c r="J180" s="1" t="s">
        <v>454</v>
      </c>
      <c r="K180" s="1" t="s">
        <v>1381</v>
      </c>
      <c r="L180" s="1" t="s">
        <v>1382</v>
      </c>
      <c r="M180" s="1" t="s">
        <v>1383</v>
      </c>
      <c r="N180" s="1" t="s">
        <v>1384</v>
      </c>
      <c r="O180" s="1" t="s">
        <v>1385</v>
      </c>
      <c r="P180" s="1" t="s">
        <v>1386</v>
      </c>
    </row>
    <row r="181" spans="1:16" x14ac:dyDescent="0.25">
      <c r="A181" s="1">
        <v>21659</v>
      </c>
      <c r="B181" s="1" t="s">
        <v>1387</v>
      </c>
      <c r="C181" s="2" t="s">
        <v>1388</v>
      </c>
      <c r="D181" s="1" t="s">
        <v>2</v>
      </c>
      <c r="E181" s="2" t="s">
        <v>1389</v>
      </c>
      <c r="F181" s="1" t="s">
        <v>1390</v>
      </c>
      <c r="G181" s="1"/>
      <c r="H181" s="1"/>
      <c r="I181" s="1" t="s">
        <v>6</v>
      </c>
      <c r="J181" s="1" t="s">
        <v>1391</v>
      </c>
      <c r="K181" s="1" t="s">
        <v>1392</v>
      </c>
      <c r="L181" s="1" t="s">
        <v>8</v>
      </c>
      <c r="M181" s="1" t="s">
        <v>109</v>
      </c>
      <c r="N181" s="1" t="s">
        <v>1393</v>
      </c>
      <c r="O181" s="1" t="s">
        <v>1394</v>
      </c>
      <c r="P181" s="1" t="s">
        <v>1395</v>
      </c>
    </row>
    <row r="182" spans="1:16" x14ac:dyDescent="0.25">
      <c r="A182" s="1">
        <v>22143</v>
      </c>
      <c r="B182" s="1" t="s">
        <v>1396</v>
      </c>
      <c r="C182" s="2" t="s">
        <v>1397</v>
      </c>
      <c r="D182" s="1" t="s">
        <v>2</v>
      </c>
      <c r="E182" s="2" t="s">
        <v>1398</v>
      </c>
      <c r="F182" s="1" t="s">
        <v>1399</v>
      </c>
      <c r="G182" s="1"/>
      <c r="H182" s="1" t="s">
        <v>1400</v>
      </c>
      <c r="I182" s="1" t="s">
        <v>6</v>
      </c>
      <c r="J182" s="1" t="s">
        <v>1401</v>
      </c>
      <c r="K182" s="1" t="s">
        <v>1254</v>
      </c>
      <c r="L182" s="1" t="s">
        <v>50</v>
      </c>
      <c r="M182" s="1" t="s">
        <v>51</v>
      </c>
      <c r="N182" s="1" t="s">
        <v>1402</v>
      </c>
      <c r="O182" s="1" t="s">
        <v>1403</v>
      </c>
      <c r="P182" s="1" t="s">
        <v>1395</v>
      </c>
    </row>
    <row r="183" spans="1:16" x14ac:dyDescent="0.25">
      <c r="A183" s="1">
        <v>26821</v>
      </c>
      <c r="B183" s="1" t="s">
        <v>1404</v>
      </c>
      <c r="C183" s="2" t="s">
        <v>1405</v>
      </c>
      <c r="D183" s="1" t="s">
        <v>2</v>
      </c>
      <c r="E183" s="2" t="s">
        <v>1406</v>
      </c>
      <c r="F183" s="1" t="s">
        <v>328</v>
      </c>
      <c r="G183" s="1"/>
      <c r="H183" s="1" t="s">
        <v>1407</v>
      </c>
      <c r="I183" s="1" t="s">
        <v>6</v>
      </c>
      <c r="J183" s="1" t="s">
        <v>291</v>
      </c>
      <c r="K183" s="1" t="s">
        <v>1408</v>
      </c>
      <c r="L183" s="1" t="s">
        <v>1409</v>
      </c>
      <c r="M183" s="1" t="s">
        <v>1410</v>
      </c>
      <c r="N183" s="1" t="s">
        <v>1411</v>
      </c>
      <c r="O183" s="1" t="s">
        <v>1412</v>
      </c>
      <c r="P183" s="1" t="s">
        <v>1395</v>
      </c>
    </row>
  </sheetData>
  <hyperlinks>
    <hyperlink ref="C1" r:id="rId1"/>
    <hyperlink ref="E1" r:id="rId2"/>
    <hyperlink ref="C2" r:id="rId3"/>
    <hyperlink ref="E2" r:id="rId4"/>
    <hyperlink ref="C3" r:id="rId5"/>
    <hyperlink ref="E3" r:id="rId6"/>
    <hyperlink ref="C4" r:id="rId7"/>
    <hyperlink ref="E4" r:id="rId8"/>
    <hyperlink ref="C5" r:id="rId9"/>
    <hyperlink ref="E5" r:id="rId10"/>
    <hyperlink ref="C6" r:id="rId11"/>
    <hyperlink ref="E6" r:id="rId12"/>
    <hyperlink ref="C7" r:id="rId13"/>
    <hyperlink ref="E7" r:id="rId14"/>
    <hyperlink ref="C8" r:id="rId15"/>
    <hyperlink ref="E8" r:id="rId16"/>
    <hyperlink ref="C9" r:id="rId17"/>
    <hyperlink ref="E9" r:id="rId18"/>
    <hyperlink ref="C10" r:id="rId19"/>
    <hyperlink ref="E10" r:id="rId20"/>
    <hyperlink ref="C11" r:id="rId21"/>
    <hyperlink ref="E11" r:id="rId22"/>
    <hyperlink ref="C12" r:id="rId23"/>
    <hyperlink ref="E12" r:id="rId24"/>
    <hyperlink ref="C13" r:id="rId25"/>
    <hyperlink ref="E13" r:id="rId26"/>
    <hyperlink ref="C14" r:id="rId27"/>
    <hyperlink ref="E14" r:id="rId28"/>
    <hyperlink ref="C15" r:id="rId29"/>
    <hyperlink ref="E15" r:id="rId30"/>
    <hyperlink ref="C16" r:id="rId31"/>
    <hyperlink ref="E16" r:id="rId32"/>
    <hyperlink ref="C17" r:id="rId33"/>
    <hyperlink ref="E17" r:id="rId34"/>
    <hyperlink ref="C18" r:id="rId35"/>
    <hyperlink ref="E18" r:id="rId36"/>
    <hyperlink ref="C19" r:id="rId37"/>
    <hyperlink ref="E19" r:id="rId38"/>
    <hyperlink ref="C20" r:id="rId39"/>
    <hyperlink ref="E20" r:id="rId40"/>
    <hyperlink ref="C21" r:id="rId41"/>
    <hyperlink ref="E21" r:id="rId42"/>
    <hyperlink ref="C22" r:id="rId43"/>
    <hyperlink ref="E22" r:id="rId44"/>
    <hyperlink ref="C23" r:id="rId45"/>
    <hyperlink ref="E23" r:id="rId46"/>
    <hyperlink ref="C24" r:id="rId47"/>
    <hyperlink ref="E24" r:id="rId48"/>
    <hyperlink ref="C25" r:id="rId49"/>
    <hyperlink ref="E25" r:id="rId50"/>
    <hyperlink ref="C26" r:id="rId51"/>
    <hyperlink ref="E26" r:id="rId52"/>
    <hyperlink ref="C27" r:id="rId53"/>
    <hyperlink ref="E27" r:id="rId54"/>
    <hyperlink ref="C28" r:id="rId55"/>
    <hyperlink ref="E28" r:id="rId56"/>
    <hyperlink ref="C29" r:id="rId57"/>
    <hyperlink ref="E29" r:id="rId58"/>
    <hyperlink ref="C30" r:id="rId59"/>
    <hyperlink ref="E30" r:id="rId60"/>
    <hyperlink ref="C31" r:id="rId61"/>
    <hyperlink ref="E31" r:id="rId62"/>
    <hyperlink ref="C32" r:id="rId63"/>
    <hyperlink ref="E32" r:id="rId64"/>
    <hyperlink ref="C33" r:id="rId65"/>
    <hyperlink ref="E33" r:id="rId66"/>
    <hyperlink ref="C34" r:id="rId67"/>
    <hyperlink ref="E34" r:id="rId68"/>
    <hyperlink ref="C35" r:id="rId69"/>
    <hyperlink ref="E35" r:id="rId70"/>
    <hyperlink ref="C36" r:id="rId71"/>
    <hyperlink ref="E36" r:id="rId72"/>
    <hyperlink ref="C37" r:id="rId73"/>
    <hyperlink ref="E37" r:id="rId74"/>
    <hyperlink ref="C38" r:id="rId75"/>
    <hyperlink ref="E38" r:id="rId76"/>
    <hyperlink ref="C39" r:id="rId77"/>
    <hyperlink ref="E39" r:id="rId78"/>
    <hyperlink ref="C40" r:id="rId79"/>
    <hyperlink ref="E40" r:id="rId80"/>
    <hyperlink ref="C41" r:id="rId81"/>
    <hyperlink ref="E41" r:id="rId82"/>
    <hyperlink ref="C42" r:id="rId83"/>
    <hyperlink ref="E42" r:id="rId84"/>
    <hyperlink ref="C43" r:id="rId85"/>
    <hyperlink ref="E43" r:id="rId86"/>
    <hyperlink ref="C44" r:id="rId87"/>
    <hyperlink ref="E44" r:id="rId88"/>
    <hyperlink ref="C45" r:id="rId89"/>
    <hyperlink ref="E45" r:id="rId90"/>
    <hyperlink ref="C46" r:id="rId91"/>
    <hyperlink ref="E46" r:id="rId92"/>
    <hyperlink ref="C47" r:id="rId93"/>
    <hyperlink ref="E47" r:id="rId94"/>
    <hyperlink ref="C48" r:id="rId95"/>
    <hyperlink ref="E48" r:id="rId96"/>
    <hyperlink ref="C49" r:id="rId97"/>
    <hyperlink ref="E49" r:id="rId98"/>
    <hyperlink ref="C50" r:id="rId99"/>
    <hyperlink ref="E50" r:id="rId100"/>
    <hyperlink ref="C51" r:id="rId101"/>
    <hyperlink ref="E51" r:id="rId102"/>
    <hyperlink ref="C52" r:id="rId103"/>
    <hyperlink ref="E52" r:id="rId104"/>
    <hyperlink ref="C53" r:id="rId105"/>
    <hyperlink ref="E53" r:id="rId106"/>
    <hyperlink ref="C54" r:id="rId107"/>
    <hyperlink ref="E54" r:id="rId108"/>
    <hyperlink ref="C55" r:id="rId109"/>
    <hyperlink ref="E55" r:id="rId110"/>
    <hyperlink ref="C56" r:id="rId111"/>
    <hyperlink ref="E56" r:id="rId112"/>
    <hyperlink ref="C57" r:id="rId113"/>
    <hyperlink ref="E57" r:id="rId114"/>
    <hyperlink ref="C58" r:id="rId115"/>
    <hyperlink ref="E58" r:id="rId116"/>
    <hyperlink ref="C59" r:id="rId117"/>
    <hyperlink ref="E59" r:id="rId118"/>
    <hyperlink ref="C60" r:id="rId119"/>
    <hyperlink ref="E60" r:id="rId120"/>
    <hyperlink ref="C61" r:id="rId121"/>
    <hyperlink ref="E61" r:id="rId122"/>
    <hyperlink ref="C62" r:id="rId123"/>
    <hyperlink ref="E62" r:id="rId124"/>
    <hyperlink ref="C63" r:id="rId125"/>
    <hyperlink ref="E63" r:id="rId126"/>
    <hyperlink ref="C64" r:id="rId127"/>
    <hyperlink ref="E64" r:id="rId128"/>
    <hyperlink ref="C65" r:id="rId129"/>
    <hyperlink ref="E65" r:id="rId130"/>
    <hyperlink ref="C66" r:id="rId131"/>
    <hyperlink ref="E66" r:id="rId132"/>
    <hyperlink ref="C67" r:id="rId133"/>
    <hyperlink ref="E67" r:id="rId134"/>
    <hyperlink ref="C68" r:id="rId135"/>
    <hyperlink ref="E68" r:id="rId136"/>
    <hyperlink ref="C69" r:id="rId137"/>
    <hyperlink ref="E69" r:id="rId138"/>
    <hyperlink ref="C70" r:id="rId139"/>
    <hyperlink ref="E70" r:id="rId140"/>
    <hyperlink ref="C71" r:id="rId141"/>
    <hyperlink ref="E71" r:id="rId142"/>
    <hyperlink ref="C72" r:id="rId143"/>
    <hyperlink ref="E72" r:id="rId144"/>
    <hyperlink ref="C73" r:id="rId145"/>
    <hyperlink ref="E73" r:id="rId146"/>
    <hyperlink ref="C74" r:id="rId147"/>
    <hyperlink ref="E74" r:id="rId148"/>
    <hyperlink ref="C75" r:id="rId149"/>
    <hyperlink ref="E75" r:id="rId150"/>
    <hyperlink ref="C76" r:id="rId151"/>
    <hyperlink ref="E76" r:id="rId152"/>
    <hyperlink ref="C77" r:id="rId153"/>
    <hyperlink ref="E77" r:id="rId154"/>
    <hyperlink ref="C78" r:id="rId155"/>
    <hyperlink ref="E78" r:id="rId156"/>
    <hyperlink ref="C79" r:id="rId157"/>
    <hyperlink ref="E79" r:id="rId158"/>
    <hyperlink ref="C80" r:id="rId159"/>
    <hyperlink ref="E80" r:id="rId160"/>
    <hyperlink ref="C81" r:id="rId161"/>
    <hyperlink ref="E81" r:id="rId162"/>
    <hyperlink ref="C82" r:id="rId163"/>
    <hyperlink ref="E82" r:id="rId164"/>
    <hyperlink ref="C83" r:id="rId165"/>
    <hyperlink ref="E83" r:id="rId166"/>
    <hyperlink ref="C84" r:id="rId167"/>
    <hyperlink ref="E84" r:id="rId168"/>
    <hyperlink ref="C85" r:id="rId169"/>
    <hyperlink ref="E85" r:id="rId170"/>
    <hyperlink ref="C86" r:id="rId171"/>
    <hyperlink ref="E86" r:id="rId172"/>
    <hyperlink ref="C87" r:id="rId173"/>
    <hyperlink ref="E87" r:id="rId174"/>
    <hyperlink ref="C88" r:id="rId175"/>
    <hyperlink ref="E88" r:id="rId176"/>
    <hyperlink ref="C89" r:id="rId177"/>
    <hyperlink ref="E89" r:id="rId178"/>
    <hyperlink ref="C90" r:id="rId179"/>
    <hyperlink ref="E90" r:id="rId180"/>
    <hyperlink ref="C91" r:id="rId181"/>
    <hyperlink ref="E91" r:id="rId182"/>
    <hyperlink ref="C92" r:id="rId183"/>
    <hyperlink ref="E92" r:id="rId184"/>
    <hyperlink ref="C93" r:id="rId185"/>
    <hyperlink ref="E93" r:id="rId186"/>
    <hyperlink ref="C94" r:id="rId187"/>
    <hyperlink ref="E94" r:id="rId188"/>
    <hyperlink ref="C95" r:id="rId189"/>
    <hyperlink ref="E95" r:id="rId190"/>
    <hyperlink ref="C96" r:id="rId191"/>
    <hyperlink ref="E96" r:id="rId192"/>
    <hyperlink ref="C97" r:id="rId193"/>
    <hyperlink ref="E97" r:id="rId194"/>
    <hyperlink ref="C98" r:id="rId195"/>
    <hyperlink ref="E98" r:id="rId196"/>
    <hyperlink ref="C99" r:id="rId197"/>
    <hyperlink ref="E99" r:id="rId198"/>
    <hyperlink ref="C100" r:id="rId199"/>
    <hyperlink ref="E100" r:id="rId200"/>
    <hyperlink ref="C101" r:id="rId201"/>
    <hyperlink ref="E101" r:id="rId202"/>
    <hyperlink ref="C102" r:id="rId203"/>
    <hyperlink ref="E102" r:id="rId204"/>
    <hyperlink ref="C103" r:id="rId205"/>
    <hyperlink ref="E103" r:id="rId206"/>
    <hyperlink ref="C104" r:id="rId207"/>
    <hyperlink ref="E104" r:id="rId208"/>
    <hyperlink ref="C105" r:id="rId209"/>
    <hyperlink ref="E105" r:id="rId210"/>
    <hyperlink ref="C106" r:id="rId211"/>
    <hyperlink ref="E106" r:id="rId212"/>
    <hyperlink ref="C107" r:id="rId213"/>
    <hyperlink ref="E107" r:id="rId214"/>
    <hyperlink ref="C108" r:id="rId215"/>
    <hyperlink ref="E108" r:id="rId216"/>
    <hyperlink ref="C109" r:id="rId217"/>
    <hyperlink ref="E109" r:id="rId218"/>
    <hyperlink ref="C110" r:id="rId219"/>
    <hyperlink ref="E110" r:id="rId220"/>
    <hyperlink ref="C111" r:id="rId221"/>
    <hyperlink ref="E111" r:id="rId222"/>
    <hyperlink ref="C112" r:id="rId223"/>
    <hyperlink ref="E112" r:id="rId224"/>
    <hyperlink ref="C113" r:id="rId225"/>
    <hyperlink ref="E113" r:id="rId226"/>
    <hyperlink ref="C114" r:id="rId227"/>
    <hyperlink ref="E114" r:id="rId228"/>
    <hyperlink ref="C115" r:id="rId229"/>
    <hyperlink ref="E115" r:id="rId230"/>
    <hyperlink ref="C116" r:id="rId231"/>
    <hyperlink ref="E116" r:id="rId232"/>
    <hyperlink ref="C117" r:id="rId233"/>
    <hyperlink ref="E117" r:id="rId234"/>
    <hyperlink ref="C118" r:id="rId235"/>
    <hyperlink ref="E118" r:id="rId236"/>
    <hyperlink ref="C119" r:id="rId237"/>
    <hyperlink ref="E119" r:id="rId238"/>
    <hyperlink ref="C120" r:id="rId239"/>
    <hyperlink ref="E120" r:id="rId240"/>
    <hyperlink ref="C121" r:id="rId241"/>
    <hyperlink ref="E121" r:id="rId242"/>
    <hyperlink ref="C122" r:id="rId243"/>
    <hyperlink ref="E122" r:id="rId244"/>
    <hyperlink ref="C123" r:id="rId245" location="/"/>
    <hyperlink ref="E123" r:id="rId246"/>
    <hyperlink ref="C124" r:id="rId247"/>
    <hyperlink ref="E124" r:id="rId248"/>
    <hyperlink ref="C125" r:id="rId249"/>
    <hyperlink ref="E125" r:id="rId250"/>
    <hyperlink ref="C126" r:id="rId251"/>
    <hyperlink ref="E126" r:id="rId252"/>
    <hyperlink ref="C127" r:id="rId253"/>
    <hyperlink ref="E127" r:id="rId254"/>
    <hyperlink ref="C128" r:id="rId255"/>
    <hyperlink ref="E128" r:id="rId256"/>
    <hyperlink ref="C129" r:id="rId257"/>
    <hyperlink ref="E129" r:id="rId258"/>
    <hyperlink ref="C130" r:id="rId259"/>
    <hyperlink ref="E130" r:id="rId260"/>
    <hyperlink ref="C131" r:id="rId261"/>
    <hyperlink ref="E131" r:id="rId262"/>
    <hyperlink ref="C132" r:id="rId263"/>
    <hyperlink ref="E132" r:id="rId264"/>
    <hyperlink ref="C133" r:id="rId265"/>
    <hyperlink ref="E133" r:id="rId266"/>
    <hyperlink ref="C134" r:id="rId267"/>
    <hyperlink ref="E134" r:id="rId268"/>
    <hyperlink ref="C135" r:id="rId269"/>
    <hyperlink ref="E135" r:id="rId270"/>
    <hyperlink ref="C136" r:id="rId271"/>
    <hyperlink ref="E136" r:id="rId272"/>
    <hyperlink ref="C137" r:id="rId273"/>
    <hyperlink ref="E137" r:id="rId274"/>
    <hyperlink ref="C138" r:id="rId275"/>
    <hyperlink ref="E138" r:id="rId276"/>
    <hyperlink ref="C139" r:id="rId277"/>
    <hyperlink ref="E139" r:id="rId278"/>
    <hyperlink ref="C140" r:id="rId279"/>
    <hyperlink ref="E140" r:id="rId280"/>
    <hyperlink ref="C141" r:id="rId281"/>
    <hyperlink ref="E141" r:id="rId282"/>
    <hyperlink ref="C142" r:id="rId283"/>
    <hyperlink ref="E142" r:id="rId284"/>
    <hyperlink ref="C143" r:id="rId285"/>
    <hyperlink ref="E143" r:id="rId286"/>
    <hyperlink ref="C144" r:id="rId287"/>
    <hyperlink ref="E144" r:id="rId288"/>
    <hyperlink ref="C145" r:id="rId289"/>
    <hyperlink ref="E145" r:id="rId290"/>
    <hyperlink ref="C146" r:id="rId291"/>
    <hyperlink ref="E146" r:id="rId292"/>
    <hyperlink ref="C147" r:id="rId293"/>
    <hyperlink ref="E147" r:id="rId294"/>
    <hyperlink ref="C148" r:id="rId295"/>
    <hyperlink ref="E148" r:id="rId296"/>
    <hyperlink ref="C149" r:id="rId297"/>
    <hyperlink ref="E149" r:id="rId298"/>
    <hyperlink ref="C150" r:id="rId299"/>
    <hyperlink ref="E150" r:id="rId300"/>
    <hyperlink ref="C151" r:id="rId301"/>
    <hyperlink ref="E151" r:id="rId302"/>
    <hyperlink ref="C152" r:id="rId303"/>
    <hyperlink ref="E152" r:id="rId304"/>
    <hyperlink ref="C153" r:id="rId305"/>
    <hyperlink ref="E153" r:id="rId306"/>
    <hyperlink ref="C154" r:id="rId307"/>
    <hyperlink ref="E154" r:id="rId308"/>
    <hyperlink ref="C155" r:id="rId309"/>
    <hyperlink ref="E155" r:id="rId310"/>
    <hyperlink ref="C156" r:id="rId311"/>
    <hyperlink ref="E156" r:id="rId312"/>
    <hyperlink ref="C157" r:id="rId313"/>
    <hyperlink ref="E157" r:id="rId314"/>
    <hyperlink ref="C158" r:id="rId315"/>
    <hyperlink ref="E158" r:id="rId316"/>
    <hyperlink ref="C159" r:id="rId317"/>
    <hyperlink ref="E159" r:id="rId318"/>
    <hyperlink ref="C160" r:id="rId319"/>
    <hyperlink ref="E160" r:id="rId320"/>
    <hyperlink ref="C161" r:id="rId321"/>
    <hyperlink ref="E161" r:id="rId322"/>
    <hyperlink ref="C162" r:id="rId323"/>
    <hyperlink ref="E162" r:id="rId324"/>
    <hyperlink ref="C163" r:id="rId325"/>
    <hyperlink ref="E163" r:id="rId326"/>
    <hyperlink ref="C164" r:id="rId327"/>
    <hyperlink ref="E164" r:id="rId328"/>
    <hyperlink ref="C165" r:id="rId329"/>
    <hyperlink ref="E165" r:id="rId330"/>
    <hyperlink ref="C166" r:id="rId331"/>
    <hyperlink ref="E166" r:id="rId332"/>
    <hyperlink ref="C167" r:id="rId333"/>
    <hyperlink ref="E167" r:id="rId334"/>
    <hyperlink ref="C168" r:id="rId335"/>
    <hyperlink ref="E168" r:id="rId336"/>
    <hyperlink ref="C169" r:id="rId337"/>
    <hyperlink ref="E169" r:id="rId338"/>
    <hyperlink ref="C170" r:id="rId339"/>
    <hyperlink ref="E170" r:id="rId340"/>
    <hyperlink ref="C171" r:id="rId341"/>
    <hyperlink ref="E171" r:id="rId342"/>
    <hyperlink ref="C172" r:id="rId343"/>
    <hyperlink ref="E172" r:id="rId344"/>
    <hyperlink ref="C173" r:id="rId345"/>
    <hyperlink ref="E173" r:id="rId346"/>
    <hyperlink ref="C174" r:id="rId347"/>
    <hyperlink ref="E174" r:id="rId348"/>
    <hyperlink ref="C175" r:id="rId349"/>
    <hyperlink ref="E175" r:id="rId350"/>
    <hyperlink ref="C176" r:id="rId351"/>
    <hyperlink ref="E176" r:id="rId352"/>
    <hyperlink ref="C177" r:id="rId353"/>
    <hyperlink ref="E177" r:id="rId354"/>
    <hyperlink ref="C178" r:id="rId355"/>
    <hyperlink ref="E178" r:id="rId356"/>
    <hyperlink ref="C179" r:id="rId357"/>
    <hyperlink ref="E179" r:id="rId358"/>
    <hyperlink ref="C180" r:id="rId359"/>
    <hyperlink ref="E180" r:id="rId360"/>
    <hyperlink ref="C181" r:id="rId361"/>
    <hyperlink ref="E181" r:id="rId362"/>
    <hyperlink ref="C182" r:id="rId363"/>
    <hyperlink ref="E182" r:id="rId364"/>
    <hyperlink ref="C183" r:id="rId365"/>
    <hyperlink ref="E183" r:id="rId366"/>
    <hyperlink ref="C184" r:id="rId367" display="https://www.axismf.com/"/>
    <hyperlink ref="E184" r:id="rId368" display="https://store.admitad.com/webmaster/websites/2166760/offers/24441-axis-mf-cpl-in/"/>
    <hyperlink ref="C185" r:id="rId369" display="https://www.kiwoko.com/"/>
    <hyperlink ref="E185" r:id="rId370" display="https://store.admitad.com/webmaster/websites/2166760/offers/24454-kiwoko-cps-es/"/>
    <hyperlink ref="C186" r:id="rId371" display="https://percko.com/"/>
    <hyperlink ref="E186" r:id="rId372" display="https://store.admitad.com/webmaster/websites/2166760/offers/24466-percko-uk/"/>
    <hyperlink ref="C187" r:id="rId373" display="https://www.maxfashion.com/sa/en/"/>
    <hyperlink ref="E187" r:id="rId374" display="https://store.admitad.com/webmaster/websites/2166760/offers/24489-maxfashion-ksa-kw-egy-offline-codes/"/>
    <hyperlink ref="C188" r:id="rId375" display="https://feverup.com/"/>
    <hyperlink ref="E188" r:id="rId376" display="https://store.admitad.com/webmaster/websites/2166760/offers/24490-feverup-many-geos/"/>
    <hyperlink ref="C189" r:id="rId377" display="http://searush.ae/"/>
    <hyperlink ref="E189" r:id="rId378" display="https://store.admitad.com/webmaster/websites/2166760/offers/24491-searush-ae/"/>
    <hyperlink ref="C190" r:id="rId379" display="https://www.tiendanimal.es/"/>
    <hyperlink ref="E190" r:id="rId380" display="https://store.admitad.com/webmaster/websites/2166760/offers/24504-tiendanimal-cps-es/"/>
    <hyperlink ref="C191" r:id="rId381" display="https://www.vidaxl.com/"/>
    <hyperlink ref="E191" r:id="rId382" display="https://store.admitad.com/webmaster/websites/2166760/offers/24505-vidaxl-us/"/>
    <hyperlink ref="C192" r:id="rId383" display="https://www.yoox.com/"/>
    <hyperlink ref="E192" r:id="rId384" display="https://store.admitad.com/webmaster/websites/2166760/offers/24517-yoox-uk/"/>
    <hyperlink ref="C193" r:id="rId385" display="https://www.william-may.co.uk/"/>
    <hyperlink ref="E193" r:id="rId386" display="https://store.admitad.com/webmaster/websites/2166760/offers/24518-william-may-ww/"/>
    <hyperlink ref="C194" r:id="rId387" display="https://the-private-label.com/"/>
    <hyperlink ref="E194" r:id="rId388" display="https://store.admitad.com/webmaster/websites/2166760/offers/24539-theprivatelabel-gcc-offline-codes-links/"/>
    <hyperlink ref="C195" r:id="rId389" display="https://www.bancobmg.com.br/corinthians/"/>
    <hyperlink ref="E195" r:id="rId390" display="https://store.admitad.com/webmaster/websites/2166760/offers/24560-bmg-corinthians-cpa-ios-br/"/>
    <hyperlink ref="C196" r:id="rId391" display="https://www.bancobmg.com.br/galo/"/>
    <hyperlink ref="E196" r:id="rId392" display="https://store.admitad.com/webmaster/websites/2166760/offers/24562-bmg-galo-cpa-ios-br/"/>
    <hyperlink ref="C197" r:id="rId393" display="https://www.bancobmg.com.br/vasco/"/>
    <hyperlink ref="E197" r:id="rId394" display="https://store.admitad.com/webmaster/websites/2166760/offers/24563-bmg-vasco-cpa-ios-br/"/>
    <hyperlink ref="C198" r:id="rId395" display="https://mena.feelunique.com/"/>
    <hyperlink ref="E198" r:id="rId396" display="https://store.admitad.com/webmaster/websites/2166760/offers/24582-feelunique-mena-offline-codes-links/"/>
    <hyperlink ref="C199" r:id="rId397" display="https://www.wingly.io/"/>
    <hyperlink ref="E199" r:id="rId398" display="https://store.admitad.com/webmaster/websites/2166760/offers/24589-wingly-uk/"/>
    <hyperlink ref="C200" r:id="rId399" display="https://www.rathi.com/"/>
    <hyperlink ref="E200" r:id="rId400" display="https://store.admitad.com/webmaster/websites/2166760/offers/24593-anand-rathi-cpl-in/"/>
    <hyperlink ref="C201" r:id="rId401" display="https://www.feelunique.com/"/>
    <hyperlink ref="E201" r:id="rId402" display="https://store.admitad.com/webmaster/websites/2166760/offers/24594-feelunique-uk/"/>
    <hyperlink ref="C202" r:id="rId403" display="https://www.publicdesire.com/"/>
    <hyperlink ref="E202" r:id="rId404" display="https://store.admitad.com/webmaster/websites/2166760/offers/24613-public-desire-uk/"/>
    <hyperlink ref="C203" r:id="rId405" display="https://www.feelunique.com/"/>
    <hyperlink ref="E203" r:id="rId406" display="https://store.admitad.com/webmaster/websites/2166760/offers/24616-feelunique-eu-us-row/"/>
    <hyperlink ref="C204" r:id="rId407" display="https://evertondirect.evertonfc.com/"/>
    <hyperlink ref="E204" r:id="rId408" display="https://store.admitad.com/webmaster/websites/2166760/offers/24626-everton-us-uk/"/>
    <hyperlink ref="C205" r:id="rId409" display="https://www.fanatics.com/"/>
    <hyperlink ref="E205" r:id="rId410" display="https://store.admitad.com/webmaster/websites/2166760/offers/24627-fanatics-uk-eu/"/>
    <hyperlink ref="C206" r:id="rId411" display="https://kontigo.com.pl/"/>
    <hyperlink ref="E206" r:id="rId412" display="https://store.admitad.com/webmaster/websites/2166760/offers/24632-kontigo-pl/"/>
    <hyperlink ref="C207" r:id="rId413" display="https://www.crabtree-evelyn.com/"/>
    <hyperlink ref="E207" r:id="rId414" display="https://store.admitad.com/webmaster/websites/2166760/offers/24633-crabtree-evelyn-us-uk/"/>
    <hyperlink ref="C208" r:id="rId415" display="https://ffin.life/individuals/freedom-corona/"/>
    <hyperlink ref="E208" r:id="rId416" display="https://store.admitad.com/webmaster/websites/2166760/offers/24634-ffin-coronatravel-cps-kz/"/>
    <hyperlink ref="C209" r:id="rId417" display="https://www.muji.ae/en/"/>
    <hyperlink ref="E209" r:id="rId418" display="https://store.admitad.com/webmaster/websites/2166760/offers/24640-muji-ae-bh-sa-kw-qt/"/>
    <hyperlink ref="C210" r:id="rId419" display="https://www.clevguard.com/"/>
    <hyperlink ref="E210" r:id="rId420" display="https://store.admitad.com/webmaster/websites/2166760/offers/24655-clevguard-ww/"/>
    <hyperlink ref="C211" r:id="rId421" display="https://www.olephone.es/"/>
    <hyperlink ref="E211" r:id="rId422" display="https://store.admitad.com/webmaster/websites/2166760/offers/24687-olephone-cpl-es/"/>
    <hyperlink ref="C212" r:id="rId423" display="https://www.jabra.co.uk/"/>
    <hyperlink ref="E212" r:id="rId424" display="https://store.admitad.com/webmaster/websites/2166760/offers/24703-jabra-many-geos/"/>
    <hyperlink ref="C213" r:id="rId425" display="https://azimo.com/es"/>
    <hyperlink ref="E213" r:id="rId426" display="https://store.admitad.com/webmaster/websites/2166760/offers/24706-azimo-cpa-many-geos/"/>
    <hyperlink ref="C214" r:id="rId427" display="https://musclepower.pl/"/>
    <hyperlink ref="E214" r:id="rId428" display="https://store.admitad.com/webmaster/websites/2166760/offers/24716-musclepower-pl/"/>
    <hyperlink ref="C215" r:id="rId429" display="http://www.cuemath.com/"/>
    <hyperlink ref="E215" r:id="rId430" display="https://store.admitad.com/webmaster/websites/2166760/offers/24725-cuemath-many-geos-cpl-ww/"/>
    <hyperlink ref="C216" r:id="rId431" display="https://www.latostadora.com/"/>
    <hyperlink ref="E216" r:id="rId432" display="https://store.admitad.com/webmaster/websites/2166760/offers/24728-latostadora-es/"/>
    <hyperlink ref="C217" r:id="rId433" display="https://www.eurekaelectrodomesticos.es/"/>
    <hyperlink ref="E217" r:id="rId434" display="https://store.admitad.com/webmaster/websites/2166760/offers/24732-eureka-cpa-es/"/>
    <hyperlink ref="C218" r:id="rId435" display="https://www.magix.com/it/"/>
    <hyperlink ref="E218" r:id="rId436" display="https://store.admitad.com/webmaster/websites/2166760/offers/24733-magix-many-geos/"/>
    <hyperlink ref="C219" r:id="rId437" display="https://www.ralphlauren.it/"/>
    <hyperlink ref="E219" r:id="rId438" display="https://store.admitad.com/webmaster/websites/2166760/offers/24735-ralph-lauren-it/"/>
    <hyperlink ref="C220" r:id="rId439" display="https://caviar-phone.ru/"/>
    <hyperlink ref="E220" r:id="rId440" display="https://store.admitad.com/webmaster/websites/2166760/offers/24745-caviar-phoneru/"/>
    <hyperlink ref="C221" r:id="rId441" display="https://bouqs.com/"/>
    <hyperlink ref="E221" r:id="rId442" display="https://store.admitad.com/webmaster/websites/2166760/offers/24776-the-bouqs/"/>
    <hyperlink ref="C222" r:id="rId443" display="https://fila.ae/"/>
    <hyperlink ref="E222" r:id="rId444" display="https://store.admitad.com/webmaster/websites/2166760/offers/24788-fila-ae-offline-codes/"/>
    <hyperlink ref="C223" r:id="rId445" display="https://store.govee.com/"/>
    <hyperlink ref="E223" r:id="rId446" display="https://store.admitad.com/webmaster/websites/2166760/offers/24808-govee-many-geos/"/>
    <hyperlink ref="C224" r:id="rId447" display="https://www.leopard.es/"/>
    <hyperlink ref="E224" r:id="rId448" display="https://store.admitad.com/webmaster/websites/2166760/offers/24817-leopard-cps-es/"/>
    <hyperlink ref="C225" r:id="rId449" display="http://buyagift.co.uk/"/>
    <hyperlink ref="E225" r:id="rId450" display="https://store.admitad.com/webmaster/websites/2166760/offers/24833-buyagift-uk/"/>
    <hyperlink ref="C226" r:id="rId451" display="https://www.redletterdays.co.uk/"/>
    <hyperlink ref="E226" r:id="rId452" display="https://store.admitad.com/webmaster/websites/2166760/offers/24834-red-letter-days-uk/"/>
    <hyperlink ref="C227" r:id="rId453" display="https://www.chemist.co.uk/"/>
    <hyperlink ref="E227" r:id="rId454" display="https://store.admitad.com/webmaster/websites/2166760/offers/24850-chemist-uk/"/>
    <hyperlink ref="C228" r:id="rId455" display="https://www.verishop.com/"/>
    <hyperlink ref="E228" r:id="rId456" display="https://store.admitad.com/webmaster/websites/2166760/offers/24862-verishop-us/"/>
    <hyperlink ref="C229" r:id="rId457" display="https://askona.kz/"/>
    <hyperlink ref="E229" r:id="rId458" display="https://store.admitad.com/webmaster/websites/2166760/offers/24864-askona-kz/"/>
    <hyperlink ref="C230" r:id="rId459" display="https://foscam-online.de/shop/"/>
    <hyperlink ref="E230" r:id="rId460" display="https://store.admitad.com/webmaster/websites/2166760/offers/24869-foscam-de/"/>
    <hyperlink ref="C231" r:id="rId461" display="https://adventurehq.ae/"/>
    <hyperlink ref="E231" r:id="rId462" display="https://store.admitad.com/webmaster/websites/2166760/offers/24875-adventurehqae/"/>
    <hyperlink ref="C232" r:id="rId463" display="https://www.hebe.pl/"/>
    <hyperlink ref="E232" r:id="rId464" display="https://store.admitad.com/webmaster/websites/2166760/offers/24883-hebe-pl/"/>
    <hyperlink ref="C233" r:id="rId465" display="https://es.gant.com/"/>
    <hyperlink ref="E233" r:id="rId466" display="https://store.admitad.com/webmaster/websites/2166760/offers/24887-gant-cps-es-nl-it/"/>
    <hyperlink ref="C234" r:id="rId467" display="https://www.charleskeith.co.uk/"/>
    <hyperlink ref="E234" r:id="rId468" display="https://store.admitad.com/webmaster/websites/2166760/offers/24893-charles-keith-uk-eu/"/>
    <hyperlink ref="C235" r:id="rId469" display="https://www.freshtohome.com/"/>
    <hyperlink ref="E235" r:id="rId470" display="https://store.admitad.com/webmaster/websites/2166760/offers/24923-fresh-to-home-ae-offline-codes/"/>
    <hyperlink ref="C236" r:id="rId471" display="https://www.asterix-friends.com/en/iframe-embed/"/>
    <hyperlink ref="E236" r:id="rId472" display="https://store.admitad.com/webmaster/websites/2166760/offers/24937-asterix-friends-cps-many-geos/"/>
    <hyperlink ref="C237" r:id="rId473" display="https://pre-order.monstrumgame.com/"/>
    <hyperlink ref="E237" r:id="rId474" display="https://store.admitad.com/webmaster/websites/2166760/offers/24939-monstrum-2-cps-many-geos/"/>
    <hyperlink ref="C238" r:id="rId475" display="https://me.agentprovocateur.com/en-ae/"/>
    <hyperlink ref="E238" r:id="rId476" display="https://store.admitad.com/webmaster/websites/2166760/offers/24953-agent-provocateur-mena-offline-codes/"/>
    <hyperlink ref="C239" r:id="rId477" display="https://www.autodesk.eu/"/>
    <hyperlink ref="E239" r:id="rId478" display="https://store.admitad.com/webmaster/websites/2166760/offers/24965-autodesk-eu/"/>
    <hyperlink ref="C240" r:id="rId479" display="https://turnbullandasser.co.uk/"/>
    <hyperlink ref="E240" r:id="rId480" display="https://store.admitad.com/webmaster/websites/2166760/offers/24981-turnbull-asser-ww/"/>
    <hyperlink ref="C241" r:id="rId481" display="https://www.oppo.com/in/store/"/>
    <hyperlink ref="E241" r:id="rId482" display="https://store.admitad.com/webmaster/websites/2166760/offers/24983-oppo-india-cps-in/"/>
    <hyperlink ref="C242" r:id="rId483" display="https://www.stellardatarecovery.com/"/>
    <hyperlink ref="E242" r:id="rId484" display="https://store.admitad.com/webmaster/websites/2166760/offers/24988-stellar-data-recovery-ww/"/>
    <hyperlink ref="C243" r:id="rId485" display="https://lesgirlslesboys.com/"/>
    <hyperlink ref="E243" r:id="rId486" display="https://store.admitad.com/webmaster/websites/2166760/offers/24997-les-girls-les-boys-many-geos/"/>
    <hyperlink ref="C244" r:id="rId487" display="https://www.purelydiamonds.co.uk/"/>
    <hyperlink ref="E244" r:id="rId488" display="https://store.admitad.com/webmaster/websites/2166760/offers/25002-purely-diamonds-uk/"/>
    <hyperlink ref="C245" r:id="rId489" display="https://www.computeruniverse.net/"/>
    <hyperlink ref="E245" r:id="rId490" display="https://store.admitad.com/webmaster/websites/2166760/offers/25011-computeruniverse-de/"/>
    <hyperlink ref="C246" r:id="rId491" display="https://www.mediamarkt.de/"/>
    <hyperlink ref="E246" r:id="rId492" display="https://store.admitad.com/webmaster/websites/2166760/offers/25014-media-markt-2/"/>
    <hyperlink ref="C247" r:id="rId493" display="https://www.saturn.de/"/>
    <hyperlink ref="E247" r:id="rId494" display="https://store.admitad.com/webmaster/websites/2166760/offers/25018-saturn/"/>
    <hyperlink ref="C248" r:id="rId495" display="https://myshaky.nl/"/>
    <hyperlink ref="E248" r:id="rId496" display="https://store.admitad.com/webmaster/websites/2166760/offers/25026-my-shaky-nl/"/>
    <hyperlink ref="C249" r:id="rId497" display="https://www.walmart.com/"/>
    <hyperlink ref="E249" r:id="rId498" display="https://store.admitad.com/webmaster/websites/2166760/offers/25043-walmart-affiliate-program/"/>
    <hyperlink ref="C250" r:id="rId499" display="https://anniecloth.com/"/>
    <hyperlink ref="E250" r:id="rId500" display="https://store.admitad.com/webmaster/websites/2166760/offers/25047-anniecloth-us/"/>
    <hyperlink ref="C251" r:id="rId501" display="https://www.c-and-a.com/"/>
    <hyperlink ref="E251" r:id="rId502" display="https://store.admitad.com/webmaster/websites/2166760/offers/25052-ca-partnerprogramm-de/"/>
    <hyperlink ref="C252" r:id="rId503" display="http://www.grover.com/"/>
    <hyperlink ref="E252" r:id="rId504" display="https://store.admitad.com/webmaster/websites/2166760/offers/25053-grover-de-at-4/"/>
    <hyperlink ref="C253" r:id="rId505" display="http://red-by-sfr.fr/"/>
    <hyperlink ref="E253" r:id="rId506" display="https://store.admitad.com/webmaster/websites/2166760/offers/25057-red-by-sfr-fr/"/>
    <hyperlink ref="C254" r:id="rId507" display="http://www.lidl.de/"/>
    <hyperlink ref="E254" r:id="rId508" display="https://store.admitad.com/webmaster/websites/2166760/offers/25068-lidl-de/"/>
    <hyperlink ref="C255" r:id="rId509" display="https://www.oppo.com/id/"/>
    <hyperlink ref="E255" r:id="rId510" display="https://store.admitad.com/webmaster/websites/2166760/offers/25073-oppo-cps-id/"/>
    <hyperlink ref="C256" r:id="rId511" display="https://premium.telegraph.co.uk/"/>
    <hyperlink ref="E256" r:id="rId512" display="https://store.admitad.com/webmaster/websites/2166760/offers/25082-the-telegraph-uk/"/>
    <hyperlink ref="C257" r:id="rId513" display="https://www.sky.com/"/>
    <hyperlink ref="E257" r:id="rId514" display="https://store.admitad.com/webmaster/websites/2166760/offers/25086-sky-uk/"/>
    <hyperlink ref="C258" r:id="rId515" display="https://www.tescomobile.com/"/>
    <hyperlink ref="E258" r:id="rId516" display="https://store.admitad.com/webmaster/websites/2166760/offers/25094-tesco-mobile-uk/"/>
    <hyperlink ref="C259" r:id="rId517" display="http://www.fubo.tv/"/>
    <hyperlink ref="E259" r:id="rId518" display="https://store.admitad.com/webmaster/websites/2166760/offers/25104-fubotv/"/>
    <hyperlink ref="C260" r:id="rId519" display="https://shop.ee.co.uk/partner-deals"/>
    <hyperlink ref="E260" r:id="rId520" display="https://store.admitad.com/webmaster/websites/2166760/offers/25120-ee-pay-monthly/"/>
    <hyperlink ref="C261" r:id="rId521" display="https://puresense.co.in/"/>
    <hyperlink ref="E261" r:id="rId522" display="https://store.admitad.com/webmaster/websites/2166760/offers/25129-puresense-cps-in/"/>
    <hyperlink ref="C262" r:id="rId523" display="https://www.reliancesmartmoney.com/"/>
    <hyperlink ref="E262" r:id="rId524" display="https://store.admitad.com/webmaster/websites/2166760/offers/25130-reliancesmart-money-cpl-in/"/>
    <hyperlink ref="C263" r:id="rId525" display="https://www.faces.com/ae-en"/>
    <hyperlink ref="E263" r:id="rId526" display="https://store.admitad.com/webmaster/websites/2166760/offers/25132-faces-ae-sa-kw-eg-qa/"/>
    <hyperlink ref="C264" r:id="rId527" display="https://saffola.marico.in/"/>
    <hyperlink ref="E264" r:id="rId528" display="https://store.admitad.com/webmaster/websites/2166760/offers/25133-saffola-marico-cps-in/"/>
    <hyperlink ref="C265" r:id="rId529" display="https://www.couvertureandthegarbstore.com/"/>
    <hyperlink ref="E265" r:id="rId530" display="https://store.admitad.com/webmaster/websites/2166760/offers/25135-couverture-the-garbstore-uk/"/>
    <hyperlink ref="C266" r:id="rId531" display="https://avi-8.co.uk/"/>
    <hyperlink ref="E266" r:id="rId532" display="https://store.admitad.com/webmaster/websites/2166760/offers/25146-avi-8-ww/"/>
    <hyperlink ref="C267" r:id="rId533" display="https://www.kenzo.com/"/>
    <hyperlink ref="E267" r:id="rId534" display="https://store.admitad.com/webmaster/websites/2166760/offers/25148-kenzo-many-geos/"/>
    <hyperlink ref="C268" r:id="rId535" display="https://aignermunich.ae/en_ae"/>
    <hyperlink ref="E268" r:id="rId536" display="https://store.admitad.com/webmaster/websites/2166760/offers/25166-aignermunich/"/>
    <hyperlink ref="C269" r:id="rId537" display="https://www.potterybarnkids.ae/en"/>
    <hyperlink ref="E269" r:id="rId538" display="https://store.admitad.com/webmaster/websites/2166760/offers/25173-pottery-barn-kids-sa-kw-offline-codes/"/>
    <hyperlink ref="C270" r:id="rId539" display="https://www.gute-makler.de/"/>
    <hyperlink ref="E270" r:id="rId540" display="https://store.admitad.com/webmaster/websites/2166760/offers/25175-gute-makler-de/"/>
    <hyperlink ref="C271" r:id="rId541" display="https://www.saa.co.uk/"/>
    <hyperlink ref="E271" r:id="rId542" display="https://store.admitad.com/webmaster/websites/2166760/offers/25181-saa-uk/"/>
    <hyperlink ref="C272" r:id="rId543" display="https://www.mindfactory.de/"/>
    <hyperlink ref="E272" r:id="rId544" display="https://store.admitad.com/webmaster/websites/2166760/offers/25191-mindfactory-de/"/>
    <hyperlink ref="C273" r:id="rId545" display="https://www.lemonade.com/"/>
    <hyperlink ref="E273" r:id="rId546" display="https://store.admitad.com/webmaster/websites/2166760/offers/25199-lemonade-us/"/>
    <hyperlink ref="C274" r:id="rId547" display="https://www.lampenonline.de/"/>
    <hyperlink ref="E274" r:id="rId548" display="https://store.admitad.com/webmaster/websites/2166760/offers/25200-lampenonline-eu/"/>
    <hyperlink ref="C275" r:id="rId549" display="https://lattelierstore.com/"/>
    <hyperlink ref="E275" r:id="rId550" display="https://store.admitad.com/webmaster/websites/2166760/offers/25238-lattelierstore-ww/"/>
    <hyperlink ref="C276" r:id="rId551" display="https://www.stradivarius.com/de/"/>
    <hyperlink ref="E276" r:id="rId552" display="https://store.admitad.com/webmaster/websites/2166760/offers/25246-stradivarius-de/"/>
    <hyperlink ref="C277" r:id="rId553" display="https://www.stradivarius.com/pl/"/>
    <hyperlink ref="E277" r:id="rId554" display="https://store.admitad.com/webmaster/websites/2166760/offers/25263-stradivarius-pl/"/>
    <hyperlink ref="C278" r:id="rId555" display="https://www.belvilla.es/"/>
    <hyperlink ref="E278" r:id="rId556" display="https://store.admitad.com/webmaster/websites/2166760/offers/25265-belvilla-es/"/>
    <hyperlink ref="C279" r:id="rId557" display="https://fussmatten-welt.de/"/>
    <hyperlink ref="E279" r:id="rId558" display="https://store.admitad.com/webmaster/websites/2166760/offers/25272-fussmattenwelt-de/"/>
    <hyperlink ref="C280" r:id="rId559" display="https://www.newbalance.com/"/>
    <hyperlink ref="E280" r:id="rId560" display="https://store.admitad.com/webmaster/websites/2166760/offers/25277-new-balance-us/"/>
    <hyperlink ref="C281" r:id="rId561" display="https://www.bancointer.com.br/"/>
    <hyperlink ref="E281" r:id="rId562" display="https://store.admitad.com/webmaster/websites/2166760/offers/25282-banco-inter-cpa-android/"/>
    <hyperlink ref="C282" r:id="rId563" display="https://cjdropshipping.com/"/>
    <hyperlink ref="E282" r:id="rId564" display="https://store.admitad.com/webmaster/websites/2166760/offers/25295-cjdropshipping-int/"/>
    <hyperlink ref="C283" r:id="rId565" display="https://www.lacoste.com/ae/en/"/>
    <hyperlink ref="E283" r:id="rId566" display="https://store.admitad.com/webmaster/websites/2166760/offers/25303-lacostecom-ae-offline-codes/"/>
    <hyperlink ref="C284" r:id="rId567" display="https://despize.com/"/>
    <hyperlink ref="E284" r:id="rId568" display="https://store.admitad.com/webmaster/websites/2166760/offers/25322-despize-many-geos/"/>
    <hyperlink ref="C285" r:id="rId569" display="https://www.mymoneykarma.com/auth/home-loan-signup.html"/>
    <hyperlink ref="E285" r:id="rId570" display="https://store.admitad.com/webmaster/websites/2166760/offers/25339-mymoney-karma-home-loan-cpl-in/"/>
    <hyperlink ref="C286" r:id="rId571" display="https://www.tila.com/en"/>
    <hyperlink ref="E286" r:id="rId572" display="https://store.admitad.com/webmaster/websites/2166760/offers/25342-tila-sa-links/"/>
    <hyperlink ref="C287" r:id="rId573" display="https://shopee.co.id/"/>
    <hyperlink ref="E287" r:id="rId574" display="https://store.admitad.com/webmaster/websites/2166760/offers/25355-shopee-cps-id/"/>
    <hyperlink ref="C288" r:id="rId575" display="https://fr.sleepit.com/"/>
    <hyperlink ref="E288" r:id="rId576" display="https://store.admitad.com/webmaster/websites/2166760/offers/25359-sleepit-many-geos/"/>
    <hyperlink ref="C289" r:id="rId577" display="http://www.udacity.com/"/>
    <hyperlink ref="E289" r:id="rId578" display="https://store.admitad.com/webmaster/websites/2166760/offers/25379-udacity-affiliate-program/"/>
    <hyperlink ref="C290" r:id="rId579" display="https://www.deciem.com/"/>
    <hyperlink ref="E290" r:id="rId580" display="https://store.admitad.com/webmaster/websites/2166760/offers/25392-deciem-the-abnormal-beauty-company-uk/"/>
    <hyperlink ref="C291" r:id="rId581" display="https://www.gamivo.com/"/>
    <hyperlink ref="E291" r:id="rId582" display="https://store.admitad.com/webmaster/websites/2166760/offers/25419-gamivous/"/>
    <hyperlink ref="C292" r:id="rId583" display="https://www.segmueller.de/"/>
    <hyperlink ref="E292" r:id="rId584" display="https://store.admitad.com/webmaster/websites/2166760/offers/25423-segmueller-de/"/>
    <hyperlink ref="C293" r:id="rId585" display="https://www.coronadirect.be/"/>
    <hyperlink ref="E293" r:id="rId586" display="https://store.admitad.com/webmaster/websites/2166760/offers/25444-coronadirectbe-be/"/>
    <hyperlink ref="C294" r:id="rId587" display="http://www.harveynichols.com/"/>
    <hyperlink ref="E294" r:id="rId588" display="https://store.admitad.com/webmaster/websites/2166760/offers/25457-harvey-nichols-co-ltd-uk/"/>
    <hyperlink ref="C295" r:id="rId589" display="http://www.envato.com/"/>
    <hyperlink ref="E295" r:id="rId590" display="https://store.admitad.com/webmaster/websites/2166760/offers/25470-envato-elements/"/>
    <hyperlink ref="C296" r:id="rId591" display="http://www.matchesfashion.com/"/>
    <hyperlink ref="E296" r:id="rId592" display="https://store.admitad.com/webmaster/websites/2166760/offers/25475-matchesfashion-eu-uk/"/>
    <hyperlink ref="C297" r:id="rId593" display="https://www.druckerpatronenexpress.de/"/>
    <hyperlink ref="E297" r:id="rId594" display="https://store.admitad.com/webmaster/websites/2166760/offers/25476-druckerpatronenexpress-de/"/>
    <hyperlink ref="C298" r:id="rId595" display="http://www.saksfifthavenue.com/Entry.jsp"/>
    <hyperlink ref="E298" r:id="rId596" display="https://store.admitad.com/webmaster/websites/2166760/offers/25477-saks-5th-avenue-auasia-pacific-au/"/>
    <hyperlink ref="C299" r:id="rId597" display="https://www.drmartens.com/de"/>
    <hyperlink ref="E299" r:id="rId598" display="https://store.admitad.com/webmaster/websites/2166760/offers/25484-dr-martens-de-uk/"/>
    <hyperlink ref="C300" r:id="rId599" display="http://www.cultbeauty.co.uk/"/>
    <hyperlink ref="E300" r:id="rId600" display="https://store.admitad.com/webmaster/websites/2166760/offers/25486-cult-beauty-ltd-uk/"/>
    <hyperlink ref="C301" r:id="rId601" display="http://www.nike.com.br/"/>
    <hyperlink ref="E301" r:id="rId602" display="https://store.admitad.com/webmaster/websites/2166760/offers/25489-nike-br/"/>
    <hyperlink ref="C302" r:id="rId603" display="http://www.vattenfall.nl/"/>
    <hyperlink ref="E302" r:id="rId604" display="https://store.admitad.com/webmaster/websites/2166760/offers/25498-vattenfall-nl/"/>
    <hyperlink ref="C303" r:id="rId605" display="http://www.orvis.com/"/>
    <hyperlink ref="E303" r:id="rId606" display="https://store.admitad.com/webmaster/websites/2166760/offers/25501-orvis-us/"/>
    <hyperlink ref="C304" r:id="rId607" display="https://www.sport-schuster.de/"/>
    <hyperlink ref="E304" r:id="rId608" display="https://store.admitad.com/webmaster/websites/2166760/offers/25502-sporthaus-schuster-de/"/>
    <hyperlink ref="C305" r:id="rId609" display="http://www.spacenk.com/uk/en_GB/women/"/>
    <hyperlink ref="E305" r:id="rId610" display="https://store.admitad.com/webmaster/websites/2166760/offers/25503-space-nk-uk/"/>
    <hyperlink ref="C306" r:id="rId611" display="https://www.kfzteile24.de/index.cgi"/>
    <hyperlink ref="E306" r:id="rId612" display="https://store.admitad.com/webmaster/websites/2166760/offers/25504-kfzteile24-de/"/>
    <hyperlink ref="C307" r:id="rId613" display="https://www.loberon.de/"/>
    <hyperlink ref="E307" r:id="rId614" display="https://store.admitad.com/webmaster/websites/2166760/offers/25508-loberon-de/"/>
    <hyperlink ref="C308" r:id="rId615" display="http://speedline.dk/"/>
    <hyperlink ref="E308" r:id="rId616" display="https://store.admitad.com/webmaster/websites/2166760/offers/25510-speedline-dk/"/>
    <hyperlink ref="C309" r:id="rId617" display="https://www.vimcar.de/"/>
    <hyperlink ref="E309" r:id="rId618" display="https://store.admitad.com/webmaster/websites/2166760/offers/25512-vimcar-de/"/>
    <hyperlink ref="C310" r:id="rId619" display="https://www.sephora.ae/"/>
    <hyperlink ref="E310" r:id="rId620" display="https://store.admitad.com/webmaster/websites/2166760/offers/25540-sephora-sa-ae-offline-codes/"/>
    <hyperlink ref="C311" r:id="rId621" display="https://www.credimaxx.de/"/>
    <hyperlink ref="E311" r:id="rId622" display="https://store.admitad.com/webmaster/websites/2166760/offers/25551-credimaxx-de-1/"/>
    <hyperlink ref="C312" r:id="rId623" display="https://www.nelson.nl/"/>
    <hyperlink ref="E312" r:id="rId624" display="https://store.admitad.com/webmaster/websites/2166760/offers/25567-nelson-schoenen-nl/"/>
    <hyperlink ref="C313" r:id="rId625" display="https://www.all4golf.de/"/>
    <hyperlink ref="E313" r:id="rId626" display="https://store.admitad.com/webmaster/websites/2166760/offers/25595-all4golf-de/"/>
    <hyperlink ref="C314" r:id="rId627" display="http://www.finishline.com/"/>
    <hyperlink ref="E314" r:id="rId628" display="https://store.admitad.com/webmaster/websites/2166760/offers/25598-finish-line-us/"/>
    <hyperlink ref="C315" r:id="rId629" display="http://www.hive.co.uk/"/>
    <hyperlink ref="E315" r:id="rId630" display="https://store.admitad.com/webmaster/websites/2166760/offers/25635-hive-books-uk/"/>
    <hyperlink ref="C316" r:id="rId631" display="http://www.bergdorfgoodman.com/"/>
    <hyperlink ref="E316" r:id="rId632" display="https://store.admitad.com/webmaster/websites/2166760/offers/25682-bergdorf-goodman-neiman-marcus-us/"/>
    <hyperlink ref="C317" r:id="rId633" display="https://www.outfitter.de/"/>
    <hyperlink ref="E317" r:id="rId634" display="https://store.admitad.com/webmaster/websites/2166760/offers/25688-outfitter-de/"/>
    <hyperlink ref="C318" r:id="rId635" display="https://www.zalando-lounge.pl/"/>
    <hyperlink ref="E318" r:id="rId636" display="https://store.admitad.com/webmaster/websites/2166760/offers/25723-zalando-lounge-pl/"/>
    <hyperlink ref="C319" r:id="rId637" display="https://www.cottontraders.com/"/>
    <hyperlink ref="E319" r:id="rId638" display="https://store.admitad.com/webmaster/websites/2166760/offers/25733-cotton-traders/"/>
    <hyperlink ref="C320" r:id="rId639" display="https://samsclub.com/"/>
    <hyperlink ref="E320" r:id="rId640" display="https://store.admitad.com/webmaster/websites/2166760/offers/25740-sams-club-us/"/>
    <hyperlink ref="C321" r:id="rId641" display="https://www.nationaldebtrelief.com/"/>
    <hyperlink ref="E321" r:id="rId642" display="https://store.admitad.com/webmaster/websites/2166760/offers/25753-national-debt-relief-us/"/>
    <hyperlink ref="C322" r:id="rId643" display="https://www.medpets.de/"/>
    <hyperlink ref="E322" r:id="rId644" display="https://store.admitad.com/webmaster/websites/2166760/offers/25767-medpets-tierapotheke-online-de-1/"/>
    <hyperlink ref="C323" r:id="rId645" display="https://www.airarabia.com/"/>
    <hyperlink ref="E323" r:id="rId646" display="https://store.admitad.com/webmaster/websites/2166760/offers/25773-airarabiacom-many-geos/"/>
    <hyperlink ref="C324" r:id="rId647" display="https://www.wingo.ch/"/>
    <hyperlink ref="E324" r:id="rId648" display="https://store.admitad.com/webmaster/websites/2166760/offers/25788-wingo-ch/"/>
    <hyperlink ref="C325" r:id="rId649" display="https://www.vivino.com/"/>
    <hyperlink ref="E325" r:id="rId650" display="https://store.admitad.com/webmaster/websites/2166760/offers/25815-vivino/"/>
    <hyperlink ref="C326" r:id="rId651" display="https://www.cecil.de/"/>
    <hyperlink ref="E326" r:id="rId652" display="https://store.admitad.com/webmaster/websites/2166760/offers/25828-cecil-de/"/>
    <hyperlink ref="C327" r:id="rId653" display="https://www.geliebtes-zuhause.de/"/>
    <hyperlink ref="E327" r:id="rId654" display="https://store.admitad.com/webmaster/websites/2166760/offers/25829-geliebtes-zuhause-de/"/>
    <hyperlink ref="C328" r:id="rId655" display="https://www.akbartravels.com/Offer/Flat-20-off-on-Hotel-bookings-646"/>
    <hyperlink ref="E328" r:id="rId656" display="https://store.admitad.com/webmaster/websites/2166760/offers/25862-akbar-travels-hotel-cps-in/"/>
    <hyperlink ref="C329" r:id="rId657" display="https://elfsight.com/"/>
    <hyperlink ref="E329" r:id="rId658" display="https://store.admitad.com/webmaster/websites/2166760/offers/25874-elfsight-ww/"/>
    <hyperlink ref="C330" r:id="rId659" display="https://www.eprolo.com/"/>
    <hyperlink ref="E330" r:id="rId660" display="https://store.admitad.com/webmaster/websites/2166760/offers/25879-eprolo-ww/"/>
    <hyperlink ref="C331" r:id="rId661" display="https://www.autodesk.co.uk/buy-online"/>
    <hyperlink ref="E331" r:id="rId662" display="https://store.admitad.com/webmaster/websites/2166760/offers/25883-autodesk-uk-mena/"/>
    <hyperlink ref="C332" r:id="rId663" display="https://maxicredit.com.ua/uk"/>
    <hyperlink ref="E332" r:id="rId664" display="https://store.admitad.com/webmaster/websites/2166760/offers/25892-maxicredit-cps-ua/"/>
    <hyperlink ref="C333" r:id="rId665" display="https://www.lg.com/in"/>
    <hyperlink ref="E333" r:id="rId666" display="https://store.admitad.com/webmaster/websites/2166760/offers/25896-lg-cpl-in/"/>
    <hyperlink ref="C334" r:id="rId667" display="https://www.adl.com.tr/"/>
    <hyperlink ref="E334" r:id="rId668" display="https://store.admitad.com/webmaster/websites/2166760/offers/25908-adl-tr/"/>
    <hyperlink ref="C335" r:id="rId669" display="https://homzmart.com/"/>
    <hyperlink ref="E335" r:id="rId670" display="https://store.admitad.com/webmaster/websites/2166760/offers/25912-homzmart-eg-offline-codes/"/>
    <hyperlink ref="C336" r:id="rId671" display="https://apps.apple.com/gb/app/id1495818864"/>
    <hyperlink ref="E336" r:id="rId672" display="https://store.admitad.com/webmaster/websites/2166760/offers/25920-orca-investment-app-cpa-ios-uk/"/>
    <hyperlink ref="C337" r:id="rId673" display="https://play.google.com/store/apps/details?id=app.getorca.b2c"/>
    <hyperlink ref="E337" r:id="rId674" display="https://store.admitad.com/webmaster/websites/2166760/offers/25921-orca-investment-app-cpa-android-uk/"/>
    <hyperlink ref="C338" r:id="rId675" display="https://www.brooksbrothers.mx/"/>
    <hyperlink ref="E338" r:id="rId676" display="https://store.admitad.com/webmaster/websites/2166760/offers/25938-brooks-brothers-mx/"/>
    <hyperlink ref="C339" r:id="rId677" display="https://urlaubsnews.com/"/>
    <hyperlink ref="E339" r:id="rId678" display="https://store.admitad.com/webmaster/websites/2166760/offers/25952-urlaubsnews-dach/"/>
    <hyperlink ref="C340" r:id="rId679" display="https://lfgboost.com/"/>
    <hyperlink ref="E340" r:id="rId680" display="https://store.admitad.com/webmaster/websites/2166760/offers/26018-lfg-boost-cps-ww/"/>
    <hyperlink ref="C341" r:id="rId681" display="https://www.viator.com/it-IT/"/>
    <hyperlink ref="E341" r:id="rId682" display="https://store.admitad.com/webmaster/websites/2166760/offers/26024-viator-it/"/>
    <hyperlink ref="C342" r:id="rId683" display="https://www.g-star.com/en"/>
    <hyperlink ref="E342" r:id="rId684" display="https://store.admitad.com/webmaster/websites/2166760/offers/26025-g-star-raw-many-geos/"/>
    <hyperlink ref="C343" r:id="rId685" display="https://www.viator.com/nl-NL/"/>
    <hyperlink ref="E343" r:id="rId686" display="https://store.admitad.com/webmaster/websites/2166760/offers/26029-viator-nl/"/>
    <hyperlink ref="C344" r:id="rId687" display="https://www.mijnidealekussen.nl/nl/"/>
    <hyperlink ref="E344" r:id="rId688" display="https://store.admitad.com/webmaster/websites/2166760/offers/26040-mijnidealekussennl-nl/"/>
    <hyperlink ref="C345" r:id="rId689" display="https://www.homedepot.com/"/>
    <hyperlink ref="E345" r:id="rId690" display="https://store.admitad.com/webmaster/websites/2166760/offers/26062-the-home-depot/"/>
    <hyperlink ref="C346" r:id="rId691" display="https://www.costway.com/"/>
    <hyperlink ref="E346" r:id="rId692" display="https://store.admitad.com/webmaster/websites/2166760/offers/26070-costway-us/"/>
    <hyperlink ref="C347" r:id="rId693" display="https://en.12storeez.com/"/>
    <hyperlink ref="E347" r:id="rId694" display="https://store.admitad.com/webmaster/websites/2166760/offers/26073-12-storeez-many-geos/"/>
    <hyperlink ref="C348" r:id="rId695" display="https://www.valmano.nl/"/>
    <hyperlink ref="E348" r:id="rId696" display="https://store.admitad.com/webmaster/websites/2166760/offers/26074-valmano-many-geos/"/>
    <hyperlink ref="C349" r:id="rId697" display="https://www.currentbody.nl/"/>
    <hyperlink ref="E349" r:id="rId698" display="https://store.admitad.com/webmaster/websites/2166760/offers/26078-currentbody-nl/"/>
    <hyperlink ref="C350" r:id="rId699" display="https://me.currentbody.com/"/>
    <hyperlink ref="E350" r:id="rId700" display="https://store.admitad.com/webmaster/websites/2166760/offers/26079-currentbody-mena/"/>
    <hyperlink ref="C351" r:id="rId701" display="https://www.mcafee.com/"/>
    <hyperlink ref="E351" r:id="rId702" display="https://store.admitad.com/webmaster/websites/2166760/offers/26080-mcafee-special-de-fr/"/>
    <hyperlink ref="C352" r:id="rId703" display="https://newbalance.co.ae/"/>
    <hyperlink ref="E352" r:id="rId704" display="https://store.admitad.com/webmaster/websites/2166760/offers/26082-new-balance-ae-sa-kw-qt-bh-offline-codes/"/>
    <hyperlink ref="C353" r:id="rId705" display="https://www.currentbody.com/"/>
    <hyperlink ref="E353" r:id="rId706" display="https://store.admitad.com/webmaster/websites/2166760/offers/26084-currentbody-ru-uk/"/>
    <hyperlink ref="C354" r:id="rId707" display="https://www.acnecide.co.uk/"/>
    <hyperlink ref="E354" r:id="rId708" display="https://store.admitad.com/webmaster/websites/2166760/offers/26093-acnecide-uk/"/>
    <hyperlink ref="C355" r:id="rId709" display="https://www.betterlifeuae.com/"/>
    <hyperlink ref="E355" r:id="rId710" display="https://store.admitad.com/webmaster/websites/2166760/offers/26097-better-life-uae/"/>
    <hyperlink ref="C356" r:id="rId711" display="https://www.godrejproperties.com/mumbai/residential/coming-soon-to-exquisite/landingpage?utm_source=Admitad&amp;campid=75717&amp;utm_medium=CPMailer&amp;Publisher_Id=test1234"/>
    <hyperlink ref="E356" r:id="rId712" display="https://store.admitad.com/webmaster/websites/2166760/offers/26103-godrej-exquisite-cpm-in/"/>
    <hyperlink ref="C357" r:id="rId713" display="https://serpstat.com/"/>
    <hyperlink ref="E357" r:id="rId714" display="https://store.admitad.com/webmaster/websites/2166760/offers/26114-serpstat-cps-ww/"/>
    <hyperlink ref="C358" r:id="rId715" display="https://meetiris.app/?ref=admitadaffiliatenetwork6"/>
    <hyperlink ref="E358" r:id="rId716" display="https://store.admitad.com/webmaster/websites/2166760/offers/26120-ki-book-club-ww/"/>
    <hyperlink ref="C359" r:id="rId717" display="https://www.marksandspencer.com/"/>
    <hyperlink ref="E359" r:id="rId718" display="https://store.admitad.com/webmaster/websites/2166760/offers/26124-marks-spencer-cps-es-de-nl-ca-usa-ireland/"/>
    <hyperlink ref="C360" r:id="rId719" display="https://www.delonghi.com/cs-cz"/>
    <hyperlink ref="E360" r:id="rId720" display="https://store.admitad.com/webmaster/websites/2166760/offers/26133-delonghi-cz/"/>
    <hyperlink ref="C361" r:id="rId721" display="https://tfbank.de/"/>
    <hyperlink ref="E361" r:id="rId722" display="https://store.admitad.com/webmaster/websites/2166760/offers/26134-tf-bank-de/"/>
    <hyperlink ref="C362" r:id="rId723" display="https://espritgames.com/eternalfuryres"/>
    <hyperlink ref="E362" r:id="rId724" display="https://store.admitad.com/webmaster/websites/2166760/offers/26135-eternal-fury-resurrected-soi-enmany-geos/"/>
    <hyperlink ref="C363" r:id="rId725" display="https://www.euronova-shop.cz/"/>
    <hyperlink ref="E363" r:id="rId726" display="https://store.admitad.com/webmaster/websites/2166760/offers/26146-euronova-shop-cz/"/>
    <hyperlink ref="C364" r:id="rId727" display="https://www.kontakto.cz/"/>
    <hyperlink ref="E364" r:id="rId728" display="https://store.admitad.com/webmaster/websites/2166760/offers/26152-kontakto-cz/"/>
    <hyperlink ref="C365" r:id="rId729" display="https://www.royal-fashion.cz/"/>
    <hyperlink ref="E365" r:id="rId730" display="https://store.admitad.com/webmaster/websites/2166760/offers/26155-royal-fashion-cz/"/>
    <hyperlink ref="C366" r:id="rId731" display="https://www.stradivarius.com/fr/"/>
    <hyperlink ref="E366" r:id="rId732" display="https://store.admitad.com/webmaster/websites/2166760/offers/26156-stradivarius-it-fr-nl/"/>
    <hyperlink ref="C367" r:id="rId733" display="https://www.focuscamera.com/"/>
    <hyperlink ref="E367" r:id="rId734" display="https://store.admitad.com/webmaster/websites/2166760/offers/26158-focus-camera-us/"/>
    <hyperlink ref="C368" r:id="rId735" display="https://www.aspinaloflondon.com/"/>
    <hyperlink ref="E368" r:id="rId736" display="https://store.admitad.com/webmaster/websites/2166760/offers/26159-aspinal-of-london-uk/"/>
    <hyperlink ref="C369" r:id="rId737" display="https://hongskitchen.in/order-online/?utm_source=Logicserve_affiliate&amp;utm_medium=Admitad_CPO&amp;utm_campaign=%7bUnique_id%7d_%7bsub_publisher_id%7d"/>
    <hyperlink ref="E369" r:id="rId738" display="https://store.admitad.com/webmaster/websites/2166760/offers/26161-hongs-kitchen-cps-in/"/>
    <hyperlink ref="C370" r:id="rId739" display="https://www.bodycupid.com/"/>
    <hyperlink ref="E370" r:id="rId740" display="https://store.admitad.com/webmaster/websites/2166760/offers/26162-body-cupid-cps-in/"/>
    <hyperlink ref="C371" r:id="rId741" display="https://app.pricebackers.com/?ref=admitadaffiliatenetwork9"/>
    <hyperlink ref="E371" r:id="rId742" display="https://store.admitad.com/webmaster/websites/2166760/offers/26164-price-backers-ww/"/>
    <hyperlink ref="C372" r:id="rId743" display="https://www.kiehls.sa/en/home"/>
    <hyperlink ref="E372" r:id="rId744" display="https://store.admitad.com/webmaster/websites/2166760/offers/26170-kiehls-sa/"/>
    <hyperlink ref="C373" r:id="rId745" display="https://om.leela-game.in/"/>
    <hyperlink ref="E373" r:id="rId746" display="https://store.admitad.com/webmaster/websites/2166760/offers/26171-omleela-game-cps-ru-cis/"/>
    <hyperlink ref="C374" r:id="rId747" display="https://www.azadea.com/en/"/>
    <hyperlink ref="E374" r:id="rId748" display="https://store.admitad.com/webmaster/websites/2166760/offers/26173-azadea-kw-qa-ae-offline-codes-links/"/>
    <hyperlink ref="C375" r:id="rId749" display="https://www.underarmour.ie/en-ie/"/>
    <hyperlink ref="E375" r:id="rId750" display="https://store.admitad.com/webmaster/websites/2166760/offers/26174-under-armour-ie/"/>
    <hyperlink ref="C376" r:id="rId751" display="https://www.silkmaison.com/"/>
    <hyperlink ref="E376" r:id="rId752" display="https://store.admitad.com/webmaster/websites/2166760/offers/26177-silk-maison-ww/"/>
    <hyperlink ref="C377" r:id="rId753" display="https://induseasycredit.indusind.com/customer/personal-loan/lead/lead?utm_code=z_mktgcamp"/>
    <hyperlink ref="E377" r:id="rId754" display="https://store.admitad.com/webmaster/websites/2166760/offers/26178-indusind-pl-cpl-in/"/>
    <hyperlink ref="C378" r:id="rId755" display="https://www.dyson.hu/"/>
    <hyperlink ref="E378" r:id="rId756" display="https://store.admitad.com/webmaster/websites/2166760/offers/26188-dyson-ee/"/>
    <hyperlink ref="C379" r:id="rId757" display="https://polisonline.kz/"/>
    <hyperlink ref="E379" r:id="rId758" display="https://store.admitad.com/webmaster/websites/2166760/offers/26202-polisonline-kz/"/>
    <hyperlink ref="C380" r:id="rId759" display="https://www.rupeeredee.com/"/>
    <hyperlink ref="E380" r:id="rId760" display="https://store.admitad.com/webmaster/websites/2166760/offers/26214-rupeeredee-cprandroid-in/"/>
    <hyperlink ref="C381" r:id="rId761" display="https://om.leela-game.in/discount"/>
    <hyperlink ref="E381" r:id="rId762" display="https://store.admitad.com/webmaster/websites/2166760/offers/26216-omleela-game-cps-discount-ru-cis/"/>
    <hyperlink ref="C382" r:id="rId763" display="https://www.plesk.com/"/>
    <hyperlink ref="E382" r:id="rId764" display="https://store.admitad.com/webmaster/websites/2166760/offers/26225-plesk-cps-ww/"/>
    <hyperlink ref="C383" r:id="rId765" display="https://www.emaarkt.com/"/>
    <hyperlink ref="E383" r:id="rId766" display="https://store.admitad.com/webmaster/websites/2166760/offers/26236-emaarkt-many-geos/"/>
    <hyperlink ref="C384" r:id="rId767" display="https://www.sportskeeda.com/hockey/indian-women-s-hockey-team-felicitated-tvs-motor?key1=admitad"/>
    <hyperlink ref="E384" r:id="rId768" display="https://store.admitad.com/webmaster/websites/2166760/offers/26237-sportskeeda-cpv-in/"/>
    <hyperlink ref="C385" r:id="rId769" display="https://m.timesofindia.com/coronavirus"/>
    <hyperlink ref="E385" r:id="rId770" display="https://store.admitad.com/webmaster/websites/2166760/offers/26240-times-of-india-cpv-in/"/>
    <hyperlink ref="C386" r:id="rId771" display="https://www.theauric.com/"/>
    <hyperlink ref="E386" r:id="rId772" display="https://store.admitad.com/webmaster/websites/2166760/offers/26243-auric-cpv-in/"/>
    <hyperlink ref="C387" r:id="rId773" display="https://www.tally-weijl.com/it_IT/"/>
    <hyperlink ref="E387" r:id="rId774" display="https://store.admitad.com/webmaster/websites/2166760/offers/26244-tally-weijl-many-geos/"/>
    <hyperlink ref="C388" r:id="rId775" display="https://www.crateandbarrel.com.mx/"/>
    <hyperlink ref="E388" r:id="rId776" display="https://store.admitad.com/webmaster/websites/2166760/offers/26250-crate-and-barrel-mx/"/>
    <hyperlink ref="C389" r:id="rId777" display="https://unelefante.mx/"/>
    <hyperlink ref="E389" r:id="rId778" display="https://store.admitad.com/webmaster/websites/2166760/offers/26251-unelefante_ae/"/>
    <hyperlink ref="C390" r:id="rId779" display="https://cz.euroelectronics.eu/"/>
    <hyperlink ref="E390" r:id="rId780" display="https://store.admitad.com/webmaster/websites/2166760/offers/26254-euroelectronics-cz/"/>
    <hyperlink ref="C391" r:id="rId781" display="https://www.rumbo.pt/"/>
    <hyperlink ref="E391" r:id="rId782" display="https://store.admitad.com/webmaster/websites/2166760/offers/26261-rumbo-pt/"/>
    <hyperlink ref="C392" r:id="rId783" display="https://www.2collab.com.br/"/>
    <hyperlink ref="E392" r:id="rId784" display="https://store.admitad.com/webmaster/websites/2166760/offers/26266-2collab_-br/"/>
    <hyperlink ref="C393" r:id="rId785" display="https://sanfe.in/"/>
    <hyperlink ref="E393" r:id="rId786" display="https://store.admitad.com/webmaster/websites/2166760/offers/26270-sanfe-cps-in/"/>
    <hyperlink ref="C394" r:id="rId787" display="https://www.whirlpool.com/"/>
    <hyperlink ref="E394" r:id="rId788" display="https://store.admitad.com/webmaster/websites/2166760/offers/26282-whirlpool-us/"/>
    <hyperlink ref="C395" r:id="rId789" display="https://www.druckerpatronen.de/"/>
    <hyperlink ref="E395" r:id="rId790" display="https://store.admitad.com/webmaster/websites/2166760/offers/26299-druckerpatronen-de/"/>
    <hyperlink ref="C396" r:id="rId791" display="https://www.preisvergleich.de/"/>
    <hyperlink ref="E396" r:id="rId792" display="https://store.admitad.com/webmaster/websites/2166760/offers/26302-preisvergleich-de/"/>
    <hyperlink ref="C397" r:id="rId793" display="https://www.aida.de/"/>
    <hyperlink ref="E397" r:id="rId794" display="https://store.admitad.com/webmaster/websites/2166760/offers/26311-aida-de/"/>
    <hyperlink ref="C398" r:id="rId795" display="https://www.kaspersky.com/de/"/>
    <hyperlink ref="E398" r:id="rId796" display="https://store.admitad.com/webmaster/websites/2166760/offers/26317-kaspersky-lab-de/"/>
    <hyperlink ref="C399" r:id="rId797" display="https://www.belvilla.nl/"/>
    <hyperlink ref="E399" r:id="rId798" display="https://store.admitad.com/webmaster/websites/2166760/offers/26319-belvilla-nl/"/>
    <hyperlink ref="C400" r:id="rId799" display="https://www.afbshop.de/"/>
    <hyperlink ref="E400" r:id="rId800" display="https://store.admitad.com/webmaster/websites/2166760/offers/26331-afb-de/"/>
    <hyperlink ref="C401" r:id="rId801" display="https://apetete.pl/"/>
    <hyperlink ref="E401" r:id="rId802" display="https://store.admitad.com/webmaster/websites/2166760/offers/26333-apetete-pl/"/>
    <hyperlink ref="C402" r:id="rId803" display="https://polskikoszyk.pl/"/>
    <hyperlink ref="E402" r:id="rId804" display="https://store.admitad.com/webmaster/websites/2166760/offers/26341-polski-koszyk-pl/"/>
    <hyperlink ref="C403" r:id="rId805" display="http://www.link4.pl/"/>
    <hyperlink ref="E403" r:id="rId806" display="https://store.admitad.com/webmaster/websites/2166760/offers/26344-link4-pl/"/>
    <hyperlink ref="C404" r:id="rId807" display="https://nbsklep.pl/"/>
    <hyperlink ref="E404" r:id="rId808" display="https://store.admitad.com/webmaster/websites/2166760/offers/26347-new-balance-pl/"/>
    <hyperlink ref="C405" r:id="rId809" display="https://www.t-mobile.pl/"/>
    <hyperlink ref="E405" r:id="rId810" display="https://store.admitad.com/webmaster/websites/2166760/offers/26350-t-mobile-pl/"/>
    <hyperlink ref="C406" r:id="rId811" display="http://www.auchandirect.pl/"/>
    <hyperlink ref="E406" r:id="rId812" display="https://store.admitad.com/webmaster/websites/2166760/offers/26352-auchan-direct-pl/"/>
    <hyperlink ref="C407" r:id="rId813" display="https://www.drestige.com/"/>
    <hyperlink ref="E407" r:id="rId814" display="https://store.admitad.com/webmaster/websites/2166760/offers/26376-drestige-cps-many-geos/"/>
    <hyperlink ref="C408" r:id="rId815" display="https://www.isawitfirst.com/"/>
    <hyperlink ref="E408" r:id="rId816" display="https://store.admitad.com/webmaster/websites/2166760/offers/26377-isawitfirst-uk/"/>
    <hyperlink ref="C409" r:id="rId817" display="https://claw.games/sign-in"/>
    <hyperlink ref="E409" r:id="rId818" display="https://store.admitad.com/webmaster/websites/2166760/offers/26378-clawgames-cps-many-geos/"/>
    <hyperlink ref="C410" r:id="rId819" display="https://www.bajajfinserv.in/"/>
    <hyperlink ref="E410" r:id="rId820" display="https://store.admitad.com/webmaster/websites/2166760/offers/26391-bajaj-credit-card-cpl-in/"/>
    <hyperlink ref="C411" r:id="rId821" display="https://ethinos73.gotrackier.com/click?campaign_id=104&amp;pub_id=88&amp;p1=%7byour-transaction-id%7d&amp;source=%7byour-sub-aff-id%7d"/>
    <hyperlink ref="E411" r:id="rId822" display="https://store.admitad.com/webmaster/websites/2166760/offers/26396-insurejoy-health-insurance-cpl-in/"/>
    <hyperlink ref="C412" r:id="rId823" display="https://www.paulaschoice.nl/nl"/>
    <hyperlink ref="E412" r:id="rId824" display="https://store.admitad.com/webmaster/websites/2166760/offers/26399-paulas-choice-nlbe/"/>
    <hyperlink ref="C413" r:id="rId825" display="https://www.keeps.com/"/>
    <hyperlink ref="E413" r:id="rId826" display="https://store.admitad.com/webmaster/websites/2166760/offers/26406-keeps-us/"/>
    <hyperlink ref="C414" r:id="rId827" display="https://www.trussardi.com.br/"/>
    <hyperlink ref="E414" r:id="rId828" display="https://store.admitad.com/webmaster/websites/2166760/offers/26408-trussardi-br/"/>
    <hyperlink ref="C415" r:id="rId829" display="https://server.nitrado.net/"/>
    <hyperlink ref="E415" r:id="rId830" display="https://store.admitad.com/webmaster/websites/2166760/offers/26410-nitrado-dach-fr-usa-ru-und-pl/"/>
    <hyperlink ref="C416" r:id="rId831" display="https://juicychemistry.com/"/>
    <hyperlink ref="E416" r:id="rId832" display="https://store.admitad.com/webmaster/websites/2166760/offers/26414-juicy-chemistry-cps-in/"/>
    <hyperlink ref="C417" r:id="rId833" display="https://www.galeria.de/"/>
    <hyperlink ref="E417" r:id="rId834" display="https://store.admitad.com/webmaster/websites/2166760/offers/26421-galeria-de/"/>
    <hyperlink ref="C418" r:id="rId835" display="https://www.lynxbroker.de/"/>
    <hyperlink ref="E418" r:id="rId836" display="https://store.admitad.com/webmaster/websites/2166760/offers/26429-lynxbroker-de/"/>
    <hyperlink ref="C419" r:id="rId837" display="https://www.zeb.be/nl/"/>
    <hyperlink ref="E419" r:id="rId838" display="https://store.admitad.com/webmaster/websites/2166760/offers/26431-zeb-be/"/>
    <hyperlink ref="C420" r:id="rId839" display="https://www.ltfs.com/companies/lnt-investment-management/lnt-mutual-fund.html"/>
    <hyperlink ref="E420" r:id="rId840" display="https://store.admitad.com/webmaster/websites/2166760/offers/26433-lt-mutual-funds-cpl-in/"/>
    <hyperlink ref="C421" r:id="rId841" display="https://inkovideo.de/"/>
    <hyperlink ref="E421" r:id="rId842" display="https://store.admitad.com/webmaster/websites/2166760/offers/26437-inkovideo-dach/"/>
    <hyperlink ref="C422" r:id="rId843" display="https://play.google.com/store/apps/details?id=com.coindcx.btc&amp;hl=en_IN&amp;gl=US"/>
    <hyperlink ref="E422" r:id="rId844" display="https://store.admitad.com/webmaster/websites/2166760/offers/26441-coindcx-cpr-in/"/>
    <hyperlink ref="C423" r:id="rId845" display="https://fr.coach.com/"/>
    <hyperlink ref="E423" r:id="rId846" display="https://store.admitad.com/webmaster/websites/2166760/offers/26443-coach-fr-es-it-de/"/>
    <hyperlink ref="C424" r:id="rId847" display="https://www.magix.com/nl/"/>
    <hyperlink ref="E424" r:id="rId848" display="https://store.admitad.com/webmaster/websites/2166760/offers/26444-magix-vegas-creative-software-nl/"/>
    <hyperlink ref="C425" r:id="rId849" display="http://medica-plus.com/"/>
    <hyperlink ref="E425" r:id="rId850" display="https://store.admitad.com/webmaster/websites/2166760/offers/26447-medica-plus-ua/"/>
    <hyperlink ref="C426" r:id="rId851" display="https://nuawoman.com/?utm_source=admitad&amp;utm_medium=cps&amp;utm_campaign=aff_oct2021_admitad"/>
    <hyperlink ref="E426" r:id="rId852" display="https://store.admitad.com/webmaster/websites/2166760/offers/26449-nua-woman-cps-in/"/>
    <hyperlink ref="C427" r:id="rId853" display="https://www.benetton.com/"/>
    <hyperlink ref="E427" r:id="rId854" display="https://store.admitad.com/webmaster/websites/2166760/offers/26450-benetton-eu/"/>
    <hyperlink ref="C428" r:id="rId855" display="https://www.monclick.it/"/>
    <hyperlink ref="E428" r:id="rId856" display="https://store.admitad.com/webmaster/websites/2166760/offers/26451-monclick-it/"/>
    <hyperlink ref="C429" r:id="rId857" display="https://www.humanic.net/cz/"/>
    <hyperlink ref="E429" r:id="rId858" display="https://store.admitad.com/webmaster/websites/2166760/offers/26456-humanic-cz-sk/"/>
    <hyperlink ref="C430" r:id="rId859" display="https://www.lyleandscott.com/"/>
    <hyperlink ref="E430" r:id="rId860" display="https://store.admitad.com/webmaster/websites/2166760/offers/26465-lyle-scott-uk/"/>
    <hyperlink ref="C431" r:id="rId861" display="https://www.thebodyshop.com/sv-se/"/>
    <hyperlink ref="E431" r:id="rId862" display="https://store.admitad.com/webmaster/websites/2166760/offers/26468-the-body-shop-se/"/>
    <hyperlink ref="C432" r:id="rId863" display="https://hotpizza.gg/"/>
    <hyperlink ref="E432" r:id="rId864" display="https://store.admitad.com/webmaster/websites/2166760/offers/26469-hotpizzagg-cps-ww/"/>
    <hyperlink ref="C433" r:id="rId865" display="https://newbalance.cz/"/>
    <hyperlink ref="E433" r:id="rId866" display="https://store.admitad.com/webmaster/websites/2166760/offers/26471-new-balance-czsk/"/>
    <hyperlink ref="C434" r:id="rId867" display="https://www.lcwaikiki.com/tr-TR/TR"/>
    <hyperlink ref="E434" r:id="rId868" display="https://store.admitad.com/webmaster/websites/2166760/offers/26475-waikiki-tr/"/>
    <hyperlink ref="C435" r:id="rId869" display="https://www.voogueme.com/"/>
    <hyperlink ref="E435" r:id="rId870" display="https://store.admitad.com/webmaster/websites/2166760/offers/26479-voogueme-ww/"/>
    <hyperlink ref="C436" r:id="rId871" display="https://xterium.com/?pp=xsolla"/>
    <hyperlink ref="E436" r:id="rId872" display="https://store.admitad.com/webmaster/websites/2166760/offers/26480-xterium-war-of-alliances-cps-many-geos/"/>
    <hyperlink ref="C437" r:id="rId873" display="https://www.allingames.com/game/chernobylite-xsolla/"/>
    <hyperlink ref="E437" r:id="rId874" display="https://store.admitad.com/webmaster/websites/2166760/offers/26483-chernobylite-cps-many-geos/"/>
    <hyperlink ref="C438" r:id="rId875" display="https://www.crocs.com.sg/"/>
    <hyperlink ref="E438" r:id="rId876" display="https://store.admitad.com/webmaster/websites/2166760/offers/26489-crocs-cps-sg/"/>
    <hyperlink ref="C439" r:id="rId877" display="https://www.geld.nl/lenen/vergelijken"/>
    <hyperlink ref="E439" r:id="rId878" display="https://store.admitad.com/webmaster/websites/2166760/offers/26493-geld-nl/"/>
    <hyperlink ref="C440" r:id="rId879" display="https://www.belvilla.de/"/>
    <hyperlink ref="E440" r:id="rId880" display="https://store.admitad.com/webmaster/websites/2166760/offers/26494-belvilla-de/"/>
    <hyperlink ref="C441" r:id="rId881" display="https://www.eon.de/"/>
    <hyperlink ref="E441" r:id="rId882" display="https://store.admitad.com/webmaster/websites/2166760/offers/26498-eon-de/"/>
    <hyperlink ref="C442" r:id="rId883" display="https://www.hrs.com/"/>
    <hyperlink ref="E442" r:id="rId884" display="https://store.admitad.com/webmaster/websites/2166760/offers/26501-hrs-uk/"/>
    <hyperlink ref="C443" r:id="rId885" display="https://www.ewe.de/"/>
    <hyperlink ref="E443" r:id="rId886" display="https://store.admitad.com/webmaster/websites/2166760/offers/26507-ewe-de/"/>
    <hyperlink ref="C444" r:id="rId887" display="https://steelseries.com/"/>
    <hyperlink ref="E444" r:id="rId888" display="https://store.admitad.com/webmaster/websites/2166760/offers/26514-steelseries/"/>
    <hyperlink ref="C445" r:id="rId889" display="https://www.soultree.in/"/>
    <hyperlink ref="E445" r:id="rId890" display="https://store.admitad.com/webmaster/websites/2166760/offers/26524-soultree-cps-in/"/>
    <hyperlink ref="C446" r:id="rId891" display="https://www.darlingsofchelsea.co.uk/"/>
    <hyperlink ref="E446" r:id="rId892" display="https://store.admitad.com/webmaster/websites/2166760/offers/26529-darlings-of-chelsea-uk/"/>
    <hyperlink ref="C447" r:id="rId893" display="https://www.juliancharles.co.uk/"/>
    <hyperlink ref="E447" r:id="rId894" display="https://store.admitad.com/webmaster/websites/2166760/offers/26531-julian-charles-uk/"/>
    <hyperlink ref="C448" r:id="rId895" display="https://www.yoursclothing.co.uk/"/>
    <hyperlink ref="E448" r:id="rId896" display="https://store.admitad.com/webmaster/websites/2166760/offers/26539-yours-clothing-uk/"/>
    <hyperlink ref="C449" r:id="rId897" display="https://www.footlocker.it/"/>
    <hyperlink ref="E449" r:id="rId898" display="https://store.admitad.com/webmaster/websites/2166760/offers/26540-foot-locker-it/"/>
    <hyperlink ref="C450" r:id="rId899" display="https://www.yogabars.in/"/>
    <hyperlink ref="E450" r:id="rId900" display="https://store.admitad.com/webmaster/websites/2166760/offers/26542-yogabar-cps-in/"/>
    <hyperlink ref="C451" r:id="rId901" display="https://www.abhibus.com/"/>
    <hyperlink ref="E451" r:id="rId902" display="https://store.admitad.com/webmaster/websites/2166760/offers/26543-abhibus-cps-in/"/>
    <hyperlink ref="C452" r:id="rId903" display="https://www.pharmacy2u.co.uk/"/>
    <hyperlink ref="E452" r:id="rId904" display="https://store.admitad.com/webmaster/websites/2166760/offers/26544-pharmacy2u-online-doctor/"/>
    <hyperlink ref="C453" r:id="rId905" display="https://www.watchmaster.com/en"/>
    <hyperlink ref="E453" r:id="rId906" display="https://store.admitad.com/webmaster/websites/2166760/offers/26545-watchmaster-uk/"/>
    <hyperlink ref="C454" r:id="rId907" display="https://www.schoonenberg.nl/"/>
    <hyperlink ref="E454" r:id="rId908" display="https://store.admitad.com/webmaster/websites/2166760/offers/26547-sonova-nl/"/>
    <hyperlink ref="C455" r:id="rId909" display="https://www.geers.de/"/>
    <hyperlink ref="E455" r:id="rId910" display="https://store.admitad.com/webmaster/websites/2166760/offers/26549-sonova-de/"/>
    <hyperlink ref="C456" r:id="rId911" display="https://www.audionovaitalia.it/"/>
    <hyperlink ref="E456" r:id="rId912" display="https://store.admitad.com/webmaster/websites/2166760/offers/26550-sonova-it/"/>
    <hyperlink ref="C457" r:id="rId913" display="https://www.watchmaster.com/fr"/>
    <hyperlink ref="E457" r:id="rId914" display="https://store.admitad.com/webmaster/websites/2166760/offers/26551-watchmaster-fr/"/>
    <hyperlink ref="C458" r:id="rId915" display="https://www.watchmaster.com/de"/>
    <hyperlink ref="E458" r:id="rId916" display="https://store.admitad.com/webmaster/websites/2166760/offers/26552-watchmaster-de-at/"/>
    <hyperlink ref="C459" r:id="rId917" display="https://frenchicpaint.co.uk/"/>
    <hyperlink ref="E459" r:id="rId918" display="https://store.admitad.com/webmaster/websites/2166760/offers/26553-frenchic-paint-uk/"/>
    <hyperlink ref="C460" r:id="rId919" display="https://fra.grandado.com/"/>
    <hyperlink ref="E460" r:id="rId920" display="https://store.admitad.com/webmaster/websites/2166760/offers/26554-grandado-fr/"/>
    <hyperlink ref="C461" r:id="rId921" display="https://deu.grandado.com/"/>
    <hyperlink ref="E461" r:id="rId922" display="https://store.admitad.com/webmaster/websites/2166760/offers/26555-grandado-de/"/>
    <hyperlink ref="C462" r:id="rId923" display="https://joanieclothing.com/"/>
    <hyperlink ref="E462" r:id="rId924" display="https://store.admitad.com/webmaster/websites/2166760/offers/26556-joanie-uk/"/>
    <hyperlink ref="C463" r:id="rId925" display="https://www.itchpet.com/"/>
    <hyperlink ref="E463" r:id="rId926" display="https://store.admitad.com/webmaster/websites/2166760/offers/26557-itch-pet-uk/"/>
    <hyperlink ref="C464" r:id="rId927" display="https://thebodyshop.pl/"/>
    <hyperlink ref="E464" r:id="rId928" display="https://store.admitad.com/webmaster/websites/2166760/offers/26558-the-body-shop-pl/"/>
    <hyperlink ref="C465" r:id="rId929" display="https://www.designersofas4u.co.uk/"/>
    <hyperlink ref="E465" r:id="rId930" display="https://store.admitad.com/webmaster/websites/2166760/offers/26565-designer-sofas-4u-uk/"/>
    <hyperlink ref="C466" r:id="rId931" display="https://www.furniture-work.co.uk/"/>
    <hyperlink ref="E466" r:id="rId932" display="https://store.admitad.com/webmaster/websites/2166760/offers/26566-furnitureworkr-uk/"/>
    <hyperlink ref="C467" r:id="rId933" display="https://www.auto-doc.it/"/>
    <hyperlink ref="E467" r:id="rId934" display="https://store.admitad.com/webmaster/websites/2166760/offers/26572-autodoc-it/"/>
    <hyperlink ref="C468" r:id="rId935" display="https://www.auto-doc.fr/"/>
    <hyperlink ref="E468" r:id="rId936" display="https://store.admitad.com/webmaster/websites/2166760/offers/26577-autodoc-fr/"/>
    <hyperlink ref="C469" r:id="rId937" display="https://www.leisurelakesbikes.com/"/>
    <hyperlink ref="E469" r:id="rId938" display="https://store.admitad.com/webmaster/websites/2166760/offers/26582-leisure-lakes-bikes-uk/"/>
    <hyperlink ref="C470" r:id="rId939" display="https://www.everything5pounds.com/"/>
    <hyperlink ref="E470" r:id="rId940" display="https://store.admitad.com/webmaster/websites/2166760/offers/26583-everything-5-pounds-uk/"/>
    <hyperlink ref="C471" r:id="rId941" display="https://www.smartbuyglasses.co.uk/"/>
    <hyperlink ref="E471" r:id="rId942" display="https://store.admitad.com/webmaster/websites/2166760/offers/26591-smartbuyglasses-uk/"/>
    <hyperlink ref="C472" r:id="rId943" display="https://www.lycamobile.us/en/"/>
    <hyperlink ref="E472" r:id="rId944" display="https://store.admitad.com/webmaster/websites/2166760/offers/26599-lycamobile-us/"/>
    <hyperlink ref="C473" r:id="rId945" display="https://www.e-bikes4you.com/"/>
    <hyperlink ref="E473" r:id="rId946" display="https://store.admitad.com/webmaster/websites/2166760/offers/26610-ebikes4you-many-geos/"/>
    <hyperlink ref="C474" r:id="rId947" display="https://app.appsflyer.com/com.kotakcherry.app?pid=admitad1_int&amp;c=admitad&amp;af_siteid=%7b%7bpublisher_id%7d%7d&amp;af_click_lookback=15d&amp;clickid=%7b%7badmitad_uid%7d%7d"/>
    <hyperlink ref="E474" r:id="rId948" display="https://store.admitad.com/webmaster/websites/2166760/offers/26611-kotak-cherry-androidcpr-in/"/>
    <hyperlink ref="C475" r:id="rId949" display="https://www.gdata.de/"/>
    <hyperlink ref="E475" r:id="rId950" display="https://store.admitad.com/webmaster/websites/2166760/offers/26612-gdata-dach/"/>
    <hyperlink ref="C476" r:id="rId951" display="http://publicis.go2cloud.org/aff_c?offer_id=501&amp;aff_id=1264&amp;aff_sub2=WP_18&amp;aff_sub3=Emailers&amp;aff_click_id=%7b%7badmitad_uid%7d%7d"/>
    <hyperlink ref="E476" r:id="rId952" display="https://store.admitad.com/webmaster/websites/2166760/offers/26614-airtel-black-cpa-in/"/>
    <hyperlink ref="C477" r:id="rId953" display="https://lecord.com/collections/cables"/>
    <hyperlink ref="E477" r:id="rId954" display="https://store.admitad.com/webmaster/websites/2166760/offers/26630-le-cord-se/"/>
    <hyperlink ref="C478" r:id="rId955" display="https://reefi.me/"/>
    <hyperlink ref="E478" r:id="rId956" display="https://store.admitad.com/webmaster/websites/2166760/offers/26635-reefi-sa-offline-codes/"/>
    <hyperlink ref="C479" r:id="rId957" display="https://www.oralb.nl/nl-nl"/>
    <hyperlink ref="E479" r:id="rId958" display="https://store.admitad.com/webmaster/websites/2166760/offers/26640-oral-b-nl/"/>
    <hyperlink ref="C480" r:id="rId959" display="https://impericon.com/"/>
    <hyperlink ref="E480" r:id="rId960" display="https://store.admitad.com/webmaster/websites/2166760/offers/26644-impericon-de/"/>
    <hyperlink ref="C481" r:id="rId961" display="https://www.save.tv/"/>
    <hyperlink ref="E481" r:id="rId962" display="https://store.admitad.com/webmaster/websites/2166760/offers/26645-savetv-de/"/>
    <hyperlink ref="C482" r:id="rId963" display="https://www.doktorabc.com/de"/>
    <hyperlink ref="E482" r:id="rId964" display="https://store.admitad.com/webmaster/websites/2166760/offers/26647-doktorabc-de/"/>
    <hyperlink ref="C483" r:id="rId965" display="https://www.reifen.de/"/>
    <hyperlink ref="E483" r:id="rId966" display="https://store.admitad.com/webmaster/websites/2166760/offers/26651-reifen-de/"/>
    <hyperlink ref="C484" r:id="rId967" display="https://www.dubaistore.com/"/>
    <hyperlink ref="E484" r:id="rId968" display="https://store.admitad.com/webmaster/websites/2166760/offers/26657-dubaistore-uae/"/>
    <hyperlink ref="C485" r:id="rId969" display="https://www.glossybox.fr/"/>
    <hyperlink ref="E485" r:id="rId970" display="https://store.admitad.com/webmaster/websites/2166760/offers/26658-glossybox-fr/"/>
    <hyperlink ref="C486" r:id="rId971" display="https://www.koifootwear.com/"/>
    <hyperlink ref="E486" r:id="rId972" display="https://store.admitad.com/webmaster/websites/2166760/offers/26659-koi-footwear-uk/"/>
    <hyperlink ref="C487" r:id="rId973" display="https://olivias.com/"/>
    <hyperlink ref="E487" r:id="rId974" display="https://store.admitad.com/webmaster/websites/2166760/offers/26661-olivias-uk/"/>
    <hyperlink ref="C488" r:id="rId975" display="https://www.outandout.com/"/>
    <hyperlink ref="E488" r:id="rId976" display="https://store.admitad.com/webmaster/websites/2166760/offers/26662-out-out-original-uk/"/>
    <hyperlink ref="C489" r:id="rId977" display="https://www.its.de/"/>
    <hyperlink ref="E489" r:id="rId978" display="https://store.admitad.com/webmaster/websites/2166760/offers/26663-its-reisen-de/"/>
    <hyperlink ref="C490" r:id="rId979" display="https://www.global.jdsports.com/"/>
    <hyperlink ref="E490" r:id="rId980" display="https://store.admitad.com/webmaster/websites/2166760/offers/26665-jd-sports/"/>
    <hyperlink ref="C491" r:id="rId981" display="https://shop.samsung.com/ca/"/>
    <hyperlink ref="E491" r:id="rId982" display="https://store.admitad.com/webmaster/websites/2166760/offers/26670-samsung-ca/"/>
    <hyperlink ref="C492" r:id="rId983" display="https://www.goneo.de/"/>
    <hyperlink ref="E492" r:id="rId984" display="https://store.admitad.com/webmaster/websites/2166760/offers/26671-goneo-de/"/>
    <hyperlink ref="C493" r:id="rId985" display="https://www.sport-thieme.de/"/>
    <hyperlink ref="E493" r:id="rId986" display="https://store.admitad.com/webmaster/websites/2166760/offers/26672-sport-thieme-de/"/>
    <hyperlink ref="C494" r:id="rId987" display="https://gorillas.io/de"/>
    <hyperlink ref="E494" r:id="rId988" display="https://store.admitad.com/webmaster/websites/2166760/offers/26674-gorillas-de/"/>
    <hyperlink ref="C495" r:id="rId989" display="https://modivo.it/"/>
    <hyperlink ref="E495" r:id="rId990" display="https://store.admitad.com/webmaster/websites/2166760/offers/26675-modivo-it/"/>
    <hyperlink ref="C496" r:id="rId991" display="https://www.rueden.de/"/>
    <hyperlink ref="E496" r:id="rId992" display="https://store.admitad.com/webmaster/websites/2166760/offers/26677-von-rueden-de/"/>
    <hyperlink ref="C497" r:id="rId993" display="https://www.radonline.de/"/>
    <hyperlink ref="E497" r:id="rId994" display="https://store.admitad.com/webmaster/websites/2166760/offers/26678-radonline-deat/"/>
    <hyperlink ref="C498" r:id="rId995" display="https://www.outfits24.de/"/>
    <hyperlink ref="E498" r:id="rId996" display="https://store.admitad.com/webmaster/websites/2166760/offers/26679-outfits24-de/"/>
    <hyperlink ref="C499" r:id="rId997" display="https://www.schuhe24.de/"/>
    <hyperlink ref="E499" r:id="rId998" display="https://store.admitad.com/webmaster/websites/2166760/offers/26681-schuhe24-de/"/>
    <hyperlink ref="C500" r:id="rId999" display="https://www.brille24.de/"/>
    <hyperlink ref="E500" r:id="rId1000" display="https://store.admitad.com/webmaster/websites/2166760/offers/26682-brille24-de/"/>
    <hyperlink ref="C501" r:id="rId1001" display="https://www.qatarairways.com/en-nl/homepage.html"/>
    <hyperlink ref="E501" r:id="rId1002" display="https://store.admitad.com/webmaster/websites/2166760/offers/26685-qatar-nl/"/>
    <hyperlink ref="C502" r:id="rId1003" display="https://www.qatarairways.com/de-de/homepage.html"/>
    <hyperlink ref="E502" r:id="rId1004" display="https://store.admitad.com/webmaster/websites/2166760/offers/26686-qatar-de/"/>
    <hyperlink ref="C503" r:id="rId1005" display="https://www.qatarairways.com/es-es/homepage.html"/>
    <hyperlink ref="E503" r:id="rId1006" display="https://store.admitad.com/webmaster/websites/2166760/offers/26687-qatar-es/"/>
    <hyperlink ref="C504" r:id="rId1007" display="https://www.qatarairways.com/it-it/homepage.html"/>
    <hyperlink ref="E504" r:id="rId1008" display="https://store.admitad.com/webmaster/websites/2166760/offers/26688-qatar-it/"/>
    <hyperlink ref="C505" r:id="rId1009" display="https://www.autodoc.de/"/>
    <hyperlink ref="E505" r:id="rId1010" display="https://store.admitad.com/webmaster/websites/2166760/offers/26690-autodoc-de/"/>
    <hyperlink ref="C506" r:id="rId1011" display="https://www.autoparti.it/"/>
    <hyperlink ref="E506" r:id="rId1012" display="https://store.admitad.com/webmaster/websites/2166760/offers/26691-autoparti-it/"/>
    <hyperlink ref="C507" r:id="rId1013" display="https://www.qatarairways.com/en-gb/homepage.html"/>
    <hyperlink ref="E507" r:id="rId1014" display="https://store.admitad.com/webmaster/websites/2166760/offers/26692-qatar-uk/"/>
    <hyperlink ref="C508" r:id="rId1015" display="https://www.qatarairways.com/en-us/homepage.html"/>
    <hyperlink ref="E508" r:id="rId1016" display="https://store.admitad.com/webmaster/websites/2166760/offers/26694-qatar-us/"/>
    <hyperlink ref="C509" r:id="rId1017" display="https://www.crocs.de/"/>
    <hyperlink ref="E509" r:id="rId1018" display="https://store.admitad.com/webmaster/websites/2166760/offers/26698-crocs-de-2/"/>
    <hyperlink ref="C510" r:id="rId1019" display="https://www.simbasleep.com/"/>
    <hyperlink ref="E510" r:id="rId1020" display="https://store.admitad.com/webmaster/websites/2166760/offers/26702-simbasleep-uk/"/>
    <hyperlink ref="C511" r:id="rId1021" display="https://www.ruralretreats.co.uk/"/>
    <hyperlink ref="E511" r:id="rId1022" display="https://store.admitad.com/webmaster/websites/2166760/offers/26703-rural-retreats-uk/"/>
    <hyperlink ref="C512" r:id="rId1023" display="https://gorillas.io/en"/>
    <hyperlink ref="E512" r:id="rId1024" display="https://store.admitad.com/webmaster/websites/2166760/offers/26705-gorillas-uk/"/>
    <hyperlink ref="C513" r:id="rId1025" display="https://www.airtel.in/myplan-infinity/submit-form"/>
    <hyperlink ref="E513" r:id="rId1026" display="https://store.admitad.com/webmaster/websites/2166760/offers/26708-airtel-postpaid-cpa-in/"/>
    <hyperlink ref="C514" r:id="rId1027" display="https://bancointer.onelink.me/nyEn?pid=admitad1_int&amp;c=Conta%20Digital%20-%20Admitad&amp;af_click_lookback=7d&amp;af_siteid=%7b%7bpublisher_id%7d%7d&amp;clickid=%7b%7badmitad_uid%7d%7d&amp;af_web_dp=https%3A%2F%2Fwww.bancointer.com.br%2Fpra-voce%2Fconta-digital%2Fpessoa-fisica%2F%3Futm_source%3Dadmitad%26utm_medium%3Dcpa%26utm_campaign%3Dconta-digital&amp;af_dp=bancointer%3A%2F%2F&amp;af_force_deeplink=true"/>
    <hyperlink ref="E514" r:id="rId1028" display="https://store.admitad.com/webmaster/websites/2166760/offers/26711-banco-inter-ios/"/>
    <hyperlink ref="C515" r:id="rId1029" display="https://global.dudubags.com/"/>
    <hyperlink ref="E515" r:id="rId1030" display="https://store.admitad.com/webmaster/websites/2166760/offers/26712-dudubags-gcc-offline-codes/"/>
    <hyperlink ref="C516" r:id="rId1031" display="https://www.forumsport.com/es-es/"/>
    <hyperlink ref="E516" r:id="rId1032" display="https://store.admitad.com/webmaster/websites/2166760/offers/26714-forum-sport-es/"/>
    <hyperlink ref="C517" r:id="rId1033" display="https://www.grandado.com/"/>
    <hyperlink ref="E517" r:id="rId1034" display="https://store.admitad.com/webmaster/websites/2166760/offers/26718-grandado-nl-be/"/>
    <hyperlink ref="C518" r:id="rId1035" display="https://www.europcar.fr/bons-plans-france"/>
    <hyperlink ref="E518" r:id="rId1036" display="https://store.admitad.com/webmaster/websites/2166760/offers/26725-europcar-fr/"/>
    <hyperlink ref="C519" r:id="rId1037" display="https://www.badrhino.com/"/>
    <hyperlink ref="E519" r:id="rId1038" display="https://store.admitad.com/webmaster/websites/2166760/offers/26729-badrhino-uk/"/>
    <hyperlink ref="C520" r:id="rId1039" display="https://www.cashify.in/"/>
    <hyperlink ref="E520" r:id="rId1040" display="https://store.admitad.com/webmaster/websites/2166760/offers/26736-cashify-cps-in/"/>
    <hyperlink ref="C521" r:id="rId1041" display="https://www.mi.com/de"/>
    <hyperlink ref="E521" r:id="rId1042" display="https://store.admitad.com/webmaster/websites/2166760/offers/26741-xiaomi-de/"/>
    <hyperlink ref="C522" r:id="rId1043" display="https://www.lotto.de/de/lotto-6aus49.html"/>
    <hyperlink ref="E522" r:id="rId1044" display="https://store.admitad.com/webmaster/websites/2166760/offers/26744-lotto-de/"/>
    <hyperlink ref="C523" r:id="rId1045" display="https://www.alltours.de/"/>
    <hyperlink ref="E523" r:id="rId1046" display="https://store.admitad.com/webmaster/websites/2166760/offers/26745-alltours-de/"/>
    <hyperlink ref="C524" r:id="rId1047" display="https://www.sizeofficial.de/"/>
    <hyperlink ref="E524" r:id="rId1048" display="https://store.admitad.com/webmaster/websites/2166760/offers/26746-sizeofficial-de/"/>
    <hyperlink ref="C525" r:id="rId1049" display="https://www.aosom.fr/"/>
    <hyperlink ref="E525" r:id="rId1050" display="https://store.admitad.com/webmaster/websites/2166760/offers/26759-aosom-fr/"/>
    <hyperlink ref="C526" r:id="rId1051" display="https://direct.purina.co.uk/"/>
    <hyperlink ref="E526" r:id="rId1052" display="https://store.admitad.com/webmaster/websites/2166760/offers/26765-purina-direct-uk/"/>
    <hyperlink ref="C527" r:id="rId1053" display="https://www.thebodyshop.com.kw/en/"/>
    <hyperlink ref="E527" r:id="rId1054" display="https://store.admitad.com/webmaster/websites/2166760/offers/26775-the-body-shop-kw/"/>
    <hyperlink ref="C528" r:id="rId1055" display="https://www.nencinisport.it/en/"/>
    <hyperlink ref="E528" r:id="rId1056" display="https://store.admitad.com/webmaster/websites/2166760/offers/26779-nencinisport-it/"/>
    <hyperlink ref="C529" r:id="rId1057" display="https://www.daparto.de/"/>
    <hyperlink ref="E529" r:id="rId1058" display="https://store.admitad.com/webmaster/websites/2166760/offers/26782-daparto-de/"/>
    <hyperlink ref="C530" r:id="rId1059" display="https://www.office-partner.de/"/>
    <hyperlink ref="E530" r:id="rId1060" display="https://store.admitad.com/webmaster/websites/2166760/offers/26785-office-partner-de/"/>
    <hyperlink ref="C531" r:id="rId1061" display="https://www.amorelie.de/"/>
    <hyperlink ref="E531" r:id="rId1062" display="https://store.admitad.com/webmaster/websites/2166760/offers/26787-amorelie-de/"/>
    <hyperlink ref="C532" r:id="rId1063" display="https://www.puzzle.de/"/>
    <hyperlink ref="E532" r:id="rId1064" display="https://store.admitad.com/webmaster/websites/2166760/offers/26791-puzzle-de/"/>
    <hyperlink ref="C533" r:id="rId1065" display="http://www.alternate.fr/"/>
    <hyperlink ref="E533" r:id="rId1066" display="https://store.admitad.com/webmaster/websites/2166760/offers/26792-alternate-fr/"/>
    <hyperlink ref="C534" r:id="rId1067" display="https://wellnessforever.com/"/>
    <hyperlink ref="E534" r:id="rId1068" display="https://store.admitad.com/webmaster/websites/2166760/offers/26795-wellness-forever-android-cps-in/"/>
    <hyperlink ref="C535" r:id="rId1069" display="https://www.aosom.it/"/>
    <hyperlink ref="E535" r:id="rId1070" display="https://store.admitad.com/webmaster/websites/2166760/offers/26803-aosom-it/"/>
    <hyperlink ref="C536" r:id="rId1071" display="https://www.aosom.co.uk/"/>
    <hyperlink ref="E536" r:id="rId1072" display="https://store.admitad.com/webmaster/websites/2166760/offers/26805-aosom-uk/"/>
    <hyperlink ref="C537" r:id="rId1073" display="https://www.aosom.es/"/>
    <hyperlink ref="E537" r:id="rId1074" display="https://store.admitad.com/webmaster/websites/2166760/offers/26806-aosom-es/"/>
    <hyperlink ref="C538" r:id="rId1075" display="https://www.archiproducts.com/fr"/>
    <hyperlink ref="E538" r:id="rId1076" display="https://store.admitad.com/webmaster/websites/2166760/offers/26814-archiproducts-fr/"/>
    <hyperlink ref="C539" r:id="rId1077" display="https://www.wowcher.com/es/"/>
    <hyperlink ref="E539" r:id="rId1078" display="https://store.admitad.com/webmaster/websites/2166760/offers/26816-wowcher-es/"/>
    <hyperlink ref="C540" r:id="rId1079" display="https://www.outspot.nl/"/>
    <hyperlink ref="E540" r:id="rId1080" display="https://store.admitad.com/webmaster/websites/2166760/offers/26818-outspot-nl/"/>
    <hyperlink ref="C541" r:id="rId1081" display="https://www.angelone.in/"/>
    <hyperlink ref="E541" r:id="rId1082" display="https://store.admitad.com/webmaster/websites/2166760/offers/26833-angel-one-cpl-in/"/>
    <hyperlink ref="C542" r:id="rId1083" display="https://www.westelm.ae/"/>
    <hyperlink ref="E542" r:id="rId1084" display="https://store.admitad.com/webmaster/websites/2166760/offers/26836-west-elm-ae-sa-kw-offline-codes/"/>
    <hyperlink ref="C543" r:id="rId1085" display="https://www.bathandbodyworks.ae/"/>
    <hyperlink ref="E543" r:id="rId1086" display="https://store.admitad.com/webmaster/websites/2166760/offers/26837-bath-body-works-egy-offline-codes/"/>
    <hyperlink ref="C544" r:id="rId1087" display="https://ae.hm.com/"/>
    <hyperlink ref="E544" r:id="rId1088" display="https://store.admitad.com/webmaster/websites/2166760/offers/26838-hm-ae-sa-kw-eg-qa-offline-codes/"/>
    <hyperlink ref="C545" r:id="rId1089" display="https://www.potterybarn.ae/"/>
    <hyperlink ref="E545" r:id="rId1090" display="https://store.admitad.com/webmaster/websites/2166760/offers/26839-pottery-barn-ae-sa-kw-offline-codes/"/>
    <hyperlink ref="C546" r:id="rId1091" display="https://me.marchesa.com/"/>
    <hyperlink ref="E546" r:id="rId1092" display="https://store.admitad.com/webmaster/websites/2166760/offers/26841-marchesa-offline-promo-codes/"/>
    <hyperlink ref="C547" r:id="rId1093" display="https://me.fragrance.com/"/>
    <hyperlink ref="E547" r:id="rId1094" display="https://store.admitad.com/webmaster/websites/2166760/offers/26842-fragrance-offline-promo-codes/"/>
    <hyperlink ref="C548" r:id="rId1095" display="https://smarty.co.uk/"/>
    <hyperlink ref="E548" r:id="rId1096" display="https://store.admitad.com/webmaster/websites/2166760/offers/26857-smarty-uk/"/>
    <hyperlink ref="C549" r:id="rId1097" display="https://www.gobicashmere.com/"/>
    <hyperlink ref="E549" r:id="rId1098" display="https://store.admitad.com/webmaster/websites/2166760/offers/26859-gobi-cashmere-dach-ru/"/>
    <hyperlink ref="C550" r:id="rId1099" display="https://radpowerbikes.eu/"/>
    <hyperlink ref="E550" r:id="rId1100" display="https://store.admitad.com/webmaster/websites/2166760/offers/26860-rad-power-bikes-dach-uk-it-es/"/>
    <hyperlink ref="C551" r:id="rId1101" display="https://www.welhof.com/nl_nl/"/>
    <hyperlink ref="E551" r:id="rId1102" display="https://store.admitad.com/webmaster/websites/2166760/offers/26862-welhof-nl/"/>
    <hyperlink ref="C552" r:id="rId1103" display="https://mnstore.eu/"/>
    <hyperlink ref="E552" r:id="rId1104" display="https://store.admitad.com/webmaster/websites/2166760/offers/26863-mn-store-many-geos/"/>
    <hyperlink ref="C553" r:id="rId1105" display="https://www.noon.com/saudi-en/"/>
    <hyperlink ref="E553" r:id="rId1106" display="https://store.admitad.com/webmaster/websites/2166760/offers/26864-noon-ae-sa-offline-codes/"/>
    <hyperlink ref="C554" r:id="rId1107" display="https://www.conte.it/mi-fido-fq/"/>
    <hyperlink ref="E554" r:id="rId1108" display="https://store.admitad.com/webmaster/websites/2166760/offers/26871-conte-2020-it/"/>
    <hyperlink ref="C555" r:id="rId1109" display="https://www.thejewellershop.com/"/>
    <hyperlink ref="E555" r:id="rId1110" display="https://store.admitad.com/webmaster/websites/2166760/offers/26882-the-jeweller-shop-de/"/>
    <hyperlink ref="C556" r:id="rId1111" display="https://www.sidestep-shoes.de/de/startseite"/>
    <hyperlink ref="E556" r:id="rId1112" display="https://store.admitad.com/webmaster/websites/2166760/offers/26883-sidestep-de/"/>
    <hyperlink ref="C557" r:id="rId1113" display="https://www.5vorflug.de/?utm_term=home&amp;utm_campaign=ongoing"/>
    <hyperlink ref="E557" r:id="rId1114" display="https://store.admitad.com/webmaster/websites/2166760/offers/26884-5vorflug-de/"/>
    <hyperlink ref="C558" r:id="rId1115" display="https://www.made.com/"/>
    <hyperlink ref="E558" r:id="rId1116" display="https://store.admitad.com/webmaster/websites/2166760/offers/26891-made-many-geos/"/>
    <hyperlink ref="C559" r:id="rId1117" display="https://www.americaneagle.ae/"/>
    <hyperlink ref="E559" r:id="rId1118" display="https://store.admitad.com/webmaster/websites/2166760/offers/26893-american-eagle-gcc-eg-offline-codes/"/>
    <hyperlink ref="C560" r:id="rId1119" display="https://www.hibobi.com/"/>
    <hyperlink ref="E560" r:id="rId1120" display="https://store.admitad.com/webmaster/websites/2166760/offers/26894-hibobi-ww-offline-codes/"/>
    <hyperlink ref="C561" r:id="rId1121" display="https://alhabibshop.com/"/>
    <hyperlink ref="E561" r:id="rId1122" display="https://store.admitad.com/webmaster/websites/2166760/offers/26895-alhabib-bedding-ksa-offline-codes/"/>
    <hyperlink ref="C562" r:id="rId1123" display="https://cottonon.com/US"/>
    <hyperlink ref="E562" r:id="rId1124" display="https://store.admitad.com/webmaster/websites/2166760/offers/26903-cotton-on-us/"/>
    <hyperlink ref="C563" r:id="rId1125" display="https://www.costway.com/"/>
    <hyperlink ref="E563" r:id="rId1126" display="https://store.admitad.com/webmaster/websites/2166760/offers/26904-costway_us/"/>
    <hyperlink ref="C564" r:id="rId1127" display="https://bloomscape.com/"/>
    <hyperlink ref="E564" r:id="rId1128" display="https://store.admitad.com/webmaster/websites/2166760/offers/26905-bloomscape-us/"/>
    <hyperlink ref="C565" r:id="rId1129" display="https://www.pond5.com/"/>
    <hyperlink ref="E565" r:id="rId1130" display="https://store.admitad.com/webmaster/websites/2166760/offers/26906-pond5-ww/"/>
    <hyperlink ref="C566" r:id="rId1131" display="http://www.easytoy.it/"/>
    <hyperlink ref="E566" r:id="rId1132" display="https://store.admitad.com/webmaster/websites/2166760/offers/26909-easytoys-it/"/>
    <hyperlink ref="C567" r:id="rId1133" display="https://www.coastfashion.com/"/>
    <hyperlink ref="E567" r:id="rId1134" display="https://store.admitad.com/webmaster/websites/2166760/offers/26910-coast-uk/"/>
    <hyperlink ref="C568" r:id="rId1135" display="https://www.weber.com/FR/fr/home/"/>
    <hyperlink ref="E568" r:id="rId1136" display="https://store.admitad.com/webmaster/websites/2166760/offers/26911-weber-fr/"/>
    <hyperlink ref="C569" r:id="rId1137" display="https://www.dulux.co.uk/en"/>
    <hyperlink ref="E569" r:id="rId1138" display="https://store.admitad.com/webmaster/websites/2166760/offers/26912-dulux-uk/"/>
    <hyperlink ref="C570" r:id="rId1139" display="https://perfume-click.co.uk/"/>
    <hyperlink ref="E570" r:id="rId1140" display="https://store.admitad.com/webmaster/websites/2166760/offers/26913-perfume-click-uk/"/>
    <hyperlink ref="C571" r:id="rId1141" display="https://www.docmorris.fr/"/>
    <hyperlink ref="E571" r:id="rId1142" display="https://store.admitad.com/webmaster/websites/2166760/offers/26914-docmorris-fr/"/>
    <hyperlink ref="C572" r:id="rId1143" display="https://www.tedbaker.com/de"/>
    <hyperlink ref="E572" r:id="rId1144" display="https://store.admitad.com/webmaster/websites/2166760/offers/26919-ted-baker-de/"/>
    <hyperlink ref="C573" r:id="rId1145" display="https://www.fti.de/?utm_term=home&amp;utm_campaign=ongoing"/>
    <hyperlink ref="E573" r:id="rId1146" display="https://store.admitad.com/webmaster/websites/2166760/offers/26922-fti-de/"/>
    <hyperlink ref="C574" r:id="rId1147" display="https://play.google.com/store/apps/details?id=ru.tmgame.client&amp;pli=1"/>
    <hyperlink ref="E574" r:id="rId1148" display="https://store.admitad.com/webmaster/websites/2166760/offers/26935-tekhnomagiia-cpa-android-rucis/"/>
    <hyperlink ref="C575" r:id="rId1149" display="https://www.anotah.com/"/>
    <hyperlink ref="E575" r:id="rId1150" display="https://store.admitad.com/webmaster/websites/2166760/offers/26937-anotah-fashion-ae-sa/"/>
    <hyperlink ref="C576" r:id="rId1151" display="https://shopee.pl/"/>
    <hyperlink ref="E576" r:id="rId1152" display="https://store.admitad.com/webmaster/websites/2166760/offers/26940-shopee-pl-cashbackcoupons/"/>
    <hyperlink ref="C577" r:id="rId1153" display="https://shopee.com.mx/"/>
    <hyperlink ref="E577" r:id="rId1154" display="https://store.admitad.com/webmaster/websites/2166760/offers/26944-shopee-mx/"/>
    <hyperlink ref="C578" r:id="rId1155" display="https://store.canon.ch/"/>
    <hyperlink ref="E578" r:id="rId1156" display="https://store.admitad.com/webmaster/websites/2166760/offers/26951-canon-ch/"/>
    <hyperlink ref="C579" r:id="rId1157" display="https://www.suitdirect.co.uk/"/>
    <hyperlink ref="E579" r:id="rId1158" display="https://store.admitad.com/webmaster/websites/2166760/offers/26955-suit-direct-uk/"/>
    <hyperlink ref="C580" r:id="rId1159" display="https://www.whittard.co.uk/"/>
    <hyperlink ref="E580" r:id="rId1160" display="https://store.admitad.com/webmaster/websites/2166760/offers/26957-whittard-of-chelsea-uk/"/>
    <hyperlink ref="C581" r:id="rId1161" display="https://www.britanniahotels.com/"/>
    <hyperlink ref="E581" r:id="rId1162" display="https://store.admitad.com/webmaster/websites/2166760/offers/26960-britannia-hotels-uk/"/>
    <hyperlink ref="C582" r:id="rId1163" display="https://www.fashioneyewear.co.uk/"/>
    <hyperlink ref="E582" r:id="rId1164" display="https://store.admitad.com/webmaster/websites/2166760/offers/26961-fashion-eyewear-uk/"/>
    <hyperlink ref="C583" r:id="rId1165" display="https://www.glossybox.de/"/>
    <hyperlink ref="E583" r:id="rId1166" display="https://store.admitad.com/webmaster/websites/2166760/offers/26963-glossybox-de/"/>
    <hyperlink ref="C584" r:id="rId1167" display="https://www.airconcentre.co.uk/"/>
    <hyperlink ref="E584" r:id="rId1168" display="https://store.admitad.com/webmaster/websites/2166760/offers/26965-airconcentre-uk/"/>
    <hyperlink ref="C585" r:id="rId1169" display="https://hyperoptic.com/offer/affiliate-deal/"/>
    <hyperlink ref="E585" r:id="rId1170" display="https://store.admitad.com/webmaster/websites/2166760/offers/26966-hyperoptic-b2c-uk/"/>
    <hyperlink ref="C586" r:id="rId1171" display="https://www.scottsdalegolf.co.uk/"/>
    <hyperlink ref="E586" r:id="rId1172" display="https://store.admitad.com/webmaster/websites/2166760/offers/26968-scottsdale-golf-uk/"/>
    <hyperlink ref="C587" r:id="rId1173" display="https://www.beerwulf.com/it-it"/>
    <hyperlink ref="E587" r:id="rId1174" display="https://store.admitad.com/webmaster/websites/2166760/offers/26971-beerwulf-it/"/>
    <hyperlink ref="C588" r:id="rId1175" display="https://www.beerwulf.com/fr-fr"/>
    <hyperlink ref="E588" r:id="rId1176" display="https://store.admitad.com/webmaster/websites/2166760/offers/26974-beerwulf-fr/"/>
    <hyperlink ref="C589" r:id="rId1177" display="https://yumove.co.uk/pages/login-discount"/>
    <hyperlink ref="E589" r:id="rId1178" display="https://store.admitad.com/webmaster/websites/2166760/offers/26975-yumove-uk/"/>
    <hyperlink ref="C590" r:id="rId1179" display="https://www.broadbandgenie.co.uk/offers"/>
    <hyperlink ref="E590" r:id="rId1180" display="https://store.admitad.com/webmaster/websites/2166760/offers/26977-broadband-genie-uk/"/>
    <hyperlink ref="C591" r:id="rId1181" display="https://www.hotelduvin.com/"/>
    <hyperlink ref="E591" r:id="rId1182" display="https://store.admitad.com/webmaster/websites/2166760/offers/26980-hotel-du-vin-uk/"/>
    <hyperlink ref="C592" r:id="rId1183" display="https://www.frenchconnection.com/"/>
    <hyperlink ref="E592" r:id="rId1184" display="https://store.admitad.com/webmaster/websites/2166760/offers/26981-french-connection-uk/"/>
    <hyperlink ref="C593" r:id="rId1185" display="https://www.smartbuyglasses.de/"/>
    <hyperlink ref="E593" r:id="rId1186" display="https://store.admitad.com/webmaster/websites/2166760/offers/26983-smartbuyglasses-de/"/>
    <hyperlink ref="C594" r:id="rId1187" display="https://www.joulesusa.com/"/>
    <hyperlink ref="E594" r:id="rId1188" display="https://store.admitad.com/webmaster/websites/2166760/offers/26984-joules-us/"/>
    <hyperlink ref="C595" r:id="rId1189" display="https://www.fortnumandmason.com/"/>
    <hyperlink ref="E595" r:id="rId1190" display="https://store.admitad.com/webmaster/websites/2166760/offers/26986-fortnum-mason-uk/"/>
    <hyperlink ref="C596" r:id="rId1191" display="https://www.tooled-up.com/"/>
    <hyperlink ref="E596" r:id="rId1192" display="https://store.admitad.com/webmaster/websites/2166760/offers/26988-tooled-up-uk/"/>
    <hyperlink ref="C597" r:id="rId1193" display="https://www.samsung.com/es/"/>
    <hyperlink ref="E597" r:id="rId1194" display="https://store.admitad.com/webmaster/websites/2166760/offers/26994-samsung-es/"/>
    <hyperlink ref="C598" r:id="rId1195" display="https://www.e-wie-einfach.de/"/>
    <hyperlink ref="E598" r:id="rId1196" display="https://store.admitad.com/webmaster/websites/2166760/offers/26998-e-wie-einfach-de/"/>
    <hyperlink ref="C599" r:id="rId1197" display="https://www.gommadiretto.it/cgi-bin/rshop.pl"/>
    <hyperlink ref="E599" r:id="rId1198" display="https://store.admitad.com/webmaster/websites/2166760/offers/27000-gommadiretto-it/"/>
    <hyperlink ref="C600" r:id="rId1199" display="https://www.smartbuyglasses.nl/"/>
    <hyperlink ref="E600" r:id="rId1200" display="https://store.admitad.com/webmaster/websites/2166760/offers/27002-smartbuyglasses-nl/"/>
    <hyperlink ref="C601" r:id="rId1201" display="https://www.thebodyshop.com/fr-fr/"/>
    <hyperlink ref="E601" r:id="rId1202" display="https://store.admitad.com/webmaster/websites/2166760/offers/27003-the-body-shop-fr/"/>
    <hyperlink ref="C602" r:id="rId1203" display="https://www.furniturevillage.co.uk/"/>
    <hyperlink ref="E602" r:id="rId1204" display="https://store.admitad.com/webmaster/websites/2166760/offers/27007-furniture-village-uk/"/>
    <hyperlink ref="C603" r:id="rId1205" display="https://www.underarmour.es/es-es"/>
    <hyperlink ref="E603" r:id="rId1206" display="https://store.admitad.com/webmaster/websites/2166760/offers/27011-under-armour-es/"/>
    <hyperlink ref="C604" r:id="rId1207" display="https://www.bricobravo.com/"/>
    <hyperlink ref="E604" r:id="rId1208" display="https://store.admitad.com/webmaster/websites/2166760/offers/27013-bricobravo-it/"/>
    <hyperlink ref="C605" r:id="rId1209" display="https://www.underarmour.it/it-it"/>
    <hyperlink ref="E605" r:id="rId1210" display="https://store.admitad.com/webmaster/websites/2166760/offers/27014-under-armour-it/"/>
    <hyperlink ref="C606" r:id="rId1211" display="https://www.underarmour.nl/"/>
    <hyperlink ref="E606" r:id="rId1212" display="https://store.admitad.com/webmaster/websites/2166760/offers/27015-under-armour-nl/"/>
    <hyperlink ref="C607" r:id="rId1213" display="https://www.underarmour.fr/fr-fr/"/>
    <hyperlink ref="E607" r:id="rId1214" display="https://store.admitad.com/webmaster/websites/2166760/offers/27016-under-armour-fr/"/>
    <hyperlink ref="C608" r:id="rId1215" display="https://www.zooplus.fr/"/>
    <hyperlink ref="E608" r:id="rId1216" display="https://store.admitad.com/webmaster/websites/2166760/offers/27017-zooplus-fr/"/>
    <hyperlink ref="C609" r:id="rId1217" display="https://www.europcar.co.uk/"/>
    <hyperlink ref="E609" r:id="rId1218" display="https://store.admitad.com/webmaster/websites/2166760/offers/27018-europcar-international-uk-ie/"/>
    <hyperlink ref="C610" r:id="rId1219" display="https://www.english-heritage.org.uk/join"/>
    <hyperlink ref="E610" r:id="rId1220" display="https://store.admitad.com/webmaster/websites/2166760/offers/27022-english-heritage-uk/"/>
    <hyperlink ref="C611" r:id="rId1221" display="https://www.underarmour.co.uk/en-gb/?"/>
    <hyperlink ref="E611" r:id="rId1222" display="https://store.admitad.com/webmaster/websites/2166760/offers/27027-under-armour-uk/"/>
    <hyperlink ref="C612" r:id="rId1223" display="https://www.emma-sleep.com/"/>
    <hyperlink ref="E612" r:id="rId1224" display="https://store.admitad.com/webmaster/websites/2166760/offers/27030-emma-mattress-us/"/>
    <hyperlink ref="C613" r:id="rId1225" display="https://www.archiproducts.com/it"/>
    <hyperlink ref="E613" r:id="rId1226" display="https://store.admitad.com/webmaster/websites/2166760/offers/27031-archiproducts-it/"/>
    <hyperlink ref="C614" r:id="rId1227" display="https://www.archiproducts.com/en"/>
    <hyperlink ref="E614" r:id="rId1228" display="https://store.admitad.com/webmaster/websites/2166760/offers/27032-archiproducts-uk/"/>
    <hyperlink ref="C615" r:id="rId1229" display="https://lwtheatres.co.uk/"/>
    <hyperlink ref="E615" r:id="rId1230" display="https://store.admitad.com/webmaster/websites/2166760/offers/27037-lw-theatres-uk/"/>
    <hyperlink ref="C616" r:id="rId1231" display="https://www.flaconi.pl/"/>
    <hyperlink ref="E616" r:id="rId1232" display="https://store.admitad.com/webmaster/websites/2166760/offers/27040-flaconi-pl/"/>
    <hyperlink ref="C617" r:id="rId1233" display="https://www.eon-energia.com/it/casa.html"/>
    <hyperlink ref="E617" r:id="rId1234" display="https://store.admitad.com/webmaster/websites/2166760/offers/27041-eon-it/"/>
    <hyperlink ref="C618" r:id="rId1235" display="https://www.hotel.de/"/>
    <hyperlink ref="E618" r:id="rId1236" display="https://store.admitad.com/webmaster/websites/2166760/offers/27042-hotel-de/"/>
    <hyperlink ref="C619" r:id="rId1237" display="https://www.yomonda.de/"/>
    <hyperlink ref="E619" r:id="rId1238" display="https://store.admitad.com/webmaster/websites/2166760/offers/27043-yomonda-de/"/>
    <hyperlink ref="C620" r:id="rId1239" display="https://www.hrs.de/"/>
    <hyperlink ref="E620" r:id="rId1240" display="https://store.admitad.com/webmaster/websites/2166760/offers/27044-hrs-de-at/"/>
    <hyperlink ref="C621" r:id="rId1241" display="https://www.autodoc.co.uk/"/>
    <hyperlink ref="E621" r:id="rId1242" display="https://store.admitad.com/webmaster/websites/2166760/offers/27046-autodoc-uk/"/>
    <hyperlink ref="C622" r:id="rId1243" display="https://www.pezzidiricambio24.it/"/>
    <hyperlink ref="E622" r:id="rId1244" display="https://store.admitad.com/webmaster/websites/2166760/offers/27047-pezzidiricambio24-it/"/>
    <hyperlink ref="C623" r:id="rId1245" display="https://www.repuestoscoches24.es/"/>
    <hyperlink ref="E623" r:id="rId1246" display="https://store.admitad.com/webmaster/websites/2166760/offers/27048-repuestoscoches24-es/"/>
    <hyperlink ref="C624" r:id="rId1247" display="https://www.autoersatzteile.de/"/>
    <hyperlink ref="E624" r:id="rId1248" display="https://store.admitad.com/webmaster/websites/2166760/offers/27049-autoersatzteile-de/"/>
    <hyperlink ref="C625" r:id="rId1249" display="https://www.weinfreunde.de/"/>
    <hyperlink ref="E625" r:id="rId1250" display="https://store.admitad.com/webmaster/websites/2166760/offers/27050-weinfreunde-de/"/>
    <hyperlink ref="C626" r:id="rId1251" display="https://www.santander.de/"/>
    <hyperlink ref="E626" r:id="rId1252" display="https://store.admitad.com/webmaster/websites/2166760/offers/27052-santander-consumer-bank-de/"/>
    <hyperlink ref="C627" r:id="rId1253" display="https://www.mappinandwebb.com/"/>
    <hyperlink ref="E627" r:id="rId1254" display="https://store.admitad.com/webmaster/websites/2166760/offers/27053-mappin-webb-uk/"/>
    <hyperlink ref="C628" r:id="rId1255" display="https://www.recambioscoches.es/"/>
    <hyperlink ref="E628" r:id="rId1256" display="https://store.admitad.com/webmaster/websites/2166760/offers/27054-recambioscoches-es/"/>
    <hyperlink ref="C629" r:id="rId1257" display="https://www.pkwteile.de/"/>
    <hyperlink ref="E629" r:id="rId1258" display="https://store.admitad.com/webmaster/websites/2166760/offers/27055-pkwteile-de/"/>
    <hyperlink ref="C630" r:id="rId1259" display="https://www.berghaus.com/home"/>
    <hyperlink ref="E630" r:id="rId1260" display="https://store.admitad.com/webmaster/websites/2166760/offers/27056-berghaus-uk/"/>
    <hyperlink ref="C631" r:id="rId1261" display="https://www.goldsmiths.co.uk/"/>
    <hyperlink ref="E631" r:id="rId1262" display="https://store.admitad.com/webmaster/websites/2166760/offers/27058-goldsmiths-uk/"/>
    <hyperlink ref="C632" r:id="rId1263" display="https://www.qatarairways.com/en-ca/homepage.html"/>
    <hyperlink ref="E632" r:id="rId1264" display="https://store.admitad.com/webmaster/websites/2166760/offers/27059-qatar-canada/"/>
    <hyperlink ref="C633" r:id="rId1265" display="https://www.bestfewo.de/"/>
    <hyperlink ref="E633" r:id="rId1266" display="https://store.admitad.com/webmaster/websites/2166760/offers/27061-bestfewo-de/"/>
    <hyperlink ref="C634" r:id="rId1267" display="https://www.saldiprivati.com/"/>
    <hyperlink ref="E634" r:id="rId1268" display="https://store.admitad.com/webmaster/websites/2166760/offers/27063-saldi-privati-it/"/>
    <hyperlink ref="C635" r:id="rId1269" display="https://www.bitiba.it/"/>
    <hyperlink ref="E635" r:id="rId1270" display="https://store.admitad.com/webmaster/websites/2166760/offers/27067-bitiba-it/"/>
    <hyperlink ref="C636" r:id="rId1271" display="https://www.bavariadirekt.de/"/>
    <hyperlink ref="E636" r:id="rId1272" display="https://store.admitad.com/webmaster/websites/2166760/offers/27069-bavariadirekt-de/"/>
    <hyperlink ref="C637" r:id="rId1273" display="https://www.berge-meer.de/"/>
    <hyperlink ref="E637" r:id="rId1274" display="https://store.admitad.com/webmaster/websites/2166760/offers/27071-berge-meer-de/"/>
    <hyperlink ref="C638" r:id="rId1275" display="https://www.kidly.co.uk/"/>
    <hyperlink ref="E638" r:id="rId1276" display="https://store.admitad.com/webmaster/websites/2166760/offers/27075-kidly-uk/"/>
    <hyperlink ref="C639" r:id="rId1277" display="https://de.defacto.com/"/>
    <hyperlink ref="E639" r:id="rId1278" display="https://store.admitad.com/webmaster/websites/2166760/offers/27076-defacto-de/"/>
    <hyperlink ref="C640" r:id="rId1279" display="https://www.thbaker.co.uk/"/>
    <hyperlink ref="E640" r:id="rId1280" display="https://store.admitad.com/webmaster/websites/2166760/offers/27080-t-h-baker-uk/"/>
    <hyperlink ref="C641" r:id="rId1281" display="https://www.europcar.com/"/>
    <hyperlink ref="E641" r:id="rId1282" display="https://store.admitad.com/webmaster/websites/2166760/offers/27082-europcar-us-canada/"/>
    <hyperlink ref="C642" r:id="rId1283" display="http://www.liquid-life.de/"/>
    <hyperlink ref="E642" r:id="rId1284" display="https://store.admitad.com/webmaster/websites/2166760/offers/27084-liquid-life-de/"/>
    <hyperlink ref="C643" r:id="rId1285" display="https://www.phonehouse.es/"/>
    <hyperlink ref="E643" r:id="rId1286" display="https://store.admitad.com/webmaster/websites/2166760/offers/27085-the-phone-house-es/"/>
    <hyperlink ref="C644" r:id="rId1287" display="https://www.podobrace.co.uk/"/>
    <hyperlink ref="E644" r:id="rId1288" display="https://store.admitad.com/webmaster/websites/2166760/offers/27086-podobrace-uk/"/>
    <hyperlink ref="C645" r:id="rId1289" display="https://www.neumaticos-online.es/cgi-bin/rshop.pl?"/>
    <hyperlink ref="E645" r:id="rId1290" display="https://store.admitad.com/webmaster/websites/2166760/offers/27089-neumaticos-online-es/"/>
    <hyperlink ref="C646" r:id="rId1291" display="https://www.gogroopie.com/"/>
    <hyperlink ref="E646" r:id="rId1292" display="https://store.admitad.com/webmaster/websites/2166760/offers/27091-go-groopie-uk/"/>
    <hyperlink ref="C647" r:id="rId1293" display="https://www.neverfullydressed.co.uk/"/>
    <hyperlink ref="E647" r:id="rId1294" display="https://store.admitad.com/webmaster/websites/2166760/offers/27094-never-fully-dressed-uk/"/>
    <hyperlink ref="C648" r:id="rId1295" display="https://www.converse.com/it"/>
    <hyperlink ref="E648" r:id="rId1296" display="https://store.admitad.com/webmaster/websites/2166760/offers/27099-converse-it/"/>
    <hyperlink ref="C649" r:id="rId1297" display="https://www.autodoc.nl/"/>
    <hyperlink ref="E649" r:id="rId1298" display="https://store.admitad.com/webmaster/websites/2166760/offers/27101-autodoc-nl/"/>
    <hyperlink ref="C650" r:id="rId1299" display="https://www.adlermode.com/de/de/home"/>
    <hyperlink ref="E650" r:id="rId1300" display="https://store.admitad.com/webmaster/websites/2166760/offers/27102-adler-modemarkte-de/"/>
    <hyperlink ref="C651" r:id="rId1301" display="https://www.babymarkt.de/"/>
    <hyperlink ref="E651" r:id="rId1302" display="https://store.admitad.com/webmaster/websites/2166760/offers/27103-babymarkt-de/"/>
    <hyperlink ref="C652" r:id="rId1303" display="https://www.1blu.de/"/>
    <hyperlink ref="E652" r:id="rId1304" display="https://store.admitad.com/webmaster/websites/2166760/offers/27106-1blu-de/"/>
    <hyperlink ref="C653" r:id="rId1305" display="https://www.lacoste.com/fr/"/>
    <hyperlink ref="E653" r:id="rId1306" display="https://store.admitad.com/webmaster/websites/2166760/offers/27110-lacoste-fr/"/>
    <hyperlink ref="C654" r:id="rId1307" display="https://www.buycarparts.co.uk/"/>
    <hyperlink ref="E654" r:id="rId1308" display="https://store.admitad.com/webmaster/websites/2166760/offers/27111-buycarparts-uk/"/>
    <hyperlink ref="C655" r:id="rId1309" display="https://www.orion.de/"/>
    <hyperlink ref="E655" r:id="rId1310" display="https://store.admitad.com/webmaster/websites/2166760/offers/27112-orion-de/"/>
    <hyperlink ref="C656" r:id="rId1311" display="https://www.bodyandfit.com/fr-fr"/>
    <hyperlink ref="E656" r:id="rId1312" display="https://store.admitad.com/webmaster/websites/2166760/offers/27115-body-fit-fr/"/>
    <hyperlink ref="C657" r:id="rId1313" display="https://www.tom-tailor.de/"/>
    <hyperlink ref="E657" r:id="rId1314" display="https://store.admitad.com/webmaster/websites/2166760/offers/27116-tom-tailor-de/"/>
    <hyperlink ref="C658" r:id="rId1315" display="https://www.yopa.co.uk/"/>
    <hyperlink ref="E658" r:id="rId1316" display="https://store.admitad.com/webmaster/websites/2166760/offers/27120-yopa-uk/"/>
    <hyperlink ref="C659" r:id="rId1317" display="https://preply.com/"/>
    <hyperlink ref="E659" r:id="rId1318" display="https://store.admitad.com/webmaster/websites/2166760/offers/27122-preply-uk/"/>
    <hyperlink ref="C660" r:id="rId1319" display="https://de.liebeskind-berlin.com/"/>
    <hyperlink ref="E660" r:id="rId1320" display="https://store.admitad.com/webmaster/websites/2166760/offers/27123-liebeskind-de/"/>
    <hyperlink ref="C661" r:id="rId1321" display="https://www.jet2holidays.com/"/>
    <hyperlink ref="E661" r:id="rId1322" display="https://store.admitad.com/webmaster/websites/2166760/offers/27125-jet2holidays-uk/"/>
    <hyperlink ref="C662" r:id="rId1323" display="https://www.ghost.co.uk/"/>
    <hyperlink ref="E662" r:id="rId1324" display="https://store.admitad.com/webmaster/websites/2166760/offers/27128-ghost-uk/"/>
    <hyperlink ref="C663" r:id="rId1325" display="https://www.neweracap.co.uk/"/>
    <hyperlink ref="E663" r:id="rId1326" display="https://store.admitad.com/webmaster/websites/2166760/offers/27130-new-era-cap-uk/"/>
    <hyperlink ref="C664" r:id="rId1327" display="https://www.secretsales.com/"/>
    <hyperlink ref="E664" r:id="rId1328" display="https://store.admitad.com/webmaster/websites/2166760/offers/27134-secret-sales-uk/"/>
    <hyperlink ref="C665" r:id="rId1329" display="https://www.top1toys.nl/"/>
    <hyperlink ref="E665" r:id="rId1330" display="https://store.admitad.com/webmaster/websites/2166760/offers/27135-top1toys-nl/"/>
    <hyperlink ref="C666" r:id="rId1331" display="https://www.popinabox.es/"/>
    <hyperlink ref="E666" r:id="rId1332" display="https://store.admitad.com/webmaster/websites/2166760/offers/27136-pop-in-a-box-es/"/>
    <hyperlink ref="C667" r:id="rId1333" display="https://shop.shape-republic.com/"/>
    <hyperlink ref="E667" r:id="rId1334" display="https://store.admitad.com/webmaster/websites/2166760/offers/27138-shape-republic-de/"/>
    <hyperlink ref="C668" r:id="rId1335" display="https://www.comma-store.de/"/>
    <hyperlink ref="E668" r:id="rId1336" display="https://store.admitad.com/webmaster/websites/2166760/offers/27139-somma-store-de/"/>
    <hyperlink ref="C669" r:id="rId1337" display="https://www.soliver.de/"/>
    <hyperlink ref="E669" r:id="rId1338" display="https://store.admitad.com/webmaster/websites/2166760/offers/27140-soliver-de/"/>
    <hyperlink ref="C670" r:id="rId1339" display="https://www.weber.com/DE/de/start/"/>
    <hyperlink ref="E670" r:id="rId1340" display="https://store.admitad.com/webmaster/websites/2166760/offers/27141-weber-de/"/>
    <hyperlink ref="C671" r:id="rId1341" display="https://www.enviedefraise.fr/"/>
    <hyperlink ref="E671" r:id="rId1342" display="https://store.admitad.com/webmaster/websites/2166760/offers/27142-envie-de-fraise-fr/"/>
    <hyperlink ref="C672" r:id="rId1343" display="https://www.eset.com/de/"/>
    <hyperlink ref="E672" r:id="rId1344" display="https://store.admitad.com/webmaster/websites/2166760/offers/27144-eset-dach/"/>
    <hyperlink ref="C673" r:id="rId1345" display="https://www.deutsche-familienversicherung.de/"/>
    <hyperlink ref="E673" r:id="rId1346" display="https://store.admitad.com/webmaster/websites/2166760/offers/27149-dfv-de/"/>
    <hyperlink ref="C674" r:id="rId1347" display="http://www.logitravel.com/"/>
    <hyperlink ref="E674" r:id="rId1348" display="https://store.admitad.com/webmaster/websites/2166760/offers/27157-logitravel-es/"/>
    <hyperlink ref="C675" r:id="rId1349" display="https://www.converse.com/es"/>
    <hyperlink ref="E675" r:id="rId1350" display="https://store.admitad.com/webmaster/websites/2166760/offers/27158-converse-es/"/>
    <hyperlink ref="C676" r:id="rId1351" display="https://www.enviedefraise.it/"/>
    <hyperlink ref="E676" r:id="rId1352" display="https://store.admitad.com/webmaster/websites/2166760/offers/27160-envie-de-fraise-it/"/>
    <hyperlink ref="C677" r:id="rId1353" display="https://kraeuterhaus.de/"/>
    <hyperlink ref="E677" r:id="rId1354" display="https://store.admitad.com/webmaster/websites/2166760/offers/27161-kraeuterhaus-de/"/>
    <hyperlink ref="C678" r:id="rId1355" display="https://www.123pneus.fr/cgi-bin/rshop.pl"/>
    <hyperlink ref="E678" r:id="rId1356" display="https://store.admitad.com/webmaster/websites/2166760/offers/27166-123pneus-fr/"/>
    <hyperlink ref="C679" r:id="rId1357" display="https://popinabox.co.uk/"/>
    <hyperlink ref="E679" r:id="rId1358" display="https://store.admitad.com/webmaster/websites/2166760/offers/27167-pop-in-a-box-uk/"/>
    <hyperlink ref="C680" r:id="rId1359" display="https://www.insektenstop.net/"/>
    <hyperlink ref="E680" r:id="rId1360" display="https://store.admitad.com/webmaster/websites/2166760/offers/27172-insektenstopnet-de/"/>
    <hyperlink ref="C681" r:id="rId1361" display="https://www.koifootwear.com/"/>
    <hyperlink ref="E681" r:id="rId1362" display="https://store.admitad.com/webmaster/websites/2166760/offers/27174-koi-footwear-us/"/>
    <hyperlink ref="C682" r:id="rId1363" display="http://www.londonmintoffice.org/"/>
    <hyperlink ref="E682" r:id="rId1364" display="https://store.admitad.com/webmaster/websites/2166760/offers/27175-london-mint-office-uk/"/>
    <hyperlink ref="C683" r:id="rId1365" display="https://abo.spiegel.de/de/c/microsites/pl/standard/plus-einstiegsangebot"/>
    <hyperlink ref="E683" r:id="rId1366" display="https://store.admitad.com/webmaster/websites/2166760/offers/27176-spiegel-abo-de/"/>
    <hyperlink ref="C684" r:id="rId1367" display="https://www.crunch.co.uk/"/>
    <hyperlink ref="E684" r:id="rId1368" display="https://store.admitad.com/webmaster/websites/2166760/offers/27177-crunch-uk/"/>
    <hyperlink ref="C685" r:id="rId1369" display="https://www.bodyandfit.com/nl-nl"/>
    <hyperlink ref="E685" r:id="rId1370" display="https://store.admitad.com/webmaster/websites/2166760/offers/27179-body-fit-nl-be/"/>
    <hyperlink ref="C686" r:id="rId1371" display="https://www.luluguinness.com/"/>
    <hyperlink ref="E686" r:id="rId1372" display="https://store.admitad.com/webmaster/websites/2166760/offers/27180-lulu-guinness-uk/"/>
    <hyperlink ref="C687" r:id="rId1373" display="https://www.samsung.com/pt/"/>
    <hyperlink ref="E687" r:id="rId1374" display="https://store.admitad.com/webmaster/websites/2166760/offers/27183-samsung-pt/"/>
    <hyperlink ref="C688" r:id="rId1375" display="https://www.albamoda.de/"/>
    <hyperlink ref="E688" r:id="rId1376" display="https://store.admitad.com/webmaster/websites/2166760/offers/27184-alba-moda-de/"/>
    <hyperlink ref="C689" r:id="rId1377" display="https://www.myposter.de/"/>
    <hyperlink ref="E689" r:id="rId1378" display="https://store.admitad.com/webmaster/websites/2166760/offers/27188-myposter-de/"/>
    <hyperlink ref="C690" r:id="rId1379" display="https://popinabox.us/"/>
    <hyperlink ref="E690" r:id="rId1380" display="https://store.admitad.com/webmaster/websites/2166760/offers/27189-pop-in-a-box-us/"/>
    <hyperlink ref="C691" r:id="rId1381" display="https://www.neweracap.eu/fr-fr/"/>
    <hyperlink ref="E691" r:id="rId1382" display="https://store.admitad.com/webmaster/websites/2166760/offers/27192-new-era-cap-fr/"/>
    <hyperlink ref="C692" r:id="rId1383" display="https://www.currys.co.uk/mobile/"/>
    <hyperlink ref="E692" r:id="rId1384" display="https://store.admitad.com/webmaster/websites/2166760/offers/27194-currys-mobile-uk/"/>
    <hyperlink ref="C693" r:id="rId1385" display="https://www.neweracap.eu/de-de/"/>
    <hyperlink ref="E693" r:id="rId1386" display="https://store.admitad.com/webmaster/websites/2166760/offers/27195-new-era-cap-de/"/>
    <hyperlink ref="C694" r:id="rId1387" display="https://www.bee.pl/"/>
    <hyperlink ref="E694" r:id="rId1388" display="https://store.admitad.com/webmaster/websites/2166760/offers/27218-bee-pl/"/>
    <hyperlink ref="C695" r:id="rId1389" display="https://www.freshworks.com/"/>
    <hyperlink ref="E695" r:id="rId1390" display="https://store.admitad.com/webmaster/websites/2166760/offers/27219-freshworks-crm-us/"/>
    <hyperlink ref="C696" r:id="rId1391" display="https://www.carphonewarehouse.com/"/>
    <hyperlink ref="E696" r:id="rId1392" display="https://store.admitad.com/webmaster/websites/2166760/offers/27221-carphone-warehouse-uk/"/>
    <hyperlink ref="C697" r:id="rId1393" display="https://www.maxpeedingrods.com/"/>
    <hyperlink ref="E697" r:id="rId1394" display="https://store.admitad.com/webmaster/websites/2166760/offers/27232-maxpeedingrods-us/"/>
    <hyperlink ref="C698" r:id="rId1395" display="https://loans.flexiloans.com/?campaign_code=619cbe7f33xla&amp;utm_source=Affiliate&amp;utm_medium=Admitad&amp;utm_campaign=Admitad_PUBID&amp;utm_term=Web&amp;utm_content=Emailers"/>
    <hyperlink ref="E698" r:id="rId1396" display="https://store.admitad.com/webmaster/websites/2166760/offers/27235-flexi-loans-cpl-in/"/>
    <hyperlink ref="C699" r:id="rId1397" display="https://www.pontins.com/"/>
    <hyperlink ref="E699" r:id="rId1398" display="https://store.admitad.com/webmaster/websites/2166760/offers/27243-pontins-uk/"/>
    <hyperlink ref="C700" r:id="rId1399" display="https://www.rosewe.com/"/>
    <hyperlink ref="E700" r:id="rId1400" display="https://store.admitad.com/webmaster/websites/2166760/offers/27246-rosewe-us/"/>
    <hyperlink ref="C701" r:id="rId1401" display="https://naphome.com/"/>
    <hyperlink ref="E701" r:id="rId1402" display="https://store.admitad.com/webmaster/websites/2166760/offers/27248-nap-us/"/>
    <hyperlink ref="C702" r:id="rId1403" display="https://www.inspireuplift.com/"/>
    <hyperlink ref="E702" r:id="rId1404" display="https://store.admitad.com/webmaster/websites/2166760/offers/27251-inspire-uplift-us-ca/"/>
    <hyperlink ref="C703" r:id="rId1405" display="https://myloview.pl/"/>
    <hyperlink ref="E703" r:id="rId1406" display="https://store.admitad.com/webmaster/websites/2166760/offers/27252-myloview-pl/"/>
    <hyperlink ref="C704" r:id="rId1407" display="https://redro.pl/"/>
    <hyperlink ref="E704" r:id="rId1408" display="https://store.admitad.com/webmaster/websites/2166760/offers/27253-redro-pl/"/>
    <hyperlink ref="C705" r:id="rId1409" display="https://www.watt24.com/"/>
    <hyperlink ref="E705" r:id="rId1410" display="https://store.admitad.com/webmaster/websites/2166760/offers/27256-watt24-de/"/>
    <hyperlink ref="C706" r:id="rId1411" display="https://shopee.co.th/"/>
    <hyperlink ref="E706" r:id="rId1412" display="https://store.admitad.com/webmaster/websites/2166760/offers/27257-shopee-cps-th/"/>
    <hyperlink ref="C707" r:id="rId1413" display="https://www.noonnownow.com/"/>
    <hyperlink ref="E707" r:id="rId1414" display="https://store.admitad.com/webmaster/websites/2166760/offers/27258-now-now-ae-offline-codes/"/>
    <hyperlink ref="C708" r:id="rId1415" display="https://www.credimaxx.de/"/>
    <hyperlink ref="E708" r:id="rId1416" display="https://store.admitad.com/webmaster/websites/2166760/offers/27260-credimaxx-de/"/>
    <hyperlink ref="C709" r:id="rId1417" display="https://megafoodstunter.nl/"/>
    <hyperlink ref="E709" r:id="rId1418" display="https://store.admitad.com/webmaster/websites/2166760/offers/27263-megafoodstunter-nl/"/>
    <hyperlink ref="C710" r:id="rId1419" display="https://www.sexshop112.pl/"/>
    <hyperlink ref="E710" r:id="rId1420" display="https://store.admitad.com/webmaster/websites/2166760/offers/27266-sexshop112-pl/"/>
    <hyperlink ref="C711" r:id="rId1421" display="https://www.seetickets.com/"/>
    <hyperlink ref="E711" r:id="rId1422" display="https://store.admitad.com/webmaster/websites/2166760/offers/27267-see-tickets-uk/"/>
    <hyperlink ref="C712" r:id="rId1423" display="https://womensecret.com/fr/fr"/>
    <hyperlink ref="E712" r:id="rId1424" display="https://store.admitad.com/webmaster/websites/2166760/offers/27271-womensecret-fr/"/>
    <hyperlink ref="C713" r:id="rId1425" display="https://simplypaving.com/"/>
    <hyperlink ref="E713" r:id="rId1426" display="https://store.admitad.com/webmaster/websites/2166760/offers/27272-simply-paving-uk/"/>
    <hyperlink ref="C714" r:id="rId1427" display="https://shop.vodafone.co.uk/"/>
    <hyperlink ref="E714" r:id="rId1428" display="https://store.admitad.com/webmaster/websites/2166760/offers/27273-vodafone-uk/"/>
    <hyperlink ref="C715" r:id="rId1429" display="https://www.musterhaus.net/"/>
    <hyperlink ref="E715" r:id="rId1430" display="https://store.admitad.com/webmaster/websites/2166760/offers/27276-musterhaus-cpl-de/"/>
    <hyperlink ref="C716" r:id="rId1431" display="https://deals.getcompressa.com/interstitial/c/"/>
    <hyperlink ref="E716" r:id="rId1432" display="https://store.admitad.com/webmaster/websites/2166760/offers/27287-compressa-compression-socks-us/"/>
    <hyperlink ref="C717" r:id="rId1433" display="https://kneesleeve.getcompressa.com/interstitial/c/"/>
    <hyperlink ref="E717" r:id="rId1434" display="https://store.admitad.com/webmaster/websites/2166760/offers/27288-compressa-knee-sleeve-us/"/>
    <hyperlink ref="C718" r:id="rId1435" display="https://g3.buymaxfit.com/interstitial/c/"/>
    <hyperlink ref="E718" r:id="rId1436" display="https://store.admitad.com/webmaster/websites/2166760/offers/27289-maxfit-g3-us/"/>
    <hyperlink ref="C719" r:id="rId1437" display="https://deals.originaldefense.com/interstitial/c/"/>
    <hyperlink ref="E719" r:id="rId1438" display="https://store.admitad.com/webmaster/websites/2166760/offers/27290-defense-siren-us/"/>
    <hyperlink ref="C720" r:id="rId1439" display="https://uvpure.luxestone.com/interstitial/c/"/>
    <hyperlink ref="E720" r:id="rId1440" display="https://store.admitad.com/webmaster/websites/2166760/offers/27291-uvpure-us/"/>
    <hyperlink ref="C721" r:id="rId1441" display="https://shopee.fr/"/>
    <hyperlink ref="E721" r:id="rId1442" display="https://store.admitad.com/webmaster/websites/2166760/offers/27292-shopee-fr/"/>
    <hyperlink ref="C722" r:id="rId1443" display="https://shopee.es/"/>
    <hyperlink ref="E722" r:id="rId1444" display="https://store.admitad.com/webmaster/websites/2166760/offers/27293-shopee-es/"/>
    <hyperlink ref="C723" r:id="rId1445" display="https://shop.kodakphotoprinter.com/"/>
    <hyperlink ref="E723" r:id="rId1446" display="https://store.admitad.com/webmaster/websites/2166760/offers/27294-kodak-photo-printer-many-geos/"/>
    <hyperlink ref="C724" r:id="rId1447" display="https://www.vivantis.sk/"/>
    <hyperlink ref="E724" r:id="rId1448" display="https://store.admitad.com/webmaster/websites/2166760/offers/27295-vivantis-sk/"/>
    <hyperlink ref="C725" r:id="rId1449" display="https://www.farfetch.com/mx/"/>
    <hyperlink ref="E725" r:id="rId1450" display="https://store.admitad.com/webmaster/websites/2166760/offers/27302-farfetch-latam/"/>
    <hyperlink ref="C726" r:id="rId1451" display="https://www.mothercare.co.id/"/>
    <hyperlink ref="E726" r:id="rId1452" display="https://store.admitad.com/webmaster/websites/2166760/offers/27310-mothercare-cps-id/"/>
    <hyperlink ref="C727" r:id="rId1453" display="https://www.viator.com/en-GB/"/>
    <hyperlink ref="E727" r:id="rId1454" display="https://store.admitad.com/webmaster/websites/2166760/offers/27320-the-viator-uk/"/>
    <hyperlink ref="C728" r:id="rId1455" display="https://www.chronopost.fr/fr/envoyer-colis-chronopost?xtor=AL-301"/>
    <hyperlink ref="E728" r:id="rId1456" display="https://store.admitad.com/webmaster/websites/2166760/offers/27322-chronopost-fr/"/>
    <hyperlink ref="C729" r:id="rId1457" display="https://www.goertz.de/"/>
    <hyperlink ref="E729" r:id="rId1458" display="https://store.admitad.com/webmaster/websites/2166760/offers/27323-goertz-de/"/>
    <hyperlink ref="C730" r:id="rId1459" display="https://www.fitmart.de/"/>
    <hyperlink ref="E730" r:id="rId1460" display="https://store.admitad.com/webmaster/websites/2166760/offers/27326-fitmart-de/"/>
    <hyperlink ref="C731" r:id="rId1461" display="https://www.jeans-direct.de/"/>
    <hyperlink ref="E731" r:id="rId1462" display="https://store.admitad.com/webmaster/websites/2166760/offers/27327-jeans-direct-de/"/>
    <hyperlink ref="C732" r:id="rId1463" display="https://www.armorlux.com/fr/"/>
    <hyperlink ref="E732" r:id="rId1464" display="https://store.admitad.com/webmaster/websites/2166760/offers/27329-armor-lux-fr/"/>
    <hyperlink ref="C733" r:id="rId1465" display="https://zuhauseplus.vodafone.de/"/>
    <hyperlink ref="E733" r:id="rId1466" display="https://store.admitad.com/webmaster/websites/2166760/offers/27331-vodafone-de/"/>
    <hyperlink ref="C734" r:id="rId1467" display="https://www.freshlycosmetics.com/es/"/>
    <hyperlink ref="E734" r:id="rId1468" display="https://store.admitad.com/webmaster/websites/2166760/offers/27332-freshly-cosmetics-es/"/>
    <hyperlink ref="C735" r:id="rId1469" display="https://www.osnatel.de/"/>
    <hyperlink ref="E735" r:id="rId1470" display="https://store.admitad.com/webmaster/websites/2166760/offers/27337-osnatel-de/"/>
    <hyperlink ref="C736" r:id="rId1471" display="https://www.discountexperts.com/"/>
    <hyperlink ref="E736" r:id="rId1472" display="https://store.admitad.com/webmaster/websites/2166760/offers/27338-discount-experts-uk/"/>
    <hyperlink ref="C737" r:id="rId1473" display="https://bigflex.in/"/>
    <hyperlink ref="E737" r:id="rId1474" display="https://store.admitad.com/webmaster/websites/2166760/offers/27340-bigflex-cps-in/"/>
    <hyperlink ref="C738" r:id="rId1475" display="https://www.mi.com/it"/>
    <hyperlink ref="E738" r:id="rId1476" display="https://store.admitad.com/webmaster/websites/2166760/offers/27348-xiaomi-it/"/>
    <hyperlink ref="C739" r:id="rId1477" display="https://www.clarosa.fr/"/>
    <hyperlink ref="E739" r:id="rId1478" display="https://store.admitad.com/webmaster/websites/2166760/offers/27349-clarosa-fr/"/>
    <hyperlink ref="C740" r:id="rId1479" display="https://www.reuter.com/fr-fr/"/>
    <hyperlink ref="E740" r:id="rId1480" display="https://store.admitad.com/webmaster/websites/2166760/offers/27350-reuter-fr/"/>
    <hyperlink ref="C741" r:id="rId1481" display="https://www.footpatrol.de/"/>
    <hyperlink ref="E741" r:id="rId1482" display="https://store.admitad.com/webmaster/websites/2166760/offers/27352-footpatrol-de/"/>
    <hyperlink ref="C742" r:id="rId1483" display="https://www.bueromoebel-experte.de/"/>
    <hyperlink ref="E742" r:id="rId1484" display="https://store.admitad.com/webmaster/websites/2166760/offers/27354-bueromoebel-experte-de/"/>
    <hyperlink ref="C743" r:id="rId1485" display="https://www.footpatrol.fr/"/>
    <hyperlink ref="E743" r:id="rId1486" display="https://store.admitad.com/webmaster/websites/2166760/offers/27355-footpatrol-fr/"/>
    <hyperlink ref="C744" r:id="rId1487" display="https://www.kleinmetall.de/"/>
    <hyperlink ref="E744" r:id="rId1488" display="https://store.admitad.com/webmaster/websites/2166760/offers/27356-kleinmetall-de/"/>
    <hyperlink ref="C745" r:id="rId1489" display="https://www.da-direkt.de/"/>
    <hyperlink ref="E745" r:id="rId1490" display="https://store.admitad.com/webmaster/websites/2166760/offers/27357-da-direkt-de/"/>
    <hyperlink ref="C746" r:id="rId1491" display="https://www.unitedconsumers.com/"/>
    <hyperlink ref="E746" r:id="rId1492" display="https://store.admitad.com/webmaster/websites/2166760/offers/27358-united-consumers-nl/"/>
    <hyperlink ref="C747" r:id="rId1493" display="https://www.iwoot.us/"/>
    <hyperlink ref="E747" r:id="rId1494" display="https://store.admitad.com/webmaster/websites/2166760/offers/27360-iwantoneofthose-us-ca/"/>
    <hyperlink ref="C748" r:id="rId1495" display="https://merlin.pl/"/>
    <hyperlink ref="E748" r:id="rId1496" display="https://store.admitad.com/webmaster/websites/2166760/offers/27361-merlin-pl/"/>
    <hyperlink ref="C749" r:id="rId1497" display="https://www.eqvvswomen.co.uk/"/>
    <hyperlink ref="E749" r:id="rId1498" display="https://store.admitad.com/webmaster/websites/2166760/offers/27362-eqvvs-women-uk/"/>
    <hyperlink ref="C750" r:id="rId1499" display="https://www.toom.de/"/>
    <hyperlink ref="E750" r:id="rId1500" display="https://store.admitad.com/webmaster/websites/2166760/offers/27364-toom-baumarkt-de/"/>
    <hyperlink ref="C751" r:id="rId1501" display="https://www.orchidsinternationalschool.com/admissions-open-for-2021/?utm_source=Admitad&amp;utm_medium=affiliate&amp;utm_campaign=adzero"/>
    <hyperlink ref="E751" r:id="rId1502" display="https://store.admitad.com/webmaster/websites/2166760/offers/27366-orchid-international-cpl-in/"/>
    <hyperlink ref="C752" r:id="rId1503" display="http://clepsydra.ua/"/>
    <hyperlink ref="E752" r:id="rId1504" display="https://store.admitad.com/webmaster/websites/2166760/offers/27369-clepsydra-ua/"/>
    <hyperlink ref="C753" r:id="rId1505" display="https://allinone.hdfcsec.com/lp/open-trading-account13"/>
    <hyperlink ref="E753" r:id="rId1506" display="https://store.admitad.com/webmaster/websites/2166760/offers/27370-hdfc-securities-cpl-in/"/>
    <hyperlink ref="C754" r:id="rId1507" display="https://www.oberoihotels.com/"/>
    <hyperlink ref="E754" r:id="rId1508" display="https://store.admitad.com/webmaster/websites/2166760/offers/27380-oberoi-hotels-cps-global/"/>
    <hyperlink ref="C755" r:id="rId1509" display="https://itgen.io/"/>
    <hyperlink ref="E755" r:id="rId1510" display="https://store.admitad.com/webmaster/websites/2166760/offers/27381-itgenio/"/>
    <hyperlink ref="C756" r:id="rId1511" display="https://archiesbeauty.com/"/>
    <hyperlink ref="E756" r:id="rId1512" display="https://store.admitad.com/webmaster/websites/2166760/offers/27387-archies-beauty-cps-in/"/>
    <hyperlink ref="C757" r:id="rId1513" display="https://us.currentbody.com/"/>
    <hyperlink ref="E757" r:id="rId1514" display="https://store.admitad.com/webmaster/websites/2166760/offers/27392-currentbody-us/"/>
    <hyperlink ref="C758" r:id="rId1515" display="https://www.footpatrol.nl/"/>
    <hyperlink ref="E758" r:id="rId1516" display="https://store.admitad.com/webmaster/websites/2166760/offers/27399-footpatrol-nl/"/>
    <hyperlink ref="C759" r:id="rId1517" display="https://www.avon.de/"/>
    <hyperlink ref="E759" r:id="rId1518" display="https://store.admitad.com/webmaster/websites/2166760/offers/27403-avon-cosmetics-de/"/>
    <hyperlink ref="C760" r:id="rId1519" display="https://www.ellaparadis.com/"/>
    <hyperlink ref="E760" r:id="rId1520" display="https://store.admitad.com/webmaster/websites/2166760/offers/27405-ella-paradis-us/"/>
    <hyperlink ref="C761" r:id="rId1521" display="https://www.larise.com/de/"/>
    <hyperlink ref="E761" r:id="rId1522" display="https://store.admitad.com/webmaster/websites/2166760/offers/27406-larise-de/"/>
    <hyperlink ref="C762" r:id="rId1523" display="https://www.converse.pl/"/>
    <hyperlink ref="E762" r:id="rId1524" display="https://store.admitad.com/webmaster/websites/2166760/offers/27407-converse-pl/"/>
    <hyperlink ref="C763" r:id="rId1525" display="https://www.peterhahn.fr/"/>
    <hyperlink ref="E763" r:id="rId1526" display="https://store.admitad.com/webmaster/websites/2166760/offers/27408-peter-hahn-fr/"/>
    <hyperlink ref="C764" r:id="rId1527" display="https://www.jochen-schweizer.de/"/>
    <hyperlink ref="E764" r:id="rId1528" display="https://store.admitad.com/webmaster/websites/2166760/offers/27409-jochen-schweizer-de-at/"/>
    <hyperlink ref="C765" r:id="rId1529" display="https://www.sevenstore.com/"/>
    <hyperlink ref="E765" r:id="rId1530" display="https://store.admitad.com/webmaster/websites/2166760/offers/27411-sevenstore-uk/"/>
    <hyperlink ref="C766" r:id="rId1531" display="https://skyengschool.com/kids"/>
    <hyperlink ref="E766" r:id="rId1532" display="https://store.admitad.com/webmaster/websites/2166760/offers/27418-skyengkids-cps-many-geos/"/>
    <hyperlink ref="C767" r:id="rId1533" display="http://www.gigaset.com/de_de/"/>
    <hyperlink ref="E767" r:id="rId1534" display="https://store.admitad.com/webmaster/websites/2166760/offers/27419-gigaset-de/"/>
    <hyperlink ref="C768" r:id="rId1535" display="https://womensecret.com/pt/pt"/>
    <hyperlink ref="E768" r:id="rId1536" display="https://store.admitad.com/webmaster/websites/2166760/offers/27420-womensecret-pt/"/>
    <hyperlink ref="C769" r:id="rId1537" display="https://bookoutlet.com/"/>
    <hyperlink ref="E769" r:id="rId1538" display="https://store.admitad.com/webmaster/websites/2166760/offers/27421-book-outlet-us/"/>
    <hyperlink ref="C770" r:id="rId1539" display="https://wordery.com/"/>
    <hyperlink ref="E770" r:id="rId1540" display="https://store.admitad.com/webmaster/websites/2166760/offers/27422-wordery-us/"/>
    <hyperlink ref="C771" r:id="rId1541" display="https://www.terrysfabrics.co.uk/"/>
    <hyperlink ref="E771" r:id="rId1542" display="https://store.admitad.com/webmaster/websites/2166760/offers/27424-terrys-fabrics-uk/"/>
    <hyperlink ref="C772" r:id="rId1543" display="https://www.thegreatcourses.com/"/>
    <hyperlink ref="E772" r:id="rId1544" display="https://store.admitad.com/webmaster/websites/2166760/offers/27425-the-great-courses-us/"/>
    <hyperlink ref="C773" r:id="rId1545" display="https://www.lumen.me/"/>
    <hyperlink ref="E773" r:id="rId1546" display="https://store.admitad.com/webmaster/websites/2166760/offers/27426-lumen-us/"/>
    <hyperlink ref="C774" r:id="rId1547" display="https://www.tiqets.com/en"/>
    <hyperlink ref="E774" r:id="rId1548" display="https://store.admitad.com/webmaster/websites/2166760/offers/27428-tiqets-us/"/>
    <hyperlink ref="C775" r:id="rId1549" display="https://www.tiqets.com/es/"/>
    <hyperlink ref="E775" r:id="rId1550" display="https://store.admitad.com/webmaster/websites/2166760/offers/27429-tiqets-es/"/>
    <hyperlink ref="C776" r:id="rId1551" display="http://honeylove.com/"/>
    <hyperlink ref="E776" r:id="rId1552" display="https://store.admitad.com/webmaster/websites/2166760/offers/27434-honeylove-us/"/>
    <hyperlink ref="C777" r:id="rId1553" display="https://plarium.com/ko/game/raid-shadow-legends/"/>
    <hyperlink ref="E777" r:id="rId1554" display="https://store.admitad.com/webmaster/websites/2166760/offers/27436-raid-shadow-legends-cpp-kr/"/>
    <hyperlink ref="C778" r:id="rId1555" display="https://www.makemeroyal.com/"/>
    <hyperlink ref="E778" r:id="rId1556" display="https://store.admitad.com/webmaster/websites/2166760/offers/27439-make-me-royal-nl/"/>
    <hyperlink ref="C779" r:id="rId1557" display="https://www.swarovski.com/en-US/"/>
    <hyperlink ref="E779" r:id="rId1558" display="https://store.admitad.com/webmaster/websites/2166760/offers/27447-swarovski-cps-many-geos/"/>
    <hyperlink ref="C780" r:id="rId1559" display="https://www.nexplay.fr/"/>
    <hyperlink ref="E780" r:id="rId1560" display="https://store.admitad.com/webmaster/websites/2166760/offers/27449-nexplay-fr/"/>
    <hyperlink ref="C781" r:id="rId1561" display="https://www.sexyavenue.com/fr/"/>
    <hyperlink ref="E781" r:id="rId1562" display="https://store.admitad.com/webmaster/websites/2166760/offers/27450-sexyavenue-fr/"/>
    <hyperlink ref="C782" r:id="rId1563" display="https://www.ribble.de/"/>
    <hyperlink ref="E782" r:id="rId1564" display="https://store.admitad.com/webmaster/websites/2166760/offers/27451-ribble-cycles-de/"/>
    <hyperlink ref="C783" r:id="rId1565" display="https://www.ullapopken.de/"/>
    <hyperlink ref="E783" r:id="rId1566" display="https://store.admitad.com/webmaster/websites/2166760/offers/27453-ulla-popken-deat/"/>
    <hyperlink ref="C784" r:id="rId1567" display="https://www.thetoyshop.com/"/>
    <hyperlink ref="E784" r:id="rId1568" display="https://store.admitad.com/webmaster/websites/2166760/offers/27454-the-entertainer-uk/"/>
    <hyperlink ref="C785" r:id="rId1569" display="https://www.footlocker.fr/fr/page-d-accueil"/>
    <hyperlink ref="E785" r:id="rId1570" display="https://store.admitad.com/webmaster/websites/2166760/offers/27455-foot-locker-fr/"/>
    <hyperlink ref="C786" r:id="rId1571" display="https://zattoo.com/de"/>
    <hyperlink ref="E786" r:id="rId1572" display="https://store.admitad.com/webmaster/websites/2166760/offers/27458-zattoo-de/"/>
    <hyperlink ref="C787" r:id="rId1573" display="https://www.marypaz.com/es_es"/>
    <hyperlink ref="E787" r:id="rId1574" display="https://store.admitad.com/webmaster/websites/2166760/offers/27459-marypaz-es/"/>
    <hyperlink ref="C788" r:id="rId1575" display="https://www.weltbild.de/"/>
    <hyperlink ref="E788" r:id="rId1576" display="https://store.admitad.com/webmaster/websites/2166760/offers/27461-weltbild-de/"/>
    <hyperlink ref="C789" r:id="rId1577" display="https://onepoundsweets.com/"/>
    <hyperlink ref="E789" r:id="rId1578" display="https://store.admitad.com/webmaster/websites/2166760/offers/27464-one-pound-sweets-uk/"/>
    <hyperlink ref="C790" r:id="rId1579" display="https://www.aeg.de/"/>
    <hyperlink ref="E790" r:id="rId1580" display="https://store.admitad.com/webmaster/websites/2166760/offers/27466-aeg-de/"/>
    <hyperlink ref="C791" r:id="rId1581" display="https://www.deutsche-glasfaser.de/privatkunden/"/>
    <hyperlink ref="E791" r:id="rId1582" display="https://store.admitad.com/webmaster/websites/2166760/offers/27471-deutsche-glasfaser-de/"/>
    <hyperlink ref="C792" r:id="rId1583" display="https://products.theayurvedaexperience.com/"/>
    <hyperlink ref="E792" r:id="rId1584" display="https://store.admitad.com/webmaster/websites/2166760/offers/27472-the-ayurveda-experience-us/"/>
    <hyperlink ref="C793" r:id="rId1585" display="https://www.longtallsally.com/"/>
    <hyperlink ref="E793" r:id="rId1586" display="https://store.admitad.com/webmaster/websites/2166760/offers/27473-long-tall-sally-uk/"/>
    <hyperlink ref="C794" r:id="rId1587" display="https://www.claires.com/"/>
    <hyperlink ref="E794" r:id="rId1588" display="https://store.admitad.com/webmaster/websites/2166760/offers/27474-claires-uk/"/>
    <hyperlink ref="C795" r:id="rId1589" display="http://www.nextbase.com/en-gb/"/>
    <hyperlink ref="E795" r:id="rId1590" display="https://store.admitad.com/webmaster/websites/2166760/offers/27475-next-base-uk/"/>
    <hyperlink ref="C796" r:id="rId1591" display="https://www.mashvisor.com/"/>
    <hyperlink ref="E796" r:id="rId1592" display="https://store.admitad.com/webmaster/websites/2166760/offers/27476-mashvisor-us/"/>
    <hyperlink ref="C797" r:id="rId1593" display="https://www.piecesauto24.com/"/>
    <hyperlink ref="E797" r:id="rId1594" display="https://store.admitad.com/webmaster/websites/2166760/offers/27477-piecesauto24-fr/"/>
    <hyperlink ref="C798" r:id="rId1595" display="https://andme.in/"/>
    <hyperlink ref="E798" r:id="rId1596" display="https://store.admitad.com/webmaster/websites/2166760/offers/27480-andme-cpv-in/"/>
    <hyperlink ref="C799" r:id="rId1597" display="https://breezy.by/"/>
    <hyperlink ref="E799" r:id="rId1598" display="https://store.admitad.com/webmaster/websites/2166760/offers/27489-breezy/"/>
    <hyperlink ref="C800" r:id="rId1599" display="https://qacademy.ru/"/>
    <hyperlink ref="E800" r:id="rId1600" display="https://store.admitad.com/webmaster/websites/2166760/offers/27490-qacademy/"/>
    <hyperlink ref="C801" r:id="rId1601" display="https://kenkohealth.in/"/>
    <hyperlink ref="E801" r:id="rId1602" display="https://store.admitad.com/webmaster/websites/2166760/offers/27491-kenko-health-cpl-in/"/>
    <hyperlink ref="C802" r:id="rId1603" display="https://www.nadula.com/"/>
    <hyperlink ref="E802" r:id="rId1604" display="https://store.admitad.com/webmaster/websites/2166760/offers/27495-nadula-ww/"/>
    <hyperlink ref="C803" r:id="rId1605" display="https://scorector.com/uk"/>
    <hyperlink ref="E803" r:id="rId1606" display="https://store.admitad.com/webmaster/websites/2166760/offers/27497-scorector-cps-ua/"/>
    <hyperlink ref="C804" r:id="rId1607" display="https://www.wego.co.in/"/>
    <hyperlink ref="E804" r:id="rId1608" display="https://store.admitad.com/webmaster/websites/2166760/offers/27500-wego-hotels-cps-many-geos/"/>
    <hyperlink ref="C805" r:id="rId1609" display="https://www.vidaxl.nl/"/>
    <hyperlink ref="E805" r:id="rId1610" display="https://store.admitad.com/webmaster/websites/2166760/offers/27501-vida-xl-nl/"/>
    <hyperlink ref="C806" r:id="rId1611" display="https://www.livpuresleep.com/"/>
    <hyperlink ref="E806" r:id="rId1612" display="https://store.admitad.com/webmaster/websites/2166760/offers/27502-livpuresleep-cps-in/"/>
    <hyperlink ref="C807" r:id="rId1613" display="https://etalkschool.com/"/>
    <hyperlink ref="E807" r:id="rId1614" display="https://store.admitad.com/webmaster/websites/2166760/offers/27503-etalk-pl-lt-lv-ee-de-il/"/>
    <hyperlink ref="C808" r:id="rId1615" display="https://www.lastminute.ie/"/>
    <hyperlink ref="E808" r:id="rId1616" display="https://store.admitad.com/webmaster/websites/2166760/offers/27512-lastminute-ireland/"/>
    <hyperlink ref="C809" r:id="rId1617" display="https://litactivewear.com/"/>
    <hyperlink ref="E809" r:id="rId1618" display="https://store.admitad.com/webmaster/websites/2166760/offers/27525-litactivewear-ww/"/>
    <hyperlink ref="C810" r:id="rId1619" display="https://www.dhani.com/one-freedom/"/>
    <hyperlink ref="E810" r:id="rId1620" display="https://store.admitad.com/webmaster/websites/2166760/offers/27527-dhani-freedom-one-cps-in/"/>
    <hyperlink ref="C811" r:id="rId1621" display="https://www.olightstore.uk/"/>
    <hyperlink ref="E811" r:id="rId1622" display="https://store.admitad.com/webmaster/websites/2166760/offers/27532-olight-uk/"/>
    <hyperlink ref="C812" r:id="rId1623" display="https://fr.cupshe.com/"/>
    <hyperlink ref="E812" r:id="rId1624" display="https://store.admitad.com/webmaster/websites/2166760/offers/27533-cupshe-fr/"/>
    <hyperlink ref="C813" r:id="rId1625" display="https://www.thetowelshop.co.uk/"/>
    <hyperlink ref="E813" r:id="rId1626" display="https://store.admitad.com/webmaster/websites/2166760/offers/27534-the-towel-shop-uk/"/>
    <hyperlink ref="C814" r:id="rId1627" display="https://www.povison.com/"/>
    <hyperlink ref="E814" r:id="rId1628" display="https://store.admitad.com/webmaster/websites/2166760/offers/27535-povison-us/"/>
    <hyperlink ref="C815" r:id="rId1629" display="https://www.cambridgesatchel.com/"/>
    <hyperlink ref="E815" r:id="rId1630" display="https://store.admitad.com/webmaster/websites/2166760/offers/27536-the-cambridge-satchel-co/"/>
    <hyperlink ref="C816" r:id="rId1631" display="https://mills.com.ua/"/>
    <hyperlink ref="E816" r:id="rId1632" display="https://store.admitad.com/webmaster/websites/2166760/offers/27537-mills-ua/"/>
    <hyperlink ref="C817" r:id="rId1633" display="https://mymajesticpet.com/"/>
    <hyperlink ref="E817" r:id="rId1634" display="https://store.admitad.com/webmaster/websites/2166760/offers/27538-my-majestic-pet-nl/"/>
    <hyperlink ref="C818" r:id="rId1635" display="https://www.psikhouvanjou.nl/"/>
    <hyperlink ref="E818" r:id="rId1636" display="https://store.admitad.com/webmaster/websites/2166760/offers/27540-psikhouvanjou-nl/"/>
    <hyperlink ref="C819" r:id="rId1637" display="https://www.lambdatest.com/"/>
    <hyperlink ref="E819" r:id="rId1638" display="https://store.admitad.com/webmaster/websites/2166760/offers/27541-lambdatest-us/"/>
    <hyperlink ref="C820" r:id="rId1639" display="https://www.citarella.com/"/>
    <hyperlink ref="E820" r:id="rId1640" display="https://store.admitad.com/webmaster/websites/2166760/offers/27542-citarella-us/"/>
    <hyperlink ref="C821" r:id="rId1641" display="http://www.kudd.ly/"/>
    <hyperlink ref="E821" r:id="rId1642" display="https://store.admitad.com/webmaster/websites/2166760/offers/27543-kuddly-uk/"/>
    <hyperlink ref="C822" r:id="rId1643" display="https://www.herringshoes.co.uk/"/>
    <hyperlink ref="E822" r:id="rId1644" display="https://store.admitad.com/webmaster/websites/2166760/offers/27544-herring-shoes-ltd-uk/"/>
    <hyperlink ref="C823" r:id="rId1645" display="https://www.cleverbuy.de/"/>
    <hyperlink ref="E823" r:id="rId1646" display="https://store.admitad.com/webmaster/websites/2166760/offers/27545-cleverbuy-de/"/>
    <hyperlink ref="C824" r:id="rId1647" display="https://www.momox.fr/"/>
    <hyperlink ref="E824" r:id="rId1648" display="https://store.admitad.com/webmaster/websites/2166760/offers/27546-momox-fr/"/>
    <hyperlink ref="C825" r:id="rId1649" display="https://shop.borussia.de/"/>
    <hyperlink ref="E825" r:id="rId1650" display="https://store.admitad.com/webmaster/websites/2166760/offers/27547-borussia-monchengladbach-fanshop-de/"/>
    <hyperlink ref="C826" r:id="rId1651" display="https://www.sensilab.de/bestseller-de"/>
    <hyperlink ref="E826" r:id="rId1652" display="https://store.admitad.com/webmaster/websites/2166760/offers/27548-sensilab-de/"/>
    <hyperlink ref="C827" r:id="rId1653" display="https://startselect.com/fr-fr"/>
    <hyperlink ref="E827" r:id="rId1654" display="https://store.admitad.com/webmaster/websites/2166760/offers/27549-startselect-fr/"/>
    <hyperlink ref="C828" r:id="rId1655" display="https://startselect.com/de-de"/>
    <hyperlink ref="E828" r:id="rId1656" display="https://store.admitad.com/webmaster/websites/2166760/offers/27550-startselect-de/"/>
    <hyperlink ref="C829" r:id="rId1657" display="https://startselect.com/nl-nl"/>
    <hyperlink ref="E829" r:id="rId1658" display="https://store.admitad.com/webmaster/websites/2166760/offers/27551-startselect-nl/"/>
    <hyperlink ref="C830" r:id="rId1659" display="https://nl.myprotein.com/"/>
    <hyperlink ref="E830" r:id="rId1660" display="https://store.admitad.com/webmaster/websites/2166760/offers/27562-myprotein-nl-1/"/>
    <hyperlink ref="C831" r:id="rId1661" display="https://www.myprotein.pl/"/>
    <hyperlink ref="E831" r:id="rId1662" display="https://store.admitad.com/webmaster/websites/2166760/offers/27563-myprotein-pl-1/"/>
    <hyperlink ref="C832" r:id="rId1663" display="https://www.myprotein.se/"/>
    <hyperlink ref="E832" r:id="rId1664" display="https://store.admitad.com/webmaster/websites/2166760/offers/27566-myprotein-se/"/>
    <hyperlink ref="C833" r:id="rId1665" display="https://india.idtech.com/semesters/index-m1.php?utm_source=admitad_cpa&amp;utm_medium=ema%5b…%5dmitad_%7b%7bpublisher_id%7d%7d_%7b%7bsubid%7d%7d&amp;admitad_uid=%7b%7badmitad_uid%7d%7d"/>
    <hyperlink ref="E833" r:id="rId1666" display="https://store.admitad.com/webmaster/websites/2166760/offers/27570-idtech-cpl-in/"/>
    <hyperlink ref="C834" r:id="rId1667" display="https://dil2.bankofbaroda.co.in/pl/?utm_source=AdmitAds&amp;utm_medium=Publisher.id&amp;utm_campaign=PT_BoB_PL_Admitads"/>
    <hyperlink ref="E834" r:id="rId1668" display="https://store.admitad.com/webmaster/websites/2166760/offers/27573-bob-personal-loan-cpl-in/"/>
    <hyperlink ref="C835" r:id="rId1669" display="https://innova2.g2afse.com/click?pid=7&amp;offer_id=19"/>
    <hyperlink ref="E835" r:id="rId1670" display="https://store.admitad.com/webmaster/websites/2166760/offers/27574-kritika-cpp-rucis/"/>
    <hyperlink ref="C836" r:id="rId1671" display="https://thehalara.com/"/>
    <hyperlink ref="E836" r:id="rId1672" display="https://store.admitad.com/webmaster/websites/2166760/offers/27575-halara-many-geos/"/>
    <hyperlink ref="C837" r:id="rId1673" display="https://innova2.g2afse.com/click?pid=7&amp;offer_id=17"/>
    <hyperlink ref="E837" r:id="rId1674" display="https://store.admitad.com/webmaster/websites/2166760/offers/27576-block-n-load-2cps-rucis/"/>
    <hyperlink ref="C838" r:id="rId1675" display="https://innova2.g2afse.com/click?pid=7&amp;offer_id=15"/>
    <hyperlink ref="E838" r:id="rId1676" display="https://store.admitad.com/webmaster/websites/2166760/offers/27577-mechwarrior-cps-ru-cis/"/>
    <hyperlink ref="C839" r:id="rId1677" display="http://trend-collection.com.ua/"/>
    <hyperlink ref="E839" r:id="rId1678" display="https://store.admitad.com/webmaster/websites/2166760/offers/27582-trend-collection-ua/"/>
    <hyperlink ref="C840" r:id="rId1679" display="https://dodam.com.ua/uk/"/>
    <hyperlink ref="E840" r:id="rId1680" display="https://store.admitad.com/webmaster/websites/2166760/offers/27590-dodam-cps-ua/"/>
    <hyperlink ref="C841" r:id="rId1681" display="https://rolidas-auto.com.ua/"/>
    <hyperlink ref="E841" r:id="rId1682" display="https://store.admitad.com/webmaster/websites/2166760/offers/27593-rolidas-auto-ua/"/>
    <hyperlink ref="C842" r:id="rId1683" display="https://www.kuchenland.ru/"/>
    <hyperlink ref="E842" r:id="rId1684" display="https://store.admitad.com/webmaster/websites/2166760/offers/27599-kuchenlandru/"/>
    <hyperlink ref="C843" r:id="rId1685" display="https://click.hoolig.app/?pid=18&amp;offer_id=27"/>
    <hyperlink ref="E843" r:id="rId1686" display="https://store.admitad.com/webmaster/websites/2166760/offers/27602-dirtyleague-cpp-many-geos/"/>
    <hyperlink ref="C844" r:id="rId1687" display="https://en-ae.sssports.com/home"/>
    <hyperlink ref="E844" r:id="rId1688" display="https://store.admitad.com/webmaster/websites/2166760/offers/27637-sssports-sa-ae-kw-offline-codes/"/>
    <hyperlink ref="C845" r:id="rId1689" display="https://www.cookunity.com/"/>
    <hyperlink ref="E845" r:id="rId1690" display="https://store.admitad.com/webmaster/websites/2166760/offers/27646-cook-unity/"/>
    <hyperlink ref="C846" r:id="rId1691" display="https://www.domesticappliances.philips.co.in/"/>
    <hyperlink ref="E846" r:id="rId1692" display="https://store.admitad.com/webmaster/websites/2166760/offers/27647-philips-cps-in/"/>
    <hyperlink ref="C847" r:id="rId1693" display="https://play.google.com/store/apps/details?id=com.zeptoconsumerapp"/>
    <hyperlink ref="E847" r:id="rId1694" display="https://store.admitad.com/webmaster/websites/2166760/offers/27648-zepto-android-ios-cps-in/"/>
    <hyperlink ref="C848" r:id="rId1695" display="https://www.danielwellington.com/es/"/>
    <hyperlink ref="E848" r:id="rId1696" display="https://store.admitad.com/webmaster/websites/2166760/offers/27650-daniel-wellington-cpa-espt/"/>
    <hyperlink ref="C849" r:id="rId1697" display="https://worldoftanks.com/"/>
    <hyperlink ref="E849" r:id="rId1698" display="https://store.admitad.com/webmaster/websites/2166760/offers/27654-world-of-tanks-soi-premium-ww/"/>
    <hyperlink ref="C850" r:id="rId1699" display="https://worldoftanks.com/"/>
    <hyperlink ref="E850" r:id="rId1700" display="https://store.admitad.com/webmaster/websites/2166760/offers/27655-world-of-tanks-cpp-active-ww/"/>
    <hyperlink ref="C851" r:id="rId1701" display="https://www.superbottoms.com/collections/diapering?utm_source=admitad&amp;utm_medium=Affiliate"/>
    <hyperlink ref="E851" r:id="rId1702" display="https://store.admitad.com/webmaster/websites/2166760/offers/27665-supperbottoms-cps-in/"/>
    <hyperlink ref="C852" r:id="rId1703" display="https://plarium.com/landings/en/desktop/raid/rdo/bp"/>
    <hyperlink ref="E852" r:id="rId1704" display="https://store.admitad.com/webmaster/websites/2166760/offers/27672-raid-shadow-legends-soi-ru-many-geos-new/"/>
    <hyperlink ref="C853" r:id="rId1705" display="https://plarium.com/landings/ru/desktop/raid/icegolem_f036_a_rdoapp"/>
    <hyperlink ref="E853" r:id="rId1706" display="https://store.admitad.com/webmaster/websites/2166760/offers/27673-raid-shadow-legends-cpp-ru-many-geos-new/"/>
    <hyperlink ref="C854" r:id="rId1707" display="https://www.santander.com.br/banco/abrasuacontapj"/>
    <hyperlink ref="E854" r:id="rId1708" display="https://store.admitad.com/webmaster/websites/2166760/offers/27674-santander-pj/"/>
    <hyperlink ref="C855" r:id="rId1709" display="https://new.bellavitaorganic.com/"/>
    <hyperlink ref="E855" r:id="rId1710" display="https://store.admitad.com/webmaster/websites/2166760/offers/27690-bellavita-organic-cps-in/"/>
    <hyperlink ref="C856" r:id="rId1711" display="https://timestsw.com/landing/IIT-Roorkee-certificate-program-in-data-analytics-otp/?utm_source=affiliate&amp;utm_medium=email&amp;utm_campaign=iitr_cpda_01_admitads&amp;utm_term=123"/>
    <hyperlink ref="E856" r:id="rId1712" display="https://store.admitad.com/webmaster/websites/2166760/offers/27696-times-iit-roorkee-cpl-in/"/>
    <hyperlink ref="C857" r:id="rId1713" display="https://spartan.go2cloud.org/aff_c?offer_id=45&amp;aff_id=1171&amp;aff_sub=%7bYOUR-CLICK-ID%7d&amp;aff_sub2=%7bPUBLISHER-ID%7d"/>
    <hyperlink ref="E857" r:id="rId1714" display="https://store.admitad.com/webmaster/websites/2166760/offers/27714-spartan-poker-web-cpl-in/"/>
    <hyperlink ref="C858" r:id="rId1715" display="https://www.cosdlazdrowia.pl/"/>
    <hyperlink ref="E858" r:id="rId1716" display="https://store.admitad.com/webmaster/websites/2166760/offers/27716-cosdlazdrowia-pl/"/>
    <hyperlink ref="C859" r:id="rId1717" display="https://skyengschool.com/global"/>
    <hyperlink ref="E859" r:id="rId1718" display="https://store.admitad.com/webmaster/websites/2166760/offers/27722-skyeng-cps-many-geos-2/"/>
    <hyperlink ref="C860" r:id="rId1719" display="https://www.icicilombard.com/"/>
    <hyperlink ref="E860" r:id="rId1720" display="https://store.admitad.com/webmaster/websites/2166760/offers/27724-icici-lombard-car-cpl-in/"/>
    <hyperlink ref="C861" r:id="rId1721" display="https://www.vanheusenintimates.com/"/>
    <hyperlink ref="E861" r:id="rId1722" display="https://store.admitad.com/webmaster/websites/2166760/offers/27725-vanheusen-intimates-cps-in/"/>
    <hyperlink ref="C862" r:id="rId1723" display="https://play.google.com/store/apps/details?id=com.unocoin.unocoinwallet"/>
    <hyperlink ref="E862" r:id="rId1724" display="https://store.admitad.com/webmaster/websites/2166760/offers/27788-unocoin-cpr-android-ios-in/"/>
    <hyperlink ref="C863" r:id="rId1725" display="https://iplselection.hotstar.com/home?utm_source=admitad"/>
    <hyperlink ref="E863" r:id="rId1726" display="https://store.admitad.com/webmaster/websites/2166760/offers/27798-ipl-registration-cpl-in/"/>
    <hyperlink ref="C864" r:id="rId1727" display="https://en-ae.randbfashion.com/"/>
    <hyperlink ref="E864" r:id="rId1728" display="https://store.admitad.com/webmaster/websites/2166760/offers/27800-rb-gcc-offline-codes/"/>
    <hyperlink ref="C865" r:id="rId1729" display="https://www.janabank.com/"/>
    <hyperlink ref="E865" r:id="rId1730" display="https://store.admitad.com/webmaster/websites/2166760/offers/27801-jana-bank-cpl-in/"/>
    <hyperlink ref="C866" r:id="rId1731" display="https://lego.saudiblocks.com/"/>
    <hyperlink ref="E866" r:id="rId1732" display="https://store.admitad.com/webmaster/websites/2166760/offers/27808-lego-sa-offline-codes/"/>
    <hyperlink ref="C867" r:id="rId1733" display="https://en-ae.rituals.com/"/>
    <hyperlink ref="E867" r:id="rId1734" display="https://store.admitad.com/webmaster/websites/2166760/offers/27809-rituals-ae-sa-kw-qa-offline-codes/"/>
    <hyperlink ref="C868" r:id="rId1735" display="https://www.playship.com/"/>
    <hyperlink ref="E868" r:id="rId1736" display="https://store.admitad.com/webmaster/websites/2166760/offers/27811-playship-rummy-android-apk-cpi-in/"/>
    <hyperlink ref="C869" r:id="rId1737" display="https://atlasvpn.com/"/>
    <hyperlink ref="E869" r:id="rId1738" display="https://store.admitad.com/webmaster/websites/2166760/offers/27821-atlasvpn-eu/"/>
    <hyperlink ref="C870" r:id="rId1739" display="https://www.gasjeans.in/"/>
    <hyperlink ref="E870" r:id="rId1740" display="https://store.admitad.com/webmaster/websites/2166760/offers/23266-gasjeans-cps-in/"/>
    <hyperlink ref="C871" r:id="rId1741" display="https://send.dhlparcel.co.uk/"/>
    <hyperlink ref="E871" r:id="rId1742" display="https://store.admitad.com/webmaster/websites/2166760/offers/26813-dhl-parcel-uk/"/>
    <hyperlink ref="C872" r:id="rId1743" display="https://shopee.in/"/>
    <hyperlink ref="E872" r:id="rId1744" display="https://store.admitad.com/webmaster/websites/2166760/offers/27347-shopee-cps-in/"/>
    <hyperlink ref="C873" r:id="rId1745" display="http://www.therange.co.uk/"/>
    <hyperlink ref="E873" r:id="rId1746" display="https://store.admitad.com/webmaster/websites/2166760/offers/27400-the-range-uk/"/>
    <hyperlink ref="C874" r:id="rId1747" display="http://reborngame.ru/"/>
    <hyperlink ref="E874" r:id="rId1748" display="https://store.admitad.com/webmaster/websites/2166760/offers/7951-reborn-online-cpp-ru-cis/"/>
    <hyperlink ref="C875" r:id="rId1749" display="https://www.priceelf.com/"/>
    <hyperlink ref="E875" r:id="rId1750" display="https://store.admitad.com/webmaster/websites/2166760/offers/15039-priceelf-ww/"/>
    <hyperlink ref="C876" r:id="rId1751" display="https://gamenet.ru/games/aika/"/>
    <hyperlink ref="E876" r:id="rId1752" display="https://store.admitad.com/webmaster/websites/2166760/offers/17113-aika-2-cpp-ru-cis/"/>
    <hyperlink ref="C877" r:id="rId1753" display="http://www.nike.com/ae/en_gb/"/>
    <hyperlink ref="E877" r:id="rId1754" display="https://store.admitad.com/webmaster/websites/2166760/offers/20649-nike-many-geos/"/>
    <hyperlink ref="C878" r:id="rId1755" display="https://www.go-sport.pl/"/>
    <hyperlink ref="E878" r:id="rId1756" display="https://store.admitad.com/webmaster/websites/2166760/offers/22901-go-sport-pl/"/>
    <hyperlink ref="C879" r:id="rId1757" display="https://www.alamy.com/"/>
    <hyperlink ref="E879" r:id="rId1758" display="https://store.admitad.com/webmaster/websites/2166760/offers/22921-alamy-ww/"/>
    <hyperlink ref="C880" r:id="rId1759" display="https://espritgames.com/gameofthrones"/>
    <hyperlink ref="E880" r:id="rId1760" display="https://store.admitad.com/webmaster/websites/2166760/offers/22941-game-of-thrones-soi-esprit-us-uk-ca/"/>
    <hyperlink ref="C881" r:id="rId1761" display="https://www.nike.com/"/>
    <hyperlink ref="E881" r:id="rId1762" display="https://store.admitad.com/webmaster/websites/2166760/offers/23004-nike-cps-apac/"/>
    <hyperlink ref="C882" r:id="rId1763" display="https://www.udyantea.com/"/>
    <hyperlink ref="E882" r:id="rId1764" display="https://store.admitad.com/webmaster/websites/2166760/offers/23074-udyan-tea-cps-in/"/>
    <hyperlink ref="C883" r:id="rId1765" display="https://www.sunglasses-shop.co.uk/"/>
    <hyperlink ref="E883" r:id="rId1766" display="https://store.admitad.com/webmaster/websites/2166760/offers/23240-sunglasses-shop-uk/"/>
    <hyperlink ref="C884" r:id="rId1767" display="https://tails.com/de/"/>
    <hyperlink ref="E884" r:id="rId1768" display="https://store.admitad.com/webmaster/websites/2166760/offers/23449-tails-de/"/>
    <hyperlink ref="C885" r:id="rId1769" display="https://c.jgarant.kz/"/>
    <hyperlink ref="E885" r:id="rId1770" display="https://store.admitad.com/webmaster/websites/2166760/offers/23528-jusan-garant-cps-kz/"/>
    <hyperlink ref="C886" r:id="rId1771" display="https://f1store.formula1.com/"/>
    <hyperlink ref="E886" r:id="rId1772" display="https://store.admitad.com/webmaster/websites/2166760/offers/23853-f1-store-many-geos/"/>
    <hyperlink ref="C887" r:id="rId1773" display="https://www.burtsbees.co.uk/"/>
    <hyperlink ref="E887" r:id="rId1774" display="https://store.admitad.com/webmaster/websites/2166760/offers/23924-burts-bees-uk/"/>
    <hyperlink ref="C888" r:id="rId1775" display="https://play.google.com/store/apps/details?id=com.NetmedsMarketplace.Netmeds&amp;hl=en_IN&amp;gl=US"/>
    <hyperlink ref="E888" r:id="rId1776" display="https://store.admitad.com/webmaster/websites/2166760/offers/24275-netmeds-mobile-cps-in/"/>
    <hyperlink ref="C889" r:id="rId1777" display="https://www.hajo-mode.com/"/>
    <hyperlink ref="E889" r:id="rId1778" display="https://store.admitad.com/webmaster/websites/2166760/offers/24415-hajo-de/"/>
    <hyperlink ref="C890" r:id="rId1779" display="https://www.visionexpress.in/"/>
    <hyperlink ref="E890" r:id="rId1780" display="https://store.admitad.com/webmaster/websites/2166760/offers/25168-vision-express-cps-in/"/>
    <hyperlink ref="C891" r:id="rId1781" display="https://www.saramart.com/en-AE/"/>
    <hyperlink ref="E891" r:id="rId1782" display="https://store.admitad.com/webmaster/websites/2166760/offers/25220-saramart-eu-gcc-offline-codes/"/>
    <hyperlink ref="C892" r:id="rId1783" display="https://www.kdanmobile.com/"/>
    <hyperlink ref="E892" r:id="rId1784" display="https://store.admitad.com/webmaster/websites/2166760/offers/25338-kdan-mobile-ww/"/>
    <hyperlink ref="C893" r:id="rId1785" display="https://www.topbiz.fr/"/>
    <hyperlink ref="E893" r:id="rId1786" display="https://store.admitad.com/webmaster/websites/2166760/offers/25906-topbiz-fr/"/>
    <hyperlink ref="C894" r:id="rId1787" display="https://www.flormar.com.tr/"/>
    <hyperlink ref="E894" r:id="rId1788" display="https://store.admitad.com/webmaster/websites/2166760/offers/26003-flormar-tr/"/>
    <hyperlink ref="C895" r:id="rId1789" display="https://mx.coach.com/"/>
    <hyperlink ref="E895" r:id="rId1790" display="https://store.admitad.com/webmaster/websites/2166760/offers/26249-coach-mx/"/>
    <hyperlink ref="C896" r:id="rId1791" display="https://elemis.com/"/>
    <hyperlink ref="E896" r:id="rId1792" display="https://store.admitad.com/webmaster/websites/2166760/offers/26273-elemis-eu/"/>
    <hyperlink ref="C897" r:id="rId1793" display="https://www.51015kids.eu/"/>
    <hyperlink ref="E897" r:id="rId1794" display="https://store.admitad.com/webmaster/websites/2166760/offers/26342-51015-pl/"/>
    <hyperlink ref="C898" r:id="rId1795" display="https://www.freddiesflowers.com/"/>
    <hyperlink ref="E898" r:id="rId1796" display="https://store.admitad.com/webmaster/websites/2166760/offers/26548-freddies-flowers-uk/"/>
    <hyperlink ref="C899" r:id="rId1797" display="https://store.canon.de/"/>
    <hyperlink ref="E899" r:id="rId1798" display="https://store.admitad.com/webmaster/websites/2166760/offers/26568-canon-de/"/>
    <hyperlink ref="C900" r:id="rId1799" display="https://www.denbypottery.com/"/>
    <hyperlink ref="E900" r:id="rId1800" display="https://store.admitad.com/webmaster/websites/2166760/offers/26586-denby-retail-uk/"/>
    <hyperlink ref="C901" r:id="rId1801" display="https://www.hughes.co.uk/"/>
    <hyperlink ref="E901" r:id="rId1802" display="https://store.admitad.com/webmaster/websites/2166760/offers/26590-hughes-uk/"/>
    <hyperlink ref="C902" r:id="rId1803" display="https://www.lycamobile.fr/fr/"/>
    <hyperlink ref="E902" r:id="rId1804" display="https://store.admitad.com/webmaster/websites/2166760/offers/26600-lycamobile-fr/"/>
    <hyperlink ref="C903" r:id="rId1805" display="https://www.null-leasing.com/"/>
    <hyperlink ref="E903" r:id="rId1806" display="https://store.admitad.com/webmaster/websites/2166760/offers/26667-null-leasing-de/"/>
    <hyperlink ref="C904" r:id="rId1807" display="https://www.viator.com/de-DE/"/>
    <hyperlink ref="E904" r:id="rId1808" display="https://store.admitad.com/webmaster/websites/2166760/offers/26699-viator-dach/"/>
    <hyperlink ref="C905" r:id="rId1809" display="https://www.interditaupublic.com/"/>
    <hyperlink ref="E905" r:id="rId1810" display="https://store.admitad.com/webmaster/websites/2166760/offers/26760-interdit-au-public-fr/"/>
    <hyperlink ref="C906" r:id="rId1811" display="https://www.nastygal.com/fr"/>
    <hyperlink ref="E906" r:id="rId1812" display="https://store.admitad.com/webmaster/websites/2166760/offers/26761-nastygal-fr/"/>
    <hyperlink ref="C907" r:id="rId1813" display="https://www.popinabox.it/"/>
    <hyperlink ref="E907" r:id="rId1814" display="https://store.admitad.com/webmaster/websites/2166760/offers/26762-pop-in-a-box-it/"/>
    <hyperlink ref="C908" r:id="rId1815" display="https://www.waz.de/abo/"/>
    <hyperlink ref="E908" r:id="rId1816" display="https://store.admitad.com/webmaster/websites/2166760/offers/26808-waz-de/"/>
    <hyperlink ref="C909" r:id="rId1817" display="https://www.laroche-posay.co.uk/"/>
    <hyperlink ref="E909" r:id="rId1818" display="https://store.admitad.com/webmaster/websites/2166760/offers/26851-la-roche-posay-uk/"/>
    <hyperlink ref="C910" r:id="rId1819" display="https://www.bakerross.co.uk/"/>
    <hyperlink ref="E910" r:id="rId1820" display="https://store.admitad.com/webmaster/websites/2166760/offers/27024-baker-ross-uk/"/>
    <hyperlink ref="C911" r:id="rId1821" display="https://www.spedire.com/"/>
    <hyperlink ref="E911" r:id="rId1822" display="https://store.admitad.com/webmaster/websites/2166760/offers/27072-spedirecom-it/"/>
    <hyperlink ref="C912" r:id="rId1823" display="https://www.esn.com/"/>
    <hyperlink ref="E912" r:id="rId1824" display="https://store.admitad.com/webmaster/websites/2166760/offers/27077-esn-de/"/>
    <hyperlink ref="C913" r:id="rId1825" display="https://www.cartridgepeople.com/"/>
    <hyperlink ref="E913" r:id="rId1826" display="https://store.admitad.com/webmaster/websites/2166760/offers/27100-cartridge-people-uk/"/>
    <hyperlink ref="C914" r:id="rId1827" display="https://www.thorntons.co.uk/"/>
    <hyperlink ref="E914" r:id="rId1828" display="https://store.admitad.com/webmaster/websites/2166760/offers/27168-thorntons-uk/"/>
    <hyperlink ref="C915" r:id="rId1829" display="https://www.botb.com/"/>
    <hyperlink ref="E915" r:id="rId1830" display="https://store.admitad.com/webmaster/websites/2166760/offers/27170-botb-uk/"/>
    <hyperlink ref="C916" r:id="rId1831" display="https://www.farmamia.net/"/>
    <hyperlink ref="E916" r:id="rId1832" display="https://store.admitad.com/webmaster/websites/2166760/offers/27456-farmamia-it/"/>
    <hyperlink ref="C917" r:id="rId1833" display="https://www.revolutionbeauty.com/"/>
    <hyperlink ref="E917" r:id="rId1834" display="https://store.admitad.com/webmaster/websites/2166760/offers/27465-revolution-beauty-uk-de/"/>
    <hyperlink ref="C918" r:id="rId1835" display="https://espritgames.com/darkgenesis/"/>
    <hyperlink ref="E918" r:id="rId1836" display="https://store.admitad.com/webmaster/websites/2166760/offers/27569-dark-genesis-soi-it-cz/"/>
    <hyperlink ref="C919" r:id="rId1837" display="https://click.hoolig.app/?pid=18&amp;offer_id=28"/>
    <hyperlink ref="E919" r:id="rId1838" display="https://store.admitad.com/webmaster/websites/2166760/offers/27603-dirtyleague-doi-many-geos/"/>
    <hyperlink ref="C920" r:id="rId1839" display="http://www.kaspersky.com/"/>
    <hyperlink ref="E920" r:id="rId1840" display="https://store.admitad.com/webmaster/websites/2166760/offers/14331-kaspersky-many-geos/"/>
    <hyperlink ref="C921" r:id="rId1841" display="https://www.cesdeals.com/"/>
    <hyperlink ref="E921" r:id="rId1842" display="https://store.admitad.com/webmaster/websites/2166760/offers/15008-cesdeals-ww/"/>
    <hyperlink ref="C922" r:id="rId1843" display="https://www.alamo.com/en_US/car-rental/home.html"/>
    <hyperlink ref="E922" r:id="rId1844" display="https://store.admitad.com/webmaster/websites/2166760/offers/18327-alamo-us/"/>
    <hyperlink ref="C923" r:id="rId1845" display="https://pokupon.ua/"/>
    <hyperlink ref="E923" r:id="rId1846" display="https://store.admitad.com/webmaster/websites/2166760/offers/20181-pokupon-cps-ua/"/>
    <hyperlink ref="C924" r:id="rId1847" display="http://global.blackshark.com/"/>
    <hyperlink ref="E924" r:id="rId1848" display="https://store.admitad.com/webmaster/websites/2166760/offers/20836-blackshark-ww/"/>
    <hyperlink ref="C925" r:id="rId1849" display="https://www.hdfcergo.com/Campaign/Car-insurance-old.aspx"/>
    <hyperlink ref="E925" r:id="rId1850" display="https://store.admitad.com/webmaster/websites/2166760/offers/21680-hdfc-ergo-car-cpl-in/"/>
    <hyperlink ref="C926" r:id="rId1851" display="https://www.paradoxplaza.com/"/>
    <hyperlink ref="E926" r:id="rId1852" display="https://store.admitad.com/webmaster/websites/2166760/offers/21708-paradox-ww/"/>
    <hyperlink ref="C927" r:id="rId1853" display="https://www.momondo.com/"/>
    <hyperlink ref="E927" r:id="rId1854" display="https://store.admitad.com/webmaster/websites/2166760/offers/21911-momondo-ru-pl/"/>
    <hyperlink ref="C928" r:id="rId1855" display="https://fr.gant.com/"/>
    <hyperlink ref="E928" r:id="rId1856" display="https://store.admitad.com/webmaster/websites/2166760/offers/21967-gant-fr/"/>
    <hyperlink ref="C929" r:id="rId1857" display="https://hu.elvenar.com/"/>
    <hyperlink ref="E929" r:id="rId1858" display="https://store.admitad.com/webmaster/websites/2166760/offers/22167-elvenar-soi-hu/"/>
    <hyperlink ref="C930" r:id="rId1859" display="https://esporteclube.uol.com.br/"/>
    <hyperlink ref="E930" r:id="rId1860" display="https://store.admitad.com/webmaster/websites/2166760/offers/22347-uol-esporte-clube-br/"/>
    <hyperlink ref="C931" r:id="rId1861" display="https://satelonline.kz/"/>
    <hyperlink ref="E931" r:id="rId1862" display="https://store.admitad.com/webmaster/websites/2166760/offers/22883-satel-kz/"/>
    <hyperlink ref="C932" r:id="rId1863" display="https://www.bonprix.cz/"/>
    <hyperlink ref="E932" r:id="rId1864" display="https://store.admitad.com/webmaster/websites/2166760/offers/22936-bonprix-cps-cz/"/>
    <hyperlink ref="C933" r:id="rId1865" display="https://espritgames.com/pl/gameofthrones"/>
    <hyperlink ref="E933" r:id="rId1866" display="https://store.admitad.com/webmaster/websites/2166760/offers/22938-game-of-thrones-soi-esprit-pl/"/>
    <hyperlink ref="C934" r:id="rId1867" display="https://www.ketto.org/"/>
    <hyperlink ref="E934" r:id="rId1868" display="https://store.admitad.com/webmaster/websites/2166760/offers/22953-ketto-cps-in/"/>
    <hyperlink ref="C935" r:id="rId1869" display="https://www.luisbien.com/"/>
    <hyperlink ref="E935" r:id="rId1870" display="https://store.admitad.com/webmaster/websites/2166760/offers/23036-luis-bien-tr/"/>
    <hyperlink ref="C936" r:id="rId1871" display="http://www.autodesk.com/"/>
    <hyperlink ref="E936" r:id="rId1872" display="https://store.admitad.com/webmaster/websites/2166760/offers/23124-autodesk-cps-apac/"/>
    <hyperlink ref="C937" r:id="rId1873" display="https://www.ticketmaster.it/"/>
    <hyperlink ref="E937" r:id="rId1874" display="https://store.admitad.com/webmaster/websites/2166760/offers/23287-ticketmaster-cps-it/"/>
    <hyperlink ref="C938" r:id="rId1875" display="http://www.luisbien.org/"/>
    <hyperlink ref="E938" r:id="rId1876" display="https://store.admitad.com/webmaster/websites/2166760/offers/23288-luis-bien-mena/"/>
    <hyperlink ref="C939" r:id="rId1877" display="https://www.magix.com/"/>
    <hyperlink ref="E939" r:id="rId1878" display="https://store.admitad.com/webmaster/websites/2166760/offers/23387-magix-uk-dach/"/>
    <hyperlink ref="C940" r:id="rId1879" display="https://www.gap.eu/"/>
    <hyperlink ref="E940" r:id="rId1880" display="https://store.admitad.com/webmaster/websites/2166760/offers/23409-gap-cps-eu/"/>
    <hyperlink ref="C941" r:id="rId1881" display="https://www.mytrendyphone.eu/"/>
    <hyperlink ref="E941" r:id="rId1882" display="https://store.admitad.com/webmaster/websites/2166760/offers/23468-mytrendyphone-cps-eu/"/>
    <hyperlink ref="C942" r:id="rId1883" display="https://www.gardenoflife.co.uk/"/>
    <hyperlink ref="E942" r:id="rId1884" display="https://store.admitad.com/webmaster/websites/2166760/offers/23893-garden-of-life-many-geos/"/>
    <hyperlink ref="C943" r:id="rId1885" display="https://monese.com/"/>
    <hyperlink ref="E943" r:id="rId1886" display="https://store.admitad.com/webmaster/websites/2166760/offers/24078-monese-uk-ios-android/"/>
    <hyperlink ref="C944" r:id="rId1887" display="https://lp.degustabox.com/es-awin/"/>
    <hyperlink ref="E944" r:id="rId1888" display="https://store.admitad.com/webmaster/websites/2166760/offers/24121-degusta-box-es/"/>
    <hyperlink ref="C945" r:id="rId1889" display="https://www.coxandcox.co.uk/"/>
    <hyperlink ref="E945" r:id="rId1890" display="https://store.admitad.com/webmaster/websites/2166760/offers/24292-cox-cox-uk/"/>
    <hyperlink ref="C946" r:id="rId1891" display="https://www.miracleofdenim.com/"/>
    <hyperlink ref="E946" r:id="rId1892" display="https://store.admitad.com/webmaster/websites/2166760/offers/24416-miracle-of-denim-de/"/>
    <hyperlink ref="C947" r:id="rId1893" display="https://www.daniel-hechter.de/company/de"/>
    <hyperlink ref="E947" r:id="rId1894" display="https://store.admitad.com/webmaster/websites/2166760/offers/24418-daniel-hechter-de/"/>
    <hyperlink ref="C948" r:id="rId1895" display="https://www.rabemoden.de/"/>
    <hyperlink ref="E948" r:id="rId1896" display="https://store.admitad.com/webmaster/websites/2166760/offers/24420-rabe-de/"/>
    <hyperlink ref="C949" r:id="rId1897" display="https://www.fonu.nl/"/>
    <hyperlink ref="E949" r:id="rId1898" display="https://store.admitad.com/webmaster/websites/2166760/offers/24474-fonu-nl/"/>
    <hyperlink ref="C950" r:id="rId1899" display="https://www.streetprorunning.com/"/>
    <hyperlink ref="E950" r:id="rId1900" display="https://store.admitad.com/webmaster/websites/2166760/offers/24532-streetprorunning-cps-es/"/>
    <hyperlink ref="C951" r:id="rId1901" display="http://www.atlasvpn.com/"/>
    <hyperlink ref="E951" r:id="rId1902" display="https://store.admitad.com/webmaster/websites/2166760/offers/24566-atlas-vpn/"/>
    <hyperlink ref="C952" r:id="rId1903" display="https://store.psg.fr/"/>
    <hyperlink ref="E952" r:id="rId1904" display="https://store.admitad.com/webmaster/websites/2166760/offers/24629-psg-store-eu/"/>
    <hyperlink ref="C953" r:id="rId1905" display="https://es.loccitane.com/"/>
    <hyperlink ref="E953" r:id="rId1906" display="https://store.admitad.com/webmaster/websites/2166760/offers/24742-loccitane-es/"/>
    <hyperlink ref="C954" r:id="rId1907" display="https://www.slimcenter.de/"/>
    <hyperlink ref="E954" r:id="rId1908" display="https://store.admitad.com/webmaster/websites/2166760/offers/24878-slimcenter-de/"/>
    <hyperlink ref="C955" r:id="rId1909" display="https://www.easysmx.com/"/>
    <hyperlink ref="E955" r:id="rId1910" display="https://store.admitad.com/webmaster/websites/2166760/offers/24948-easysmx-cps-many-geos/"/>
    <hyperlink ref="C956" r:id="rId1911" display="https://peinturesparnumeros.com/"/>
    <hyperlink ref="E956" r:id="rId1912" display="https://store.admitad.com/webmaster/websites/2166760/offers/24989-peintures-par-numeros-many-geos/"/>
    <hyperlink ref="C957" r:id="rId1913" display="https://cloud.my.games/"/>
    <hyperlink ref="E957" r:id="rId1914" display="https://store.admitad.com/webmaster/websites/2166760/offers/25844-sloudmygames-cps-rucis/"/>
    <hyperlink ref="C958" r:id="rId1915" display="https://pandavpnpro.com/"/>
    <hyperlink ref="E958" r:id="rId1916" display="https://store.admitad.com/webmaster/websites/2166760/offers/25999-pandavpn-ww/"/>
    <hyperlink ref="C959" r:id="rId1917" display="https://www.bestsellerclothing.in/sale-bs-clothing"/>
    <hyperlink ref="E959" r:id="rId1918" display="https://store.admitad.com/webmaster/websites/2166760/offers/26013-bestseller-clothing-cps-in/"/>
    <hyperlink ref="C960" r:id="rId1919" display="https://www.viator.com/fr-FR/"/>
    <hyperlink ref="E960" r:id="rId1920" display="https://store.admitad.com/webmaster/websites/2166760/offers/26021-viator-fr/"/>
    <hyperlink ref="C961" r:id="rId1921" display="https://ekdum.co.in/order-online/menu"/>
    <hyperlink ref="E961" r:id="rId1922" display="https://store.admitad.com/webmaster/websites/2166760/offers/26112-ekdum-biryani-cps-in/"/>
    <hyperlink ref="C962" r:id="rId1923" display="https://wavve.co/?ref=admitadaffiliatenetwork1"/>
    <hyperlink ref="E962" r:id="rId1924" display="https://store.admitad.com/webmaster/websites/2166760/offers/26119-wavveco-ww/"/>
    <hyperlink ref="C963" r:id="rId1925" display="https://www.postscanmail.com/?ref=admitadaffiliatenetwork4&amp;utm_source=admitadaffiliatenetwork4&amp;utm_campaign=PostScan+Mail+Affiliates"/>
    <hyperlink ref="E963" r:id="rId1926" display="https://store.admitad.com/webmaster/websites/2166760/offers/26122-postscan-mail-ww/"/>
    <hyperlink ref="C964" r:id="rId1927" display="https://www.rapsodia.com.mx/"/>
    <hyperlink ref="E964" r:id="rId1928" display="https://store.admitad.com/webmaster/websites/2166760/offers/26183-rapsodia-mx/"/>
    <hyperlink ref="C965" r:id="rId1929" display="https://naturadika.es/"/>
    <hyperlink ref="E965" r:id="rId1930" display="https://store.admitad.com/webmaster/websites/2166760/offers/26222-naturadika-cps-es-it/"/>
    <hyperlink ref="C966" r:id="rId1931" display="https://by.defacto.com/"/>
    <hyperlink ref="E966" r:id="rId1932" display="https://store.admitad.com/webmaster/websites/2166760/offers/26271-defacto-by/"/>
    <hyperlink ref="C967" r:id="rId1933" display="http://www.hoeffner.de/"/>
    <hyperlink ref="E967" r:id="rId1934" display="https://store.admitad.com/webmaster/websites/2166760/offers/26306-mobel-hoffner-de/"/>
    <hyperlink ref="C968" r:id="rId1935" display="http://www.douglas-shop.pl/"/>
    <hyperlink ref="E968" r:id="rId1936" display="https://store.admitad.com/webmaster/websites/2166760/offers/26360-douglas-pl/"/>
    <hyperlink ref="C969" r:id="rId1937" display="https://gabestore.ru/"/>
    <hyperlink ref="E969" r:id="rId1938" display="https://store.admitad.com/webmaster/websites/2166760/offers/26403-gabestore-cps-ru-cis/"/>
    <hyperlink ref="C970" r:id="rId1939" display="https://www.beyerdynamic.de/"/>
    <hyperlink ref="E970" r:id="rId1940" display="https://store.admitad.com/webmaster/websites/2166760/offers/26418-beyerdynamic-de/"/>
    <hyperlink ref="C971" r:id="rId1941" display="https://www.timberland.it/"/>
    <hyperlink ref="E971" r:id="rId1942" display="https://store.admitad.com/webmaster/websites/2166760/offers/26439-timberland-many-geos/"/>
    <hyperlink ref="C972" r:id="rId1943" display="https://www.spaceengineersgame.com/store/"/>
    <hyperlink ref="E972" r:id="rId1944" display="https://store.admitad.com/webmaster/websites/2166760/offers/26481-space-engineers-cps-many-geos/"/>
    <hyperlink ref="C973" r:id="rId1945" display="https://www.names.co.uk/"/>
    <hyperlink ref="E973" r:id="rId1946" display="https://store.admitad.com/webmaster/websites/2166760/offers/26528-names-uk/"/>
    <hyperlink ref="C974" r:id="rId1947" display="https://indejuice.com/"/>
    <hyperlink ref="E974" r:id="rId1948" display="https://store.admitad.com/webmaster/websites/2166760/offers/26530-indejuice-uk/"/>
    <hyperlink ref="C975" r:id="rId1949" display="https://www.justpark.com/"/>
    <hyperlink ref="E975" r:id="rId1950" display="https://store.admitad.com/webmaster/websites/2166760/offers/26584-justpark-uk/"/>
    <hyperlink ref="C976" r:id="rId1951" display="https://www.probikekit.com/"/>
    <hyperlink ref="E976" r:id="rId1952" display="https://store.admitad.com/webmaster/websites/2166760/offers/26588-probikekit-us-canada/"/>
    <hyperlink ref="C977" r:id="rId1953" display="https://www.kioskoymas.com/ofertas/awin/"/>
    <hyperlink ref="E977" r:id="rId1954" display="https://store.admitad.com/webmaster/websites/2166760/offers/26643-kioskoymas-es/"/>
    <hyperlink ref="C978" r:id="rId1955" display="https://www.bitiba.fr/"/>
    <hyperlink ref="E978" r:id="rId1956" display="https://store.admitad.com/webmaster/websites/2166760/offers/26680-bitiba-fr/"/>
    <hyperlink ref="C979" r:id="rId1957" display="https://www.bestwestern.co.uk/"/>
    <hyperlink ref="E979" r:id="rId1958" display="https://store.admitad.com/webmaster/websites/2166760/offers/26726-best-western-hotels-uk/"/>
    <hyperlink ref="C980" r:id="rId1959" display="https://www.lablue.de/"/>
    <hyperlink ref="E980" r:id="rId1960" display="https://store.admitad.com/webmaster/websites/2166760/offers/26728-lablue-de/"/>
    <hyperlink ref="C981" r:id="rId1961" display="https://www.makerist.com/"/>
    <hyperlink ref="E981" r:id="rId1962" display="https://store.admitad.com/webmaster/websites/2166760/offers/26743-makerist-us/"/>
    <hyperlink ref="C982" r:id="rId1963" display="http://www.alternate.es/"/>
    <hyperlink ref="E982" r:id="rId1964" display="https://store.admitad.com/webmaster/websites/2166760/offers/26793-alternate-es/"/>
    <hyperlink ref="C983" r:id="rId1965" display="https://www.footlocker.de/"/>
    <hyperlink ref="E983" r:id="rId1966" display="https://store.admitad.com/webmaster/websites/2166760/offers/26812-foot-locker-de/"/>
    <hyperlink ref="C984" r:id="rId1967" display="https://shop.samsung.com/it/"/>
    <hyperlink ref="E984" r:id="rId1968" display="https://store.admitad.com/webmaster/websites/2166760/offers/26854-samsung-it/"/>
    <hyperlink ref="C985" r:id="rId1969" display="http://shop.bvb.de/"/>
    <hyperlink ref="E985" r:id="rId1970" display="https://store.admitad.com/webmaster/websites/2166760/offers/26856-shop-bvb-de/"/>
    <hyperlink ref="C986" r:id="rId1971" display="http://www.bodyandfit.com/de-de"/>
    <hyperlink ref="E986" r:id="rId1972" display="https://store.admitad.com/webmaster/websites/2166760/offers/26873-body-fit-de/"/>
    <hyperlink ref="C987" r:id="rId1973" display="https://wordery.com/"/>
    <hyperlink ref="E987" r:id="rId1974" display="https://store.admitad.com/webmaster/websites/2166760/offers/26878-wordery-uk/"/>
    <hyperlink ref="C988" r:id="rId1975" display="https://www.tpexpress.co.uk/"/>
    <hyperlink ref="E988" r:id="rId1976" display="https://store.admitad.com/webmaster/websites/2166760/offers/26879-first-transpennine-express-uk/"/>
    <hyperlink ref="C989" r:id="rId1977" display="https://homzmart.sa/"/>
    <hyperlink ref="E989" r:id="rId1978" display="https://store.admitad.com/webmaster/websites/2166760/offers/26946-homzmart-sa-offline-codes/"/>
    <hyperlink ref="C990" r:id="rId1979" display="https://www.glossybox.co.uk/"/>
    <hyperlink ref="E990" r:id="rId1980" display="https://store.admitad.com/webmaster/websites/2166760/offers/26956-glossybox-uk/"/>
    <hyperlink ref="C991" r:id="rId1981" display="https://www.weirdfish.co.uk/"/>
    <hyperlink ref="E991" r:id="rId1982" display="https://store.admitad.com/webmaster/websites/2166760/offers/26964-weird-fish-uk/"/>
    <hyperlink ref="C992" r:id="rId1983" display="https://www.tastecard.co.uk/"/>
    <hyperlink ref="E992" r:id="rId1984" display="https://store.admitad.com/webmaster/websites/2166760/offers/26993-tastecard-uk/"/>
    <hyperlink ref="C993" r:id="rId1985" display="https://it.pandora.net/it"/>
    <hyperlink ref="E993" r:id="rId1986" display="https://store.admitad.com/webmaster/websites/2166760/offers/27038-pandora-it/"/>
    <hyperlink ref="C994" r:id="rId1987" display="https://www.footlocker.co.uk/en/homepage"/>
    <hyperlink ref="E994" r:id="rId1988" display="https://store.admitad.com/webmaster/websites/2166760/offers/27068-foot-locker-uk/"/>
    <hyperlink ref="C995" r:id="rId1989" display="https://www.emp.de/"/>
    <hyperlink ref="E995" r:id="rId1990" display="https://store.admitad.com/webmaster/websites/2166760/offers/27109-emp-de/"/>
    <hyperlink ref="C996" r:id="rId1991" display="https://www.notebooksbilliger.de/"/>
    <hyperlink ref="E996" r:id="rId1992" display="https://store.admitad.com/webmaster/websites/2166760/offers/27113-notebooksbilliger-de-at/"/>
    <hyperlink ref="C997" r:id="rId1993" display="https://www.lavazza.it/it.html"/>
    <hyperlink ref="E997" r:id="rId1994" display="https://store.admitad.com/webmaster/websites/2166760/offers/27114-lavazza-it/"/>
    <hyperlink ref="C998" r:id="rId1995" display="https://www.burton.co.uk/"/>
    <hyperlink ref="E998" r:id="rId1996" display="https://store.admitad.com/webmaster/websites/2166760/offers/27163-burton-uk/"/>
    <hyperlink ref="C999" r:id="rId1997" display="https://www.mister-lady.com/"/>
    <hyperlink ref="E999" r:id="rId1998" display="https://store.admitad.com/webmaster/websites/2166760/offers/27196-mister-lady-de/"/>
    <hyperlink ref="C1000" r:id="rId1999" display="https://espritgames.com/pl/worldofchaos/"/>
    <hyperlink ref="E1000" r:id="rId2000" display="https://store.admitad.com/webmaster/websites/2166760/offers/27238-world-of-chaos-soi-pl/"/>
    <hyperlink ref="C1001" r:id="rId2001" display="https://www.peoplefinders.com/reverse-phone"/>
    <hyperlink ref="E1001" r:id="rId2002" display="https://store.admitad.com/webmaster/websites/2166760/offers/27240-peoplefinders-us/"/>
    <hyperlink ref="C1002" r:id="rId2003" display="https://www.iciparisxl.nl/"/>
    <hyperlink ref="E1002" r:id="rId2004" display="https://store.admitad.com/webmaster/websites/2166760/offers/27325-ici-paris-xl-nl/"/>
    <hyperlink ref="C1003" r:id="rId2005" display="http://worldofwarships.ru/"/>
    <hyperlink ref="E1003" r:id="rId2006" display="https://store.admitad.com/webmaster/websites/2166760/offers/27591-world-of-warships-cpp-winback-many-geos/"/>
    <hyperlink ref="C1004" r:id="rId2007" display="http://peers.tv/"/>
    <hyperlink ref="E1004" r:id="rId2008" display="https://store.admitad.com/webmaster/websites/2166760/offers/13005-peerstv-ww/"/>
    <hyperlink ref="C1005" r:id="rId2009" display="https://domicad.com.ua/ua"/>
    <hyperlink ref="E1005" r:id="rId2010" display="https://store.admitad.com/webmaster/websites/2166760/offers/16116-domicad-ua/"/>
    <hyperlink ref="C1006" r:id="rId2011" display="https://tezeks.com/"/>
    <hyperlink ref="E1006" r:id="rId2012" display="https://store.admitad.com/webmaster/websites/2166760/offers/17571-tezeks-many-geos/"/>
    <hyperlink ref="C1007" r:id="rId2013" display="https://cashdo.co.il/"/>
    <hyperlink ref="E1007" r:id="rId2014" display="https://store.admitad.com/webmaster/websites/2166760/offers/21031-cashdo-il/"/>
    <hyperlink ref="C1008" r:id="rId2015" display="https://dengiclick.kz/"/>
    <hyperlink ref="E1008" r:id="rId2016" display="https://store.admitad.com/webmaster/websites/2166760/offers/22111-dengiclick-cps-kz-2/"/>
    <hyperlink ref="C1009" r:id="rId2017" display="https://cz.elvenar.com/"/>
    <hyperlink ref="E1009" r:id="rId2018" display="https://store.admitad.com/webmaster/websites/2166760/offers/22166-elvenar-soi-cz/"/>
    <hyperlink ref="C1010" r:id="rId2019" display="https://hostgator-india.sjv.io/Bd3e9"/>
    <hyperlink ref="E1010" r:id="rId2020" display="https://store.admitad.com/webmaster/websites/2166760/offers/22216-hostgator-cps-in/"/>
    <hyperlink ref="C1011" r:id="rId2021" display="https://www.ucando.pl/"/>
    <hyperlink ref="E1011" r:id="rId2022" display="https://store.admitad.com/webmaster/websites/2166760/offers/22778-ucando-pl/"/>
    <hyperlink ref="C1012" r:id="rId2023" display="https://tengeda.kz/"/>
    <hyperlink ref="E1012" r:id="rId2024" display="https://store.admitad.com/webmaster/websites/2166760/offers/22801-tengeda-cps-kz/"/>
    <hyperlink ref="C1013" r:id="rId2025" display="https://www.imyfone.com/"/>
    <hyperlink ref="E1013" r:id="rId2026" display="https://store.admitad.com/webmaster/websites/2166760/offers/23156-imyfone-cps-ww/"/>
    <hyperlink ref="C1014" r:id="rId2027" display="https://espritgames.com/de/worldofchaos"/>
    <hyperlink ref="E1014" r:id="rId2028" display="https://store.admitad.com/webmaster/websites/2166760/offers/23580-world-of-chaos-soi-at-de-ch/"/>
    <hyperlink ref="C1015" r:id="rId2029" display="https://chinaplay.store/"/>
    <hyperlink ref="E1015" r:id="rId2030" display="https://store.admitad.com/webmaster/websites/2166760/offers/23592-china-play-cn/"/>
    <hyperlink ref="C1016" r:id="rId2031" display="https://espritgames.com/darkmoonrealm"/>
    <hyperlink ref="E1016" r:id="rId2032" display="https://store.admitad.com/webmaster/websites/2166760/offers/24017-darkmoon-realm-soi-us-uk-ca/"/>
    <hyperlink ref="C1017" r:id="rId2033" display="https://www.clickoncare.com/"/>
    <hyperlink ref="E1017" r:id="rId2034" display="https://store.admitad.com/webmaster/websites/2166760/offers/24590-clickoncare-cps-in/"/>
    <hyperlink ref="C1018" r:id="rId2035" display="https://ethinos73.gotrackier.com/click?campaign_id=84&amp;pub_id=88&amp;p1=%7byour-transaction-id%7d&amp;source=%7byour-sub-aff-id%7d"/>
    <hyperlink ref="E1018" r:id="rId2036" display="https://store.admitad.com/webmaster/websites/2166760/offers/24723-kotak-cherry-cpl-in/"/>
    <hyperlink ref="C1019" r:id="rId2037" display="https://farmaciabaricentro.com/"/>
    <hyperlink ref="E1019" r:id="rId2038" display="https://store.admitad.com/webmaster/websites/2166760/offers/24806-farmacia-baricentro-cpa-es/"/>
    <hyperlink ref="C1020" r:id="rId2039" display="https://hetmanrecovery.com/"/>
    <hyperlink ref="E1020" r:id="rId2040" display="https://store.admitad.com/webmaster/websites/2166760/offers/24844-hetman-software/"/>
    <hyperlink ref="C1021" r:id="rId2041" display="https://www.disfrazzes.com/"/>
    <hyperlink ref="E1021" r:id="rId2042" display="https://store.admitad.com/webmaster/websites/2166760/offers/24899-disfrazzes-cpa-many-geos/"/>
    <hyperlink ref="C1022" r:id="rId2043" display="https://www.dghelp.com/"/>
    <hyperlink ref="E1022" r:id="rId2044" display="https://store.admitad.com/webmaster/websites/2166760/offers/25138-dghelp-ae/"/>
    <hyperlink ref="C1023" r:id="rId2045" display="https://www.karaca-home.com/"/>
    <hyperlink ref="E1023" r:id="rId2046" display="https://store.admitad.com/webmaster/websites/2166760/offers/25274-karaca-home-tr/"/>
    <hyperlink ref="C1024" r:id="rId2047" display="https://www.seetickets.com/fr/"/>
    <hyperlink ref="E1024" r:id="rId2048" display="https://store.admitad.com/webmaster/websites/2166760/offers/26255-see-tickets-fr/"/>
    <hyperlink ref="C1025" r:id="rId2049" display="http://www.showtime.com/"/>
    <hyperlink ref="E1025" r:id="rId2050" display="https://store.admitad.com/webmaster/websites/2166760/offers/26294-showtime-us/"/>
    <hyperlink ref="C1026" r:id="rId2051" display="https://czasnabuty.pl/"/>
    <hyperlink ref="E1026" r:id="rId2052" display="https://store.admitad.com/webmaster/websites/2166760/offers/26343-czasnabuty-pl/"/>
    <hyperlink ref="C1027" r:id="rId2053" display="https://www.ekobieca.pl/"/>
    <hyperlink ref="E1027" r:id="rId2054" display="https://store.admitad.com/webmaster/websites/2166760/offers/26356-ekobieca-pl/"/>
    <hyperlink ref="C1028" r:id="rId2055" display="https://fera.pl/"/>
    <hyperlink ref="E1028" r:id="rId2056" display="https://store.admitad.com/webmaster/websites/2166760/offers/26362-fera-pl/"/>
    <hyperlink ref="C1029" r:id="rId2057" display="https://www.intersport.de/"/>
    <hyperlink ref="E1029" r:id="rId2058" display="https://store.admitad.com/webmaster/websites/2166760/offers/26427-intersport-de/"/>
    <hyperlink ref="C1030" r:id="rId2059" display="http://www.zooplus.es/"/>
    <hyperlink ref="E1030" r:id="rId2060" display="https://store.admitad.com/webmaster/websites/2166760/offers/26509-zooplus-es/"/>
    <hyperlink ref="C1031" r:id="rId2061" display="https://www.jdsports.fr/"/>
    <hyperlink ref="E1031" r:id="rId2062" display="https://store.admitad.com/webmaster/websites/2166760/offers/26580-jd-sports-fr/"/>
    <hyperlink ref="C1032" r:id="rId2063" display="https://www.ordnancesurvey.co.uk/shop/"/>
    <hyperlink ref="E1032" r:id="rId2064" display="https://store.admitad.com/webmaster/websites/2166760/offers/26592-ordnance-survey-uk/"/>
    <hyperlink ref="C1033" r:id="rId2065" display="https://www.feelgoodcontacts.com/"/>
    <hyperlink ref="E1033" r:id="rId2066" display="https://store.admitad.com/webmaster/websites/2166760/offers/26646-feel-good-contacts-uk/"/>
    <hyperlink ref="C1034" r:id="rId2067" display="https://www.europcar.de/"/>
    <hyperlink ref="E1034" r:id="rId2068" display="https://store.admitad.com/webmaster/websites/2166760/offers/26701-europcar-de/"/>
    <hyperlink ref="C1035" r:id="rId2069" display="https://www.sanicare.de/"/>
    <hyperlink ref="E1035" r:id="rId2070" display="https://store.admitad.com/webmaster/websites/2166760/offers/26786-sanicare-de/"/>
    <hyperlink ref="C1036" r:id="rId2071" display="https://www.wayrates.com/"/>
    <hyperlink ref="E1036" r:id="rId2072" display="https://store.admitad.com/webmaster/websites/2166760/offers/26846-wayrates-ww/"/>
    <hyperlink ref="C1037" r:id="rId2073" display="https://www.vermietet.de/"/>
    <hyperlink ref="E1037" r:id="rId2074" display="https://store.admitad.com/webmaster/websites/2166760/offers/26852-vermietet-de/"/>
    <hyperlink ref="C1038" r:id="rId2075" display="https://www.ryman.co.uk/"/>
    <hyperlink ref="E1038" r:id="rId2076" display="https://store.admitad.com/webmaster/websites/2166760/offers/26958-ryman-uk/"/>
    <hyperlink ref="C1039" r:id="rId2077" display="https://www.rinkit.com/"/>
    <hyperlink ref="E1039" r:id="rId2078" display="https://store.admitad.com/webmaster/websites/2166760/offers/26976-rinkit-uk/"/>
    <hyperlink ref="C1040" r:id="rId2079" display="https://www.europcar.it/"/>
    <hyperlink ref="E1040" r:id="rId2080" display="https://store.admitad.com/webmaster/websites/2166760/offers/26978-europcar-it/"/>
    <hyperlink ref="C1041" r:id="rId2081" display="https://www.village-hotels.co.uk/"/>
    <hyperlink ref="E1041" r:id="rId2082" display="https://store.admitad.com/webmaster/websites/2166760/offers/26979-village-hotels-uk/"/>
    <hyperlink ref="C1042" r:id="rId2083" display="https://www.steuertipps.de/"/>
    <hyperlink ref="E1042" r:id="rId2084" display="https://store.admitad.com/webmaster/websites/2166760/offers/27045-steuertipps-de/"/>
    <hyperlink ref="C1043" r:id="rId2085" display="https://www.startriteshoes.com/"/>
    <hyperlink ref="E1043" r:id="rId2086" display="https://store.admitad.com/webmaster/websites/2166760/offers/27073-startriteshoes-uk/"/>
    <hyperlink ref="C1044" r:id="rId2087" display="https://www.mytyres.co.uk/cgi-bin/rshop.pl"/>
    <hyperlink ref="E1044" r:id="rId2088" display="https://store.admitad.com/webmaster/websites/2166760/offers/27096-mytyres-uk/"/>
    <hyperlink ref="C1045" r:id="rId2089" display="https://www.geox.com/it-IT/"/>
    <hyperlink ref="E1045" r:id="rId2090" display="https://store.admitad.com/webmaster/websites/2166760/offers/27098-geox-it/"/>
    <hyperlink ref="C1046" r:id="rId2091" display="https://www.zooplus.nl/"/>
    <hyperlink ref="E1046" r:id="rId2092" display="https://store.admitad.com/webmaster/websites/2166760/offers/27117-zooplus-nl-be/"/>
    <hyperlink ref="C1047" r:id="rId2093" display="https://www.wb-fernstudium.de/"/>
    <hyperlink ref="E1047" r:id="rId2094" display="https://store.admitad.com/webmaster/websites/2166760/offers/27154-wilhelm-buchner-hochschule-de/"/>
    <hyperlink ref="C1048" r:id="rId2095" display="https://us.myprotein.com/"/>
    <hyperlink ref="E1048" r:id="rId2096" display="https://store.admitad.com/webmaster/websites/2166760/offers/27191-myprotein-us/"/>
    <hyperlink ref="C1049" r:id="rId2097" display="https://swiatbaterii.pl/"/>
    <hyperlink ref="E1049" r:id="rId2098" display="https://store.admitad.com/webmaster/websites/2166760/offers/27230-swiat-baterii-pl/"/>
    <hyperlink ref="C1050" r:id="rId2099" display="https://espritgames.com/fr/worldofchaos/"/>
    <hyperlink ref="E1050" r:id="rId2100" display="https://store.admitad.com/webmaster/websites/2166760/offers/27237-world-of-chaos-soi-fr/"/>
    <hyperlink ref="C1051" r:id="rId2101" display="https://wellbeingnutrition.com/"/>
    <hyperlink ref="E1051" r:id="rId2102" display="https://store.admitad.com/webmaster/websites/2166760/offers/27284-wellbeing-nutrition-cps-in/"/>
    <hyperlink ref="C1052" r:id="rId2103" display="https://www.kombo.co/fr"/>
    <hyperlink ref="E1052" r:id="rId2104" display="https://store.admitad.com/webmaster/websites/2166760/offers/27430-kombo-fr/"/>
    <hyperlink ref="C1053" r:id="rId2105" display="https://www.macxdvd.com/"/>
    <hyperlink ref="E1053" r:id="rId2106" display="https://store.admitad.com/webmaster/websites/2166760/offers/27485-macxdvd-ww/"/>
    <hyperlink ref="C1054" r:id="rId2107" display="https://espritgames.ru/heroesbook/"/>
    <hyperlink ref="E1054" r:id="rId2108" display="https://store.admitad.com/webmaster/websites/2166760/offers/27568-kniga-geroev-soi-rucis/"/>
    <hyperlink ref="C1055" r:id="rId2109" display="http://bs.ru/"/>
    <hyperlink ref="E1055" r:id="rId2110" display="https://store.admitad.com/webmaster/websites/2166760/offers/1798-blood-and-soul-cpp-ru-cis/"/>
    <hyperlink ref="C1056" r:id="rId2111" display="http://fxclub.org/"/>
    <hyperlink ref="E1056" r:id="rId2112" display="https://store.admitad.com/webmaster/websites/2166760/offers/9639-forexclub-many-geos/"/>
    <hyperlink ref="C1057" r:id="rId2113" display="http://kingdoms.travian.com/ru"/>
    <hyperlink ref="E1057" r:id="rId2114" display="https://store.admitad.com/webmaster/websites/2166760/offers/13770-travian-kingdoms-doi-ru-ua/"/>
    <hyperlink ref="C1058" r:id="rId2115" display="https://www.tidebuy.com/"/>
    <hyperlink ref="E1058" r:id="rId2116" display="https://store.admitad.com/webmaster/websites/2166760/offers/15352-tidebuy-ww/"/>
    <hyperlink ref="C1059" r:id="rId2117" display="http://shop.wigsbuy.com/"/>
    <hyperlink ref="E1059" r:id="rId2118" display="https://store.admitad.com/webmaster/websites/2166760/offers/16283-wigsbuy-ww/"/>
    <hyperlink ref="C1060" r:id="rId2119" display="https://www.airvistara.com/"/>
    <hyperlink ref="E1060" r:id="rId2120" display="https://store.admitad.com/webmaster/websites/2166760/offers/16858-vistara-cps-in/"/>
    <hyperlink ref="C1061" r:id="rId2121" display="https://www.ssense.com/"/>
    <hyperlink ref="E1061" r:id="rId2122" display="https://store.admitad.com/webmaster/websites/2166760/offers/16891-ssense-ww/"/>
    <hyperlink ref="C1062" r:id="rId2123" display="https://www.g2a.com/"/>
    <hyperlink ref="E1062" r:id="rId2124" display="https://store.admitad.com/webmaster/websites/2166760/offers/17175-g2a-many-geos/"/>
    <hyperlink ref="C1063" r:id="rId2125" display="https://en-ae.namshi.com/"/>
    <hyperlink ref="E1063" r:id="rId2126" display="https://store.admitad.com/webmaster/websites/2166760/offers/17470-namshi-gcc-offline-codes/"/>
    <hyperlink ref="C1064" r:id="rId2127" display="https://aa.mail.ru/"/>
    <hyperlink ref="E1064" r:id="rId2128" display="https://store.admitad.com/webmaster/websites/2166760/offers/17520-archeage-cpp-ru-cis/"/>
    <hyperlink ref="C1065" r:id="rId2129" display="https://www.glasseslit.com/"/>
    <hyperlink ref="E1065" r:id="rId2130" display="https://store.admitad.com/webmaster/websites/2166760/offers/17970-glasseslit-ww/"/>
    <hyperlink ref="C1066" r:id="rId2131" display="https://www.teknistore.com/"/>
    <hyperlink ref="E1066" r:id="rId2132" display="https://store.admitad.com/webmaster/websites/2166760/offers/18071-teknistore-ww/"/>
    <hyperlink ref="C1067" r:id="rId2133" display="https://www.enterprise.ca/en/home.html"/>
    <hyperlink ref="E1067" r:id="rId2134" display="https://store.admitad.com/webmaster/websites/2166760/offers/18329-enterprise-us-ca/"/>
    <hyperlink ref="C1068" r:id="rId2135" display="https://12go.asia/"/>
    <hyperlink ref="E1068" r:id="rId2136" display="https://store.admitad.com/webmaster/websites/2166760/offers/18341-12goasia-many-geos/"/>
    <hyperlink ref="C1069" r:id="rId2137" display="http://www.eastessence.com/"/>
    <hyperlink ref="E1069" r:id="rId2138" display="https://store.admitad.com/webmaster/websites/2166760/offers/18809-eastessence-ww/"/>
    <hyperlink ref="C1070" r:id="rId2139" display="https://www.whatwears.com/"/>
    <hyperlink ref="E1070" r:id="rId2140" display="https://store.admitad.com/webmaster/websites/2166760/offers/19710-whatwears-ww/"/>
    <hyperlink ref="C1071" r:id="rId2141" display="https://www.6thstreet.com/"/>
    <hyperlink ref="E1071" r:id="rId2142" display="https://store.admitad.com/webmaster/websites/2166760/offers/19790-6thstreet-uae-ksa-kw-om-bh-offline-codes-links/"/>
    <hyperlink ref="C1072" r:id="rId2143" display="https://www.discovercars.com/"/>
    <hyperlink ref="E1072" r:id="rId2144" display="https://store.admitad.com/webmaster/websites/2166760/offers/20065-discovercars-ww/"/>
    <hyperlink ref="C1073" r:id="rId2145" display="https://www.asianpaints.com/campaign/apmailer/email.html"/>
    <hyperlink ref="E1073" r:id="rId2146" display="https://store.admitad.com/webmaster/websites/2166760/offers/21390-asian-paints-cpl-in/"/>
    <hyperlink ref="C1074" r:id="rId2147" display="https://www.caspitours.co.il/"/>
    <hyperlink ref="E1074" r:id="rId2148" display="https://store.admitad.com/webmaster/websites/2166760/offers/21434-caspitours-il/"/>
    <hyperlink ref="C1075" r:id="rId2149" display="https://it.bidoo.com/"/>
    <hyperlink ref="E1075" r:id="rId2150" display="https://store.admitad.com/webmaster/websites/2166760/offers/21705-bidoo-cpl-it/"/>
    <hyperlink ref="C1076" r:id="rId2151" display="https://www.treatwell.fr/"/>
    <hyperlink ref="E1076" r:id="rId2152" display="https://store.admitad.com/webmaster/websites/2166760/offers/21970-treatwell-fr/"/>
    <hyperlink ref="C1077" r:id="rId2153" display="https://www.babbel.com/"/>
    <hyperlink ref="E1077" r:id="rId2154" display="https://store.admitad.com/webmaster/websites/2166760/offers/22148-babbel-uk/"/>
    <hyperlink ref="C1078" r:id="rId2155" display="https://dengiclick.kz/"/>
    <hyperlink ref="E1078" r:id="rId2156" display="https://store.admitad.com/webmaster/websites/2166760/offers/22156-dengiclick-cpl-kz-api/"/>
    <hyperlink ref="C1079" r:id="rId2157" display="https://www.logitech.com/en-gb"/>
    <hyperlink ref="E1079" r:id="rId2158" display="https://store.admitad.com/webmaster/websites/2166760/offers/22257-logitech-many-geos/"/>
    <hyperlink ref="C1080" r:id="rId2159" display="https://www.arata.in/"/>
    <hyperlink ref="E1080" r:id="rId2160" display="https://store.admitad.com/webmaster/websites/2166760/offers/22550-arata-cps-in/"/>
    <hyperlink ref="C1081" r:id="rId2161" display="https://mikyajy.com/en-sa"/>
    <hyperlink ref="E1081" r:id="rId2162" display="https://store.admitad.com/webmaster/websites/2166760/offers/22705-mikyajy-ae-sa-offline-codes-links/"/>
    <hyperlink ref="C1082" r:id="rId2163" display="https://www.coursera.org/"/>
    <hyperlink ref="E1082" r:id="rId2164" display="https://store.admitad.com/webmaster/websites/2166760/offers/22998-coursera-ww/"/>
    <hyperlink ref="C1083" r:id="rId2165" display="https://www.ivacy.com/"/>
    <hyperlink ref="E1083" r:id="rId2166" display="https://store.admitad.com/webmaster/websites/2166760/offers/23070-ivacy-vpn-cps-ww/"/>
    <hyperlink ref="C1084" r:id="rId2167" display="https://www.facescanada.com/"/>
    <hyperlink ref="E1084" r:id="rId2168" display="https://store.admitad.com/webmaster/websites/2166760/offers/23299-facescanada-cps-in/"/>
    <hyperlink ref="C1085" r:id="rId2169" display="https://www.vijaysales.com/home"/>
    <hyperlink ref="E1085" r:id="rId2170" display="https://store.admitad.com/webmaster/websites/2166760/offers/23346-vijay-sales-cps-in/"/>
    <hyperlink ref="C1086" r:id="rId2171" display="https://logiclike.com/"/>
    <hyperlink ref="E1086" r:id="rId2172" display="https://store.admitad.com/webmaster/websites/2166760/offers/23351-logiclike-many-geos/"/>
    <hyperlink ref="C1087" r:id="rId2173" display="https://www.cloudways.com/"/>
    <hyperlink ref="E1087" r:id="rId2174" display="https://store.admitad.com/webmaster/websites/2166760/offers/23427-cloudways-ww/"/>
    <hyperlink ref="C1088" r:id="rId2175" display="https://www.tbdress.com/"/>
    <hyperlink ref="E1088" r:id="rId2176" display="https://store.admitad.com/webmaster/websites/2166760/offers/23529-tbdress-ww/"/>
    <hyperlink ref="C1089" r:id="rId2177" display="https://espritgames.com/wartime/"/>
    <hyperlink ref="E1089" r:id="rId2178" display="https://store.admitad.com/webmaster/websites/2166760/offers/23540-wartime-soi-many-geos/"/>
    <hyperlink ref="C1090" r:id="rId2179" display="https://shop.bisleri.com/?utm_source=Admitad&amp;utm_medium=affiliatenetwork&amp;utm_campaign=pa_display_afn_bil_bil_brn_ge_wc__sep-21&amp;utm_term=admitad_nu_cst__20ltr&amp;utm_content=na_eng_sba___web&amp;tagtag_uid=%7b%7badmitad_uid%7d%7d"/>
    <hyperlink ref="E1090" r:id="rId2180" display="https://store.admitad.com/webmaster/websites/2166760/offers/23675-bisleri-cps-in/"/>
    <hyperlink ref="C1091" r:id="rId2181" display="https://himalayawellness.in/"/>
    <hyperlink ref="E1091" r:id="rId2182" display="https://store.admitad.com/webmaster/websites/2166760/offers/23732-himalaya-wellness-cps-in/"/>
    <hyperlink ref="C1092" r:id="rId2183" display="https://www.mcdelivery.co.in/?utm_source=affiliate&amp;utm_medium=Admitad&amp;utm_campaign=%7b%7bpublisher_id%7d%7d_%7b%7bsubid%7d%7d&amp;admitad_uid=%7b%7badmitad_uid%7d%7d"/>
    <hyperlink ref="E1092" r:id="rId2184" display="https://store.admitad.com/webmaster/websites/2166760/offers/23740-mc-donalds-cps-in/"/>
    <hyperlink ref="C1093" r:id="rId2185" display="https://www.theproteinworks.com/"/>
    <hyperlink ref="E1093" r:id="rId2186" display="https://store.admitad.com/webmaster/websites/2166760/offers/23795-protein-workstm-many-geos/"/>
    <hyperlink ref="C1094" r:id="rId2187" display="https://www.ustraa.com/featured-categories/sale-products/c?utm_campaign=admitad&amp;utm_source=affiliate&amp;utm_medium=cpa&amp;utm­_content=%7b%7bpublisher_id%7d%7d&amp;admitad_uid=%7b%7badmitad_uid%7d%7d"/>
    <hyperlink ref="E1094" r:id="rId2188" display="https://store.admitad.com/webmaster/websites/2166760/offers/23929-ustraa-cps-in/"/>
    <hyperlink ref="C1095" r:id="rId2189" display="https://www.optifast.co.uk/"/>
    <hyperlink ref="E1095" r:id="rId2190" display="https://store.admitad.com/webmaster/websites/2166760/offers/23932-optifast-uk/"/>
    <hyperlink ref="C1096" r:id="rId2191" display="https://1cgames.net/ru/games/souldanceparty"/>
    <hyperlink ref="E1096" r:id="rId2192" display="https://store.admitad.com/webmaster/websites/2166760/offers/23941-soul-dance-party-cpp-rucis/"/>
    <hyperlink ref="C1097" r:id="rId2193" display="https://www.putevka.com/"/>
    <hyperlink ref="E1097" r:id="rId2194" display="https://store.admitad.com/webmaster/websites/2166760/offers/23951-putevkakom/"/>
    <hyperlink ref="C1098" r:id="rId2195" display="https://www.vahdamteas.in/"/>
    <hyperlink ref="E1098" r:id="rId2196" display="https://store.admitad.com/webmaster/websites/2166760/offers/24088-vahdamteas-cps-in/"/>
    <hyperlink ref="C1099" r:id="rId2197" display="https://www.netmeds.com/"/>
    <hyperlink ref="E1099" r:id="rId2198" display="https://store.admitad.com/webmaster/websites/2166760/offers/24276-netmeds-web-cps-in/"/>
    <hyperlink ref="C1100" r:id="rId2199" display="https://www.decathlon.kz/"/>
    <hyperlink ref="E1100" r:id="rId2200" display="https://store.admitad.com/webmaster/websites/2166760/offers/24291-decathlon-kz/"/>
    <hyperlink ref="C1101" r:id="rId2201" display="https://www.bodybuildingwarehouse.co.uk/"/>
    <hyperlink ref="E1101" r:id="rId2202" display="https://store.admitad.com/webmaster/websites/2166760/offers/24337-bodybuilding-warehouse-uk/"/>
    <hyperlink ref="C1102" r:id="rId2203" display="https://www.angels-jeans.de/"/>
    <hyperlink ref="E1102" r:id="rId2204" display="https://store.admitad.com/webmaster/websites/2166760/offers/24417-angels-jeans-de/"/>
    <hyperlink ref="C1103" r:id="rId2205" display="https://shop.kelsey.co.uk/"/>
    <hyperlink ref="E1103" r:id="rId2206" display="https://store.admitad.com/webmaster/websites/2166760/offers/24445-kelsey-media-uk/"/>
    <hyperlink ref="C1104" r:id="rId2207" display="https://lebs.com/"/>
    <hyperlink ref="E1104" r:id="rId2208" display="https://store.admitad.com/webmaster/websites/2166760/offers/24620-lebs-ae-sa-kw-eg-offline-codes/"/>
    <hyperlink ref="C1105" r:id="rId2209" display="https://www.megakoszulki.pl/"/>
    <hyperlink ref="E1105" r:id="rId2210" display="https://store.admitad.com/webmaster/websites/2166760/offers/24750-megakoszulki-pl/"/>
    <hyperlink ref="C1106" r:id="rId2211" display="https://brilliant.org/"/>
    <hyperlink ref="E1106" r:id="rId2212" display="https://store.admitad.com/webmaster/websites/2166760/offers/24801-brilliant-ww/"/>
    <hyperlink ref="C1107" r:id="rId2213" display="https://www.shytobuy.uk/"/>
    <hyperlink ref="E1107" r:id="rId2214" display="https://store.admitad.com/webmaster/websites/2166760/offers/24876-shytobuy-uk-de/"/>
    <hyperlink ref="C1108" r:id="rId2215" display="https://kz.defactofashion.com/"/>
    <hyperlink ref="E1108" r:id="rId2216" display="https://store.admitad.com/webmaster/websites/2166760/offers/25155-defacto-cpa-kz/"/>
    <hyperlink ref="C1109" r:id="rId2217" display="https://iqs.defactofashion.com/"/>
    <hyperlink ref="E1109" r:id="rId2218" display="https://store.admitad.com/webmaster/websites/2166760/offers/25157-defacto-iq/"/>
    <hyperlink ref="C1110" r:id="rId2219" display="https://naploungewear.com/"/>
    <hyperlink ref="E1110" r:id="rId2220" display="https://store.admitad.com/webmaster/websites/2166760/offers/25234-naploungewear-many-geos/"/>
    <hyperlink ref="C1111" r:id="rId2221" display="https://lab24.com.ua/"/>
    <hyperlink ref="E1111" r:id="rId2222" display="https://store.admitad.com/webmaster/websites/2166760/offers/25878-lab24-ua/"/>
    <hyperlink ref="C1112" r:id="rId2223" display="https://www.libas.in/"/>
    <hyperlink ref="E1112" r:id="rId2224" display="https://store.admitad.com/webmaster/websites/2166760/offers/25931-libas-cps-in/"/>
    <hyperlink ref="C1113" r:id="rId2225" display="https://www.bathandbodyworks.mx/"/>
    <hyperlink ref="E1113" r:id="rId2226" display="https://store.admitad.com/webmaster/websites/2166760/offers/25937-bath-and-body-works-mx/"/>
    <hyperlink ref="C1114" r:id="rId2227" display="https://mx.tommy.com/"/>
    <hyperlink ref="E1114" r:id="rId2228" display="https://store.admitad.com/webmaster/websites/2166760/offers/25942-tommy-hilfiger-mx/"/>
    <hyperlink ref="C1115" r:id="rId2229" display="https://www.victoriassecretbeauty.mx/"/>
    <hyperlink ref="E1115" r:id="rId2230" display="https://store.admitad.com/webmaster/websites/2166760/offers/25958-victorias-secret-mx/"/>
    <hyperlink ref="C1116" r:id="rId2231" display="https://www.bullguard.com/"/>
    <hyperlink ref="E1116" r:id="rId2232" display="https://store.admitad.com/webmaster/websites/2166760/offers/25960-bullguard-cps-ww/"/>
    <hyperlink ref="C1117" r:id="rId2233" display="https://www.spinny.com/sell-used-car/?utm_source=admitad&amp;utm_medium=affiliate&amp;utm_campaign=UID_PubId&amp;utm_term=Banner_emailer_sms&amp;utm_content=CTA_creative"/>
    <hyperlink ref="E1117" r:id="rId2234" display="https://store.admitad.com/webmaster/websites/2166760/offers/26089-spinny-cpa-in/"/>
    <hyperlink ref="C1118" r:id="rId2235" display="https://fo4tr.101xp.com/landings/landing-5"/>
    <hyperlink ref="E1118" r:id="rId2236" display="https://store.admitad.com/webmaster/websites/2166760/offers/26130-fifa-online-4-cpp-tr/"/>
    <hyperlink ref="C1119" r:id="rId2237" display="https://www.glasswire.com/"/>
    <hyperlink ref="E1119" r:id="rId2238" display="https://store.admitad.com/webmaster/websites/2166760/offers/26226-glasswire-cps-ww/"/>
    <hyperlink ref="C1120" r:id="rId2239" display="https://www.superfoodsonline.nl/"/>
    <hyperlink ref="E1120" r:id="rId2240" display="https://store.admitad.com/webmaster/websites/2166760/offers/26241-superfoodsonline-nl/"/>
    <hyperlink ref="C1121" r:id="rId2241" display="https://www.guess.mx/"/>
    <hyperlink ref="E1121" r:id="rId2242" display="https://store.admitad.com/webmaster/websites/2166760/offers/26245-guess-mx/"/>
    <hyperlink ref="C1122" r:id="rId2243" display="https://www.m-net.de/"/>
    <hyperlink ref="E1122" r:id="rId2244" display="https://store.admitad.com/webmaster/websites/2166760/offers/26276-m-net-de/"/>
    <hyperlink ref="C1123" r:id="rId2245" display="https://www.legimi.pl/"/>
    <hyperlink ref="E1123" r:id="rId2246" display="https://store.admitad.com/webmaster/websites/2166760/offers/26337-legimi-pl/"/>
    <hyperlink ref="C1124" r:id="rId2247" display="https://www.archiesonline.com/"/>
    <hyperlink ref="E1124" r:id="rId2248" display="https://store.admitad.com/webmaster/websites/2166760/offers/26404-archies-cps-in/"/>
    <hyperlink ref="C1125" r:id="rId2249" display="https://zakaz.uz/ru/"/>
    <hyperlink ref="E1125" r:id="rId2250" display="https://store.admitad.com/webmaster/websites/2166760/offers/26412-zakaz-uz/"/>
    <hyperlink ref="C1126" r:id="rId2251" display="https://www.decathlon.it/"/>
    <hyperlink ref="E1126" r:id="rId2252" display="https://store.admitad.com/webmaster/websites/2166760/offers/26512-decathlon-it/"/>
    <hyperlink ref="C1127" r:id="rId2253" display="https://www.sockshop.co.uk/"/>
    <hyperlink ref="E1127" r:id="rId2254" display="https://store.admitad.com/webmaster/websites/2166760/offers/26534-sock-shop-uk/"/>
    <hyperlink ref="C1128" r:id="rId2255" display="https://www.mindfulchef.com/"/>
    <hyperlink ref="E1128" r:id="rId2256" display="https://store.admitad.com/webmaster/websites/2166760/offers/26576-mindful-chef-uk/"/>
    <hyperlink ref="C1129" r:id="rId2257" display="https://www.lookfantastic.de/"/>
    <hyperlink ref="E1129" r:id="rId2258" display="https://store.admitad.com/webmaster/websites/2166760/offers/26579-lookfantastic-dach/"/>
    <hyperlink ref="C1130" r:id="rId2259" display="https://www.probikekit.co.uk/"/>
    <hyperlink ref="E1130" r:id="rId2260" display="https://store.admitad.com/webmaster/websites/2166760/offers/26589-probikekit-uk/"/>
    <hyperlink ref="C1131" r:id="rId2261" display="https://www.cardfactory.co.uk/"/>
    <hyperlink ref="E1131" r:id="rId2262" display="https://store.admitad.com/webmaster/websites/2166760/offers/26603-card-factory-uk/"/>
    <hyperlink ref="C1132" r:id="rId2263" display="https://www.parcel2go.com/"/>
    <hyperlink ref="E1132" r:id="rId2264" display="https://store.admitad.com/webmaster/websites/2166760/offers/26660-parcel2go-uk/"/>
    <hyperlink ref="C1133" r:id="rId2265" display="https://zaochnik.ru/"/>
    <hyperlink ref="E1133" r:id="rId2266" display="https://store.admitad.com/webmaster/websites/2166760/offers/26664-zaochnik/"/>
    <hyperlink ref="C1134" r:id="rId2267" display="https://www.nastygal.com/gb"/>
    <hyperlink ref="E1134" r:id="rId2268" display="https://store.admitad.com/webmaster/websites/2166760/offers/26700-nastygal-uk/"/>
    <hyperlink ref="C1135" r:id="rId2269" display="https://www.eveshop.com.tr/"/>
    <hyperlink ref="E1135" r:id="rId2270" display="https://store.admitad.com/webmaster/websites/2166760/offers/26734-eveshop-tr/"/>
    <hyperlink ref="C1136" r:id="rId2271" display="https://www.thecakedecoratingcompany.co.uk/"/>
    <hyperlink ref="E1136" r:id="rId2272" display="https://store.admitad.com/webmaster/websites/2166760/offers/26742-the-cake-decorating-company-uk/"/>
    <hyperlink ref="C1137" r:id="rId2273" display="http://www.jdsports.nl/"/>
    <hyperlink ref="E1137" r:id="rId2274" display="https://store.admitad.com/webmaster/websites/2166760/offers/26749-jd-sports-nl/"/>
    <hyperlink ref="C1138" r:id="rId2275" display="https://www.polo-motorrad.com/de-de/"/>
    <hyperlink ref="E1138" r:id="rId2276" display="https://store.admitad.com/webmaster/websites/2166760/offers/26753-polo-motorrad-de/"/>
    <hyperlink ref="C1139" r:id="rId2277" display="https://learnattack.de/"/>
    <hyperlink ref="E1139" r:id="rId2278" display="https://store.admitad.com/webmaster/websites/2166760/offers/26758-duden-learnattack-de/"/>
    <hyperlink ref="C1140" r:id="rId2279" display="https://www.jeans-fritz.de/"/>
    <hyperlink ref="E1140" r:id="rId2280" display="https://store.admitad.com/webmaster/websites/2166760/offers/26784-jeans-fritz-de/"/>
    <hyperlink ref="C1141" r:id="rId2281" display="https://www.craftstash.co.uk/"/>
    <hyperlink ref="E1141" r:id="rId2282" display="https://store.admitad.com/webmaster/websites/2166760/offers/26794-craftstash-uk/"/>
    <hyperlink ref="C1142" r:id="rId2283" display="https://www.nrz.de/abo/"/>
    <hyperlink ref="E1142" r:id="rId2284" display="https://store.admitad.com/webmaster/websites/2166760/offers/26819-nrz-de/"/>
    <hyperlink ref="C1143" r:id="rId2285" display="https://iamkamu.com/"/>
    <hyperlink ref="E1143" r:id="rId2286" display="https://store.admitad.com/webmaster/websites/2166760/offers/26823-i-am-kamu-many-geos/"/>
    <hyperlink ref="C1144" r:id="rId2287" display="https://anticafarmaciaorlandi.it/"/>
    <hyperlink ref="E1144" r:id="rId2288" display="https://store.admitad.com/webmaster/websites/2166760/offers/26855-antica-farmacia-orlandi-it/"/>
    <hyperlink ref="C1145" r:id="rId2289" display="https://offerte.linkem.com/promo-internet-veloce-affiliation/"/>
    <hyperlink ref="E1145" r:id="rId2290" display="https://store.admitad.com/webmaster/websites/2166760/offers/26858-linkem-it/"/>
    <hyperlink ref="C1146" r:id="rId2291" display="https://www.sonicdirect.co.uk/"/>
    <hyperlink ref="E1146" r:id="rId2292" display="https://store.admitad.com/webmaster/websites/2166760/offers/26872-sonic-direct-uk/"/>
    <hyperlink ref="C1147" r:id="rId2293" display="https://abekker.by/"/>
    <hyperlink ref="E1147" r:id="rId2294" display="https://store.admitad.com/webmaster/websites/2166760/offers/26933-abekker-by/"/>
    <hyperlink ref="C1148" r:id="rId2295" display="https://www.coggles.com/"/>
    <hyperlink ref="E1148" r:id="rId2296" display="https://store.admitad.com/webmaster/websites/2166760/offers/26967-coggles-uk/"/>
    <hyperlink ref="C1149" r:id="rId2297" display="https://www.vitabiotics.com/"/>
    <hyperlink ref="E1149" r:id="rId2298" display="https://store.admitad.com/webmaster/websites/2166760/offers/26982-vitabiotics-uk/"/>
    <hyperlink ref="C1150" r:id="rId2299" display="https://www.kaspersky.it/"/>
    <hyperlink ref="E1150" r:id="rId2300" display="https://store.admitad.com/webmaster/websites/2166760/offers/26995-kaspersky-it/"/>
    <hyperlink ref="C1151" r:id="rId2301" display="https://www.kaspersky.fr/"/>
    <hyperlink ref="E1151" r:id="rId2302" display="https://store.admitad.com/webmaster/websites/2166760/offers/26996-kaspersky-fr/"/>
    <hyperlink ref="C1152" r:id="rId2303" display="https://www.snapfish.co.uk/"/>
    <hyperlink ref="E1152" r:id="rId2304" display="https://store.admitad.com/webmaster/websites/2166760/offers/27005-snapfish-uk/"/>
    <hyperlink ref="C1153" r:id="rId2305" display="https://www.coin.it/it-it/"/>
    <hyperlink ref="E1153" r:id="rId2306" display="https://store.admitad.com/webmaster/websites/2166760/offers/27009-coin-it/"/>
    <hyperlink ref="C1154" r:id="rId2307" display="https://www.menkind.co.uk/"/>
    <hyperlink ref="E1154" r:id="rId2308" display="https://store.admitad.com/webmaster/websites/2166760/offers/27057-menkind-uk/"/>
    <hyperlink ref="C1155" r:id="rId2309" display="http://www.bitiba.nl/"/>
    <hyperlink ref="E1155" r:id="rId2310" display="https://store.admitad.com/webmaster/websites/2166760/offers/27062-bitiba-nl/"/>
    <hyperlink ref="C1156" r:id="rId2311" display="https://www.farmae.it/"/>
    <hyperlink ref="E1156" r:id="rId2312" display="https://store.admitad.com/webmaster/websites/2166760/offers/27066-farmae-it/"/>
    <hyperlink ref="C1157" r:id="rId2313" display="https://www.oakfurnituresuperstore.co.uk/"/>
    <hyperlink ref="E1157" r:id="rId2314" display="https://store.admitad.com/webmaster/websites/2166760/offers/27074-oak-furniture-superstore-uk/"/>
    <hyperlink ref="C1158" r:id="rId2315" display="https://www.europcar.es/"/>
    <hyperlink ref="E1158" r:id="rId2316" display="https://store.admitad.com/webmaster/websites/2166760/offers/27081-europcar-es/"/>
    <hyperlink ref="C1159" r:id="rId2317" display="https://www.neverfullydressed.co.uk/"/>
    <hyperlink ref="E1159" r:id="rId2318" display="https://store.admitad.com/webmaster/websites/2166760/offers/27093-never-fully-dressed-us/"/>
    <hyperlink ref="C1160" r:id="rId2319" display="http://www.panorabanques.com/"/>
    <hyperlink ref="E1160" r:id="rId2320" display="https://store.admitad.com/webmaster/websites/2166760/offers/27152-panorabanques-fr/"/>
    <hyperlink ref="C1161" r:id="rId2321" display="https://www.poundshop.com/"/>
    <hyperlink ref="E1161" r:id="rId2322" display="https://store.admitad.com/webmaster/websites/2166760/offers/27173-poundshop-uk/"/>
    <hyperlink ref="C1162" r:id="rId2323" display="https://www.hamiltonbeach.com/"/>
    <hyperlink ref="E1162" r:id="rId2324" display="https://store.admitad.com/webmaster/websites/2166760/offers/27222-hamilton-beach-us/"/>
    <hyperlink ref="C1163" r:id="rId2325" display="https://egoshoes.com/"/>
    <hyperlink ref="E1163" r:id="rId2326" display="https://store.admitad.com/webmaster/websites/2166760/offers/27225-ego-shoes-us-ca/"/>
    <hyperlink ref="C1164" r:id="rId2327" display="https://earthhero.com/"/>
    <hyperlink ref="E1164" r:id="rId2328" display="https://store.admitad.com/webmaster/websites/2166760/offers/27247-earthhero-us/"/>
    <hyperlink ref="C1165" r:id="rId2329" display="https://www.shopmissa.com/"/>
    <hyperlink ref="E1165" r:id="rId2330" display="https://store.admitad.com/webmaster/websites/2166760/offers/27261-missa-us/"/>
    <hyperlink ref="C1166" r:id="rId2331" display="http://triverna.pl/"/>
    <hyperlink ref="E1166" r:id="rId2332" display="https://store.admitad.com/webmaster/websites/2166760/offers/27264-triverna-pl/"/>
    <hyperlink ref="C1167" r:id="rId2333" display="https://www.zoohit.cz/"/>
    <hyperlink ref="E1167" r:id="rId2334" display="https://store.admitad.com/webmaster/websites/2166760/offers/27265-zooplus-cz/"/>
    <hyperlink ref="C1168" r:id="rId2335" display="https://www.wallis.co.uk/"/>
    <hyperlink ref="E1168" r:id="rId2336" display="https://store.admitad.com/webmaster/websites/2166760/offers/27268-wallis-uk/"/>
    <hyperlink ref="C1169" r:id="rId2337" display="https://www.geox.com/fr-FR/"/>
    <hyperlink ref="E1169" r:id="rId2338" display="https://store.admitad.com/webmaster/websites/2166760/offers/27270-geox-fr/"/>
    <hyperlink ref="C1170" r:id="rId2339" display="https://www.dorothyperkins.com/"/>
    <hyperlink ref="E1170" r:id="rId2340" display="https://store.admitad.com/webmaster/websites/2166760/offers/27324-dorothy-perkins-uk/"/>
    <hyperlink ref="C1171" r:id="rId2341" display="https://www.tink.de/"/>
    <hyperlink ref="E1171" r:id="rId2342" display="https://store.admitad.com/webmaster/websites/2166760/offers/27328-tink-de/"/>
    <hyperlink ref="C1172" r:id="rId2343" display="https://www.druni.es/"/>
    <hyperlink ref="E1172" r:id="rId2344" display="https://store.admitad.com/webmaster/websites/2166760/offers/27334-druni-es/"/>
    <hyperlink ref="C1173" r:id="rId2345" display="https://www.sizeofficial.it/"/>
    <hyperlink ref="E1173" r:id="rId2346" display="https://store.admitad.com/webmaster/websites/2166760/offers/27398-size-official-it/"/>
    <hyperlink ref="C1174" r:id="rId2347" display="https://www.mutuisupermarket.it/"/>
    <hyperlink ref="E1174" r:id="rId2348" display="https://store.admitad.com/webmaster/websites/2166760/offers/27410-mutuisupermarket-it/"/>
    <hyperlink ref="C1175" r:id="rId2349" display="https://www.pharao24.de/"/>
    <hyperlink ref="E1175" r:id="rId2350" display="https://store.admitad.com/webmaster/websites/2166760/offers/27469-pharao24de-mobel-online-shop-de/"/>
    <hyperlink ref="C1176" r:id="rId2351" display="https://fornex.com/ssd-vps/"/>
    <hyperlink ref="E1176" r:id="rId2352" display="https://store.admitad.com/webmaster/websites/2166760/offers/251-fornex-hosting/"/>
    <hyperlink ref="C1177" r:id="rId2353" display="http://travian.ru/"/>
    <hyperlink ref="E1177" r:id="rId2354" display="https://store.admitad.com/webmaster/websites/2166760/offers/5700-travian-legends-doi-ru-many-geos/"/>
    <hyperlink ref="C1178" r:id="rId2355" display="http://miniinthebox.com/"/>
    <hyperlink ref="E1178" r:id="rId2356" display="https://store.admitad.com/webmaster/websites/2166760/offers/5711-miniinthebox-ww/"/>
    <hyperlink ref="C1179" r:id="rId2357" display="http://booking.com/in"/>
    <hyperlink ref="E1179" r:id="rId2358" display="https://store.admitad.com/webmaster/websites/2166760/offers/14287-bookingcom-closed/"/>
    <hyperlink ref="C1180" r:id="rId2359" display="http://firstcry.com/"/>
    <hyperlink ref="E1180" r:id="rId2360" display="https://store.admitad.com/webmaster/websites/2166760/offers/14719-firstcry-cps-in/"/>
    <hyperlink ref="C1181" r:id="rId2361" display="http://timeweb.com/ru"/>
    <hyperlink ref="E1181" r:id="rId2362" display="https://store.admitad.com/webmaster/websites/2166760/offers/15041-timeweb-many-geos/"/>
    <hyperlink ref="C1182" r:id="rId2363" display="http://thepanelstation.com/in/home"/>
    <hyperlink ref="E1182" r:id="rId2364" display="https://store.admitad.com/webmaster/websites/2166760/offers/15251-the-panel-station-cpl-in/"/>
    <hyperlink ref="C1183" r:id="rId2365" display="http://dresslily.com/"/>
    <hyperlink ref="E1183" r:id="rId2366" display="https://store.admitad.com/webmaster/websites/2166760/offers/15504-dresslily-ww/"/>
    <hyperlink ref="C1184" r:id="rId2367" display="https://www.lifestylestores.com/"/>
    <hyperlink ref="E1184" r:id="rId2368" display="https://store.admitad.com/webmaster/websites/2166760/offers/16661-lifestyle-cps-in/"/>
    <hyperlink ref="C1185" r:id="rId2369" display="https://www.firsat.me/"/>
    <hyperlink ref="E1185" r:id="rId2370" display="https://store.admitad.com/webmaster/websites/2166760/offers/18060-firsatme-tr/"/>
    <hyperlink ref="C1186" r:id="rId2371" display="https://www.healthkart.com/"/>
    <hyperlink ref="E1186" r:id="rId2372" display="https://store.admitad.com/webmaster/websites/2166760/offers/18081-healthkart-cps-in/"/>
    <hyperlink ref="C1187" r:id="rId2373" display="https://www.vegas.com/"/>
    <hyperlink ref="E1187" r:id="rId2374" display="https://store.admitad.com/webmaster/websites/2166760/offers/18174-vegas-ww/"/>
    <hyperlink ref="C1188" r:id="rId2375" display="http://www.adorama.com/"/>
    <hyperlink ref="E1188" r:id="rId2376" display="https://store.admitad.com/webmaster/websites/2166760/offers/18239-adorama-ww/"/>
    <hyperlink ref="C1189" r:id="rId2377" display="http://zaimer.kz/"/>
    <hyperlink ref="E1189" r:id="rId2378" display="https://store.admitad.com/webmaster/websites/2166760/offers/18344-zaimer-cpl-kz/"/>
    <hyperlink ref="C1190" r:id="rId2379" display="https://drimsim.com/"/>
    <hyperlink ref="E1190" r:id="rId2380" display="https://store.admitad.com/webmaster/websites/2166760/offers/20342-drimsim-ww/"/>
    <hyperlink ref="C1191" r:id="rId2381" display="https://gameroyale.net/ru/ruplay/"/>
    <hyperlink ref="E1191" r:id="rId2382" display="https://store.admitad.com/webmaster/websites/2166760/offers/20441-crsed-foad-cpp-ru-cis/"/>
    <hyperlink ref="C1192" r:id="rId2383" display="https://horacredit.ro/"/>
    <hyperlink ref="E1192" r:id="rId2384" display="https://store.admitad.com/webmaster/websites/2166760/offers/20493-horacredit-cps-ro/"/>
    <hyperlink ref="C1193" r:id="rId2385" display="https://www.floweraura.com/"/>
    <hyperlink ref="E1193" r:id="rId2386" display="https://store.admitad.com/webmaster/websites/2166760/offers/21476-floweraura-cps-in/"/>
    <hyperlink ref="C1194" r:id="rId2387" display="https://www.kent.co.in/"/>
    <hyperlink ref="E1194" r:id="rId2388" display="https://store.admitad.com/webmaster/websites/2166760/offers/21490-kent-ro-cpl-in/"/>
    <hyperlink ref="C1195" r:id="rId2389" display="https://stockx.com/"/>
    <hyperlink ref="E1195" r:id="rId2390" display="https://store.admitad.com/webmaster/websites/2166760/offers/21556-stockx-ww/"/>
    <hyperlink ref="C1196" r:id="rId2391" display="https://buslik.by/"/>
    <hyperlink ref="E1196" r:id="rId2392" display="https://store.admitad.com/webmaster/websites/2166760/offers/21599-buslik-by/"/>
    <hyperlink ref="C1197" r:id="rId2393" display="https://www.selectedhomme.in/"/>
    <hyperlink ref="E1197" r:id="rId2394" display="https://store.admitad.com/webmaster/websites/2166760/offers/21637-selected-homme-cps-in/"/>
    <hyperlink ref="C1198" r:id="rId2395" display="https://www.freshtohome.com/"/>
    <hyperlink ref="E1198" r:id="rId2396" display="https://store.admitad.com/webmaster/websites/2166760/offers/21962-freshtohome-cps-in/"/>
    <hyperlink ref="C1199" r:id="rId2397" display="https://www.arcgames.com/de/games/neverwinter"/>
    <hyperlink ref="E1199" r:id="rId2398" display="https://store.admitad.com/webmaster/websites/2166760/offers/22053-neverwinter-cpp-de-at-ch/"/>
    <hyperlink ref="C1200" r:id="rId2399" display="https://www.cadburygifting.in/cadbury-rakhshabandhan-special-gift-pack.html"/>
    <hyperlink ref="E1200" r:id="rId2400" display="https://store.admitad.com/webmaster/websites/2166760/offers/22066-mondelez-cadbury-cps-in/"/>
    <hyperlink ref="C1201" r:id="rId2401" display="https://in.sugarcosmetics.com/"/>
    <hyperlink ref="E1201" r:id="rId2402" display="https://store.admitad.com/webmaster/websites/2166760/offers/22278-sugarcosmetic-cps-in/"/>
    <hyperlink ref="C1202" r:id="rId2403" display="https://www.reliancegeneral.co.in/Insurance/Motor-Insurance/Two-Wheeler-Insurance.aspx"/>
    <hyperlink ref="E1202" r:id="rId2404" display="https://store.admitad.com/webmaster/websites/2166760/offers/22288-reliance-two-wheeler-insurance-cpl-in/"/>
    <hyperlink ref="C1203" r:id="rId2405" display="https://ccloan.kz/"/>
    <hyperlink ref="E1203" r:id="rId2406" display="https://store.admitad.com/webmaster/websites/2166760/offers/22397-ccloan-cpl-kz/"/>
    <hyperlink ref="C1204" r:id="rId2407" display="https://www.opinionworld.in/"/>
    <hyperlink ref="E1204" r:id="rId2408" display="https://store.admitad.com/webmaster/websites/2166760/offers/22419-opinion-world-cpl-in/"/>
    <hyperlink ref="C1205" r:id="rId2409" display="http://www.valuedopinions.co.in/join"/>
    <hyperlink ref="E1205" r:id="rId2410" display="https://store.admitad.com/webmaster/websites/2166760/offers/22421-valued-opinions-cpl-in/"/>
    <hyperlink ref="C1206" r:id="rId2411" display="https://www.nvgallery.com/"/>
    <hyperlink ref="E1206" r:id="rId2412" display="https://store.admitad.com/webmaster/websites/2166760/offers/22581-nv-gallery-fr/"/>
    <hyperlink ref="C1207" r:id="rId2413" display="https://www.toprankers.com/"/>
    <hyperlink ref="E1207" r:id="rId2414" display="https://store.admitad.com/webmaster/websites/2166760/offers/22604-top-rankers-cpa-in/"/>
    <hyperlink ref="C1208" r:id="rId2415" display="https://play.google.com/store/apps/details?id=ua.raketa.app"/>
    <hyperlink ref="E1208" r:id="rId2416" display="https://store.admitad.com/webmaster/websites/2166760/offers/22677-raketa-rocket-cps-android-ios-ua/"/>
    <hyperlink ref="C1209" r:id="rId2417" display="http://volagratis.com/"/>
    <hyperlink ref="E1209" r:id="rId2418" display="https://store.admitad.com/webmaster/websites/2166760/offers/22746-volagratis-it/"/>
    <hyperlink ref="C1210" r:id="rId2419" display="https://vovk.com/"/>
    <hyperlink ref="E1210" r:id="rId2420" display="https://store.admitad.com/webmaster/websites/2166760/offers/22789-vovk-ua/"/>
    <hyperlink ref="C1211" r:id="rId2421" display="https://deadhaussonata.com/store/"/>
    <hyperlink ref="E1211" r:id="rId2422" display="https://store.admitad.com/webmaster/websites/2166760/offers/22848-deadhaus-sonata-cps-many-geos/"/>
    <hyperlink ref="C1212" r:id="rId2423" display="https://www.superstep.com.ua/"/>
    <hyperlink ref="E1212" r:id="rId2424" display="https://store.admitad.com/webmaster/websites/2166760/offers/22877-superstep-ua/"/>
    <hyperlink ref="C1213" r:id="rId2425" display="https://india.resellerclub.com/"/>
    <hyperlink ref="E1213" r:id="rId2426" display="https://store.admitad.com/webmaster/websites/2166760/offers/22881-reseller-club-cps-in/"/>
    <hyperlink ref="C1214" r:id="rId2427" display="https://www.yousporty.com/"/>
    <hyperlink ref="E1214" r:id="rId2428" display="https://store.admitad.com/webmaster/websites/2166760/offers/22892-yousporty-cps-many-geos/"/>
    <hyperlink ref="C1215" r:id="rId2429" display="https://star-conflict.com/play4free"/>
    <hyperlink ref="E1215" r:id="rId2430" display="https://store.admitad.com/webmaster/websites/2166760/offers/22964-star-conflict-cpp-many-geos/"/>
    <hyperlink ref="C1216" r:id="rId2431" display="https://shop.cubot.net/"/>
    <hyperlink ref="E1216" r:id="rId2432" display="https://store.admitad.com/webmaster/websites/2166760/offers/23008-cubot-ww/"/>
    <hyperlink ref="C1217" r:id="rId2433" display="https://sportservice.pl/"/>
    <hyperlink ref="E1217" r:id="rId2434" display="https://store.admitad.com/webmaster/websites/2166760/offers/23012-sportservice-pl/"/>
    <hyperlink ref="C1218" r:id="rId2435" display="https://pw.mail.ru/"/>
    <hyperlink ref="E1218" r:id="rId2436" display="https://store.admitad.com/webmaster/websites/2166760/offers/23290-perfect-world-cpp-rucis/"/>
    <hyperlink ref="C1219" r:id="rId2437" display="https://click.hooligapps.com/?pid=18&amp;offer_id=17"/>
    <hyperlink ref="E1219" r:id="rId2438" display="https://store.admitad.com/webmaster/websites/2166760/offers/23306-cunt-empire-doi-many-geos/"/>
    <hyperlink ref="C1220" r:id="rId2439" display="https://click.hooligapps.com/?pid=18&amp;offer_id=16"/>
    <hyperlink ref="E1220" r:id="rId2440" display="https://store.admitad.com/webmaster/websites/2166760/offers/23307-cunt-empire-cpp-many-geos/"/>
    <hyperlink ref="C1221" r:id="rId2441" display="https://thephylife.com/collections/body?utm_source=ap&amp;utm_medium=admitad&amp;utm_campaign=BAU_ap_07082020_Bodywash"/>
    <hyperlink ref="E1221" r:id="rId2442" display="https://store.admitad.com/webmaster/websites/2166760/offers/23515-the-phylife-cps-in/"/>
    <hyperlink ref="C1222" r:id="rId2443" display="https://criminal-russia.com/"/>
    <hyperlink ref="E1222" r:id="rId2444" display="https://store.admitad.com/webmaster/websites/2166760/offers/23598-kriminalnaia-rossiia-amazing-russia-cpp-rucis/"/>
    <hyperlink ref="C1223" r:id="rId2445" display="https://www.americaneagle.ae/en/"/>
    <hyperlink ref="E1223" r:id="rId2446" display="https://store.admitad.com/webmaster/websites/2166760/offers/23623-american-eagle-ae-sa-kw-eg/"/>
    <hyperlink ref="C1224" r:id="rId2447" display="https://rusvpn.com/"/>
    <hyperlink ref="E1224" r:id="rId2448" display="https://store.admitad.com/webmaster/websites/2166760/offers/23658-rusvpn-many-geos/"/>
    <hyperlink ref="C1225" r:id="rId2449" display="https://transferwise.com/"/>
    <hyperlink ref="E1225" r:id="rId2450" display="https://store.admitad.com/webmaster/websites/2166760/offers/23869-transferwise-ww/"/>
    <hyperlink ref="C1226" r:id="rId2451" display="https://uk.sanctuary.com/"/>
    <hyperlink ref="E1226" r:id="rId2452" display="https://store.admitad.com/webmaster/websites/2166760/offers/23920-sanctuary-spa-uk/"/>
    <hyperlink ref="C1227" r:id="rId2453" display="https://2407.pl/"/>
    <hyperlink ref="E1227" r:id="rId2454" display="https://store.admitad.com/webmaster/websites/2166760/offers/23936-2407pl/"/>
    <hyperlink ref="C1228" r:id="rId2455" display="https://www.redrickshaw.com/"/>
    <hyperlink ref="E1228" r:id="rId2456" display="https://store.admitad.com/webmaster/websites/2166760/offers/24060-red-rickshaw-many-geos/"/>
    <hyperlink ref="C1229" r:id="rId2457" display="https://login.axisdirect.in/"/>
    <hyperlink ref="E1229" r:id="rId2458" display="https://store.admitad.com/webmaster/websites/2166760/offers/24167-axis-direct-securities-cpl-in/"/>
    <hyperlink ref="C1230" r:id="rId2459" display="https://www.afbshop.fr/"/>
    <hyperlink ref="E1230" r:id="rId2460" display="https://store.admitad.com/webmaster/websites/2166760/offers/24264-afb-fr/"/>
    <hyperlink ref="C1231" r:id="rId2461" display="https://www.spartoo.nl/"/>
    <hyperlink ref="E1231" r:id="rId2462" display="https://store.admitad.com/webmaster/websites/2166760/offers/24313-spartoo-nl/"/>
    <hyperlink ref="C1232" r:id="rId2463" display="https://tails.com/gb/"/>
    <hyperlink ref="E1232" r:id="rId2464" display="https://store.admitad.com/webmaster/websites/2166760/offers/24373-tailscom-uk/"/>
    <hyperlink ref="C1233" r:id="rId2465" display="https://basicslife.com/"/>
    <hyperlink ref="E1233" r:id="rId2466" display="https://store.admitad.com/webmaster/websites/2166760/offers/24387-basicslife-cps-in/"/>
    <hyperlink ref="C1234" r:id="rId2467" display="https://inet.equitasbank.com/Selfe/"/>
    <hyperlink ref="E1234" r:id="rId2468" display="https://store.admitad.com/webmaster/websites/2166760/offers/24459-equitas-bank-saving-cpa-in/"/>
    <hyperlink ref="C1235" r:id="rId2469" display="https://eu.4game.com/lineage2essence/"/>
    <hyperlink ref="E1235" r:id="rId2470" display="https://store.admitad.com/webmaster/websites/2166760/offers/24573-lineage-2-essence-cpp-innova-many-geos/"/>
    <hyperlink ref="C1236" r:id="rId2471" display="https://arsenaldirect.arsenal.com/"/>
    <hyperlink ref="E1236" r:id="rId2472" display="https://store.admitad.com/webmaster/websites/2166760/offers/24612-arsenal-direct-uk/"/>
    <hyperlink ref="C1237" r:id="rId2473" display="https://www.publicdesire.com/"/>
    <hyperlink ref="E1237" r:id="rId2474" display="https://store.admitad.com/webmaster/websites/2166760/offers/24614-public-desire-us-ca/"/>
    <hyperlink ref="C1238" r:id="rId2475" display="https://www.nbastore.eu/"/>
    <hyperlink ref="E1238" r:id="rId2476" display="https://store.admitad.com/webmaster/websites/2166760/offers/24628-nba-store-global/"/>
    <hyperlink ref="C1239" r:id="rId2477" display="https://lovemachines.ru/"/>
    <hyperlink ref="E1239" r:id="rId2478" display="https://store.admitad.com/webmaster/websites/2166760/offers/24667-lovemachinesru/"/>
    <hyperlink ref="C1240" r:id="rId2479" display="https://www.homefitnesscode.com/"/>
    <hyperlink ref="E1240" r:id="rId2480" display="https://store.admitad.com/webmaster/websites/2166760/offers/24812-home-fitness-code-uk/"/>
    <hyperlink ref="C1241" r:id="rId2481" display="https://www.superwnetrze.pl/"/>
    <hyperlink ref="E1241" r:id="rId2482" display="https://store.admitad.com/webmaster/websites/2166760/offers/24856-superwnetrze-pl/"/>
    <hyperlink ref="C1242" r:id="rId2483" display="https://espritgames.com/darkgenesis/"/>
    <hyperlink ref="E1242" r:id="rId2484" display="https://store.admitad.com/webmaster/websites/2166760/offers/24926-dark-genesis-soi-en-many-geos/"/>
    <hyperlink ref="C1243" r:id="rId2485" display="https://alharamplaza.com/en/"/>
    <hyperlink ref="E1243" r:id="rId2486" display="https://store.admitad.com/webmaster/websites/2166760/offers/24973-alharam-plaza-sa-offline-codes/"/>
    <hyperlink ref="C1244" r:id="rId2487" display="https://www.hawalili.com/"/>
    <hyperlink ref="E1244" r:id="rId2488" display="https://store.admitad.com/webmaster/websites/2166760/offers/24994-hawalili-ww/"/>
    <hyperlink ref="C1245" r:id="rId2489" display="https://www.portronics.com/"/>
    <hyperlink ref="E1245" r:id="rId2490" display="https://store.admitad.com/webmaster/websites/2166760/offers/25137-portronics-cps-in/"/>
    <hyperlink ref="C1246" r:id="rId2491" display="https://imperiacvetov.kz/"/>
    <hyperlink ref="E1246" r:id="rId2492" display="https://store.admitad.com/webmaster/websites/2166760/offers/25140-imperiia-tsvetov-cps-kz/"/>
    <hyperlink ref="C1247" r:id="rId2493" display="https://www.ayakkabidunyasi.com.tr/"/>
    <hyperlink ref="E1247" r:id="rId2494" display="https://store.admitad.com/webmaster/websites/2166760/offers/25273-ayakkabi-dunyasi/"/>
    <hyperlink ref="C1248" r:id="rId2495" display="https://difmark.com/"/>
    <hyperlink ref="E1248" r:id="rId2496" display="https://store.admitad.com/webmaster/websites/2166760/offers/25861-difmark-ww/"/>
    <hyperlink ref="C1249" r:id="rId2497" display="https://fr.nuxe.com/"/>
    <hyperlink ref="E1249" r:id="rId2498" display="https://store.admitad.com/webmaster/websites/2166760/offers/25871-nuxe-fr/"/>
    <hyperlink ref="C1250" r:id="rId2499" display="https://www.zbudujsamdom.pl/"/>
    <hyperlink ref="E1250" r:id="rId2500" display="https://store.admitad.com/webmaster/websites/2166760/offers/25881-zbuduj-sam-dom-pl/"/>
    <hyperlink ref="C1251" r:id="rId2501" display="https://www.ever-pretty.com/"/>
    <hyperlink ref="E1251" r:id="rId2502" display="https://store.admitad.com/webmaster/websites/2166760/offers/25905-ever-pretty-many-geos/"/>
    <hyperlink ref="C1252" r:id="rId2503" display="https://www.santander.com.br/hotsite/elite-platinum/"/>
    <hyperlink ref="E1252" r:id="rId2504" display="https://store.admitad.com/webmaster/websites/2166760/offers/26098-santander-alta-renda-br/"/>
    <hyperlink ref="C1253" r:id="rId2505" display="https://www.meetic.es/"/>
    <hyperlink ref="E1253" r:id="rId2506" display="https://store.admitad.com/webmaster/websites/2166760/offers/26247-meetic-es/"/>
    <hyperlink ref="C1254" r:id="rId2507" display="https://www.karsten.com.br/"/>
    <hyperlink ref="E1254" r:id="rId2508" display="https://store.admitad.com/webmaster/websites/2166760/offers/26265-karsten-br/"/>
    <hyperlink ref="C1255" r:id="rId2509" display="https://www.at-home.co.in/?utm_source=Admitad&amp;utm_medium=email&amp;utm_campaign=Affiliate&amp;utm_term=creative&amp;utm_content=October"/>
    <hyperlink ref="E1255" r:id="rId2510" display="https://store.admitad.com/webmaster/websites/2166760/offers/26286-at-home-cps-in/"/>
    <hyperlink ref="C1256" r:id="rId2511" display="https://www.idee-shop.com/"/>
    <hyperlink ref="E1256" r:id="rId2512" display="https://store.admitad.com/webmaster/websites/2166760/offers/26313-idee-shop-de/"/>
    <hyperlink ref="C1257" r:id="rId2513" display="https://www.rylko.com/"/>
    <hyperlink ref="E1257" r:id="rId2514" display="https://store.admitad.com/webmaster/websites/2166760/offers/26329-rylko-pl/"/>
    <hyperlink ref="C1258" r:id="rId2515" display="https://www.orsay.com/pl-pl/"/>
    <hyperlink ref="E1258" r:id="rId2516" display="https://store.admitad.com/webmaster/websites/2166760/offers/26335-orsay-pl-2/"/>
    <hyperlink ref="C1259" r:id="rId2517" display="https://streetstyle24.pl/"/>
    <hyperlink ref="E1259" r:id="rId2518" display="https://store.admitad.com/webmaster/websites/2166760/offers/26354-streetstyle24-pl/"/>
    <hyperlink ref="C1260" r:id="rId2519" display="https://www.zooplus.pl/"/>
    <hyperlink ref="E1260" r:id="rId2520" display="https://store.admitad.com/webmaster/websites/2166760/offers/26355-zooplus-pl/"/>
    <hyperlink ref="C1261" r:id="rId2521" display="https://www.sephora.pl/"/>
    <hyperlink ref="E1261" r:id="rId2522" display="https://store.admitad.com/webmaster/websites/2166760/offers/26358-sephora-pl/"/>
    <hyperlink ref="C1262" r:id="rId2523" display="https://ccc.eu/pl/"/>
    <hyperlink ref="E1262" r:id="rId2524" display="https://store.admitad.com/webmaster/websites/2166760/offers/26364-ccc-pl/"/>
    <hyperlink ref="C1263" r:id="rId2525" display="https://eu.4game.com/lineage2/"/>
    <hyperlink ref="E1263" r:id="rId2526" display="https://store.admitad.com/webmaster/websites/2166760/offers/26379-lineage-2-eu-cpp-many-geos/"/>
    <hyperlink ref="C1264" r:id="rId2527" display="https://www.zooplus.it/"/>
    <hyperlink ref="E1264" r:id="rId2528" display="https://store.admitad.com/webmaster/websites/2166760/offers/26513-zooplus-it/"/>
    <hyperlink ref="C1265" r:id="rId2529" display="https://www.theknittingnetwork.co.uk/"/>
    <hyperlink ref="E1265" r:id="rId2530" display="https://store.admitad.com/webmaster/websites/2166760/offers/26532-the-knitting-network-uk/"/>
    <hyperlink ref="C1266" r:id="rId2531" display="https://www.robertdyas.co.uk/"/>
    <hyperlink ref="E1266" r:id="rId2532" display="https://store.admitad.com/webmaster/websites/2166760/offers/26535-robert-dyas-uk/"/>
    <hyperlink ref="C1267" r:id="rId2533" display="https://www.spartoo.co.uk/"/>
    <hyperlink ref="E1267" r:id="rId2534" display="https://store.admitad.com/webmaster/websites/2166760/offers/26536-spartoo-uk/"/>
    <hyperlink ref="C1268" r:id="rId2535" display="https://www.buysubscriptions.com/"/>
    <hyperlink ref="E1268" r:id="rId2536" display="https://store.admitad.com/webmaster/websites/2166760/offers/26595-buysubscriptions-uk/"/>
    <hyperlink ref="C1269" r:id="rId2537" display="https://www.lycamobile.co.uk/"/>
    <hyperlink ref="E1269" r:id="rId2538" display="https://store.admitad.com/webmaster/websites/2166760/offers/26598-lycamobile-uk/"/>
    <hyperlink ref="C1270" r:id="rId2539" display="https://walklondonshoes.com/"/>
    <hyperlink ref="E1270" r:id="rId2540" display="https://store.admitad.com/webmaster/websites/2166760/offers/26626-walklondonshoes-ww/"/>
    <hyperlink ref="C1271" r:id="rId2541" display="https://biossance.com.br/"/>
    <hyperlink ref="E1271" r:id="rId2542" display="https://store.admitad.com/webmaster/websites/2166760/offers/26637-biossance-br/"/>
    <hyperlink ref="C1272" r:id="rId2543" display="https://www.photobox.co.uk/"/>
    <hyperlink ref="E1272" r:id="rId2544" display="https://store.admitad.com/webmaster/websites/2166760/offers/26649-photobox-uk/"/>
    <hyperlink ref="C1273" r:id="rId2545" display="https://www.dpdlocal-online.co.uk/"/>
    <hyperlink ref="E1273" r:id="rId2546" display="https://store.admitad.com/webmaster/websites/2166760/offers/26650-dpd-group-uk/"/>
    <hyperlink ref="C1274" r:id="rId2547" display="https://www.iwantoneofthose.com/"/>
    <hyperlink ref="E1274" r:id="rId2548" display="https://store.admitad.com/webmaster/websites/2166760/offers/26684-iwantoneofthose-uk/"/>
    <hyperlink ref="C1275" r:id="rId2549" display="https://www.bitiba.es/"/>
    <hyperlink ref="E1275" r:id="rId2550" display="https://store.admitad.com/webmaster/websites/2166760/offers/26695-bitiba-es/"/>
    <hyperlink ref="C1276" r:id="rId2551" display="https://www.bodylab24.de/"/>
    <hyperlink ref="E1276" r:id="rId2552" display="https://store.admitad.com/webmaster/websites/2166760/offers/26696-bodylab24-de/"/>
    <hyperlink ref="C1277" r:id="rId2553" display="http://www.hansemerkur.de/"/>
    <hyperlink ref="E1277" r:id="rId2554" display="https://store.admitad.com/webmaster/websites/2166760/offers/26790-hansemerkur-versicherungsgruppe-de/"/>
    <hyperlink ref="C1278" r:id="rId2555" display="https://www.aosom.de/"/>
    <hyperlink ref="E1278" r:id="rId2556" display="https://store.admitad.com/webmaster/websites/2166760/offers/26802-aosom-de/"/>
    <hyperlink ref="C1279" r:id="rId2557" display="https://www.hervis.at/"/>
    <hyperlink ref="E1279" r:id="rId2558" display="https://store.admitad.com/webmaster/websites/2166760/offers/26810-hervis-at/"/>
    <hyperlink ref="C1280" r:id="rId2559" display="https://www.easytoys.pl/"/>
    <hyperlink ref="E1280" r:id="rId2560" display="https://store.admitad.com/webmaster/websites/2166760/offers/26908-easytoys-pl/"/>
    <hyperlink ref="C1281" r:id="rId2561" display="https://www.bajajfinservmarkets.in/apply-for-personal-loan/"/>
    <hyperlink ref="E1281" r:id="rId2562" display="https://store.admitad.com/webmaster/websites/2166760/offers/26930-bajaj-sal-pl-cpl-in/"/>
    <hyperlink ref="C1282" r:id="rId2563" display="https://www.coopersofstortford.co.uk/"/>
    <hyperlink ref="E1282" r:id="rId2564" display="https://store.admitad.com/webmaster/websites/2166760/offers/26959-coopers-of-stortford-uk/"/>
    <hyperlink ref="C1283" r:id="rId2565" display="https://www.wiltshirefarmfoods.com/"/>
    <hyperlink ref="E1283" r:id="rId2566" display="https://store.admitad.com/webmaster/websites/2166760/offers/26987-wiltshire-farm-foods-uk/"/>
    <hyperlink ref="C1284" r:id="rId2567" display="https://www.boohooman.com/fr/"/>
    <hyperlink ref="E1284" r:id="rId2568" display="https://store.admitad.com/webmaster/websites/2166760/offers/26991-boohooman-fr/"/>
    <hyperlink ref="C1285" r:id="rId2569" display="https://www.df-sportspecialist.it/"/>
    <hyperlink ref="E1285" r:id="rId2570" display="https://store.admitad.com/webmaster/websites/2166760/offers/27008-df-sport-specialist-it/"/>
    <hyperlink ref="C1286" r:id="rId2571" display="https://www.underarmour.de/"/>
    <hyperlink ref="E1286" r:id="rId2572" display="https://store.admitad.com/webmaster/websites/2166760/offers/27012-under-armour-de/"/>
    <hyperlink ref="C1287" r:id="rId2573" display="https://www.yougarden.com/?source=AFFWIN"/>
    <hyperlink ref="E1287" r:id="rId2574" display="https://store.admitad.com/webmaster/websites/2166760/offers/27020-yougarden-uk/"/>
    <hyperlink ref="C1288" r:id="rId2575" display="http://www.mobilcom-debitel.de/"/>
    <hyperlink ref="E1288" r:id="rId2576" display="https://store.admitad.com/webmaster/websites/2166760/offers/27051-mobilcom-debitel-de/"/>
    <hyperlink ref="C1289" r:id="rId2577" display="https://www.thecolvinco.com/es"/>
    <hyperlink ref="E1289" r:id="rId2578" display="https://store.admitad.com/webmaster/websites/2166760/offers/27065-colvin-es/"/>
    <hyperlink ref="C1290" r:id="rId2579" display="https://www.thejewelhut.co.uk/"/>
    <hyperlink ref="E1290" r:id="rId2580" display="https://store.admitad.com/webmaster/websites/2166760/offers/27083-the-jewel-hut-uk/"/>
    <hyperlink ref="C1291" r:id="rId2581" display="https://www.coronatestcentre.com/"/>
    <hyperlink ref="E1291" r:id="rId2582" display="https://store.admitad.com/webmaster/websites/2166760/offers/27087-corona-test-centre-uk/"/>
    <hyperlink ref="C1292" r:id="rId2583" display="https://www.highstreettv.com/"/>
    <hyperlink ref="E1292" r:id="rId2584" display="https://store.admitad.com/webmaster/websites/2166760/offers/27097-high-street-tv-uk/"/>
    <hyperlink ref="C1293" r:id="rId2585" display="https://www.lacoste.com/de"/>
    <hyperlink ref="E1293" r:id="rId2586" display="https://store.admitad.com/webmaster/websites/2166760/offers/27105-lacoste-de/"/>
    <hyperlink ref="C1294" r:id="rId2587" display="https://www.idmobile.co.uk/"/>
    <hyperlink ref="E1294" r:id="rId2588" display="https://store.admitad.com/webmaster/websites/2166760/offers/27129-id-mobile-uk/"/>
    <hyperlink ref="C1295" r:id="rId2589" display="https://www.mobiles.co.uk/"/>
    <hyperlink ref="E1295" r:id="rId2590" display="https://store.admitad.com/webmaster/websites/2166760/offers/27132-mobiles-uk/"/>
    <hyperlink ref="C1296" r:id="rId2591" display="https://www.coolstays.com/"/>
    <hyperlink ref="E1296" r:id="rId2592" display="https://store.admitad.com/webmaster/websites/2166760/offers/27143-coolstays-uk/"/>
    <hyperlink ref="C1297" r:id="rId2593" display="https://www.maciag-offroad.de/"/>
    <hyperlink ref="E1297" r:id="rId2594" display="https://store.admitad.com/webmaster/websites/2166760/offers/27146-maciag-offroad-de/"/>
    <hyperlink ref="C1298" r:id="rId2595" display="https://www.sgd.de/"/>
    <hyperlink ref="E1298" r:id="rId2596" display="https://store.admitad.com/webmaster/websites/2166760/offers/27156-studiengemeinschaft-darmstadt-de/"/>
    <hyperlink ref="C1299" r:id="rId2597" display="https://www.allbeauty.com/"/>
    <hyperlink ref="E1299" r:id="rId2598" display="https://store.admitad.com/webmaster/websites/2166760/offers/27169-allbeauty-uk/"/>
    <hyperlink ref="C1300" r:id="rId2599" display="https://www.demon-tweeks.com/"/>
    <hyperlink ref="E1300" r:id="rId2600" display="https://store.admitad.com/webmaster/websites/2166760/offers/27181-demon-tweeks-uk/"/>
    <hyperlink ref="C1301" r:id="rId2601" display="https://www.topresume.com/"/>
    <hyperlink ref="E1301" r:id="rId2602" display="https://store.admitad.com/webmaster/websites/2166760/offers/27223-topresume-us/"/>
    <hyperlink ref="C1302" r:id="rId2603" display="https://www.isdin.com/us"/>
    <hyperlink ref="E1302" r:id="rId2604" display="https://store.admitad.com/webmaster/websites/2166760/offers/27229-isdin-us/"/>
    <hyperlink ref="C1303" r:id="rId2605" display="https://www.rotita.com/"/>
    <hyperlink ref="E1303" r:id="rId2606" display="https://store.admitad.com/webmaster/websites/2166760/offers/27231-rotita-us/"/>
    <hyperlink ref="C1304" r:id="rId2607" display="https://www.worldremit.com/"/>
    <hyperlink ref="E1304" r:id="rId2608" display="https://store.admitad.com/webmaster/websites/2166760/offers/27245-worldremit-us/"/>
    <hyperlink ref="C1305" r:id="rId2609" display="https://www.hellomolly.com/us/"/>
    <hyperlink ref="E1305" r:id="rId2610" display="https://store.admitad.com/webmaster/websites/2166760/offers/27254-hello-molly-us/"/>
    <hyperlink ref="C1306" r:id="rId2611" display="https://www.shopto.net/"/>
    <hyperlink ref="E1306" r:id="rId2612" display="https://store.admitad.com/webmaster/websites/2166760/offers/27274-shopto-uk/"/>
    <hyperlink ref="C1307" r:id="rId2613" display="https://www.esrgear.com/"/>
    <hyperlink ref="E1307" r:id="rId2614" display="https://store.admitad.com/webmaster/websites/2166760/offers/27275-esr-gear-us/"/>
    <hyperlink ref="C1308" r:id="rId2615" display="http://www.bitiba.co.uk/"/>
    <hyperlink ref="E1308" r:id="rId2616" display="https://store.admitad.com/webmaster/websites/2166760/offers/27351-bitiba-uk/"/>
    <hyperlink ref="C1309" r:id="rId2617" display="https://www.snaptrip.com/"/>
    <hyperlink ref="E1309" r:id="rId2618" display="https://store.admitad.com/webmaster/websites/2166760/offers/27359-snaptrip-uk/"/>
    <hyperlink ref="C1310" r:id="rId2619" display="https://www.cyclestore.co.uk/"/>
    <hyperlink ref="E1310" r:id="rId2620" display="https://store.admitad.com/webmaster/websites/2166760/offers/27401-cyclestore-uk/"/>
    <hyperlink ref="C1311" r:id="rId2621" display="https://de.cupshe.com/"/>
    <hyperlink ref="E1311" r:id="rId2622" display="https://store.admitad.com/webmaster/websites/2166760/offers/27402-cupshe-de/"/>
    <hyperlink ref="C1312" r:id="rId2623" display="https://dunkinindia.com/"/>
    <hyperlink ref="E1312" r:id="rId2624" display="https://store.admitad.com/webmaster/websites/2166760/offers/27413-dunkin-dounts-cps-in/"/>
    <hyperlink ref="C1313" r:id="rId2625" display="https://www.anyvan.com/av/aw"/>
    <hyperlink ref="E1313" r:id="rId2626" display="https://store.admitad.com/webmaster/websites/2166760/offers/27462-anyvan-uk/"/>
    <hyperlink ref="C1314" r:id="rId2627" display="http://ffmha.inn.eu/click?offer_id=29&amp;pid=2&amp;ref_id=%7b%7badmitad_uid%7d%7d&amp;sub1=%7b%7bpublisher_id%7d%7d&amp;sub2=%7b%7bwebsite_id%7d%7d"/>
    <hyperlink ref="E1314" r:id="rId2628" display="https://store.admitad.com/webmaster/websites/2166760/offers/842-point-blank-cpp-ru-cis/"/>
    <hyperlink ref="C1315" r:id="rId2629" display="https://lamoda.kz/"/>
    <hyperlink ref="E1315" r:id="rId2630" display="https://store.admitad.com/webmaster/websites/2166760/offers/2742-lamoda-kz/"/>
    <hyperlink ref="C1316" r:id="rId2631" display="http://ru.strawberrynet.com/"/>
    <hyperlink ref="E1316" r:id="rId2632" display="https://store.admitad.com/webmaster/websites/2166760/offers/4580-strawberrynet-many-geos/"/>
    <hyperlink ref="C1317" r:id="rId2633" display="https://www.reg.ru/"/>
    <hyperlink ref="E1317" r:id="rId2634" display="https://store.admitad.com/webmaster/websites/2166760/offers/7489-regru/"/>
    <hyperlink ref="C1318" r:id="rId2635" display="http://hotellook.ru/"/>
    <hyperlink ref="E1318" r:id="rId2636" display="https://store.admitad.com/webmaster/websites/2166760/offers/7741-hotellook-many-geos/"/>
    <hyperlink ref="C1319" r:id="rId2637" display="https://www.yves-rocher-kz.com/"/>
    <hyperlink ref="E1319" r:id="rId2638" display="https://store.admitad.com/webmaster/websites/2166760/offers/9794-yves-rocher-kz/"/>
    <hyperlink ref="C1320" r:id="rId2639" display="http://xiaomi.ua/"/>
    <hyperlink ref="E1320" r:id="rId2640" display="https://store.admitad.com/webmaster/websites/2166760/offers/14046-xiaomi-ua/"/>
    <hyperlink ref="C1321" r:id="rId2641" display="http://makemytrip.com/"/>
    <hyperlink ref="E1321" r:id="rId2642" display="https://store.admitad.com/webmaster/websites/2166760/offers/15019-mmt-hotels-cps-in/"/>
    <hyperlink ref="C1322" r:id="rId2643" display="http://clovia.com/"/>
    <hyperlink ref="E1322" r:id="rId2644" display="https://store.admitad.com/webmaster/websites/2166760/offers/15526-clovia-cps-in/"/>
    <hyperlink ref="C1323" r:id="rId2645" display="https://itunes.apple.com/ru/app/joom-pokupaj-i-ekonom-!/id1117424833?mt=8"/>
    <hyperlink ref="E1323" r:id="rId2646" display="https://store.admitad.com/webmaster/websites/2166760/offers/16015-joom-cps-ios-many-geos/"/>
    <hyperlink ref="C1324" r:id="rId2647" display="http://www.fnp.com/"/>
    <hyperlink ref="E1324" r:id="rId2648" display="https://store.admitad.com/webmaster/websites/2166760/offers/16495-fernsnpetals-cps-in/"/>
    <hyperlink ref="C1325" r:id="rId2649" display="https://www.toyzzshop.com/"/>
    <hyperlink ref="E1325" r:id="rId2650" display="https://store.admitad.com/webmaster/websites/2166760/offers/16785-toyzz-shop-tr/"/>
    <hyperlink ref="C1326" r:id="rId2651" display="https://travelist.pl/"/>
    <hyperlink ref="E1326" r:id="rId2652" display="https://store.admitad.com/webmaster/websites/2166760/offers/17605-travelist-pl/"/>
    <hyperlink ref="C1327" r:id="rId2653" display="https://www.foreo.com/"/>
    <hyperlink ref="E1327" r:id="rId2654" display="https://store.admitad.com/webmaster/websites/2166760/offers/18393-foreo-ru-emea-asia/"/>
    <hyperlink ref="C1328" r:id="rId2655" display="https://www.peggybuy.com/"/>
    <hyperlink ref="E1328" r:id="rId2656" display="https://store.admitad.com/webmaster/websites/2166760/offers/18930-peggybuy-ww/"/>
    <hyperlink ref="C1329" r:id="rId2657" display="https://www.qeeq.com/"/>
    <hyperlink ref="E1329" r:id="rId2658" display="https://store.admitad.com/webmaster/websites/2166760/offers/18989-qeeq-ww/"/>
    <hyperlink ref="C1330" r:id="rId2659" display="https://infobus.eu/"/>
    <hyperlink ref="E1330" r:id="rId2660" display="https://store.admitad.com/webmaster/websites/2166760/offers/19229-infobus-cps-ww/"/>
    <hyperlink ref="C1331" r:id="rId2661" display="https://www.candere.com/"/>
    <hyperlink ref="E1331" r:id="rId2662" display="https://store.admitad.com/webmaster/websites/2166760/offers/19441-candere-cps-in/"/>
    <hyperlink ref="C1332" r:id="rId2663" display="http://autoklad.ua/"/>
    <hyperlink ref="E1332" r:id="rId2664" display="https://store.admitad.com/webmaster/websites/2166760/offers/19534-autoklad-ua/"/>
    <hyperlink ref="C1333" r:id="rId2665" display="https://www.desertcart.ae/"/>
    <hyperlink ref="E1333" r:id="rId2666" display="https://store.admitad.com/webmaster/websites/2166760/offers/19838-desertcart-ww/"/>
    <hyperlink ref="C1334" r:id="rId2667" display="http://global.redmagic.gg/"/>
    <hyperlink ref="E1334" r:id="rId2668" display="https://store.admitad.com/webmaster/websites/2166760/offers/20543-redmagic-ww/"/>
    <hyperlink ref="C1335" r:id="rId2669" display="https://www.hostelworld.com/"/>
    <hyperlink ref="E1335" r:id="rId2670" display="https://store.admitad.com/webmaster/websites/2166760/offers/20677-hostelworld-ww/"/>
    <hyperlink ref="C1336" r:id="rId2671" display="https://www.a.ubuy.com.kw/en/"/>
    <hyperlink ref="E1336" r:id="rId2672" display="https://store.admitad.com/webmaster/websites/2166760/offers/20774-ubuy-many-geos-offline-codes-links/"/>
    <hyperlink ref="C1337" r:id="rId2673" display="https://www.ancestry.com/"/>
    <hyperlink ref="E1337" r:id="rId2674" display="https://store.admitad.com/webmaster/websites/2166760/offers/21029-ancestry-us-ca-uk-au/"/>
    <hyperlink ref="C1338" r:id="rId2675" display="https://themeforest.net/"/>
    <hyperlink ref="E1338" r:id="rId2676" display="https://store.admitad.com/webmaster/websites/2166760/offers/21122-envato-market-many-geos/"/>
    <hyperlink ref="C1339" r:id="rId2677" display="https://99designs.com/"/>
    <hyperlink ref="E1339" r:id="rId2678" display="https://store.admitad.com/webmaster/websites/2166760/offers/21172-99designs-ww/"/>
    <hyperlink ref="C1340" r:id="rId2679" display="https://www.spartoo.hu/"/>
    <hyperlink ref="E1340" r:id="rId2680" display="https://store.admitad.com/webmaster/websites/2166760/offers/21220-spartoo-many-geos/"/>
    <hyperlink ref="C1341" r:id="rId2681" display="https://www.foreo.com/"/>
    <hyperlink ref="E1341" r:id="rId2682" display="https://store.admitad.com/webmaster/websites/2166760/offers/21308-foreo-us-ca/"/>
    <hyperlink ref="C1342" r:id="rId2683" display="https://pizzaonline.dominos.co.in/?src=brand"/>
    <hyperlink ref="E1342" r:id="rId2684" display="https://store.admitad.com/webmaster/websites/2166760/offers/21543-dominos-cps-in-2/"/>
    <hyperlink ref="C1343" r:id="rId2685" display="https://www.adidas.com.br/"/>
    <hyperlink ref="E1343" r:id="rId2686" display="https://store.admitad.com/webmaster/websites/2166760/offers/21965-adidas-br/"/>
    <hyperlink ref="C1344" r:id="rId2687" display="https://www.arcgames.com/fr/games/neverwinter"/>
    <hyperlink ref="E1344" r:id="rId2688" display="https://store.admitad.com/webmaster/websites/2166760/offers/22076-neverwinter-cpp-fr-be-lu-mc/"/>
    <hyperlink ref="C1345" r:id="rId2689" display="https://www.arcgames.com/de/games/star-trek-online"/>
    <hyperlink ref="E1345" r:id="rId2690" display="https://store.admitad.com/webmaster/websites/2166760/offers/22077-star-trek-online-cpp-de-at-ch/"/>
    <hyperlink ref="C1346" r:id="rId2691" display="https://www.gant.co.uk/"/>
    <hyperlink ref="E1346" r:id="rId2692" display="https://store.admitad.com/webmaster/websites/2166760/offers/22089-gant-uk/"/>
    <hyperlink ref="C1347" r:id="rId2693" display="https://gameroyale.net/en/ruplay"/>
    <hyperlink ref="E1347" r:id="rId2694" display="https://store.admitad.com/webmaster/websites/2166760/offers/22207-crsed-foad-cpp-many-geos/"/>
    <hyperlink ref="C1348" r:id="rId2695" display="https://www.wakacje.pl/"/>
    <hyperlink ref="E1348" r:id="rId2696" display="https://store.admitad.com/webmaster/websites/2166760/offers/22210-wakacje-pl/"/>
    <hyperlink ref="C1349" r:id="rId2697" display="https://www.footlocker.ae/en/"/>
    <hyperlink ref="E1349" r:id="rId2698" display="https://store.admitad.com/webmaster/websites/2166760/offers/22263-footlocker-ae-sa-kw/"/>
    <hyperlink ref="C1350" r:id="rId2699" display="https://www.religarehealthinsurance.com/"/>
    <hyperlink ref="E1350" r:id="rId2700" display="https://store.admitad.com/webmaster/websites/2166760/offers/22274-care-health-insurance-cpl-in/"/>
    <hyperlink ref="C1351" r:id="rId2701" display="https://kviku.com/kz/cash/create"/>
    <hyperlink ref="E1351" r:id="rId2702" display="https://store.admitad.com/webmaster/websites/2166760/offers/22423-kviku-cpl-kz/"/>
    <hyperlink ref="C1352" r:id="rId2703" display="https://ua.puma.com/"/>
    <hyperlink ref="E1352" r:id="rId2704" display="https://store.admitad.com/webmaster/websites/2166760/offers/22571-puma-ua/"/>
    <hyperlink ref="C1353" r:id="rId2705" display="http://battleforthegalaxy.com/xsolla/"/>
    <hyperlink ref="E1353" r:id="rId2706" display="https://store.admitad.com/webmaster/websites/2166760/offers/22673-battle-for-the-galaxy-cps-many-geos/"/>
    <hyperlink ref="C1354" r:id="rId2707" display="https://youtravel.me/"/>
    <hyperlink ref="E1354" r:id="rId2708" display="https://store.admitad.com/webmaster/websites/2166760/offers/22709-youtravelme/"/>
    <hyperlink ref="C1355" r:id="rId2709" display="https://fk.by/"/>
    <hyperlink ref="E1355" r:id="rId2710" display="https://store.admitad.com/webmaster/websites/2166760/offers/22850-fk-by/"/>
    <hyperlink ref="C1356" r:id="rId2711" display="https://www.namecheap.com/"/>
    <hyperlink ref="E1356" r:id="rId2712" display="https://store.admitad.com/webmaster/websites/2166760/offers/22887-namecheap-cps-ww/"/>
    <hyperlink ref="C1357" r:id="rId2713" display="https://espritgames.com/fr/gameofthrones"/>
    <hyperlink ref="E1357" r:id="rId2714" display="https://store.admitad.com/webmaster/websites/2166760/offers/22939-game-of-thrones-soi-esprit-fr/"/>
    <hyperlink ref="C1358" r:id="rId2715" display="https://nordpass.com/"/>
    <hyperlink ref="E1358" r:id="rId2716" display="https://store.admitad.com/webmaster/websites/2166760/offers/22965-nordpass-ww/"/>
    <hyperlink ref="C1359" r:id="rId2717" display="https://enjoythewood.ua/"/>
    <hyperlink ref="E1359" r:id="rId2718" display="https://store.admitad.com/webmaster/websites/2166760/offers/23002-enjoy-the-wood-tm/"/>
    <hyperlink ref="C1360" r:id="rId2719" display="https://shop.adidas.co.id/"/>
    <hyperlink ref="E1360" r:id="rId2720" display="https://store.admitad.com/webmaster/websites/2166760/offers/23120-adidas-cps-id/"/>
    <hyperlink ref="C1361" r:id="rId2721" display="https://www.wildterra2.com/"/>
    <hyperlink ref="E1361" r:id="rId2722" display="https://store.admitad.com/webmaster/websites/2166760/offers/23222-wild-terra-2-new-lands-cps-many-geos/"/>
    <hyperlink ref="C1362" r:id="rId2723" display="https://www.glassesdirect.co.uk/"/>
    <hyperlink ref="E1362" r:id="rId2724" display="https://store.admitad.com/webmaster/websites/2166760/offers/23243-glasses-direct-uk/"/>
    <hyperlink ref="C1363" r:id="rId2725" display="https://tails.com/"/>
    <hyperlink ref="E1363" r:id="rId2726" display="https://store.admitad.com/webmaster/websites/2166760/offers/23279-tails-fr/"/>
    <hyperlink ref="C1364" r:id="rId2727" display="https://www.luisbien.fr/"/>
    <hyperlink ref="E1364" r:id="rId2728" display="https://store.admitad.com/webmaster/websites/2166760/offers/23285-luis-bien-fr/"/>
    <hyperlink ref="C1365" r:id="rId2729" display="https://uae.danubehome.com/"/>
    <hyperlink ref="E1365" r:id="rId2730" display="https://store.admitad.com/webmaster/websites/2166760/offers/23319-danubehome-ae-om-qt-kw-in-bh/"/>
    <hyperlink ref="C1366" r:id="rId2731" display="https://www.elevelife.com.br/"/>
    <hyperlink ref="E1366" r:id="rId2732" display="https://store.admitad.com/webmaster/websites/2166760/offers/23456-eleve-life-br/"/>
    <hyperlink ref="C1367" r:id="rId2733" display="https://fragstore.ru/"/>
    <hyperlink ref="E1367" r:id="rId2734" display="https://store.admitad.com/webmaster/websites/2166760/offers/23484-fragstore-ru-cis/"/>
    <hyperlink ref="C1368" r:id="rId2735" display="https://thedermaco.com/"/>
    <hyperlink ref="E1368" r:id="rId2736" display="https://store.admitad.com/webmaster/websites/2166760/offers/23488-the-derma-co-cps-in/"/>
    <hyperlink ref="C1369" r:id="rId2737" display="https://conteshop.by/"/>
    <hyperlink ref="E1369" r:id="rId2738" display="https://store.admitad.com/webmaster/websites/2166760/offers/23660-conteshop-by/"/>
    <hyperlink ref="C1370" r:id="rId2739" display="https://www.logitechg.com/"/>
    <hyperlink ref="E1370" r:id="rId2740" display="https://store.admitad.com/webmaster/websites/2166760/offers/23788-logitech-g-emea/"/>
    <hyperlink ref="C1371" r:id="rId2741" display="https://www.wiggle.fr/"/>
    <hyperlink ref="E1371" r:id="rId2742" display="https://store.admitad.com/webmaster/websites/2166760/offers/23829-wiggle-fr-es/"/>
    <hyperlink ref="C1372" r:id="rId2743" display="https://www.sedarglobal.com/"/>
    <hyperlink ref="E1372" r:id="rId2744" display="https://store.admitad.com/webmaster/websites/2166760/offers/23837-sedarglobal-ae-sa-om-bh/"/>
    <hyperlink ref="C1373" r:id="rId2745" display="https://shoperly.pl/"/>
    <hyperlink ref="E1373" r:id="rId2746" display="https://store.admitad.com/webmaster/websites/2166760/offers/23901-shoperly-pl/"/>
    <hyperlink ref="C1374" r:id="rId2747" display="https://www.petzzshop.com/"/>
    <hyperlink ref="E1374" r:id="rId2748" display="https://store.admitad.com/webmaster/websites/2166760/offers/24072-petzz-shop-tr/"/>
    <hyperlink ref="C1375" r:id="rId2749" display="https://www.idealfit.com/"/>
    <hyperlink ref="E1375" r:id="rId2750" display="https://store.admitad.com/webmaster/websites/2166760/offers/24126-idealfit-us-ca/"/>
    <hyperlink ref="C1376" r:id="rId2751" display="https://espritgames.ru/leagueofangelshf"/>
    <hyperlink ref="E1376" r:id="rId2752" display="https://store.admitad.com/webmaster/websites/2166760/offers/24133-league-of-angels-heavens-fury-cpp-esprit-ru-cis/"/>
    <hyperlink ref="C1377" r:id="rId2753" display="https://www.mothercare.in/"/>
    <hyperlink ref="E1377" r:id="rId2754" display="https://store.admitad.com/webmaster/websites/2166760/offers/24156-mothercare-cps-in/"/>
    <hyperlink ref="C1378" r:id="rId2755" display="https://www.armadadeals.com/"/>
    <hyperlink ref="E1378" r:id="rId2756" display="https://store.admitad.com/webmaster/websites/2166760/offers/24179-armada-deals-many-geos/"/>
    <hyperlink ref="C1379" r:id="rId2757" display="https://www.otelz.com/"/>
    <hyperlink ref="E1379" r:id="rId2758" display="https://store.admitad.com/webmaster/websites/2166760/offers/24312-otelz-many-geos/"/>
    <hyperlink ref="C1380" r:id="rId2759" display="https://bellavka.ru/"/>
    <hyperlink ref="E1380" r:id="rId2760" display="https://store.admitad.com/webmaster/websites/2166760/offers/24345-bellavka/"/>
    <hyperlink ref="C1381" r:id="rId2761" display="https://www.paramountplus.com/intl/"/>
    <hyperlink ref="E1381" r:id="rId2762" display="https://store.admitad.com/webmaster/websites/2166760/offers/24444-paramount-us/"/>
    <hyperlink ref="C1382" r:id="rId2763" display="https://campaigns.icicibank.com/home-loan-main/index.html?utm_source=affiliate&amp;utm_medium=email&amp;utm_campaign=icicibank-a2-hl-admitad&amp;utm_content=affiliate-cpl-admitad&amp;utm_lms=affiliate-cpl-admitad-subject1-generic-pubid"/>
    <hyperlink ref="E1382" r:id="rId2764" display="https://store.admitad.com/webmaster/websites/2166760/offers/24473-icici-bank-hl-cpl-in/"/>
    <hyperlink ref="C1383" r:id="rId2765" display="https://loftschool.com/"/>
    <hyperlink ref="E1383" r:id="rId2766" display="https://store.admitad.com/webmaster/websites/2166760/offers/24479-loftschool/"/>
    <hyperlink ref="C1384" r:id="rId2767" display="http://www.wakefit.co/"/>
    <hyperlink ref="E1384" r:id="rId2768" display="https://store.admitad.com/webmaster/websites/2166760/offers/24546-wakefit-cpv-in/"/>
    <hyperlink ref="C1385" r:id="rId2769" display="http://mackeeper.com/"/>
    <hyperlink ref="E1385" r:id="rId2770" display="https://store.admitad.com/webmaster/websites/2166760/offers/24609-mackeeper-many-geos/"/>
    <hyperlink ref="C1386" r:id="rId2771" display="https://roselinlin.com/"/>
    <hyperlink ref="E1386" r:id="rId2772" display="https://store.admitad.com/webmaster/websites/2166760/offers/24669-roselinlin-ww/"/>
    <hyperlink ref="C1387" r:id="rId2773" display="https://en-ae.tommy.com/"/>
    <hyperlink ref="E1387" r:id="rId2774" display="https://store.admitad.com/webmaster/websites/2166760/offers/24784-tommy-hilfiger-ae-offline-codes/"/>
    <hyperlink ref="C1388" r:id="rId2775" display="https://meunegocio.uol.com.br/"/>
    <hyperlink ref="E1388" r:id="rId2776" display="https://store.admitad.com/webmaster/websites/2166760/offers/24858-uol-meu-negocio/"/>
    <hyperlink ref="C1389" r:id="rId2777" display="https://www.weightworld.uk/"/>
    <hyperlink ref="E1389" r:id="rId2778" display="https://store.admitad.com/webmaster/websites/2166760/offers/24877-weightworld-uk/"/>
    <hyperlink ref="C1390" r:id="rId2779" display="https://ae.loccitane.com/"/>
    <hyperlink ref="E1390" r:id="rId2780" display="https://store.admitad.com/webmaster/websites/2166760/offers/24901-loccitane-ae-sa-qa-bh-kw-offline-codes/"/>
    <hyperlink ref="C1391" r:id="rId2781" display="https://lakmeindia.com/"/>
    <hyperlink ref="E1391" r:id="rId2782" display="https://store.admitad.com/webmaster/websites/2166760/offers/24915-lakme-cps-in/"/>
    <hyperlink ref="C1392" r:id="rId2783" display="https://www.intimo.com.ua/"/>
    <hyperlink ref="E1392" r:id="rId2784" display="https://store.admitad.com/webmaster/websites/2166760/offers/25225-intimo-ua/"/>
    <hyperlink ref="C1393" r:id="rId2785" display="https://www.krc.com.tr/"/>
    <hyperlink ref="E1393" r:id="rId2786" display="https://store.admitad.com/webmaster/websites/2166760/offers/25241-karaca-tr/"/>
    <hyperlink ref="C1394" r:id="rId2787" display="https://turbovpn.com/"/>
    <hyperlink ref="E1394" r:id="rId2788" display="https://store.admitad.com/webmaster/websites/2166760/offers/25249-turbovpn-ww-2/"/>
    <hyperlink ref="C1395" r:id="rId2789" display="https://www.dyson.es/es"/>
    <hyperlink ref="E1395" r:id="rId2790" display="https://store.admitad.com/webmaster/websites/2166760/offers/25358-dyson-cps-es/"/>
    <hyperlink ref="C1396" r:id="rId2791" display="https://www.fastandup.in/"/>
    <hyperlink ref="E1396" r:id="rId2792" display="https://store.admitad.com/webmaster/websites/2166760/offers/25911-fast-up-cps-in/"/>
    <hyperlink ref="C1397" r:id="rId2793" display="https://cashradar.kz/go"/>
    <hyperlink ref="E1397" r:id="rId2794" display="https://store.admitad.com/webmaster/websites/2166760/offers/25919-cashradar-kz/"/>
    <hyperlink ref="C1398" r:id="rId2795" display="https://www.calvinklein.mx/"/>
    <hyperlink ref="E1398" r:id="rId2796" display="https://store.admitad.com/webmaster/websites/2166760/offers/25940-calvin-klein-mx/"/>
    <hyperlink ref="C1399" r:id="rId2797" display="https://www.only.in/"/>
    <hyperlink ref="E1399" r:id="rId2798" display="https://store.admitad.com/webmaster/websites/2166760/offers/26012-only-cps-in/"/>
    <hyperlink ref="C1400" r:id="rId2799" display="https://www.myposter.nl/"/>
    <hyperlink ref="E1400" r:id="rId2800" display="https://store.admitad.com/webmaster/websites/2166760/offers/26045-myposternl-nl/"/>
    <hyperlink ref="C1401" r:id="rId2801" display="https://micuento.com/"/>
    <hyperlink ref="E1401" r:id="rId2802" display="https://store.admitad.com/webmaster/websites/2166760/offers/26104-micuento-cps-es/"/>
    <hyperlink ref="C1402" r:id="rId2803" display="https://ukrparts.com.ua/"/>
    <hyperlink ref="E1402" r:id="rId2804" display="https://store.admitad.com/webmaster/websites/2166760/offers/26142-ukrparts-ua/"/>
    <hyperlink ref="C1403" r:id="rId2805" display="https://www.oziva.in/"/>
    <hyperlink ref="E1403" r:id="rId2806" display="https://store.admitad.com/webmaster/websites/2166760/offers/26168-oziva-cps-in/"/>
    <hyperlink ref="C1404" r:id="rId2807" display="https://de.myprotein.com/"/>
    <hyperlink ref="E1404" r:id="rId2808" display="https://store.admitad.com/webmaster/websites/2166760/offers/26195-myprotein-de/"/>
    <hyperlink ref="C1405" r:id="rId2809" display="https://blushmark.com/"/>
    <hyperlink ref="E1405" r:id="rId2810" display="https://store.admitad.com/webmaster/websites/2166760/offers/26198-blushmark-us-ca-fr/"/>
    <hyperlink ref="C1406" r:id="rId2811" display="https://www.weshoes.co.il/he/"/>
    <hyperlink ref="E1406" r:id="rId2812" display="https://store.admitad.com/webmaster/websites/2166760/offers/26228-weshoes-il/"/>
    <hyperlink ref="C1407" r:id="rId2813" display="https://www.floraprima.de/"/>
    <hyperlink ref="E1407" r:id="rId2814" display="https://store.admitad.com/webmaster/websites/2166760/offers/26309-floraprima-de/"/>
    <hyperlink ref="C1408" r:id="rId2815" display="https://grand-rp.su/"/>
    <hyperlink ref="E1408" r:id="rId2816" display="https://store.admitad.com/webmaster/websites/2166760/offers/26387-grand-rp-cpl-ru-cis/"/>
    <hyperlink ref="C1409" r:id="rId2817" display="https://www.scapino.nl/"/>
    <hyperlink ref="E1409" r:id="rId2818" display="https://store.admitad.com/webmaster/websites/2166760/offers/26454-scapino-nl-be/"/>
    <hyperlink ref="C1410" r:id="rId2819" location="utm_source=awin" display="https://www.podobrace.nl/? - utm_source=awin"/>
    <hyperlink ref="E1410" r:id="rId2820" display="https://store.admitad.com/webmaster/websites/2166760/offers/26502-podobrace-nl/"/>
    <hyperlink ref="C1411" r:id="rId2821" display="https://www.edreams.es/"/>
    <hyperlink ref="E1411" r:id="rId2822" display="https://store.admitad.com/webmaster/websites/2166760/offers/26510-edreams-es/"/>
    <hyperlink ref="C1412" r:id="rId2823" display="https://www.aspinaloflondon.com/"/>
    <hyperlink ref="E1412" r:id="rId2824" display="https://store.admitad.com/webmaster/websites/2166760/offers/26538-aspinal-of-london/"/>
    <hyperlink ref="C1413" r:id="rId2825" display="https://www.collectiflondon.com/"/>
    <hyperlink ref="E1413" r:id="rId2826" display="https://store.admitad.com/webmaster/websites/2166760/offers/26546-collectif-uk/"/>
    <hyperlink ref="C1414" r:id="rId2827" display="https://www.gettingpersonal.co.uk/"/>
    <hyperlink ref="E1414" r:id="rId2828" display="https://store.admitad.com/webmaster/websites/2166760/offers/26596-getting-personal/"/>
    <hyperlink ref="C1415" r:id="rId2829" display="https://www.thebodyshop.com/en-us/"/>
    <hyperlink ref="E1415" r:id="rId2830" display="https://store.admitad.com/webmaster/websites/2166760/offers/26601-the-body-shop-us/"/>
    <hyperlink ref="C1416" r:id="rId2831" display="https://townofsins.com/"/>
    <hyperlink ref="E1416" r:id="rId2832" display="https://store.admitad.com/webmaster/websites/2166760/offers/26621-town-of-sins-doi-many-geos/"/>
    <hyperlink ref="C1417" r:id="rId2833" display="https://www.photobox.fr/"/>
    <hyperlink ref="E1417" r:id="rId2834" display="https://store.admitad.com/webmaster/websites/2166760/offers/26715-photobox-fr/"/>
    <hyperlink ref="C1418" r:id="rId2835" display="https://www.awayresorts.co.uk/"/>
    <hyperlink ref="E1418" r:id="rId2836" display="https://store.admitad.com/webmaster/websites/2166760/offers/26724-away-resorts-uk/"/>
    <hyperlink ref="C1419" r:id="rId2837" display="https://www.laredoute.co.uk/"/>
    <hyperlink ref="E1419" r:id="rId2838" display="https://store.admitad.com/webmaster/websites/2166760/offers/26751-la-redoute-uk/"/>
    <hyperlink ref="C1420" r:id="rId2839" display="https://www.musterhaus.net/hausbaukataloge-neu"/>
    <hyperlink ref="E1420" r:id="rId2840" display="https://store.admitad.com/webmaster/websites/2166760/offers/26850-musterhaus-de/"/>
    <hyperlink ref="C1421" r:id="rId2841" display="https://www.sonnenklar.tv/?utm_term=home&amp;utm_campaign=ongoing"/>
    <hyperlink ref="E1421" r:id="rId2842" display="https://store.admitad.com/webmaster/websites/2166760/offers/26885-sonnenklar-tv-de/"/>
    <hyperlink ref="C1422" r:id="rId2843" display="https://www.underarmour.com/en-ca/"/>
    <hyperlink ref="E1422" r:id="rId2844" display="https://store.admitad.com/webmaster/websites/2166760/offers/26916-under-armour-ca/"/>
    <hyperlink ref="C1423" r:id="rId2845" display="https://www.meshki.us/"/>
    <hyperlink ref="E1423" r:id="rId2846" display="https://store.admitad.com/webmaster/websites/2166760/offers/26953-meshki-us/"/>
    <hyperlink ref="C1424" r:id="rId2847" display="https://www.lloydspharmacy.com/"/>
    <hyperlink ref="E1424" r:id="rId2848" display="https://store.admitad.com/webmaster/websites/2166760/offers/27006-lloyds-pharmacy-uk/"/>
    <hyperlink ref="C1425" r:id="rId2849" display="https://www.mattressonline.co.uk/"/>
    <hyperlink ref="E1425" r:id="rId2850" display="https://store.admitad.com/webmaster/websites/2166760/offers/27036-mattress-online-uk/"/>
    <hyperlink ref="C1426" r:id="rId2851" display="http://www.nominalia.com/"/>
    <hyperlink ref="E1426" r:id="rId2852" display="https://store.admitad.com/webmaster/websites/2166760/offers/27070-nominalia-es/"/>
    <hyperlink ref="C1427" r:id="rId2853" display="https://www.houseofwatches.co.uk/"/>
    <hyperlink ref="E1427" r:id="rId2854" display="https://store.admitad.com/webmaster/websites/2166760/offers/27079-house-of-watches-uk/"/>
    <hyperlink ref="C1428" r:id="rId2855" display="https://www.thehut.com/"/>
    <hyperlink ref="E1428" r:id="rId2856" display="https://store.admitad.com/webmaster/websites/2166760/offers/27092-the-hut-uk/"/>
    <hyperlink ref="C1429" r:id="rId2857" display="https://www.safestore.co.uk/"/>
    <hyperlink ref="E1429" r:id="rId2858" display="https://store.admitad.com/webmaster/websites/2166760/offers/27095-safestore-uk/"/>
    <hyperlink ref="C1430" r:id="rId2859" display="https://www.bootsphoto.com/"/>
    <hyperlink ref="E1430" r:id="rId2860" display="https://store.admitad.com/webmaster/websites/2166760/offers/27121-boots-photo-uk/"/>
    <hyperlink ref="C1431" r:id="rId2861" display="https://www.saludonnet.com/"/>
    <hyperlink ref="E1431" r:id="rId2862" display="https://store.admitad.com/webmaster/websites/2166760/offers/27124-saludonnet-es/"/>
    <hyperlink ref="C1432" r:id="rId2863" display="https://www.gsfcarparts.com/"/>
    <hyperlink ref="E1432" r:id="rId2864" display="https://store.admitad.com/webmaster/websites/2166760/offers/27153-gsf-car-parts-uk/"/>
    <hyperlink ref="C1433" r:id="rId2865" display="https://www.clarks.co.uk/"/>
    <hyperlink ref="E1433" r:id="rId2866" display="https://store.admitad.com/webmaster/websites/2166760/offers/27162-clarks-uk/"/>
    <hyperlink ref="C1434" r:id="rId2867" display="https://www.chainreactioncycles.com/"/>
    <hyperlink ref="E1434" r:id="rId2868" display="https://store.admitad.com/webmaster/websites/2166760/offers/27220-chain-reaction-uk/"/>
    <hyperlink ref="C1435" r:id="rId2869" display="https://www.qustodio.com/"/>
    <hyperlink ref="E1435" r:id="rId2870" display="https://store.admitad.com/webmaster/websites/2166760/offers/27242-qustodio-many-geos/"/>
    <hyperlink ref="C1436" r:id="rId2871" display="https://scholarshipowl.com/"/>
    <hyperlink ref="E1436" r:id="rId2872" display="https://store.admitad.com/webmaster/websites/2166760/offers/27249-scholarshipowl-us/"/>
    <hyperlink ref="C1437" r:id="rId2873" display="https://www.screencast-o-matic.com/"/>
    <hyperlink ref="E1437" r:id="rId2874" display="https://store.admitad.com/webmaster/websites/2166760/offers/27262-screencast-o-matic-us-ca/"/>
    <hyperlink ref="C1438" r:id="rId2875" display="https://plarium.com/ja/game/raid-shadow-legends/"/>
    <hyperlink ref="E1438" r:id="rId2876" display="https://store.admitad.com/webmaster/websites/2166760/offers/27437-raid-shadow-legends-cpp-jp/"/>
    <hyperlink ref="C1439" r:id="rId2877" display="https://espritgames.ru/dragoncontract"/>
    <hyperlink ref="E1439" r:id="rId2878" display="https://store.admitad.com/webmaster/websites/2166760/offers/27478-dragon-contract-soi-rucis/"/>
    <hyperlink ref="C1440" r:id="rId2879" display="http://lineage2.inn.eu/click?pid=2&amp;offer_id=25"/>
    <hyperlink ref="E1440" r:id="rId2880" display="https://store.admitad.com/webmaster/websites/2166760/offers/92-lineage-2-cpp-ru-cis/"/>
    <hyperlink ref="C1441" r:id="rId2881" display="http://tmgame.ru/"/>
    <hyperlink ref="E1441" r:id="rId2882" display="https://store.admitad.com/webmaster/websites/2166760/offers/173-tekhnomagiia-doi-cpp-ru/"/>
    <hyperlink ref="C1442" r:id="rId2883" display="https://ru.4game.com/aion/"/>
    <hyperlink ref="E1442" r:id="rId2884" display="https://store.admitad.com/webmaster/websites/2166760/offers/843-aion-cpp-ru-cis/"/>
    <hyperlink ref="C1443" r:id="rId2885" display="https://blackstarwear.ru/"/>
    <hyperlink ref="E1443" r:id="rId2886" display="https://store.admitad.com/webmaster/websites/2166760/offers/2039-black-star-wear/"/>
    <hyperlink ref="C1444" r:id="rId2887" display="http://nethouse.ru/"/>
    <hyperlink ref="E1444" r:id="rId2888" display="https://store.admitad.com/webmaster/websites/2166760/offers/2277-nethouse/"/>
    <hyperlink ref="C1445" r:id="rId2889" display="https://carnage.ru/"/>
    <hyperlink ref="E1445" r:id="rId2890" display="https://store.admitad.com/webmaster/websites/2166760/offers/2405-carnage-cpp-ru-cis/"/>
    <hyperlink ref="C1446" r:id="rId2891" display="http://audiomania.ru/"/>
    <hyperlink ref="E1446" r:id="rId2892" display="https://store.admitad.com/webmaster/websites/2166760/offers/2746-audiomania/"/>
    <hyperlink ref="C1447" r:id="rId2893" display="http://otto-trade.com.ua/"/>
    <hyperlink ref="E1447" r:id="rId2894" display="https://store.admitad.com/webmaster/websites/2166760/offers/7442-otto-trade-ua/"/>
    <hyperlink ref="C1448" r:id="rId2895" display="http://star-conflict.com/ru/"/>
    <hyperlink ref="E1448" r:id="rId2896" display="https://store.admitad.com/webmaster/websites/2166760/offers/7997-star-conflict-cpp-ru-cis/"/>
    <hyperlink ref="C1449" r:id="rId2897" display="http://onlinegame.railnation.ru/"/>
    <hyperlink ref="E1449" r:id="rId2898" display="https://store.admitad.com/webmaster/websites/2166760/offers/8410-rail-nation-doi-ru-many-geos/"/>
    <hyperlink ref="C1450" r:id="rId2899" display="http://exist.ua/"/>
    <hyperlink ref="E1450" r:id="rId2900" display="https://store.admitad.com/webmaster/websites/2166760/offers/9348-existua/"/>
    <hyperlink ref="C1451" r:id="rId2901" display="https://tickets.ru/"/>
    <hyperlink ref="E1451" r:id="rId2902" display="https://store.admitad.com/webmaster/websites/2166760/offers/13961-tickets-many-geos/"/>
    <hyperlink ref="C1452" r:id="rId2903" display="https://vassatrend.ru/"/>
    <hyperlink ref="E1452" r:id="rId2904" display="https://store.admitad.com/webmaster/websites/2166760/offers/14076-vassa-co/"/>
    <hyperlink ref="C1453" r:id="rId2905" display="http://www.my-karnaval.ru/"/>
    <hyperlink ref="E1453" r:id="rId2906" display="https://store.admitad.com/webmaster/websites/2166760/offers/14454-moi-karnaval/"/>
    <hyperlink ref="C1454" r:id="rId2907" display="https://ru.4game.com/bns/install/"/>
    <hyperlink ref="E1454" r:id="rId2908" display="https://store.admitad.com/webmaster/websites/2166760/offers/14983-blade-and-soul-cpp-ru-cis/"/>
    <hyperlink ref="C1455" r:id="rId2909" display="http://cleartrip.com/"/>
    <hyperlink ref="E1455" r:id="rId2910" display="https://store.admitad.com/webmaster/websites/2166760/offers/15170-cleartrip-cps-in/"/>
    <hyperlink ref="C1456" r:id="rId2911" display="https://ruvds.com/"/>
    <hyperlink ref="E1456" r:id="rId2912" display="https://store.admitad.com/webmaster/websites/2166760/offers/15189-ru-vds-ww/"/>
    <hyperlink ref="C1457" r:id="rId2913" display="https://www.floraexpress.ru/"/>
    <hyperlink ref="E1457" r:id="rId2914" display="https://store.admitad.com/webmaster/websites/2166760/offers/15218-floraexpress/"/>
    <hyperlink ref="C1458" r:id="rId2915" display="http://www.newchic.com/"/>
    <hyperlink ref="E1458" r:id="rId2916" display="https://store.admitad.com/webmaster/websites/2166760/offers/15671-newchic-ww/"/>
    <hyperlink ref="C1459" r:id="rId2917" display="https://101tea.ru/"/>
    <hyperlink ref="E1459" r:id="rId2918" display="https://store.admitad.com/webmaster/websites/2166760/offers/15688-101-chai/"/>
    <hyperlink ref="C1460" r:id="rId2919" display="https://www.makemytrip.com/flights"/>
    <hyperlink ref="E1460" r:id="rId2920" display="https://store.admitad.com/webmaster/websites/2166760/offers/15689-mmt-df-cps-in/"/>
    <hyperlink ref="C1461" r:id="rId2921" display="http://www.indiangiftsportal.com/"/>
    <hyperlink ref="E1461" r:id="rId2922" display="https://store.admitad.com/webmaster/websites/2166760/offers/16163-igp-cps-ww/"/>
    <hyperlink ref="C1462" r:id="rId2923" display="https://www.cyber-florist.ru/"/>
    <hyperlink ref="E1462" r:id="rId2924" display="https://store.admitad.com/webmaster/websites/2166760/offers/16494-cyber-florist-ww/"/>
    <hyperlink ref="C1463" r:id="rId2925" display="https://kwork.ru/"/>
    <hyperlink ref="E1463" r:id="rId2926" display="https://store.admitad.com/webmaster/websites/2166760/offers/17413-kwork/"/>
    <hyperlink ref="C1464" r:id="rId2927" display="https://worldoftanks.com/"/>
    <hyperlink ref="E1464" r:id="rId2928" display="https://store.admitad.com/webmaster/websites/2166760/offers/17523-world-of-tanks-soi-many-geos/"/>
    <hyperlink ref="C1465" r:id="rId2929" display="https://fishki.ua/"/>
    <hyperlink ref="E1465" r:id="rId2930" display="https://store.admitad.com/webmaster/websites/2166760/offers/17577-fishki-ua/"/>
    <hyperlink ref="C1466" r:id="rId2931" display="http://s-tell.ua/"/>
    <hyperlink ref="E1466" r:id="rId2932" display="https://store.admitad.com/webmaster/websites/2166760/offers/17767-s-tell-ua/"/>
    <hyperlink ref="C1467" r:id="rId2933" display="https://www.sima-land.ru/"/>
    <hyperlink ref="E1467" r:id="rId2934" display="https://store.admitad.com/webmaster/websites/2166760/offers/17823-sima-lend/"/>
    <hyperlink ref="C1468" r:id="rId2935" display="http://skillshare.evyy.net/c/269814/298081/4650"/>
    <hyperlink ref="E1468" r:id="rId2936" display="https://store.admitad.com/webmaster/websites/2166760/offers/17846-skillshare-many-geos/"/>
    <hyperlink ref="C1469" r:id="rId2937" display="https://macpaw.com/"/>
    <hyperlink ref="E1469" r:id="rId2938" display="https://store.admitad.com/webmaster/websites/2166760/offers/17985-macpaw-ww/"/>
    <hyperlink ref="C1470" r:id="rId2939" display="https://www.economybookings.com/"/>
    <hyperlink ref="E1470" r:id="rId2940" display="https://store.admitad.com/webmaster/websites/2166760/offers/18153-economybookings-many-geos/"/>
    <hyperlink ref="C1471" r:id="rId2941" display="https://www.megazip.ru/"/>
    <hyperlink ref="E1471" r:id="rId2942" display="https://store.admitad.com/webmaster/websites/2166760/offers/18296-megazip/"/>
    <hyperlink ref="C1472" r:id="rId2943" display="https://www.nationalcar.com/en/home.html"/>
    <hyperlink ref="E1472" r:id="rId2944" display="https://store.admitad.com/webmaster/websites/2166760/offers/18328-national-car-rental-us/"/>
    <hyperlink ref="C1473" r:id="rId2945" display="https://www.360totalsecurity.com/"/>
    <hyperlink ref="E1473" r:id="rId2946" display="https://store.admitad.com/webmaster/websites/2166760/offers/18363-360totalsecurity-ww/"/>
    <hyperlink ref="C1474" r:id="rId2947" display="https://www.adobe.com/"/>
    <hyperlink ref="E1474" r:id="rId2948" display="https://store.admitad.com/webmaster/websites/2166760/offers/18633-adobe-many-geos/"/>
    <hyperlink ref="C1475" r:id="rId2949" display="https://dfsport.ru/"/>
    <hyperlink ref="E1475" r:id="rId2950" display="https://store.admitad.com/webmaster/websites/2166760/offers/18698-dfsport/"/>
    <hyperlink ref="C1476" r:id="rId2951" display="http://bigmag.ua/"/>
    <hyperlink ref="E1476" r:id="rId2952" display="https://store.admitad.com/webmaster/websites/2166760/offers/18771-bigmag-ua/"/>
    <hyperlink ref="C1477" r:id="rId2953" display="https://vodnik.1000size.ru/"/>
    <hyperlink ref="E1477" r:id="rId2954" display="https://store.admitad.com/webmaster/websites/2166760/offers/18831-vodnik/"/>
    <hyperlink ref="C1478" r:id="rId2955" display="https://oma.by/"/>
    <hyperlink ref="E1478" r:id="rId2956" display="https://store.admitad.com/webmaster/websites/2166760/offers/19156-oma-by/"/>
    <hyperlink ref="C1479" r:id="rId2957" display="https://www.bombayshavingcompany.com/"/>
    <hyperlink ref="E1479" r:id="rId2958" display="https://store.admitad.com/webmaster/websites/2166760/offers/19256-bombay-shaving-company-cps-in/"/>
    <hyperlink ref="C1480" r:id="rId2959" display="https://ktc.ua/"/>
    <hyperlink ref="E1480" r:id="rId2960" display="https://store.admitad.com/webmaster/websites/2166760/offers/19312-ktc-ua/"/>
    <hyperlink ref="C1481" r:id="rId2961" display="https://uae.sharafdg.com/"/>
    <hyperlink ref="E1481" r:id="rId2962" display="https://store.admitad.com/webmaster/websites/2166760/offers/19333-sharafdg-ae/"/>
    <hyperlink ref="C1482" r:id="rId2963" display="https://www.massdrop.com/"/>
    <hyperlink ref="E1482" r:id="rId2964" display="https://store.admitad.com/webmaster/websites/2166760/offers/19350-drop-ww/"/>
    <hyperlink ref="C1483" r:id="rId2965" display="https://conteshop.ru/"/>
    <hyperlink ref="E1483" r:id="rId2966" display="https://store.admitad.com/webmaster/websites/2166760/offers/19444-conteshop/"/>
    <hyperlink ref="C1484" r:id="rId2967" display="https://www.ttt.ua/"/>
    <hyperlink ref="E1484" r:id="rId2968" display="https://store.admitad.com/webmaster/websites/2166760/offers/19529-ttt-ua/"/>
    <hyperlink ref="C1485" r:id="rId2969" display="https://www.bigrock.in/"/>
    <hyperlink ref="E1485" r:id="rId2970" display="https://store.admitad.com/webmaster/websites/2166760/offers/19703-bigrock-cps-in/"/>
    <hyperlink ref="C1486" r:id="rId2971" display="https://www.berrylook.com/"/>
    <hyperlink ref="E1486" r:id="rId2972" display="https://store.admitad.com/webmaster/websites/2166760/offers/20138-berrylook-ww/"/>
    <hyperlink ref="C1487" r:id="rId2973" display="http://worldofwarships.com/"/>
    <hyperlink ref="E1487" r:id="rId2974" display="https://store.admitad.com/webmaster/websites/2166760/offers/20191-world-of-warships-soi-many-geos/"/>
    <hyperlink ref="C1488" r:id="rId2975" display="https://ibis.net.ua/"/>
    <hyperlink ref="E1488" r:id="rId2976" display="https://store.admitad.com/webmaster/websites/2166760/offers/20365-ibis-ua/"/>
    <hyperlink ref="C1489" r:id="rId2977" display="https://www.mrmoney.com.ua/"/>
    <hyperlink ref="E1489" r:id="rId2978" display="https://store.admitad.com/webmaster/websites/2166760/offers/20389-mrmoney-cps-ua/"/>
    <hyperlink ref="C1490" r:id="rId2979" display="https://www.secretescapes.com/"/>
    <hyperlink ref="E1490" r:id="rId2980" display="https://store.admitad.com/webmaster/websites/2166760/offers/20629-secret-escapes-uk/"/>
    <hyperlink ref="C1491" r:id="rId2981" display="https://verdelab.pl/"/>
    <hyperlink ref="E1491" r:id="rId2982" display="https://store.admitad.com/webmaster/websites/2166760/offers/20722-verdelab-pl/"/>
    <hyperlink ref="C1492" r:id="rId2983" display="https://worldofwarships.ru/"/>
    <hyperlink ref="E1492" r:id="rId2984" display="https://store.admitad.com/webmaster/websites/2166760/offers/20827-world-of-warships-cpp-ru-cis/"/>
    <hyperlink ref="C1493" r:id="rId2985" display="https://www.goibibo.com/hotels/"/>
    <hyperlink ref="E1493" r:id="rId2986" display="https://store.admitad.com/webmaster/websites/2166760/offers/20865-goibibo-hotels-cps-in/"/>
    <hyperlink ref="C1494" r:id="rId2987" display="https://www.durian.in/"/>
    <hyperlink ref="E1494" r:id="rId2988" display="https://store.admitad.com/webmaster/websites/2166760/offers/20922-durian-cps-in/"/>
    <hyperlink ref="C1495" r:id="rId2989" display="https://www.ericdress.com/"/>
    <hyperlink ref="E1495" r:id="rId2990" display="https://store.admitad.com/webmaster/websites/2166760/offers/20949-ericdress-ww/"/>
    <hyperlink ref="C1496" r:id="rId2991" display="https://www.intercars-tickets.com/"/>
    <hyperlink ref="E1496" r:id="rId2992" display="https://store.admitad.com/webmaster/websites/2166760/offers/20969-intercars-tickets-many-geos/"/>
    <hyperlink ref="C1497" r:id="rId2993" display="https://la.mail.ru/"/>
    <hyperlink ref="E1497" r:id="rId2994" display="https://store.admitad.com/webmaster/websites/2166760/offers/20979-lost-ark-cpp-ru-cis/"/>
    <hyperlink ref="C1498" r:id="rId2995" display="https://www.shoptime.com.br/"/>
    <hyperlink ref="E1498" r:id="rId2996" display="https://store.admitad.com/webmaster/websites/2166760/offers/21001-shoptime-br/"/>
    <hyperlink ref="C1499" r:id="rId2997" display="https://www.durexindia.com/"/>
    <hyperlink ref="E1499" r:id="rId2998" display="https://store.admitad.com/webmaster/websites/2166760/offers/21064-durex-cpsin/"/>
    <hyperlink ref="C1500" r:id="rId2999" display="https://www.ticketmaster.pl/"/>
    <hyperlink ref="E1500" r:id="rId3000" display="https://store.admitad.com/webmaster/websites/2166760/offers/21128-ticketmaster-pl/"/>
    <hyperlink ref="C1501" r:id="rId3001" display="https://www.fanatical.com/"/>
    <hyperlink ref="E1501" r:id="rId3002" display="https://store.admitad.com/webmaster/websites/2166760/offers/21238-fanatical-ww/"/>
    <hyperlink ref="C1502" r:id="rId3003" display="https://www.abebooks.it/"/>
    <hyperlink ref="E1502" r:id="rId3004" display="https://store.admitad.com/webmaster/websites/2166760/offers/21289-abebookscom-many-geos/"/>
    <hyperlink ref="C1503" r:id="rId3005" display="https://sloncredit.com.ua/ru"/>
    <hyperlink ref="E1503" r:id="rId3006" display="https://store.admitad.com/webmaster/websites/2166760/offers/21425-slon-credit-cpsapi-ua/"/>
    <hyperlink ref="C1504" r:id="rId3007" display="https://termlife.policybazaar.com/"/>
    <hyperlink ref="E1504" r:id="rId3008" display="https://store.admitad.com/webmaster/websites/2166760/offers/21469-policybazaar-termlife-cpl-in/"/>
    <hyperlink ref="C1505" r:id="rId3009" display="https://www.camper.com/ru_RU/"/>
    <hyperlink ref="E1505" r:id="rId3010" display="https://store.admitad.com/webmaster/websites/2166760/offers/21707-camper-ru-tr/"/>
    <hyperlink ref="C1506" r:id="rId3011" display="https://www.radissonhotelgroup.com/"/>
    <hyperlink ref="E1506" r:id="rId3012" display="https://store.admitad.com/webmaster/websites/2166760/offers/21870-radisson-hotel-group-many-geos/"/>
    <hyperlink ref="C1507" r:id="rId3013" display="https://www.hdfcergo.com/"/>
    <hyperlink ref="E1507" r:id="rId3014" display="https://store.admitad.com/webmaster/websites/2166760/offers/21930-hdfc-ergo-health-cpl-in/"/>
    <hyperlink ref="C1508" r:id="rId3015" display="https://www.geekmall.com/"/>
    <hyperlink ref="E1508" r:id="rId3016" display="https://store.admitad.com/webmaster/websites/2166760/offers/21957-geekmall-cps-it/"/>
    <hyperlink ref="C1509" r:id="rId3017" display="https://sportmarket.su/"/>
    <hyperlink ref="E1509" r:id="rId3018" display="https://store.admitad.com/webmaster/websites/2166760/offers/21994-sportmarket/"/>
    <hyperlink ref="C1510" r:id="rId3019" display="https://gama-gama.ru/"/>
    <hyperlink ref="E1510" r:id="rId3020" display="https://store.admitad.com/webmaster/websites/2166760/offers/22034-gama-gama-ru-cis/"/>
    <hyperlink ref="C1511" r:id="rId3021" display="https://mamaearth.in/"/>
    <hyperlink ref="E1511" r:id="rId3022" display="https://store.admitad.com/webmaster/websites/2166760/offers/22129-mamaearth-cps-in/"/>
    <hyperlink ref="C1512" r:id="rId3023" display="https://marathon.ua/"/>
    <hyperlink ref="E1512" r:id="rId3024" display="https://store.admitad.com/webmaster/websites/2166760/offers/22164-marathon-ua/"/>
    <hyperlink ref="C1513" r:id="rId3025" display="https://www.101xp.com/games/game_of_thrones"/>
    <hyperlink ref="E1513" r:id="rId3026" display="https://store.admitad.com/webmaster/websites/2166760/offers/22233-game-of-thrones-cpp-rucis/"/>
    <hyperlink ref="C1514" r:id="rId3027" display="https://office.alfabank.kz/login"/>
    <hyperlink ref="E1514" r:id="rId3028" display="https://store.admitad.com/webmaster/websites/2166760/offers/22504-alfa-bank-cpl-kz-api/"/>
    <hyperlink ref="C1515" r:id="rId3029" display="https://www.veromoda.in/"/>
    <hyperlink ref="E1515" r:id="rId3030" display="https://store.admitad.com/webmaster/websites/2166760/offers/22519-veromoda-cps-in/"/>
    <hyperlink ref="C1516" r:id="rId3031" display="https://godaddy.com/"/>
    <hyperlink ref="E1516" r:id="rId3032" display="https://store.admitad.com/webmaster/websites/2166760/offers/22720-godaddy-cps-many-geos/"/>
    <hyperlink ref="C1517" r:id="rId3033" display="https://play.google.com/store/apps/details?id=com.letyshops"/>
    <hyperlink ref="E1517" r:id="rId3034" display="https://store.admitad.com/webmaster/websites/2166760/offers/22723-letyshops-cpllifetime-android-many-geos/"/>
    <hyperlink ref="C1518" r:id="rId3035" display="https://www.tous.com/ua-uk/"/>
    <hyperlink ref="E1518" r:id="rId3036" display="https://store.admitad.com/webmaster/websites/2166760/offers/22780-tous-ua/"/>
    <hyperlink ref="C1519" r:id="rId3037" display="https://loretogallo.com/"/>
    <hyperlink ref="E1519" r:id="rId3038" display="https://store.admitad.com/webmaster/websites/2166760/offers/22782-loreto-gallo-cps-fr-es-de-uk/"/>
    <hyperlink ref="C1520" r:id="rId3039" display="https://plarium.com/landings/en/desktop/raid/dragon_fire_a_m_f038_droapp"/>
    <hyperlink ref="E1520" r:id="rId3040" display="https://store.admitad.com/webmaster/websites/2166760/offers/22811-raid-shadow-legends-cpp-ww/"/>
    <hyperlink ref="C1521" r:id="rId3041" display="https://www.iciciprulife.com/term-insurance-plans/iprotect-smart-term-insurance-calculator.html?UID=35436&amp;utm_source=email&amp;utm_medium=affiliate&amp;utm_campaign=admitads-email-ips-affiliate-35436&amp;utm_content=secure-family"/>
    <hyperlink ref="E1521" r:id="rId3042" display="https://store.admitad.com/webmaster/websites/2166760/offers/22814-icici-prudential-life-insurance-cpl-in/"/>
    <hyperlink ref="C1522" r:id="rId3043" display="https://like4card.com/"/>
    <hyperlink ref="E1522" r:id="rId3044" display="https://store.admitad.com/webmaster/websites/2166760/offers/22866-like-card-many-geos-offline-codes-links/"/>
    <hyperlink ref="C1523" r:id="rId3045" display="https://crossout.net/play4free"/>
    <hyperlink ref="E1523" r:id="rId3046" display="https://store.admitad.com/webmaster/websites/2166760/offers/22948-crossout-cpp-many-geos/"/>
    <hyperlink ref="C1524" r:id="rId3047" display="https://yesfrukt.com/"/>
    <hyperlink ref="E1524" r:id="rId3048" display="https://store.admitad.com/webmaster/websites/2166760/offers/23063-yesfrukt-ua/"/>
    <hyperlink ref="C1525" r:id="rId3049" display="https://delivio.by/"/>
    <hyperlink ref="E1525" r:id="rId3050" display="https://store.admitad.com/webmaster/websites/2166760/offers/23094-delivio-by/"/>
    <hyperlink ref="C1526" r:id="rId3051" display="https://iqsha.ru/"/>
    <hyperlink ref="E1526" r:id="rId3052" display="https://store.admitad.com/webmaster/websites/2166760/offers/23119-iqsha-ru/"/>
    <hyperlink ref="C1527" r:id="rId3053" display="https://www.adidas.com.ph/"/>
    <hyperlink ref="E1527" r:id="rId3054" display="https://store.admitad.com/webmaster/websites/2166760/offers/23122-adidas-cps-ph/"/>
    <hyperlink ref="C1528" r:id="rId3055" display="https://www.wondershare.com/"/>
    <hyperlink ref="E1528" r:id="rId3056" display="https://store.admitad.com/webmaster/websites/2166760/offers/23157-wondershare-ww/"/>
    <hyperlink ref="C1529" r:id="rId3057" display="https://wowbodyslim.com/"/>
    <hyperlink ref="E1529" r:id="rId3058" display="https://store.admitad.com/webmaster/websites/2166760/offers/23171-wowbodyslim-ua/"/>
    <hyperlink ref="C1530" r:id="rId3059" display="https://infiplay.com/stormleague"/>
    <hyperlink ref="E1530" r:id="rId3060" display="https://store.admitad.com/webmaster/websites/2166760/offers/23177-liga-shtorma-soi-ru-cis/"/>
    <hyperlink ref="C1531" r:id="rId3061" display="https://www.boddess.com/"/>
    <hyperlink ref="E1531" r:id="rId3062" display="https://store.admitad.com/webmaster/websites/2166760/offers/23188-boddess-cpv-in/"/>
    <hyperlink ref="C1532" r:id="rId3063" display="https://www.zavvi.com/"/>
    <hyperlink ref="E1532" r:id="rId3064" display="https://store.admitad.com/webmaster/websites/2166760/offers/23405-zavvi-many-geos/"/>
    <hyperlink ref="C1533" r:id="rId3065" display="https://shopcrocs.in/"/>
    <hyperlink ref="E1533" r:id="rId3066" display="https://store.admitad.com/webmaster/websites/2166760/offers/23433-crocs-cps-in/"/>
    <hyperlink ref="C1534" r:id="rId3067" display="https://www.7starpartners.com/"/>
    <hyperlink ref="E1534" r:id="rId3068" display="https://store.admitad.com/webmaster/websites/2166760/offers/23443-7-stars-cpa-in/"/>
    <hyperlink ref="C1535" r:id="rId3069" display="https://insurance.kotak.com/OnlineTermInsurance/?utm_source=Admitad&amp;utm_medium=email&amp;utmcampaign=email&amp;utm_content=email&amp;lead_group=ip_affiliate"/>
    <hyperlink ref="E1535" r:id="rId3070" display="https://store.admitad.com/webmaster/websites/2166760/offers/23462-kotak-life-insurance-cpl-in-2/"/>
    <hyperlink ref="C1536" r:id="rId3071" display="https://smartreading.ru/"/>
    <hyperlink ref="E1536" r:id="rId3072" display="https://store.admitad.com/webmaster/websites/2166760/offers/23473-smartreading-ru/"/>
    <hyperlink ref="C1537" r:id="rId3073" display="https://wizaz24.pl/"/>
    <hyperlink ref="E1537" r:id="rId3074" display="https://store.admitad.com/webmaster/websites/2166760/offers/23509-wizaz24-pl/"/>
    <hyperlink ref="C1538" r:id="rId3075" display="https://filewhopper.com/"/>
    <hyperlink ref="E1538" r:id="rId3076" display="https://store.admitad.com/webmaster/websites/2166760/offers/23527-filewhopper-many-geos/"/>
    <hyperlink ref="C1539" r:id="rId3077" display="http://kiehls.in/"/>
    <hyperlink ref="E1539" r:id="rId3078" display="https://store.admitad.com/webmaster/websites/2166760/offers/23537-kiehls-cps-in/"/>
    <hyperlink ref="C1540" r:id="rId3079" display="https://www.alsaifgallery.com/"/>
    <hyperlink ref="E1540" r:id="rId3080" display="https://store.admitad.com/webmaster/websites/2166760/offers/23574-alsaifgallery-ae-bh-kw-om-qa-sa/"/>
    <hyperlink ref="C1541" r:id="rId3081" display="https://englishpapa.ru/online"/>
    <hyperlink ref="E1541" r:id="rId3082" display="https://store.admitad.com/webmaster/websites/2166760/offers/23663-englishpapa-many-geos/"/>
    <hyperlink ref="C1542" r:id="rId3083" display="https://forenzi.kz/"/>
    <hyperlink ref="E1542" r:id="rId3084" display="https://store.admitad.com/webmaster/websites/2166760/offers/23718-forenzi-cpl-kz/"/>
    <hyperlink ref="C1543" r:id="rId3085" display="https://www.buywow.in/"/>
    <hyperlink ref="E1543" r:id="rId3086" display="https://store.admitad.com/webmaster/websites/2166760/offers/23825-buywow-cps-in/"/>
    <hyperlink ref="C1544" r:id="rId3087" display="https://www.mspy.com/"/>
    <hyperlink ref="E1544" r:id="rId3088" display="https://store.admitad.com/webmaster/websites/2166760/offers/23974-mspy-many-geos/"/>
    <hyperlink ref="C1545" r:id="rId3089" display="https://plarium.com/"/>
    <hyperlink ref="E1545" r:id="rId3090" display="https://store.admitad.com/webmaster/websites/2166760/offers/24011-raid-shadow-legends-soi-ww/"/>
    <hyperlink ref="C1546" r:id="rId3091" display="https://espritgames.ru/worldofchaos/"/>
    <hyperlink ref="E1546" r:id="rId3092" display="https://store.admitad.com/webmaster/websites/2166760/offers/24049-world-of-chaos-soi-rucis/"/>
    <hyperlink ref="C1547" r:id="rId3093" display="https://www.hamleys.in/"/>
    <hyperlink ref="E1547" r:id="rId3094" display="https://store.admitad.com/webmaster/websites/2166760/offers/24059-hamleys-cps-in/"/>
    <hyperlink ref="C1548" r:id="rId3095" display="https://www.idealshape.com/"/>
    <hyperlink ref="E1548" r:id="rId3096" display="https://store.admitad.com/webmaster/websites/2166760/offers/24125-exante-us/"/>
    <hyperlink ref="C1549" r:id="rId3097" display="https://www.justfashionnow.com/"/>
    <hyperlink ref="E1549" r:id="rId3098" display="https://store.admitad.com/webmaster/websites/2166760/offers/24286-justfashionnow-ww/"/>
    <hyperlink ref="C1550" r:id="rId3099" display="https://lilicloth.com/"/>
    <hyperlink ref="E1550" r:id="rId3100" display="https://store.admitad.com/webmaster/websites/2166760/offers/24288-lilicloth-ww/"/>
    <hyperlink ref="C1551" r:id="rId3101" display="https://fashion.sa/"/>
    <hyperlink ref="E1551" r:id="rId3102" display="https://store.admitad.com/webmaster/websites/2166760/offers/24316-fashion-sa-offline-codes/"/>
    <hyperlink ref="C1552" r:id="rId3103" display="https://www.lentiamo.it/"/>
    <hyperlink ref="E1552" r:id="rId3104" display="https://store.admitad.com/webmaster/websites/2166760/offers/24363-lentiamo-it/"/>
    <hyperlink ref="C1553" r:id="rId3105" display="https://www.bancobmg.com.br/vasco/"/>
    <hyperlink ref="E1553" r:id="rId3106" display="https://store.admitad.com/webmaster/websites/2166760/offers/24379-bmg-vasco-cpa-android-br/"/>
    <hyperlink ref="C1554" r:id="rId3107" display="https://www.bancobmg.com.br/galo/"/>
    <hyperlink ref="E1554" r:id="rId3108" display="https://store.admitad.com/webmaster/websites/2166760/offers/24380-bmg-galo-cpa-android-br/"/>
    <hyperlink ref="C1555" r:id="rId3109" display="https://www.c-and-a.com/de/de/shop/damen"/>
    <hyperlink ref="E1555" r:id="rId3110" display="https://store.admitad.com/webmaster/websites/2166760/offers/24389-ca-de/"/>
    <hyperlink ref="C1556" r:id="rId3111" display="https://www.edx.org/"/>
    <hyperlink ref="E1556" r:id="rId3112" display="https://store.admitad.com/webmaster/websites/2166760/offers/24455-edx-many-geos/"/>
    <hyperlink ref="C1557" r:id="rId3113" display="https://itvdn.com/"/>
    <hyperlink ref="E1557" r:id="rId3114" display="https://store.admitad.com/webmaster/websites/2166760/offers/24611-itvdn-many-geos/"/>
    <hyperlink ref="C1558" r:id="rId3115" display="https://bedfolk.com/"/>
    <hyperlink ref="E1558" r:id="rId3116" display="https://store.admitad.com/webmaster/websites/2166760/offers/24615-bedfolk-uk/"/>
    <hyperlink ref="C1559" r:id="rId3117" display="https://prolon.ae/"/>
    <hyperlink ref="E1559" r:id="rId3118" display="https://store.admitad.com/webmaster/websites/2166760/offers/24668-prolon-gcc-offline-codes-links/"/>
    <hyperlink ref="C1560" r:id="rId3119" display="https://skinkraft.com/"/>
    <hyperlink ref="E1560" r:id="rId3120" display="https://store.admitad.com/webmaster/websites/2166760/offers/24673-skinkraft-cps-in/"/>
    <hyperlink ref="C1561" r:id="rId3121" display="https://mego.travel/"/>
    <hyperlink ref="E1561" r:id="rId3122" display="https://store.admitad.com/webmaster/websites/2166760/offers/24677-megotravel/"/>
    <hyperlink ref="C1562" r:id="rId3123" display="https://espritgames.ru/darkgenesis/"/>
    <hyperlink ref="E1562" r:id="rId3124" display="https://store.admitad.com/webmaster/websites/2166760/offers/24683-dark-genesis-soi-rucis/"/>
    <hyperlink ref="C1563" r:id="rId3125" display="https://www.happyeasygo.com/"/>
    <hyperlink ref="E1563" r:id="rId3126" display="https://store.admitad.com/webmaster/websites/2166760/offers/24722-happyeasygo-cps-in/"/>
    <hyperlink ref="C1564" r:id="rId3127" display="https://www.damensch.com/"/>
    <hyperlink ref="E1564" r:id="rId3128" display="https://store.admitad.com/webmaster/websites/2166760/offers/24838-damensch-cpv-in/"/>
    <hyperlink ref="C1565" r:id="rId3129" display="https://ofour.com/"/>
    <hyperlink ref="E1565" r:id="rId3130" display="https://store.admitad.com/webmaster/websites/2166760/offers/24867-ofour-many-geos/"/>
    <hyperlink ref="C1566" r:id="rId3131" display="https://www.hdfcsec.com/"/>
    <hyperlink ref="E1566" r:id="rId3132" display="https://store.admitad.com/webmaster/websites/2166760/offers/24881-hdfc-securities-cpa-in/"/>
    <hyperlink ref="C1567" r:id="rId3133" display="https://megogo.net/"/>
    <hyperlink ref="E1567" r:id="rId3134" display="https://store.admitad.com/webmaster/websites/2166760/offers/24904-megogo-ua/"/>
    <hyperlink ref="C1568" r:id="rId3135" display="https://ua.defactofashion.com/"/>
    <hyperlink ref="E1568" r:id="rId3136" display="https://store.admitad.com/webmaster/websites/2166760/offers/24910-defacto-ua/"/>
    <hyperlink ref="C1569" r:id="rId3137" display="https://kenzwoman.com/"/>
    <hyperlink ref="E1569" r:id="rId3138" display="https://store.admitad.com/webmaster/websites/2166760/offers/24918-kenzwoman-sa-offline-codes-and-links/"/>
    <hyperlink ref="C1570" r:id="rId3139" display="https://www.voxfurniture.ae/"/>
    <hyperlink ref="E1570" r:id="rId3140" display="https://store.admitad.com/webmaster/websites/2166760/offers/24961-vox-furniture-ae/"/>
    <hyperlink ref="C1571" r:id="rId3141" display="https://www.icicibank.com/card/credit-cards/credit-card.page"/>
    <hyperlink ref="E1571" r:id="rId3142" display="https://store.admitad.com/webmaster/websites/2166760/offers/24964-icici-cc-cpl-in/"/>
    <hyperlink ref="C1572" r:id="rId3143" display="https://fr.myprotein.com/"/>
    <hyperlink ref="E1572" r:id="rId3144" display="https://store.admitad.com/webmaster/websites/2166760/offers/24978-myprotein-fr/"/>
    <hyperlink ref="C1573" r:id="rId3145" display="https://sleepycat.in/"/>
    <hyperlink ref="E1573" r:id="rId3146" display="https://store.admitad.com/webmaster/websites/2166760/offers/24987-sleepycat-cps-in/"/>
    <hyperlink ref="C1574" r:id="rId3147" display="https://www.brandrange.com/en/"/>
    <hyperlink ref="E1574" r:id="rId3148" display="https://store.admitad.com/webmaster/websites/2166760/offers/25233-brandrange-gcc/"/>
    <hyperlink ref="C1575" r:id="rId3149" display="https://www.mensxp.com/"/>
    <hyperlink ref="E1575" r:id="rId3150" display="https://store.admitad.com/webmaster/websites/2166760/offers/25285-mensxp-cps-in/"/>
    <hyperlink ref="C1576" r:id="rId3151" display="https://www.desigual.com/"/>
    <hyperlink ref="E1576" r:id="rId3152" display="https://store.admitad.com/webmaster/websites/2166760/offers/25312-desigual-cps-es-tr/"/>
    <hyperlink ref="C1577" r:id="rId3153" display="http://fanwars.ru/"/>
    <hyperlink ref="E1577" r:id="rId3154" display="https://store.admitad.com/webmaster/websites/2166760/offers/25319-fanwars-doi-ru-cis/"/>
    <hyperlink ref="C1578" r:id="rId3155" display="https://www.soulfull.co.in/"/>
    <hyperlink ref="E1578" r:id="rId3156" display="https://store.admitad.com/webmaster/websites/2166760/offers/25345-soulfull-cps-in/"/>
    <hyperlink ref="C1579" r:id="rId3157" display="https://recredit.ua/uk"/>
    <hyperlink ref="E1579" r:id="rId3158" display="https://store.admitad.com/webmaster/websites/2166760/offers/25880-recredit-cps-ua/"/>
    <hyperlink ref="C1580" r:id="rId3159" display="https://induseasycredit.indusind.com/customer/application/work-details"/>
    <hyperlink ref="E1580" r:id="rId3160" display="https://store.admitad.com/webmaster/websites/2166760/offers/25915-indusind-credit-card-cpl-in/"/>
    <hyperlink ref="C1581" r:id="rId3161" display="https://store.my.games/play/game/conquerors_blade_my_com/?lang=en_US"/>
    <hyperlink ref="E1581" r:id="rId3162" display="https://store.admitad.com/webmaster/websites/2166760/offers/25991-conquerors-blade-spp-many-geos/"/>
    <hyperlink ref="C1582" r:id="rId3163" display="https://www.sender.net/?ref=admitadaffiliatenetwork7"/>
    <hyperlink ref="E1582" r:id="rId3164" display="https://store.admitad.com/webmaster/websites/2166760/offers/26118-sendernet-ww/"/>
    <hyperlink ref="C1583" r:id="rId3165" display="https://maudau.com.ua/"/>
    <hyperlink ref="E1583" r:id="rId3166" display="https://store.admitad.com/webmaster/websites/2166760/offers/26148-maudau-ua/"/>
    <hyperlink ref="C1584" r:id="rId3167" display="http://www.supersim.com.br/"/>
    <hyperlink ref="E1584" r:id="rId3168" display="https://store.admitad.com/webmaster/websites/2166760/offers/26218-supersim/"/>
    <hyperlink ref="C1585" r:id="rId3169" display="https://www.easeus.com/"/>
    <hyperlink ref="E1585" r:id="rId3170" display="https://store.admitad.com/webmaster/websites/2166760/offers/26224-easeus-cps-ww/"/>
    <hyperlink ref="C1586" r:id="rId3171" display="https://www.organicindia.com/"/>
    <hyperlink ref="E1586" r:id="rId3172" display="https://store.admitad.com/webmaster/websites/2166760/offers/26268-organic-india-cps-in/"/>
    <hyperlink ref="C1587" r:id="rId3173" display="https://www.stoffe-hemmers.de/"/>
    <hyperlink ref="E1587" r:id="rId3174" display="https://store.admitad.com/webmaster/websites/2166760/offers/26297-stoffe-hemmers-de/"/>
    <hyperlink ref="C1588" r:id="rId3175" display="https://www.maxisport.com/"/>
    <hyperlink ref="E1588" r:id="rId3176" display="https://store.admitad.com/webmaster/websites/2166760/offers/26301-maxi-sport-it/"/>
    <hyperlink ref="C1589" r:id="rId3177" display="https://www.captrader.com/"/>
    <hyperlink ref="E1589" r:id="rId3178" display="https://store.admitad.com/webmaster/websites/2166760/offers/26307-cap-trader-de/"/>
    <hyperlink ref="C1590" r:id="rId3179" display="https://www.deindesign.de/"/>
    <hyperlink ref="E1590" r:id="rId3180" display="https://store.admitad.com/webmaster/websites/2166760/offers/26315-deindesign-de/"/>
    <hyperlink ref="C1591" r:id="rId3181" display="https://www.christ.de/"/>
    <hyperlink ref="E1591" r:id="rId3182" display="https://store.admitad.com/webmaster/websites/2166760/offers/26323-christ-de/"/>
    <hyperlink ref="C1592" r:id="rId3183" display="https://www.palmers-shop.com/"/>
    <hyperlink ref="E1592" r:id="rId3184" display="https://store.admitad.com/webmaster/websites/2166760/offers/26339-palmers-de-at/"/>
    <hyperlink ref="C1593" r:id="rId3185" display="https://www.mirapodo.de/"/>
    <hyperlink ref="E1593" r:id="rId3186" display="https://store.admitad.com/webmaster/websites/2166760/offers/26368-mirapodo-de/"/>
    <hyperlink ref="C1594" r:id="rId3187" display="http://mariefreshcosmetics.com/"/>
    <hyperlink ref="E1594" r:id="rId3188" display="https://store.admitad.com/webmaster/websites/2166760/offers/26446-marie-fresh-cosmetics-many-geos/"/>
    <hyperlink ref="C1595" r:id="rId3189" display="https://jingus.com/"/>
    <hyperlink ref="E1595" r:id="rId3190" display="https://store.admitad.com/webmaster/websites/2166760/offers/26470-jing-ww/"/>
    <hyperlink ref="C1596" r:id="rId3191" display="https://www.fossil.com/de/de.html"/>
    <hyperlink ref="E1596" r:id="rId3192" display="https://store.admitad.com/webmaster/websites/2166760/offers/26496-fossil-de/"/>
    <hyperlink ref="C1597" r:id="rId3193" display="https://www.street-one.nl/"/>
    <hyperlink ref="E1597" r:id="rId3194" display="https://store.admitad.com/webmaster/websites/2166760/offers/26562-street-one-nl/"/>
    <hyperlink ref="C1598" r:id="rId3195" display="https://www.debenhams.com/"/>
    <hyperlink ref="E1598" r:id="rId3196" display="https://store.admitad.com/webmaster/websites/2166760/offers/26594-debenhams-uk/"/>
    <hyperlink ref="C1599" r:id="rId3197" display="https://www.marionnaud.fr/"/>
    <hyperlink ref="E1599" r:id="rId3198" display="https://store.admitad.com/webmaster/websites/2166760/offers/26719-marionnaud-fr/"/>
    <hyperlink ref="C1600" r:id="rId3199" display="https://www.boots.com/"/>
    <hyperlink ref="E1600" r:id="rId3200" display="https://store.admitad.com/webmaster/websites/2166760/offers/26727-boots-uk/"/>
    <hyperlink ref="C1601" r:id="rId3201" display="https://newonlineaccount.adityabirlamoney.com/login?utm_source=Admitad&amp;utm_medium=%7bparameter%7d"/>
    <hyperlink ref="E1601" r:id="rId3202" display="https://store.admitad.com/webmaster/websites/2166760/offers/26733-aditya-birla-money-cpl-in/"/>
    <hyperlink ref="C1602" r:id="rId3203" display="https://www.fhinds.co.uk/"/>
    <hyperlink ref="E1602" r:id="rId3204" display="https://store.admitad.com/webmaster/websites/2166760/offers/26750-fhinds-jewellers-uk/"/>
    <hyperlink ref="C1603" r:id="rId3205" display="https://www.gear4music.com/"/>
    <hyperlink ref="E1603" r:id="rId3206" display="https://store.admitad.com/webmaster/websites/2166760/offers/26752-gear-4-music-uk/"/>
    <hyperlink ref="C1604" r:id="rId3207" display="https://www.ottonova.de/"/>
    <hyperlink ref="E1604" r:id="rId3208" display="https://store.admitad.com/webmaster/websites/2166760/offers/26781-ottonova-de/"/>
    <hyperlink ref="C1605" r:id="rId3209" display="https://me.hummel.net/"/>
    <hyperlink ref="E1605" r:id="rId3210" display="https://store.admitad.com/webmaster/websites/2166760/offers/26840-hummel/"/>
    <hyperlink ref="C1606" r:id="rId3211" display="https://www.giordanoshop.com/"/>
    <hyperlink ref="E1606" r:id="rId3212" display="https://store.admitad.com/webmaster/websites/2166760/offers/26917-giordano-shop-it/"/>
    <hyperlink ref="C1607" r:id="rId3213" display="https://www.bunches.co.uk/"/>
    <hyperlink ref="E1607" r:id="rId3214" display="https://store.admitad.com/webmaster/websites/2166760/offers/26969-bunches-uk/"/>
    <hyperlink ref="C1608" r:id="rId3215" display="https://www.beerwulf.com/de-de"/>
    <hyperlink ref="E1608" r:id="rId3216" display="https://store.admitad.com/webmaster/websites/2166760/offers/26973-beerwulf-de/"/>
    <hyperlink ref="C1609" r:id="rId3217" display="https://www.werder.de/shop/"/>
    <hyperlink ref="E1609" r:id="rId3218" display="https://store.admitad.com/webmaster/websites/2166760/offers/27064-sv-werder-bremen-fanshop-de/"/>
    <hyperlink ref="C1610" r:id="rId3219" display="https://www.zooplus.co.uk/"/>
    <hyperlink ref="E1610" r:id="rId3220" display="https://store.admitad.com/webmaster/websites/2166760/offers/27131-zooplus-uk/"/>
    <hyperlink ref="C1611" r:id="rId3221" display="https://www.underarmour.com/en-us/"/>
    <hyperlink ref="E1611" r:id="rId3222" display="https://store.admitad.com/webmaster/websites/2166760/offers/27145-under-armour-us/"/>
    <hyperlink ref="C1612" r:id="rId3223" display="https://www.peterhahn.de/"/>
    <hyperlink ref="E1612" r:id="rId3224" display="https://store.admitad.com/webmaster/websites/2166760/offers/27147-peter-hahn-de-hochwertige-damenmode/"/>
    <hyperlink ref="C1613" r:id="rId3225" display="https://www.blume2000.de/"/>
    <hyperlink ref="E1613" r:id="rId3226" display="https://store.admitad.com/webmaster/websites/2166760/offers/27182-blume2000-de/"/>
    <hyperlink ref="C1614" r:id="rId3227" display="https://www.pyszne.pl/"/>
    <hyperlink ref="E1614" r:id="rId3228" display="https://store.admitad.com/webmaster/websites/2166760/offers/27226-pyszne-pl/"/>
    <hyperlink ref="C1615" r:id="rId3229" display="https://www.qr-code-generator.com/"/>
    <hyperlink ref="E1615" r:id="rId3230" display="https://store.admitad.com/webmaster/websites/2166760/offers/27228-qr-code-generator-us/"/>
    <hyperlink ref="C1616" r:id="rId3231" display="https://www.godrejprofessional.com/"/>
    <hyperlink ref="E1616" r:id="rId3232" display="https://store.admitad.com/webmaster/websites/2166760/offers/27236-godrej-professional-cps-in/"/>
    <hyperlink ref="C1617" r:id="rId3233" display="https://ultimatepetnutrition.com/"/>
    <hyperlink ref="E1617" r:id="rId3234" display="https://store.admitad.com/webmaster/websites/2166760/offers/27241-ultimate-pet-nutrition-us/"/>
    <hyperlink ref="C1618" r:id="rId3235" display="https://samp-net.com/"/>
    <hyperlink ref="E1618" r:id="rId3236" display="https://store.admitad.com/webmaster/websites/2166760/offers/27277-samp-net-role-play-cpp-rucis/"/>
    <hyperlink ref="C1619" r:id="rId3237" display="https://plarium.com/en/game/hustle-castle/"/>
    <hyperlink ref="E1619" r:id="rId3238" display="https://store.admitad.com/webmaster/websites/2166760/offers/27374-hustle-castle-cpp-us/"/>
    <hyperlink ref="C1620" r:id="rId3239" display="https://www.cerascreen.de/"/>
    <hyperlink ref="E1620" r:id="rId3240" display="https://store.admitad.com/webmaster/websites/2166760/offers/27404-cerascreen-de/"/>
    <hyperlink ref="C1621" r:id="rId3241" display="https://www.weekendesk.es/"/>
    <hyperlink ref="E1621" r:id="rId3242" display="https://store.admitad.com/webmaster/websites/2166760/offers/27412-weekendesk-es/"/>
    <hyperlink ref="C1622" r:id="rId3243" display="https://www.rattandirect.co.uk/"/>
    <hyperlink ref="E1622" r:id="rId3244" display="https://store.admitad.com/webmaster/websites/2166760/offers/27423-rattan-direct-uk/"/>
    <hyperlink ref="C1623" r:id="rId3245" display="http://www.hp.com/us-en/shop"/>
    <hyperlink ref="E1623" r:id="rId3246" display="https://store.admitad.com/webmaster/websites/2166760/offers/27427-hp-us/"/>
    <hyperlink ref="C1624" r:id="rId3247" display="https://www.fitnessfirst.de/"/>
    <hyperlink ref="E1624" r:id="rId3248" display="https://store.admitad.com/webmaster/websites/2166760/offers/27463-fitnessfirst-de/"/>
    <hyperlink ref="C1625" r:id="rId3249" display="http://oldi.ru/"/>
    <hyperlink ref="E1625" r:id="rId3250" display="https://store.admitad.com/webmaster/websites/2166760/offers/3061-oldi/"/>
    <hyperlink ref="C1626" r:id="rId3251" display="https://lightinthebox.com/"/>
    <hyperlink ref="E1626" r:id="rId3252" display="https://store.admitad.com/webmaster/websites/2166760/offers/5631-lightinthebox-ww/"/>
    <hyperlink ref="C1627" r:id="rId3253" display="http://puzzle-english.com/"/>
    <hyperlink ref="E1627" r:id="rId3254" display="https://store.admitad.com/webmaster/websites/2166760/offers/8945-puzzle-english/"/>
    <hyperlink ref="C1628" r:id="rId3255" display="http://secunda.com.ua/"/>
    <hyperlink ref="E1628" r:id="rId3256" display="https://store.admitad.com/webmaster/websites/2166760/offers/9869-secunda-ua/"/>
    <hyperlink ref="C1629" r:id="rId3257" display="http://chicco.com.ua/"/>
    <hyperlink ref="E1629" r:id="rId3258" display="https://store.admitad.com/webmaster/websites/2166760/offers/12087-chicco-ua/"/>
    <hyperlink ref="C1630" r:id="rId3259" display="http://alpinabook.ru/"/>
    <hyperlink ref="E1630" r:id="rId3260" display="https://store.admitad.com/webmaster/websites/2166760/offers/14034-alpina-pablisher/"/>
    <hyperlink ref="C1631" r:id="rId3261" display="http://tr.aliexpress.com/"/>
    <hyperlink ref="E1631" r:id="rId3262" display="https://store.admitad.com/webmaster/websites/2166760/offers/14289-aliexpress-tr/"/>
    <hyperlink ref="C1632" r:id="rId3263" display="https://flashdeals.aliexpress.com/"/>
    <hyperlink ref="E1632" r:id="rId3264" display="https://store.admitad.com/webmaster/websites/2166760/offers/14291-aliexpress-in/"/>
    <hyperlink ref="C1633" r:id="rId3265" display="https://sgroshi.com.ua/"/>
    <hyperlink ref="E1633" r:id="rId3266" display="https://store.admitad.com/webmaster/websites/2166760/offers/14605-shvidko-groshi-ua-cpl-api-ua/"/>
    <hyperlink ref="C1634" r:id="rId3267" display="https://privatbank.ua/"/>
    <hyperlink ref="E1634" r:id="rId3268" display="https://store.admitad.com/webmaster/websites/2166760/offers/16126-privatbank-cps-api-ua/"/>
    <hyperlink ref="C1635" r:id="rId3269" display="http://biba.in/"/>
    <hyperlink ref="E1635" r:id="rId3270" display="https://store.admitad.com/webmaster/websites/2166760/offers/16236-biba-cps-in/"/>
    <hyperlink ref="C1636" r:id="rId3271" display="https://go-to-sport.ru/"/>
    <hyperlink ref="E1636" r:id="rId3272" display="https://store.admitad.com/webmaster/websites/2166760/offers/16303-gotosport/"/>
    <hyperlink ref="C1637" r:id="rId3273" display="http://www.ebay.com/"/>
    <hyperlink ref="E1637" r:id="rId3274" display="https://store.admitad.com/webmaster/websites/2166760/offers/16534-ebay-many-geos/"/>
    <hyperlink ref="C1638" r:id="rId3275" display="https://karabas.com/"/>
    <hyperlink ref="E1638" r:id="rId3276" display="https://store.admitad.com/webmaster/websites/2166760/offers/17176-karabas-cps-ua/"/>
    <hyperlink ref="C1639" r:id="rId3277" display="https://www.thebodyshop.in/"/>
    <hyperlink ref="E1639" r:id="rId3278" display="https://store.admitad.com/webmaster/websites/2166760/offers/17493-bodyshop-cpv-in/"/>
    <hyperlink ref="C1640" r:id="rId3279" display="https://hidemyna.me/ru/vpn/"/>
    <hyperlink ref="E1640" r:id="rId3280" display="https://store.admitad.com/webmaster/websites/2166760/offers/17887-hidemyname/"/>
    <hyperlink ref="C1641" r:id="rId3281" display="https://www.jockey.in/"/>
    <hyperlink ref="E1641" r:id="rId3282" display="https://store.admitad.com/webmaster/websites/2166760/offers/18245-jockey-cps-in/"/>
    <hyperlink ref="C1642" r:id="rId3283" display="https://deka.ua/"/>
    <hyperlink ref="E1642" r:id="rId3284" display="https://store.admitad.com/webmaster/websites/2166760/offers/18556-deka-ua/"/>
    <hyperlink ref="C1643" r:id="rId3285" display="http://kiwi.com/"/>
    <hyperlink ref="E1643" r:id="rId3286" display="https://store.admitad.com/webmaster/websites/2166760/offers/18696-kiwicom-many-geos/"/>
    <hyperlink ref="C1644" r:id="rId3287" display="https://www.dewal.ru/"/>
    <hyperlink ref="E1644" r:id="rId3288" display="https://store.admitad.com/webmaster/websites/2166760/offers/18757-dewal/"/>
    <hyperlink ref="C1645" r:id="rId3289" display="http://www.jackjones.in/"/>
    <hyperlink ref="E1645" r:id="rId3290" display="https://store.admitad.com/webmaster/websites/2166760/offers/19016-jackjones-cps-in/"/>
    <hyperlink ref="C1646" r:id="rId3291" display="https://shop4reebok.com/"/>
    <hyperlink ref="E1646" r:id="rId3292" display="https://store.admitad.com/webmaster/websites/2166760/offers/19135-reebok-cps-in/"/>
    <hyperlink ref="C1647" r:id="rId3293" display="https://bagland.com.ua/"/>
    <hyperlink ref="E1647" r:id="rId3294" display="https://store.admitad.com/webmaster/websites/2166760/offers/19626-bagland-ua/"/>
    <hyperlink ref="C1648" r:id="rId3295" display="https://i-store.by/"/>
    <hyperlink ref="E1648" r:id="rId3296" display="https://store.admitad.com/webmaster/websites/2166760/offers/19786-i-store-by/"/>
    <hyperlink ref="C1649" r:id="rId3297" display="https://maed.ru/"/>
    <hyperlink ref="E1649" r:id="rId3298" display="https://store.admitad.com/webmaster/websites/2166760/offers/19827-maedru/"/>
    <hyperlink ref="C1650" r:id="rId3299" display="https://store.blackview.hk/en"/>
    <hyperlink ref="E1650" r:id="rId3300" display="https://store.admitad.com/webmaster/websites/2166760/offers/19861-blackview-ww/"/>
    <hyperlink ref="C1651" r:id="rId3301" display="https://letyshops.com/es"/>
    <hyperlink ref="E1651" r:id="rId3302" display="https://store.admitad.com/webmaster/websites/2166760/offers/20364-letyshops-lifetime-int/"/>
    <hyperlink ref="C1652" r:id="rId3303" display="https://www.mymoneykarma.com/"/>
    <hyperlink ref="E1652" r:id="rId3304" display="https://store.admitad.com/webmaster/websites/2166760/offers/20650-my-money-karma-cpl-in/"/>
    <hyperlink ref="C1653" r:id="rId3305" display="https://www.atlasformen.pl/"/>
    <hyperlink ref="E1653" r:id="rId3306" display="https://store.admitad.com/webmaster/websites/2166760/offers/20858-atlas-for-men-plcz/"/>
    <hyperlink ref="C1654" r:id="rId3307" display="https://themomsco.com/"/>
    <hyperlink ref="E1654" r:id="rId3308" display="https://store.admitad.com/webmaster/websites/2166760/offers/20895-themomsco-cps-in/"/>
    <hyperlink ref="C1655" r:id="rId3309" display="https://www.submarino.com.br/"/>
    <hyperlink ref="E1655" r:id="rId3310" display="https://store.admitad.com/webmaster/websites/2166760/offers/21000-submarino-br/"/>
    <hyperlink ref="C1656" r:id="rId3311" display="https://tetrika-school.ru/"/>
    <hyperlink ref="E1656" r:id="rId3312" display="https://store.admitad.com/webmaster/websites/2166760/offers/21079-tetrika-school/"/>
    <hyperlink ref="C1657" r:id="rId3313" display="http://internet-bilet.ua/"/>
    <hyperlink ref="E1657" r:id="rId3314" display="https://store.admitad.com/webmaster/websites/2166760/offers/21133-internet-bilet-ua/"/>
    <hyperlink ref="C1658" r:id="rId3315" display="https://www.ceneo.pl/"/>
    <hyperlink ref="E1658" r:id="rId3316" display="https://store.admitad.com/webmaster/websites/2166760/offers/21441-ceneo-cpc-pl/"/>
    <hyperlink ref="C1659" r:id="rId3317" display="https://www.compensair.com/en/check-flight.html"/>
    <hyperlink ref="E1659" r:id="rId3318" display="https://store.admitad.com/webmaster/websites/2166760/offers/21539-compensair-many-geos/"/>
    <hyperlink ref="C1660" r:id="rId3319" display="http://blackdesert.inn.eu/click?pid=2&amp;offer_id=22&amp;ref_id=%7b%7badmitad_uid%7d%7d&amp;sub1=%7b%7bpublisher_id%7d%7d&amp;sub2=%7b%7bwebsite_id%7d%7d"/>
    <hyperlink ref="E1660" r:id="rId3320" display="https://store.admitad.com/webmaster/websites/2166760/offers/21834-black-desert-cpp-innova-ru-cis/"/>
    <hyperlink ref="C1661" r:id="rId3321" display="https://fr.shopping.rakuten.com/"/>
    <hyperlink ref="E1661" r:id="rId3322" display="https://store.admitad.com/webmaster/websites/2166760/offers/21857-rakuten-fr/"/>
    <hyperlink ref="C1662" r:id="rId3323" display="https://uolhost.uol.com.br/"/>
    <hyperlink ref="E1662" r:id="rId3324" display="https://store.admitad.com/webmaster/websites/2166760/offers/21945-uol-host-br/"/>
    <hyperlink ref="C1663" r:id="rId3325" display="https://www.portaleducacao.com.br/"/>
    <hyperlink ref="E1663" r:id="rId3326" display="https://store.admitad.com/webmaster/websites/2166760/offers/21951-portal-educacao/"/>
    <hyperlink ref="C1664" r:id="rId3327" display="https://www.victorinox.com/fr/fr"/>
    <hyperlink ref="E1664" r:id="rId3328" display="https://store.admitad.com/webmaster/websites/2166760/offers/22301-victorinox-fr/"/>
    <hyperlink ref="C1665" r:id="rId3329" display="https://www.y-r.by/"/>
    <hyperlink ref="E1665" r:id="rId3330" display="https://store.admitad.com/webmaster/websites/2166760/offers/22386-yves-rocher-by/"/>
    <hyperlink ref="C1666" r:id="rId3331" display="https://www.redwolf.in/"/>
    <hyperlink ref="E1666" r:id="rId3332" display="https://store.admitad.com/webmaster/websites/2166760/offers/22414-redwolf-cps-in/"/>
    <hyperlink ref="C1667" r:id="rId3333" display="https://in.godaddy.com/"/>
    <hyperlink ref="E1667" r:id="rId3334" display="https://store.admitad.com/webmaster/websites/2166760/offers/22602-godaddy-cps-apac/"/>
    <hyperlink ref="C1668" r:id="rId3335" display="https://plumgoodness.com/"/>
    <hyperlink ref="E1668" r:id="rId3336" display="https://store.admitad.com/webmaster/websites/2166760/offers/22854-plum-goodness-cps-in/"/>
    <hyperlink ref="C1669" r:id="rId3337" display="https://preply.com/"/>
    <hyperlink ref="E1669" r:id="rId3338" display="https://store.admitad.com/webmaster/websites/2166760/offers/22917-preply-cpscpl-many-geos/"/>
    <hyperlink ref="C1670" r:id="rId3339" display="https://iqoption.com/"/>
    <hyperlink ref="E1670" r:id="rId3340" display="https://store.admitad.com/webmaster/websites/2166760/offers/22999-iq-option-revenue-share/"/>
    <hyperlink ref="C1671" r:id="rId3341" display="https://ilmolino.ua/delivery/"/>
    <hyperlink ref="E1671" r:id="rId3342" display="https://store.admitad.com/webmaster/websites/2166760/offers/23006-il-molino-ua/"/>
    <hyperlink ref="C1672" r:id="rId3343" display="https://www.tutoronline.ru/"/>
    <hyperlink ref="E1672" r:id="rId3344" display="https://store.admitad.com/webmaster/websites/2166760/offers/23077-tutoronline-ru/"/>
    <hyperlink ref="C1673" r:id="rId3345" display="https://www.edrawsoft.com/"/>
    <hyperlink ref="E1673" r:id="rId3346" display="https://store.admitad.com/webmaster/websites/2166760/offers/23197-edrawsoft-ww/"/>
    <hyperlink ref="C1674" r:id="rId3347" display="http://luisbien.nl/"/>
    <hyperlink ref="E1674" r:id="rId3348" display="https://store.admitad.com/webmaster/websites/2166760/offers/23286-luis-bien-nl/"/>
    <hyperlink ref="C1675" r:id="rId3349" display="https://www.kamaayurveda.com/"/>
    <hyperlink ref="E1675" r:id="rId3350" display="https://store.admitad.com/webmaster/websites/2166760/offers/23477-kamaayurveda-cps-ww/"/>
    <hyperlink ref="C1676" r:id="rId3351" display="https://www.owc.com/"/>
    <hyperlink ref="E1676" r:id="rId3352" display="https://store.admitad.com/webmaster/websites/2166760/offers/23644-mac-sales-other-world-computing-us/"/>
    <hyperlink ref="C1677" r:id="rId3353" display="https://www.linio.com.co/"/>
    <hyperlink ref="E1677" r:id="rId3354" display="https://store.admitad.com/webmaster/websites/2166760/offers/23860-linio-co/"/>
    <hyperlink ref="C1678" r:id="rId3355" display="https://www.simmi.com/"/>
    <hyperlink ref="E1678" r:id="rId3356" display="https://store.admitad.com/webmaster/websites/2166760/offers/23903-simmi-uk-fr-de-nl/"/>
    <hyperlink ref="C1679" r:id="rId3357" display="https://wellamart.ua/"/>
    <hyperlink ref="E1679" r:id="rId3358" display="https://store.admitad.com/webmaster/websites/2166760/offers/24008-wellamart-ua/"/>
    <hyperlink ref="C1680" r:id="rId3359" display="https://global.ztedevices.com/"/>
    <hyperlink ref="E1680" r:id="rId3360" display="https://store.admitad.com/webmaster/websites/2166760/offers/24118-zte-many-geos/"/>
    <hyperlink ref="C1681" r:id="rId3361" display="https://www.bookdepository.com/"/>
    <hyperlink ref="E1681" r:id="rId3362" display="https://store.admitad.com/webmaster/websites/2166760/offers/24145-book-depository-il/"/>
    <hyperlink ref="C1682" r:id="rId3363" display="https://www.dyson.it/"/>
    <hyperlink ref="E1682" r:id="rId3364" display="https://store.admitad.com/webmaster/websites/2166760/offers/24260-dyson-it/"/>
    <hyperlink ref="C1683" r:id="rId3365" display="https://manmatters.com/"/>
    <hyperlink ref="E1683" r:id="rId3366" display="https://store.admitad.com/webmaster/websites/2166760/offers/24274-man-matters-cps-in/"/>
    <hyperlink ref="C1684" r:id="rId3367" display="https://www.stylewe.com/"/>
    <hyperlink ref="E1684" r:id="rId3368" display="https://store.admitad.com/webmaster/websites/2166760/offers/24295-stylewe-ww/"/>
    <hyperlink ref="C1685" r:id="rId3369" display="https://www.bancobmg.com.br/corinthians/"/>
    <hyperlink ref="E1685" r:id="rId3370" display="https://store.admitad.com/webmaster/websites/2166760/offers/24377-bmg-corinthians-cpa-android-br/"/>
    <hyperlink ref="C1686" r:id="rId3371" display="https://www.dailyobjects.com/"/>
    <hyperlink ref="E1686" r:id="rId3372" display="https://store.admitad.com/webmaster/websites/2166760/offers/24385-daily-objects-cps-in-us/"/>
    <hyperlink ref="C1687" r:id="rId3373" display="https://www.gardeningdirect.co.uk/"/>
    <hyperlink ref="E1687" r:id="rId3374" display="https://store.admitad.com/webmaster/websites/2166760/offers/24456-gardening-direct-uk/"/>
    <hyperlink ref="C1688" r:id="rId3375" display="https://ae.clarins.com/"/>
    <hyperlink ref="E1688" r:id="rId3376" display="https://store.admitad.com/webmaster/websites/2166760/offers/24570-clarins-ae/"/>
    <hyperlink ref="C1689" r:id="rId3377" display="https://vedix.com/"/>
    <hyperlink ref="E1689" r:id="rId3378" display="https://store.admitad.com/webmaster/websites/2166760/offers/24672-vedix-cps-in/"/>
    <hyperlink ref="C1690" r:id="rId3379" display="https://www.lacoste.ua/"/>
    <hyperlink ref="E1690" r:id="rId3380" display="https://store.admitad.com/webmaster/websites/2166760/offers/24700-lacostecom-ua/"/>
    <hyperlink ref="C1691" r:id="rId3381" display="https://www.made-in-china.com/"/>
    <hyperlink ref="E1691" r:id="rId3382" display="https://store.admitad.com/webmaster/websites/2166760/offers/24708-made-in-china-many-geos/"/>
    <hyperlink ref="C1692" r:id="rId3383" display="https://www.geekmaxi.com/"/>
    <hyperlink ref="E1692" r:id="rId3384" display="https://store.admitad.com/webmaster/websites/2166760/offers/24738-geekmaxi-many-geos/"/>
    <hyperlink ref="C1693" r:id="rId3385" display="https://advance-club.ru/"/>
    <hyperlink ref="E1693" r:id="rId3386" display="https://store.admitad.com/webmaster/websites/2166760/offers/24762-advance-club/"/>
    <hyperlink ref="C1694" r:id="rId3387" display="https://www.tu.com/"/>
    <hyperlink ref="E1694" r:id="rId3388" display="https://store.admitad.com/webmaster/websites/2166760/offers/24832-tucom-cps-es/"/>
    <hyperlink ref="C1695" r:id="rId3389" display="https://play.uol.com.br/"/>
    <hyperlink ref="E1695" r:id="rId3390" display="https://store.admitad.com/webmaster/websites/2166760/offers/24857-uol-play-br/"/>
    <hyperlink ref="C1696" r:id="rId3391" display="https://de.anker.com/"/>
    <hyperlink ref="E1696" r:id="rId3392" display="https://store.admitad.com/webmaster/websites/2166760/offers/24871-anker-cps-many-geos/"/>
    <hyperlink ref="C1697" r:id="rId3393" display="https://www.defacto.com/ar-eg/"/>
    <hyperlink ref="E1697" r:id="rId3394" display="https://store.admitad.com/webmaster/websites/2166760/offers/24911-defacto-egy/"/>
    <hyperlink ref="C1698" r:id="rId3395" display="https://oll.tv/ru/"/>
    <hyperlink ref="E1698" r:id="rId3396" display="https://store.admitad.com/webmaster/websites/2166760/offers/24924-oll-tv-cpl/"/>
    <hyperlink ref="C1699" r:id="rId3397" display="https://www.eshko.by/"/>
    <hyperlink ref="E1699" r:id="rId3398" display="https://store.admitad.com/webmaster/websites/2166760/offers/24985-eshko-by/"/>
    <hyperlink ref="C1700" r:id="rId3399" display="https://sf.education/"/>
    <hyperlink ref="E1700" r:id="rId3400" display="https://store.admitad.com/webmaster/websites/2166760/offers/25141-sf-education/"/>
    <hyperlink ref="C1701" r:id="rId3401" display="https://ma.defactofashion.com/"/>
    <hyperlink ref="E1701" r:id="rId3402" display="https://store.admitad.com/webmaster/websites/2166760/offers/25156-defacto-ma/"/>
    <hyperlink ref="C1702" r:id="rId3403" display="https://ovyapp.com/"/>
    <hyperlink ref="E1702" r:id="rId3404" display="https://store.admitad.com/webmaster/websites/2166760/offers/25202-ovy-app-de-at-uk-nl-fr/"/>
    <hyperlink ref="C1703" r:id="rId3405" display="https://www.orto-line.com.ua/"/>
    <hyperlink ref="E1703" r:id="rId3406" display="https://store.admitad.com/webmaster/websites/2166760/offers/25293-orto-line-ua/"/>
    <hyperlink ref="C1704" r:id="rId3407" display="https://cooker.net.ua/"/>
    <hyperlink ref="E1704" r:id="rId3408" display="https://store.admitad.com/webmaster/websites/2166760/offers/25307-cooker-ua/"/>
    <hyperlink ref="C1705" r:id="rId3409" display="https://www.saramart.com/"/>
    <hyperlink ref="E1705" r:id="rId3410" display="https://store.admitad.com/webmaster/websites/2166760/offers/25572-saramart-ww/"/>
    <hyperlink ref="C1706" r:id="rId3411" display="https://bebodywise.com/"/>
    <hyperlink ref="E1706" r:id="rId3412" display="https://store.admitad.com/webmaster/websites/2166760/offers/25863-bebodywise-cps-in/"/>
    <hyperlink ref="C1707" r:id="rId3413" display="https://healthandglow.com/"/>
    <hyperlink ref="E1707" r:id="rId3414" display="https://store.admitad.com/webmaster/websites/2166760/offers/25893-healthglow-cps-in/"/>
    <hyperlink ref="C1708" r:id="rId3415" display="https://www.narzedzia.pl/"/>
    <hyperlink ref="E1708" r:id="rId3416" display="https://store.admitad.com/webmaster/websites/2166760/offers/26002-narzedzia-pl/"/>
    <hyperlink ref="C1709" r:id="rId3417" display="https://www.mcaffeine.com/"/>
    <hyperlink ref="E1709" r:id="rId3418" display="https://store.admitad.com/webmaster/websites/2166760/offers/26007-mcaffeine-cps-in/"/>
    <hyperlink ref="C1710" r:id="rId3419" display="https://www.dyson.in/"/>
    <hyperlink ref="E1710" r:id="rId3420" display="https://store.admitad.com/webmaster/websites/2166760/offers/26026-dyson-cps-in/"/>
    <hyperlink ref="C1711" r:id="rId3421" display="https://www.bookovka.ua/ru"/>
    <hyperlink ref="E1711" r:id="rId3422" display="https://store.admitad.com/webmaster/websites/2166760/offers/26031-bookovka-ua/"/>
    <hyperlink ref="C1712" r:id="rId3423" display="https://www.nilkamalfurniture.com/"/>
    <hyperlink ref="E1712" r:id="rId3424" display="https://store.admitad.com/webmaster/websites/2166760/offers/26033-nilkamal-cps-in/"/>
    <hyperlink ref="C1713" r:id="rId3425" display="https://www.rotopino.fr/"/>
    <hyperlink ref="E1713" r:id="rId3426" display="https://store.admitad.com/webmaster/websites/2166760/offers/26053-rotopino-many-geos/"/>
    <hyperlink ref="C1714" r:id="rId3427" display="https://aurum.in.ua/"/>
    <hyperlink ref="E1714" r:id="rId3428" display="https://store.admitad.com/webmaster/websites/2166760/offers/26077-aurum-ua/"/>
    <hyperlink ref="C1715" r:id="rId3429" display="https://megatool.com.ua/"/>
    <hyperlink ref="E1715" r:id="rId3430" display="https://store.admitad.com/webmaster/websites/2166760/offers/26125-megatool-ua/"/>
    <hyperlink ref="C1716" r:id="rId3431" display="https://www.skorecondoms.com/"/>
    <hyperlink ref="E1716" r:id="rId3432" display="https://store.admitad.com/webmaster/websites/2166760/offers/26144-skore-cpv-in/"/>
    <hyperlink ref="C1717" r:id="rId3433" display="https://www.goboo.com/"/>
    <hyperlink ref="E1717" r:id="rId3434" display="https://store.admitad.com/webmaster/websites/2166760/offers/26253-goboo-cps-many-geos/"/>
    <hyperlink ref="C1718" r:id="rId3435" display="https://www.poco.de/"/>
    <hyperlink ref="E1718" r:id="rId3436" display="https://store.admitad.com/webmaster/websites/2166760/offers/26366-poco-onlineshop-de/"/>
    <hyperlink ref="C1719" r:id="rId3437" display="https://www.winxdvd.com/"/>
    <hyperlink ref="E1719" r:id="rId3438" display="https://store.admitad.com/webmaster/websites/2166760/offers/26434-winxdvd-ww/"/>
    <hyperlink ref="C1720" r:id="rId3439" display="https://www.nkuku.com/"/>
    <hyperlink ref="E1720" r:id="rId3440" display="https://store.admitad.com/webmaster/websites/2166760/offers/26533-nkuku-uk/"/>
    <hyperlink ref="C1721" r:id="rId3441" display="https://www.jdsports.de/"/>
    <hyperlink ref="E1721" r:id="rId3442" display="https://store.admitad.com/webmaster/websites/2166760/offers/26570-jd-sports-de/"/>
    <hyperlink ref="C1722" r:id="rId3443" display="https://www.eqvvs.co.uk/"/>
    <hyperlink ref="E1722" r:id="rId3444" display="https://store.admitad.com/webmaster/websites/2166760/offers/26578-eqvvs-uk/"/>
    <hyperlink ref="C1723" r:id="rId3445" display="https://www.suunto.com/"/>
    <hyperlink ref="E1723" r:id="rId3446" display="https://store.admitad.com/webmaster/websites/2166760/offers/26773-suunto-cps-es-it-uk-fr/"/>
    <hyperlink ref="C1724" r:id="rId3447" display="https://www.pikolin.com/es"/>
    <hyperlink ref="E1724" r:id="rId3448" display="https://store.admitad.com/webmaster/websites/2166760/offers/26874-pikolin-es/"/>
    <hyperlink ref="C1725" r:id="rId3449" display="https://www.betreut.de/"/>
    <hyperlink ref="E1725" r:id="rId3450" display="https://store.admitad.com/webmaster/websites/2166760/offers/26877-betreut-de/"/>
    <hyperlink ref="C1726" r:id="rId3451" display="https://shopee.pl/"/>
    <hyperlink ref="E1726" r:id="rId3452" display="https://store.admitad.com/webmaster/websites/2166760/offers/26892-shopee-pl-social-mediacontent/"/>
    <hyperlink ref="C1727" r:id="rId3453" display="https://www.patriziapepe.com/de/de/"/>
    <hyperlink ref="E1727" r:id="rId3454" display="https://store.admitad.com/webmaster/websites/2166760/offers/26907-patrizia-pepe-de/"/>
    <hyperlink ref="C1728" r:id="rId3455" display="https://gbr.grandado.com/"/>
    <hyperlink ref="E1728" r:id="rId3456" display="https://store.admitad.com/webmaster/websites/2166760/offers/27033-grandado-uk/"/>
    <hyperlink ref="C1729" r:id="rId3457" display="https://www.deporte-outlet.es/"/>
    <hyperlink ref="E1729" r:id="rId3458" display="https://store.admitad.com/webmaster/websites/2166760/offers/27088-deporte-outlet-es/"/>
    <hyperlink ref="C1730" r:id="rId3459" display="https://www.warbyparker.com/"/>
    <hyperlink ref="E1730" r:id="rId3460" display="https://store.admitad.com/webmaster/websites/2166760/offers/27250-warby-parker-us/"/>
    <hyperlink ref="C1731" r:id="rId3461" display="https://www.wearewild.com/"/>
    <hyperlink ref="E1731" r:id="rId3462" display="https://store.admitad.com/webmaster/websites/2166760/offers/27336-wild-natural-deodorant-uk/"/>
    <hyperlink ref="C1732" r:id="rId3463" display="https://hexclad.com/"/>
    <hyperlink ref="E1732" r:id="rId3464" display="https://store.admitad.com/webmaster/websites/2166760/offers/27452-hexclad-cookware-us/"/>
    <hyperlink ref="C1733" r:id="rId3465" display="http://lingualeo.com/"/>
    <hyperlink ref="E1733" r:id="rId3466" display="https://store.admitad.com/webmaster/websites/2166760/offers/2476-lingualeo/"/>
    <hyperlink ref="C1734" r:id="rId3467" display="https://sila.by/"/>
    <hyperlink ref="E1734" r:id="rId3468" display="https://store.admitad.com/webmaster/websites/2166760/offers/6425-sila-by/"/>
    <hyperlink ref="C1735" r:id="rId3469" display="http://tickets.ua/"/>
    <hyperlink ref="E1735" r:id="rId3470" display="https://store.admitad.com/webmaster/websites/2166760/offers/13903-tickets-cps-ua/"/>
    <hyperlink ref="C1736" r:id="rId3471" display="https://voltmarket.ru/"/>
    <hyperlink ref="E1736" r:id="rId3472" display="https://store.admitad.com/webmaster/websites/2166760/offers/14339-volt-market-ru/"/>
    <hyperlink ref="C1737" r:id="rId3473" display="http://worldofwarships.ru/"/>
    <hyperlink ref="E1737" r:id="rId3474" display="https://store.admitad.com/webmaster/websites/2166760/offers/14370-world-of-warships-soi-rucis/"/>
    <hyperlink ref="C1738" r:id="rId3475" display="https://wikium.ru/"/>
    <hyperlink ref="E1738" r:id="rId3476" display="https://store.admitad.com/webmaster/websites/2166760/offers/15098-vikium/"/>
    <hyperlink ref="C1739" r:id="rId3477" display="https://itsell.ua/"/>
    <hyperlink ref="E1739" r:id="rId3478" display="https://store.admitad.com/webmaster/websites/2166760/offers/15435-itsell-ua/"/>
    <hyperlink ref="C1740" r:id="rId3479" display="https://www.englishdom.com/learn-effectively/"/>
    <hyperlink ref="E1740" r:id="rId3480" display="https://store.admitad.com/webmaster/websites/2166760/offers/15486-englishdom/"/>
    <hyperlink ref="C1741" r:id="rId3481" display="http://zaful.com/"/>
    <hyperlink ref="E1741" r:id="rId3482" display="https://store.admitad.com/webmaster/websites/2166760/offers/15508-zaful-ww/"/>
    <hyperlink ref="C1742" r:id="rId3483" display="http://www.cafago.com/"/>
    <hyperlink ref="E1742" r:id="rId3484" display="https://store.admitad.com/webmaster/websites/2166760/offers/17167-cafago-ww/"/>
    <hyperlink ref="C1743" r:id="rId3485" display="https://www.gap.ae/"/>
    <hyperlink ref="E1743" r:id="rId3486" display="https://store.admitad.com/webmaster/websites/2166760/offers/18670-gap-ae-sa-kw-offline-codes-links/"/>
    <hyperlink ref="C1744" r:id="rId3487" display="https://modoza.com/"/>
    <hyperlink ref="E1744" r:id="rId3488" display="https://store.admitad.com/webmaster/websites/2166760/offers/19458-modoza-ua/"/>
    <hyperlink ref="C1745" r:id="rId3489" display="https://l-a-b-a.com/"/>
    <hyperlink ref="E1745" r:id="rId3490" display="https://store.admitad.com/webmaster/websites/2166760/offers/19490-laba-cplrs-many-geos/"/>
    <hyperlink ref="C1746" r:id="rId3491" display="http://aromacode.ru/"/>
    <hyperlink ref="E1746" r:id="rId3492" display="https://store.admitad.com/webmaster/websites/2166760/offers/19509-aromacode/"/>
    <hyperlink ref="C1747" r:id="rId3493" display="https://xistore.by/"/>
    <hyperlink ref="E1747" r:id="rId3494" display="https://store.admitad.com/webmaster/websites/2166760/offers/20518-xistore-by/"/>
    <hyperlink ref="C1748" r:id="rId3495" display="https://ar.swarovski.sa/"/>
    <hyperlink ref="E1748" r:id="rId3496" display="https://store.admitad.com/webmaster/websites/2166760/offers/20696-swarovski-sa-ae-qa-kw-eg-offline-codes/"/>
    <hyperlink ref="C1749" r:id="rId3497" display="https://finx.com.ua/"/>
    <hyperlink ref="E1749" r:id="rId3498" display="https://store.admitad.com/webmaster/websites/2166760/offers/20937-finx-cpl-api-ua/"/>
    <hyperlink ref="C1750" r:id="rId3499" display="https://kontramarka.ua/ru"/>
    <hyperlink ref="E1750" r:id="rId3500" display="https://store.admitad.com/webmaster/websites/2166760/offers/21302-kontramarka-ua/"/>
    <hyperlink ref="C1751" r:id="rId3501" display="https://winetime.com.ua/"/>
    <hyperlink ref="E1751" r:id="rId3502" display="https://store.admitad.com/webmaster/websites/2166760/offers/21600-winetime-ua/"/>
    <hyperlink ref="C1752" r:id="rId3503" display="https://prego.ua/"/>
    <hyperlink ref="E1752" r:id="rId3504" display="https://store.admitad.com/webmaster/websites/2166760/offers/21996-prego-ua/"/>
    <hyperlink ref="C1753" r:id="rId3505" display="https://wo.ua/"/>
    <hyperlink ref="E1753" r:id="rId3506" display="https://store.admitad.com/webmaster/websites/2166760/offers/22040-sho-ua/"/>
    <hyperlink ref="C1754" r:id="rId3507" display="https://ru.4game.com/lineage2essence/"/>
    <hyperlink ref="E1754" r:id="rId3508" display="https://store.admitad.com/webmaster/websites/2166760/offers/22175-lineage-2-essencecpp-ru-cis/"/>
    <hyperlink ref="C1755" r:id="rId3509" display="https://www.policybazaar.com/health-insurance"/>
    <hyperlink ref="E1755" r:id="rId3510" display="https://store.admitad.com/webmaster/websites/2166760/offers/22178-policybazaar-health-cpl-in/"/>
    <hyperlink ref="C1756" r:id="rId3511" display="https://www.timesprime.com/"/>
    <hyperlink ref="E1756" r:id="rId3512" display="https://store.admitad.com/webmaster/websites/2166760/offers/22348-times-prime-cpa-in/"/>
    <hyperlink ref="C1757" r:id="rId3513" display="https://queropassagem.com.br/"/>
    <hyperlink ref="E1757" r:id="rId3514" display="https://store.admitad.com/webmaster/websites/2166760/offers/22417-quero-passagem-br/"/>
    <hyperlink ref="C1758" r:id="rId3515" display="https://www.warthunder.com/"/>
    <hyperlink ref="E1758" r:id="rId3516" display="https://store.admitad.com/webmaster/websites/2166760/offers/22478-war-thunder-cpp-many-geos/"/>
    <hyperlink ref="C1759" r:id="rId3517" display="http://swsg.co/"/>
    <hyperlink ref="E1759" r:id="rId3518" display="https://store.admitad.com/webmaster/websites/2166760/offers/22743-sheta-and-saif-sa/"/>
    <hyperlink ref="C1760" r:id="rId3519" display="https://www.edureka.co/"/>
    <hyperlink ref="E1760" r:id="rId3520" display="https://store.admitad.com/webmaster/websites/2166760/offers/23097-edureka-cps-ww/"/>
    <hyperlink ref="C1761" r:id="rId3521" display="https://www.knowfashionstyle.com/"/>
    <hyperlink ref="E1761" r:id="rId3522" display="https://store.admitad.com/webmaster/websites/2166760/offers/23111-knowfashionstyle-ww/"/>
    <hyperlink ref="C1762" r:id="rId3523" display="https://br.thebar.com/"/>
    <hyperlink ref="E1762" r:id="rId3524" display="https://store.admitad.com/webmaster/websites/2166760/offers/23225-thebar-br/"/>
    <hyperlink ref="C1763" r:id="rId3525" display="https://sweet.tv/promo_social_offer"/>
    <hyperlink ref="E1763" r:id="rId3526" display="https://store.admitad.com/webmaster/websites/2166760/offers/23291-sweettv-cpl-ua/"/>
    <hyperlink ref="C1764" r:id="rId3527" display="https://www.canva.com/"/>
    <hyperlink ref="E1764" r:id="rId3528" display="https://store.admitad.com/webmaster/websites/2166760/offers/23360-canva-latam/"/>
    <hyperlink ref="C1765" r:id="rId3529" display="https://oniks.ua/"/>
    <hyperlink ref="E1765" r:id="rId3530" display="https://store.admitad.com/webmaster/websites/2166760/offers/23423-oniks-cps-ua/"/>
    <hyperlink ref="C1766" r:id="rId3531" display="https://skysmart.ru/"/>
    <hyperlink ref="E1766" r:id="rId3532" display="https://store.admitad.com/webmaster/websites/2166760/offers/23485-skysmart-ru/"/>
    <hyperlink ref="C1767" r:id="rId3533" display="https://symbol.ua/"/>
    <hyperlink ref="E1767" r:id="rId3534" display="https://store.admitad.com/webmaster/websites/2166760/offers/23645-symbol-cps-ua/"/>
    <hyperlink ref="C1768" r:id="rId3535" display="https://www.kitbag.com/"/>
    <hyperlink ref="E1768" r:id="rId3536" display="https://store.admitad.com/webmaster/websites/2166760/offers/23787-kitbag-ww/"/>
    <hyperlink ref="C1769" r:id="rId3537" display="https://www.myvitamins.com/"/>
    <hyperlink ref="E1769" r:id="rId3538" display="https://store.admitad.com/webmaster/websites/2166760/offers/23809-myvitamins-uk-de/"/>
    <hyperlink ref="C1770" r:id="rId3539" display="https://www.italojewelry.com/"/>
    <hyperlink ref="E1770" r:id="rId3540" display="https://store.admitad.com/webmaster/websites/2166760/offers/23964-italojewerly-ww/"/>
    <hyperlink ref="C1771" r:id="rId3541" display="https://us.hotelchocolat.com/"/>
    <hyperlink ref="E1771" r:id="rId3542" display="https://store.admitad.com/webmaster/websites/2166760/offers/24139-hotel-chocolat-us/"/>
    <hyperlink ref="C1772" r:id="rId3543" display="https://primelife.company/"/>
    <hyperlink ref="E1772" r:id="rId3544" display="https://store.admitad.com/webmaster/websites/2166760/offers/24236-primebot-cis/"/>
    <hyperlink ref="C1773" r:id="rId3545" display="https://sex-shop.ua/"/>
    <hyperlink ref="E1773" r:id="rId3546" display="https://store.admitad.com/webmaster/websites/2166760/offers/24334-sex-shop-ua/"/>
    <hyperlink ref="C1774" r:id="rId3547" display="https://www.minutoseguros.com.br/"/>
    <hyperlink ref="E1774" r:id="rId3548" display="https://store.admitad.com/webmaster/websites/2166760/offers/24467-minuto-seguros/"/>
    <hyperlink ref="C1775" r:id="rId3549" display="https://medmag.ua/"/>
    <hyperlink ref="E1775" r:id="rId3550" display="https://store.admitad.com/webmaster/websites/2166760/offers/24741-medmag-ua/"/>
    <hyperlink ref="C1776" r:id="rId3551" display="https://www.bluehost.in/hosting/shared"/>
    <hyperlink ref="E1776" r:id="rId3552" display="https://store.admitad.com/webmaster/websites/2166760/offers/24781-bluehost-cps-in/"/>
    <hyperlink ref="C1777" r:id="rId3553" display="https://www.bajajfinserv.in/insta-emi-network-card-apply-online"/>
    <hyperlink ref="E1777" r:id="rId3554" display="https://store.admitad.com/webmaster/websites/2166760/offers/24837-bajaj-finserv-insta-emi-cpl-in/"/>
    <hyperlink ref="C1778" r:id="rId3555" display="https://answear.bg/"/>
    <hyperlink ref="E1778" r:id="rId3556" display="https://store.admitad.com/webmaster/websites/2166760/offers/25178-answear-bgeuro/"/>
    <hyperlink ref="C1779" r:id="rId3557" display="https://in.yougov.com/en-hi/account/register/?sourceid=2028454&amp;rlid=%7bplacementid%7d&amp;rlid2=%7btransactionid%7d"/>
    <hyperlink ref="E1779" r:id="rId3558" display="https://store.admitad.com/webmaster/websites/2166760/offers/25244-yougov-cpa-in/"/>
    <hyperlink ref="C1780" r:id="rId3559" display="https://www.buser.com.br/"/>
    <hyperlink ref="E1780" r:id="rId3560" display="https://store.admitad.com/webmaster/websites/2166760/offers/26108-buser-br/"/>
    <hyperlink ref="C1781" r:id="rId3561" display="https://dil.bankofbaroda.in/autoloan?utm_source=AdmitCLPT&amp;utm_medium=cpl&amp;utm_campaign=CLSept"/>
    <hyperlink ref="E1781" r:id="rId3562" display="https://store.admitad.com/webmaster/websites/2166760/offers/26157-bob-car-loan-cpl-in/"/>
    <hyperlink ref="C1782" r:id="rId3563" display="https://romashka.co.ua/"/>
    <hyperlink ref="E1782" r:id="rId3564" display="https://store.admitad.com/webmaster/websites/2166760/offers/26179-romashka-ua/"/>
    <hyperlink ref="C1783" r:id="rId3565" display="https://www.fragrancedirect.co.uk/"/>
    <hyperlink ref="E1783" r:id="rId3566" display="https://store.admitad.com/webmaster/websites/2166760/offers/26527-fragrance-direct-uk/"/>
    <hyperlink ref="C1784" r:id="rId3567" display="https://www.cadburygiftsdirect.co.uk/"/>
    <hyperlink ref="E1784" r:id="rId3568" display="https://store.admitad.com/webmaster/websites/2166760/offers/26593-cadbury-gifts-direct-uk/"/>
    <hyperlink ref="C1785" r:id="rId3569" display="https://www.gansel-rechtsanwaelte.de/"/>
    <hyperlink ref="E1785" r:id="rId3570" display="https://store.admitad.com/webmaster/websites/2166760/offers/26693-gansel-rechtsanwalte-de/"/>
    <hyperlink ref="C1786" r:id="rId3571" display="https://www.ulanka.com/"/>
    <hyperlink ref="E1786" r:id="rId3572" display="https://store.admitad.com/webmaster/websites/2166760/offers/26788-ulanka-es/"/>
    <hyperlink ref="C1787" r:id="rId3573" display="https://www.beerwulf.com/en-gb"/>
    <hyperlink ref="E1787" r:id="rId3574" display="https://store.admitad.com/webmaster/websites/2166760/offers/26972-beerwulf-uk/"/>
    <hyperlink ref="C1788" r:id="rId3575" display="https://www.serenataflowers.com/"/>
    <hyperlink ref="E1788" r:id="rId3576" display="https://store.admitad.com/webmaster/websites/2166760/offers/27026-serenata-flowers-uk/"/>
    <hyperlink ref="C1789" r:id="rId3577" display="https://www.conforama.fr/"/>
    <hyperlink ref="E1789" r:id="rId3578" display="https://store.admitad.com/webmaster/websites/2166760/offers/27119-conforama-fr/"/>
    <hyperlink ref="C1790" r:id="rId3579" display="https://www.idmarket.com/"/>
    <hyperlink ref="E1790" r:id="rId3580" display="https://store.admitad.com/webmaster/websites/2166760/offers/27224-id-market-fr/"/>
    <hyperlink ref="C1791" r:id="rId3581" display="http://kaspersky.ru/"/>
    <hyperlink ref="E1791" r:id="rId3582" display="https://store.admitad.com/webmaster/websites/2166760/offers/2381-kaspersky/"/>
    <hyperlink ref="C1792" r:id="rId3583" display="https://lamoda.ua/"/>
    <hyperlink ref="E1792" r:id="rId3584" display="https://store.admitad.com/webmaster/websites/2166760/offers/2778-lamoda-ua/"/>
    <hyperlink ref="C1793" r:id="rId3585" display="http://itmag.ua/"/>
    <hyperlink ref="E1793" r:id="rId3586" display="https://store.admitad.com/webmaster/websites/2166760/offers/7952-itmag-ua/"/>
    <hyperlink ref="C1794" r:id="rId3587" display="https://nsv.by/"/>
    <hyperlink ref="E1794" r:id="rId3588" display="https://store.admitad.com/webmaster/websites/2166760/offers/8906-na-sviazi-by/"/>
    <hyperlink ref="C1795" r:id="rId3589" display="http://printbar.ru/"/>
    <hyperlink ref="E1795" r:id="rId3590" display="https://store.admitad.com/webmaster/websites/2166760/offers/12770-print-bar/"/>
    <hyperlink ref="C1796" r:id="rId3591" display="http://farfetch.com/ru/"/>
    <hyperlink ref="E1796" r:id="rId3592" display="https://store.admitad.com/webmaster/websites/2166760/offers/13468-farfetch/"/>
    <hyperlink ref="C1797" r:id="rId3593" display="http://tsum.ru/"/>
    <hyperlink ref="E1797" r:id="rId3594" display="https://store.admitad.com/webmaster/websites/2166760/offers/13544-tsum-2/"/>
    <hyperlink ref="C1798" r:id="rId3595" display="https://lamoda.by/"/>
    <hyperlink ref="E1798" r:id="rId3596" display="https://store.admitad.com/webmaster/websites/2166760/offers/13574-lamoda-by/"/>
    <hyperlink ref="C1799" r:id="rId3597" display="https://kasta.ua/"/>
    <hyperlink ref="E1799" r:id="rId3598" display="https://store.admitad.com/webmaster/websites/2166760/offers/14227-kasta-ua/"/>
    <hyperlink ref="C1800" r:id="rId3599" display="http://tomtop.com/"/>
    <hyperlink ref="E1800" r:id="rId3600" display="https://store.admitad.com/webmaster/websites/2166760/offers/14350-tomtop-ww/"/>
    <hyperlink ref="C1801" r:id="rId3601" display="http://skyeng.ru/"/>
    <hyperlink ref="E1801" r:id="rId3602" display="https://store.admitad.com/webmaster/websites/2166760/offers/14359-skyeng/"/>
    <hyperlink ref="C1802" r:id="rId3603" display="http://zivame.com/"/>
    <hyperlink ref="E1802" r:id="rId3604" display="https://store.admitad.com/webmaster/websites/2166760/offers/14729-zivame-cps-in/"/>
    <hyperlink ref="C1803" r:id="rId3605" display="https://zelena.a-bank.com.ua/"/>
    <hyperlink ref="E1803" r:id="rId3606" display="https://store.admitad.com/webmaster/websites/2166760/offers/14971-a-bank-cps-api-ua/"/>
    <hyperlink ref="C1804" r:id="rId3607" display="http://carcam.ru/"/>
    <hyperlink ref="E1804" r:id="rId3608" display="https://store.admitad.com/webmaster/websites/2166760/offers/15173-karkam/"/>
    <hyperlink ref="C1805" r:id="rId3609" display="http://www.geekbuying.com/"/>
    <hyperlink ref="E1805" r:id="rId3610" display="https://store.admitad.com/webmaster/websites/2166760/offers/15467-geekbuying-ww/"/>
    <hyperlink ref="C1806" r:id="rId3611" display="https://www.tvc-mall.com/"/>
    <hyperlink ref="E1806" r:id="rId3612" display="https://store.admitad.com/webmaster/websites/2166760/offers/16145-tvc-mall-ww/"/>
    <hyperlink ref="C1807" r:id="rId3613" display="https://imarket.by/"/>
    <hyperlink ref="E1807" r:id="rId3614" display="https://store.admitad.com/webmaster/websites/2166760/offers/16214-imarket-by/"/>
    <hyperlink ref="C1808" r:id="rId3615" display="https://www.lakestone.ru/"/>
    <hyperlink ref="E1808" r:id="rId3616" display="https://store.admitad.com/webmaster/websites/2166760/offers/17017-lakestone/"/>
    <hyperlink ref="C1809" r:id="rId3617" display="https://mircli.ru/"/>
    <hyperlink ref="E1809" r:id="rId3618" display="https://store.admitad.com/webmaster/websites/2166760/offers/17152-mircli/"/>
    <hyperlink ref="C1810" r:id="rId3619" display="https://www.mamasandpapas.ae/"/>
    <hyperlink ref="E1810" r:id="rId3620" display="https://store.admitad.com/webmaster/websites/2166760/offers/17400-mamasandpapas-ae-sa-offline-codes-links/"/>
    <hyperlink ref="C1811" r:id="rId3621" display="https://www.ounass.ae/"/>
    <hyperlink ref="E1811" r:id="rId3622" display="https://store.admitad.com/webmaster/websites/2166760/offers/17401-ounass-gcc-offline-codes-links/"/>
    <hyperlink ref="C1812" r:id="rId3623" display="https://bigl.ua/"/>
    <hyperlink ref="E1812" r:id="rId3624" display="https://store.admitad.com/webmaster/websites/2166760/offers/17502-bigl-ua/"/>
    <hyperlink ref="C1813" r:id="rId3625" display="http://crossout.net/ru"/>
    <hyperlink ref="E1813" r:id="rId3626" display="https://store.admitad.com/webmaster/websites/2166760/offers/17658-crossout-cpp-ru-cis/"/>
    <hyperlink ref="C1814" r:id="rId3627" display="https://store.pobedavkusa.ru/"/>
    <hyperlink ref="E1814" r:id="rId3628" display="https://store.admitad.com/webmaster/websites/2166760/offers/17776-pobeda-vkusa/"/>
    <hyperlink ref="C1815" r:id="rId3629" display="https://www.beardo.in/"/>
    <hyperlink ref="E1815" r:id="rId3630" display="https://store.admitad.com/webmaster/websites/2166760/offers/17812-beardo-cps-in/"/>
    <hyperlink ref="C1816" r:id="rId3631" display="https://www.bitdefender.com/"/>
    <hyperlink ref="E1816" r:id="rId3632" display="https://store.admitad.com/webmaster/websites/2166760/offers/18421-bitdefender-ww/"/>
    <hyperlink ref="C1817" r:id="rId3633" display="https://www.sunsky-online.com/"/>
    <hyperlink ref="E1817" r:id="rId3634" display="https://store.admitad.com/webmaster/websites/2166760/offers/18428-sunsky-online-ww/"/>
    <hyperlink ref="C1818" r:id="rId3635" display="https://www.lovelywholesale.com/"/>
    <hyperlink ref="E1818" r:id="rId3636" display="https://store.admitad.com/webmaster/websites/2166760/offers/18541-lovelywholesale-ww/"/>
    <hyperlink ref="C1819" r:id="rId3637" display="http://www.samsung.com/in/"/>
    <hyperlink ref="E1819" r:id="rId3638" display="https://store.admitad.com/webmaster/websites/2166760/offers/18555-samsung-cps-in/"/>
    <hyperlink ref="C1820" r:id="rId3639" display="https://www.flagman.kiev.ua/"/>
    <hyperlink ref="E1820" r:id="rId3640" display="https://store.admitad.com/webmaster/websites/2166760/offers/18615-flagman-ua/"/>
    <hyperlink ref="C1821" r:id="rId3641" display="https://www.fiverr.com/"/>
    <hyperlink ref="E1821" r:id="rId3642" display="https://store.admitad.com/webmaster/websites/2166760/offers/18789-fiverr-many-geos/"/>
    <hyperlink ref="C1822" r:id="rId3643" display="https://envato.com/"/>
    <hyperlink ref="E1822" r:id="rId3644" display="https://store.admitad.com/webmaster/websites/2166760/offers/19009-envato-ww/"/>
    <hyperlink ref="C1823" r:id="rId3645" display="https://tez-tour.com/"/>
    <hyperlink ref="E1823" r:id="rId3646" display="https://store.admitad.com/webmaster/websites/2166760/offers/19038-tez-tour-ww/"/>
    <hyperlink ref="C1824" r:id="rId3647" display="https://apps.bajajallianzlife.com/campaigns/Bajaj-Allianz-Life-logics/"/>
    <hyperlink ref="E1824" r:id="rId3648" display="https://store.admitad.com/webmaster/websites/2166760/offers/19057-bajaj-allianz-life-cpl-in/"/>
    <hyperlink ref="C1825" r:id="rId3649" display="https://vdsina.ru/"/>
    <hyperlink ref="E1825" r:id="rId3650" display="https://store.admitad.com/webmaster/websites/2166760/offers/19098-vdsina/"/>
    <hyperlink ref="C1826" r:id="rId3651" display="http://antoshka.ua/"/>
    <hyperlink ref="E1826" r:id="rId3652" display="https://store.admitad.com/webmaster/websites/2166760/offers/19322-antoshka-ua/"/>
    <hyperlink ref="C1827" r:id="rId3653" display="https://concert.ua/uk/"/>
    <hyperlink ref="E1827" r:id="rId3654" display="https://store.admitad.com/webmaster/websites/2166760/offers/19372-concert-ua/"/>
    <hyperlink ref="C1828" r:id="rId3655" display="https://www.tengo.kz/"/>
    <hyperlink ref="E1828" r:id="rId3656" display="https://store.admitad.com/webmaster/websites/2166760/offers/19622-tengo-cps-kz/"/>
    <hyperlink ref="C1829" r:id="rId3657" display="https://kachay.com.ua/"/>
    <hyperlink ref="E1829" r:id="rId3658" display="https://store.admitad.com/webmaster/websites/2166760/offers/19977-kachay-cps-api-ua/"/>
    <hyperlink ref="C1830" r:id="rId3659" display="https://msl.ua/"/>
    <hyperlink ref="E1830" r:id="rId3660" display="https://store.admitad.com/webmaster/websites/2166760/offers/20472-msl-ua/"/>
    <hyperlink ref="C1831" r:id="rId3661" display="https://www.sushiya.ua/"/>
    <hyperlink ref="E1831" r:id="rId3662" display="https://store.admitad.com/webmaster/websites/2166760/offers/20487-sushiya-ua/"/>
    <hyperlink ref="C1832" r:id="rId3663" display="https://www.crediton.ua/"/>
    <hyperlink ref="E1832" r:id="rId3664" display="https://store.admitad.com/webmaster/websites/2166760/offers/20563-krediton-cps-ua/"/>
    <hyperlink ref="C1833" r:id="rId3665" display="https://fozzy.com/ru/index.shtml"/>
    <hyperlink ref="E1833" r:id="rId3666" display="https://store.admitad.com/webmaster/websites/2166760/offers/20678-fozzy/"/>
    <hyperlink ref="C1834" r:id="rId3667" display="https://www.topshoptv.com.ua/"/>
    <hyperlink ref="E1834" r:id="rId3668" display="https://store.admitad.com/webmaster/websites/2166760/offers/21316-topshoptv-ua/"/>
    <hyperlink ref="C1835" r:id="rId3669" display="https://repka.ua/"/>
    <hyperlink ref="E1835" r:id="rId3670" display="https://store.admitad.com/webmaster/websites/2166760/offers/21478-repka-ua/"/>
    <hyperlink ref="C1836" r:id="rId3671" display="https://www.themancompany.com/"/>
    <hyperlink ref="E1836" r:id="rId3672" display="https://store.admitad.com/webmaster/websites/2166760/offers/21497-themancompany-cps-in/"/>
    <hyperlink ref="C1837" r:id="rId3673" display="https://allright.io/"/>
    <hyperlink ref="E1837" r:id="rId3674" display="https://store.admitad.com/webmaster/websites/2166760/offers/21540-allrightio/"/>
    <hyperlink ref="C1838" r:id="rId3675" display="https://in.puma.com/"/>
    <hyperlink ref="E1838" r:id="rId3676" display="https://store.admitad.com/webmaster/websites/2166760/offers/21567-puma-cps-in/"/>
    <hyperlink ref="C1839" r:id="rId3677" display="https://www.koke.kz/"/>
    <hyperlink ref="E1839" r:id="rId3678" display="https://store.admitad.com/webmaster/websites/2166760/offers/21580-koke-cps-kz/"/>
    <hyperlink ref="C1840" r:id="rId3679" display="https://markformelle.by/"/>
    <hyperlink ref="E1840" r:id="rId3680" display="https://store.admitad.com/webmaster/websites/2166760/offers/21679-mark-formelle-by/"/>
    <hyperlink ref="C1841" r:id="rId3681" display="https://adminvps.ru/"/>
    <hyperlink ref="E1841" r:id="rId3682" display="https://store.admitad.com/webmaster/websites/2166760/offers/21749-adminvps/"/>
    <hyperlink ref="C1842" r:id="rId3683" display="https://rivolishop.com/"/>
    <hyperlink ref="E1842" r:id="rId3684" display="https://store.admitad.com/webmaster/websites/2166760/offers/21873-rivolishop-ae-bh-om-qa-offline-codes-links/"/>
    <hyperlink ref="C1843" r:id="rId3685" display="https://www.novakid.com.tr/"/>
    <hyperlink ref="E1843" r:id="rId3686" display="https://store.admitad.com/webmaster/websites/2166760/offers/22162-novakid-many-geos/"/>
    <hyperlink ref="C1844" r:id="rId3687" display="https://nextrp.ru/"/>
    <hyperlink ref="E1844" r:id="rId3688" display="https://store.admitad.com/webmaster/websites/2166760/offers/22174-nextrp-cpp-ru-many-geos/"/>
    <hyperlink ref="C1845" r:id="rId3689" display="https://avtmarket.com.ua/"/>
    <hyperlink ref="E1845" r:id="rId3690" display="https://store.admitad.com/webmaster/websites/2166760/offers/22502-avtmarket-ua/"/>
    <hyperlink ref="C1846" r:id="rId3691" display="https://www.elctoys.com/"/>
    <hyperlink ref="E1846" r:id="rId3692" display="https://store.admitad.com/webmaster/websites/2166760/offers/22611-elctoys-ae-sa/"/>
    <hyperlink ref="C1847" r:id="rId3693" display="https://apps.apple.com/ru/app/letyshops-%D0%BA%D1%8D%D1%88%D0%B1%D1%8D%D0%BA-%D0%BD%D0%B0-%D0%BF%D0%BE%D0%BA%D1%83%D0%BF%D0%BA%D0%B8/id1363956566"/>
    <hyperlink ref="E1847" r:id="rId3694" display="https://store.admitad.com/webmaster/websites/2166760/offers/22724-letyshops-cpllifetime-ios-many-geos/"/>
    <hyperlink ref="C1848" r:id="rId3695" display="https://e-loan.homecredit.kz/online3/offer?iframe_id=hjfgfrte$32&amp;lang=ru"/>
    <hyperlink ref="E1848" r:id="rId3696" display="https://store.admitad.com/webmaster/websites/2166760/offers/22849-home-credit-cps-kz/"/>
    <hyperlink ref="C1849" r:id="rId3697" display="https://www.mobly.com.br/"/>
    <hyperlink ref="E1849" r:id="rId3698" display="https://store.admitad.com/webmaster/websites/2166760/offers/22879-mobly-br/"/>
    <hyperlink ref="C1850" r:id="rId3699" display="https://karazlinen.com/"/>
    <hyperlink ref="E1850" r:id="rId3700" display="https://store.admitad.com/webmaster/websites/2166760/offers/22915-karazlinen-sa/"/>
    <hyperlink ref="C1851" r:id="rId3701" display="https://creditplus.kz/"/>
    <hyperlink ref="E1851" r:id="rId3702" display="https://store.admitad.com/webmaster/websites/2166760/offers/23229-creditplus-cps-kz/"/>
    <hyperlink ref="C1852" r:id="rId3703" display="https://ovo.ua/"/>
    <hyperlink ref="E1852" r:id="rId3704" display="https://store.admitad.com/webmaster/websites/2166760/offers/23237-ovo-ua/"/>
    <hyperlink ref="C1853" r:id="rId3705" display="https://molnija.shop/?utm_source=admitad&amp;utm_medium=cpa&amp;utm_campaign=%7b%7bpublisher_id%7d%7d&amp;tagtag_uid=%7b%7badmitad_uid%7d%7d"/>
    <hyperlink ref="E1853" r:id="rId3706" display="https://store.admitad.com/webmaster/websites/2166760/offers/23259-chasy-molniia-many-geos/"/>
    <hyperlink ref="C1854" r:id="rId3707" display="https://www.linio.com.pe/"/>
    <hyperlink ref="E1854" r:id="rId3708" display="https://store.admitad.com/webmaster/websites/2166760/offers/23404-linio-pe/"/>
    <hyperlink ref="C1855" r:id="rId3709" display="https://play.szhuldyz.kz/login"/>
    <hyperlink ref="E1855" r:id="rId3710" display="https://store.admitad.com/webmaster/websites/2166760/offers/23467-satty-zhuldyz-kz/"/>
    <hyperlink ref="C1856" r:id="rId3711" display="https://www.eoutlet.com/"/>
    <hyperlink ref="E1856" r:id="rId3712" display="https://store.admitad.com/webmaster/websites/2166760/offers/23552-eoutlet-ae-bh-kw-om-sa-offline-codes-links/"/>
    <hyperlink ref="C1857" r:id="rId3713" display="https://teana-labs.ru/"/>
    <hyperlink ref="E1857" r:id="rId3714" display="https://store.admitad.com/webmaster/websites/2166760/offers/23561-teana-labs/"/>
    <hyperlink ref="C1858" r:id="rId3715" display="https://travel.ic-ekta.com/"/>
    <hyperlink ref="E1858" r:id="rId3716" display="https://store.admitad.com/webmaster/websites/2166760/offers/23632-ekta-many-geos/"/>
    <hyperlink ref="C1859" r:id="rId3717" display="http://ringoo.ua/"/>
    <hyperlink ref="E1859" r:id="rId3718" display="https://store.admitad.com/webmaster/websites/2166760/offers/23651-ringoo-ua/"/>
    <hyperlink ref="C1860" r:id="rId3719" display="https://www.posthaus.com.br/"/>
    <hyperlink ref="E1860" r:id="rId3720" display="https://store.admitad.com/webmaster/websites/2166760/offers/23668-posthaus-br/"/>
    <hyperlink ref="C1861" r:id="rId3721" display="https://trip.com/"/>
    <hyperlink ref="E1861" r:id="rId3722" display="https://store.admitad.com/webmaster/websites/2166760/offers/23733-tripcom-ww/"/>
    <hyperlink ref="C1862" r:id="rId3723" display="https://www.vinhofacil.com.br/"/>
    <hyperlink ref="E1862" r:id="rId3724" display="https://store.admitad.com/webmaster/websites/2166760/offers/23759-vinho-facil/"/>
    <hyperlink ref="C1863" r:id="rId3725" display="https://www.boat-lifestyle.com/"/>
    <hyperlink ref="E1863" r:id="rId3726" display="https://store.admitad.com/webmaster/websites/2166760/offers/23961-boat-lifestyle-cps-in/"/>
    <hyperlink ref="C1864" r:id="rId3727" display="https://www.natura.com.br/"/>
    <hyperlink ref="E1864" r:id="rId3728" display="https://store.admitad.com/webmaster/websites/2166760/offers/23966-natura-br/"/>
    <hyperlink ref="C1865" r:id="rId3729" display="https://www.etihad.com/"/>
    <hyperlink ref="E1865" r:id="rId3730" display="https://store.admitad.com/webmaster/websites/2166760/offers/24018-etihad-cps-ww/"/>
    <hyperlink ref="C1866" r:id="rId3731" display="https://www.darienzocollezioni.it/"/>
    <hyperlink ref="E1866" r:id="rId3732" display="https://store.admitad.com/webmaster/websites/2166760/offers/24065-darienzo-many-geos/"/>
    <hyperlink ref="C1867" r:id="rId3733" display="https://www.trustedhousesitters.com/"/>
    <hyperlink ref="E1867" r:id="rId3734" display="https://store.admitad.com/webmaster/websites/2166760/offers/24070-trustedhousesitters-uk-us/"/>
    <hyperlink ref="C1868" r:id="rId3735" display="https://www.gshopper.com/"/>
    <hyperlink ref="E1868" r:id="rId3736" display="https://store.admitad.com/webmaster/websites/2166760/offers/24073-gshopper-many-geos/"/>
    <hyperlink ref="C1869" r:id="rId3737" display="https://rulez.by/"/>
    <hyperlink ref="E1869" r:id="rId3738" display="https://store.admitad.com/webmaster/websites/2166760/offers/24074-rulez-by/"/>
    <hyperlink ref="C1870" r:id="rId3739" display="https://www.fordeal.com/"/>
    <hyperlink ref="E1870" r:id="rId3740" display="https://store.admitad.com/webmaster/websites/2166760/offers/24106-fordeal-many-geos/"/>
    <hyperlink ref="C1871" r:id="rId3741" display="https://minimal.com.ua/"/>
    <hyperlink ref="E1871" r:id="rId3742" display="https://store.admitad.com/webmaster/websites/2166760/offers/24159-minimal-silver-ua/"/>
    <hyperlink ref="C1872" r:id="rId3743" display="https://espritgames.com/leagueofangelshf/"/>
    <hyperlink ref="E1872" r:id="rId3744" display="https://store.admitad.com/webmaster/websites/2166760/offers/24198-league-of-angels-heavens-fury-cpp-esprit-enmany-geos/"/>
    <hyperlink ref="C1873" r:id="rId3745" display="https://contented.ru/"/>
    <hyperlink ref="E1873" r:id="rId3746" display="https://store.admitad.com/webmaster/websites/2166760/offers/24333-contented/"/>
    <hyperlink ref="C1874" r:id="rId3747" display="https://metrobrazil.com/"/>
    <hyperlink ref="E1874" r:id="rId3748" display="https://store.admitad.com/webmaster/websites/2166760/offers/24357-metro-brazil-many-geos-offline-codes-links/"/>
    <hyperlink ref="C1875" r:id="rId3749" display="https://goodex24.com/"/>
    <hyperlink ref="E1875" r:id="rId3750" display="https://store.admitad.com/webmaster/websites/2166760/offers/24408-goodex-ua/"/>
    <hyperlink ref="C1876" r:id="rId3751" display="https://brandshop.ru/"/>
    <hyperlink ref="E1876" r:id="rId3752" display="https://store.admitad.com/webmaster/websites/2166760/offers/24411-brandshopru/"/>
    <hyperlink ref="C1877" r:id="rId3753" display="https://mypandalife.com/"/>
    <hyperlink ref="E1877" r:id="rId3754" display="https://store.admitad.com/webmaster/websites/2166760/offers/24574-panda-uk/"/>
    <hyperlink ref="C1878" r:id="rId3755" display="https://store.acer.com/en-in/"/>
    <hyperlink ref="E1878" r:id="rId3756" display="https://store.admitad.com/webmaster/websites/2166760/offers/24575-acer-cps-in/"/>
    <hyperlink ref="C1879" r:id="rId3757" display="https://www.basharacare.com/ae_en/"/>
    <hyperlink ref="E1879" r:id="rId3758" display="https://store.admitad.com/webmaster/websites/2166760/offers/24583-basharacare-offline-codes/"/>
    <hyperlink ref="C1880" r:id="rId3759" display="https://www.donttellmama-studio.com/"/>
    <hyperlink ref="E1880" r:id="rId3760" display="https://store.admitad.com/webmaster/websites/2166760/offers/24584-donttellmama-il/"/>
    <hyperlink ref="C1881" r:id="rId3761" display="https://www.nealsyardremedies.com/"/>
    <hyperlink ref="E1881" r:id="rId3762" display="https://store.admitad.com/webmaster/websites/2166760/offers/24688-neals-yard-remedies-uk-us/"/>
    <hyperlink ref="C1882" r:id="rId3763" display="https://www.homebase.co.uk/"/>
    <hyperlink ref="E1882" r:id="rId3764" display="https://store.admitad.com/webmaster/websites/2166760/offers/24710-homebase-uk/"/>
    <hyperlink ref="C1883" r:id="rId3765" display="https://www.goniyo.com/"/>
    <hyperlink ref="E1883" r:id="rId3766" display="https://store.admitad.com/webmaster/websites/2166760/offers/24805-niyox-android-cpa-in/"/>
    <hyperlink ref="C1884" r:id="rId3767" display="https://neocredit.com.ua/"/>
    <hyperlink ref="E1884" r:id="rId3768" display="https://store.admitad.com/webmaster/websites/2166760/offers/24807-neocredit-cps-ua/"/>
    <hyperlink ref="C1885" r:id="rId3769" display="https://vitalia.pl/"/>
    <hyperlink ref="E1885" r:id="rId3770" display="https://store.admitad.com/webmaster/websites/2166760/offers/24829-vitalia-pl/"/>
    <hyperlink ref="C1886" r:id="rId3771" display="http://shopee.com.br/"/>
    <hyperlink ref="E1886" r:id="rId3772" display="https://store.admitad.com/webmaster/websites/2166760/offers/24872-shopee-br/"/>
    <hyperlink ref="C1887" r:id="rId3773" display="https://artwinery.com.ua/"/>
    <hyperlink ref="E1887" r:id="rId3774" display="https://store.admitad.com/webmaster/websites/2166760/offers/25004-artwinery-ua/"/>
    <hyperlink ref="C1888" r:id="rId3775" display="https://planner5d.com/"/>
    <hyperlink ref="E1888" r:id="rId3776" display="https://store.admitad.com/webmaster/websites/2166760/offers/25131-planner5d-ww/"/>
    <hyperlink ref="C1889" r:id="rId3777" display="https://argo.com.ua/"/>
    <hyperlink ref="E1889" r:id="rId3778" display="https://store.admitad.com/webmaster/websites/2166760/offers/25204-argo-ua/"/>
    <hyperlink ref="C1890" r:id="rId3779" display="https://www.wholesale21.com/"/>
    <hyperlink ref="E1890" r:id="rId3780" display="https://store.admitad.com/webmaster/websites/2166760/offers/25258-wholesale21-ww/"/>
    <hyperlink ref="C1891" r:id="rId3781" display="https://www.privatesportshop.de/"/>
    <hyperlink ref="E1891" r:id="rId3782" display="https://store.admitad.com/webmaster/websites/2166760/offers/25856-private-sport-shop-de-at/"/>
    <hyperlink ref="C1892" r:id="rId3783" display="https://credit365.kz/"/>
    <hyperlink ref="E1892" r:id="rId3784" display="https://store.admitad.com/webmaster/websites/2166760/offers/25967-credit365-kz/"/>
    <hyperlink ref="C1893" r:id="rId3785" display="https://www.motorola.com.br/"/>
    <hyperlink ref="E1893" r:id="rId3786" display="https://store.admitad.com/webmaster/websites/2166760/offers/26048-motorola-br/"/>
    <hyperlink ref="C1894" r:id="rId3787" display="https://www.creagames.com/game/efr"/>
    <hyperlink ref="E1894" r:id="rId3788" display="https://store.admitad.com/webmaster/websites/2166760/offers/26050-eternal-fury-reborn-soi-rucis/"/>
    <hyperlink ref="C1895" r:id="rId3789" display="https://lichi.com/"/>
    <hyperlink ref="E1895" r:id="rId3790" display="https://store.admitad.com/webmaster/websites/2166760/offers/26109-lichi/"/>
    <hyperlink ref="C1896" r:id="rId3791" display="https://www.brocard.ua/ru"/>
    <hyperlink ref="E1896" r:id="rId3792" display="https://store.admitad.com/webmaster/websites/2166760/offers/26235-brocard-ua/"/>
    <hyperlink ref="C1897" r:id="rId3793" display="https://www.getrushapp.com/"/>
    <hyperlink ref="E1897" r:id="rId3794" display="https://store.admitad.com/webmaster/websites/2166760/offers/26238-rush-android-apk-cpr-in/"/>
    <hyperlink ref="C1898" r:id="rId3795" display="https://store.my.games/play/game/war_robots/"/>
    <hyperlink ref="E1898" r:id="rId3796" display="https://store.admitad.com/webmaster/websites/2166760/offers/26252-war-robots-soi-uk-us-dach/"/>
    <hyperlink ref="C1899" r:id="rId3797" display="https://www.buecher.de/go/home/page/wea/1160025/"/>
    <hyperlink ref="E1899" r:id="rId3798" display="https://store.admitad.com/webmaster/websites/2166760/offers/26321-buecher-de/"/>
    <hyperlink ref="C1900" r:id="rId3799" display="https://www.sparhandy.de/"/>
    <hyperlink ref="E1900" r:id="rId3800" display="https://store.admitad.com/webmaster/websites/2166760/offers/26370-sparhandy-de/"/>
    <hyperlink ref="C1901" r:id="rId3801" location="/simulacao/" display="https://www.cliente.santanderfinanciamentos.com.br/originacaocliente/ - /simulacao/"/>
    <hyperlink ref="E1901" r:id="rId3802" display="https://store.admitad.com/webmaster/websites/2166760/offers/26393-santander-automoveis/"/>
    <hyperlink ref="C1902" r:id="rId3803" display="https://abrasuaconta.santander.com.br/contacartao/"/>
    <hyperlink ref="E1902" r:id="rId3804" display="https://store.admitad.com/webmaster/websites/2166760/offers/26466-santander-abertura-de-contas-cartao/"/>
    <hyperlink ref="C1903" r:id="rId3805" display="http://www.jdsports.es/"/>
    <hyperlink ref="E1903" r:id="rId3806" display="https://store.admitad.com/webmaster/websites/2166760/offers/26567-jd-sports-es/"/>
    <hyperlink ref="C1904" r:id="rId3807" display="https://www.jdsports.it/"/>
    <hyperlink ref="E1904" r:id="rId3808" display="https://store.admitad.com/webmaster/websites/2166760/offers/26571-jd-sports-it/"/>
    <hyperlink ref="C1905" r:id="rId3809" display="https://www.communityfibre.co.uk/"/>
    <hyperlink ref="E1905" r:id="rId3810" display="https://store.admitad.com/webmaster/websites/2166760/offers/26668-community-fibre-uk/"/>
    <hyperlink ref="C1906" r:id="rId3811" display="https://www.hugendubel.de/"/>
    <hyperlink ref="E1906" r:id="rId3812" display="https://store.admitad.com/webmaster/websites/2166760/offers/26748-hugendubel-de/"/>
    <hyperlink ref="C1907" r:id="rId3813" display="https://www.aktivshop.de/"/>
    <hyperlink ref="E1907" r:id="rId3814" display="https://store.admitad.com/webmaster/websites/2166760/offers/26783-aktivshop-de/"/>
    <hyperlink ref="C1908" r:id="rId3815" display="http://herrenausstatter.de/"/>
    <hyperlink ref="E1908" r:id="rId3816" display="https://store.admitad.com/webmaster/websites/2166760/offers/26789-herrenausstatter-de/"/>
    <hyperlink ref="C1909" r:id="rId3817" display="https://www.hardloop.fr/"/>
    <hyperlink ref="E1909" r:id="rId3818" display="https://store.admitad.com/webmaster/websites/2166760/offers/26815-hardloop-fr/"/>
    <hyperlink ref="C1910" r:id="rId3819" display="https://www.shopping24.de/"/>
    <hyperlink ref="E1910" r:id="rId3820" display="https://store.admitad.com/webmaster/websites/2166760/offers/27104-shopping24-de/"/>
    <hyperlink ref="C1911" r:id="rId3821" display="https://www.camif.fr/"/>
    <hyperlink ref="E1911" r:id="rId3822" display="https://store.admitad.com/webmaster/websites/2166760/offers/27151-camif-fr/"/>
    <hyperlink ref="C1912" r:id="rId3823" display="https://www.allbeauty.com/"/>
    <hyperlink ref="E1912" r:id="rId3824" display="https://store.admitad.com/webmaster/websites/2166760/offers/27165-allbeauty-us/"/>
    <hyperlink ref="C1913" r:id="rId3825" display="http://www.mydays.de/"/>
    <hyperlink ref="E1913" r:id="rId3826" display="https://store.admitad.com/webmaster/websites/2166760/offers/27269-mydays-de-at/"/>
    <hyperlink ref="C1914" r:id="rId3827" display="https://www.lieferando.de/"/>
    <hyperlink ref="E1914" r:id="rId3828" display="https://store.admitad.com/webmaster/websites/2166760/offers/27431-lieferando-de/"/>
    <hyperlink ref="C1915" r:id="rId3829" display="https://www.cocooncenter.com/"/>
    <hyperlink ref="E1915" r:id="rId3830" display="https://store.admitad.com/webmaster/websites/2166760/offers/27457-cocooncenter-fr/"/>
    <hyperlink ref="C1916" r:id="rId3831" display="https://www.tring.co.in/tring-dhamaka/all?utm_source=admitad&amp;utm_medium=Affiliate&amp;utm_campaign=Tring199"/>
    <hyperlink ref="E1916" r:id="rId3832" display="https://store.admitad.com/webmaster/websites/2166760/offers/27493-tring-cps-in/"/>
    <hyperlink ref="C1917" r:id="rId3833" display="http://labirint.ru/"/>
    <hyperlink ref="E1917" r:id="rId3834" display="https://store.admitad.com/webmaster/websites/2166760/offers/1816-labirint/"/>
    <hyperlink ref="C1918" r:id="rId3835" display="https://new.city.travel/avia"/>
    <hyperlink ref="E1918" r:id="rId3836" display="https://store.admitad.com/webmaster/websites/2166760/offers/5365-citytravel-many-geos/"/>
    <hyperlink ref="C1919" r:id="rId3837" display="https://kf.ua/"/>
    <hyperlink ref="E1919" r:id="rId3838" display="https://store.admitad.com/webmaster/websites/2166760/offers/14638-kf-cps-api-ua/"/>
    <hyperlink ref="C1920" r:id="rId3839" display="https://lotto-sport.com.ua/"/>
    <hyperlink ref="E1920" r:id="rId3840" display="https://store.admitad.com/webmaster/websites/2166760/offers/14852-lotto-sport-ua/"/>
    <hyperlink ref="C1921" r:id="rId3841" display="https://om.elvenar.com/ox/ru?ref=igcom"/>
    <hyperlink ref="E1921" r:id="rId3842" display="https://store.admitad.com/webmaster/websites/2166760/offers/14958-elvenar-soi-many-geos/"/>
    <hyperlink ref="C1922" r:id="rId3843" display="http://myntra.com/"/>
    <hyperlink ref="E1922" r:id="rId3844" display="https://store.admitad.com/webmaster/websites/2166760/offers/15481-myntra-cps-in/"/>
    <hyperlink ref="C1923" r:id="rId3845" display="http://zaimer.kz/"/>
    <hyperlink ref="E1923" r:id="rId3846" display="https://store.admitad.com/webmaster/websites/2166760/offers/15711-zaimer-cps-kz/"/>
    <hyperlink ref="C1924" r:id="rId3847" display="https://gepur.com/"/>
    <hyperlink ref="E1924" r:id="rId3848" display="https://store.admitad.com/webmaster/websites/2166760/offers/17514-gepur-ua/"/>
    <hyperlink ref="C1925" r:id="rId3849" display="http://www.boutiquefeel.com/"/>
    <hyperlink ref="E1925" r:id="rId3850" display="https://store.admitad.com/webmaster/websites/2166760/offers/18429-boutiquefeel-ww/"/>
    <hyperlink ref="C1926" r:id="rId3851" display="https://intertop.ua/"/>
    <hyperlink ref="E1926" r:id="rId3852" display="https://store.admitad.com/webmaster/websites/2166760/offers/19130-intertop-ua/"/>
    <hyperlink ref="C1927" r:id="rId3853" display="https://agro-market.net/"/>
    <hyperlink ref="E1927" r:id="rId3854" display="https://store.admitad.com/webmaster/websites/2166760/offers/19959-agromarket-ua/"/>
    <hyperlink ref="C1928" r:id="rId3855" display="http://globkurier.pl/"/>
    <hyperlink ref="E1928" r:id="rId3856" display="https://store.admitad.com/webmaster/websites/2166760/offers/19976-globkurier-cps-pl/"/>
    <hyperlink ref="C1929" r:id="rId3857" display="https://auchan.ua/"/>
    <hyperlink ref="E1929" r:id="rId3858" display="https://store.admitad.com/webmaster/websites/2166760/offers/20062-auchan-ua/"/>
    <hyperlink ref="C1930" r:id="rId3859" display="https://goodwine.com.ua/"/>
    <hyperlink ref="E1930" r:id="rId3860" display="https://store.admitad.com/webmaster/websites/2166760/offers/20130-goodwine-ua/"/>
    <hyperlink ref="C1931" r:id="rId3861" display="https://yslbeauty.com.ru/"/>
    <hyperlink ref="E1931" r:id="rId3862" display="https://store.admitad.com/webmaster/websites/2166760/offers/20240-yves-saint-laurent-ru/"/>
    <hyperlink ref="C1932" r:id="rId3863" display="https://www.uniplaces.com/"/>
    <hyperlink ref="E1932" r:id="rId3864" display="https://store.admitad.com/webmaster/websites/2166760/offers/20793-uniplaces-cps-ww/"/>
    <hyperlink ref="C1933" r:id="rId3865" display="https://www.trainline.eu/"/>
    <hyperlink ref="E1933" r:id="rId3866" display="https://store.admitad.com/webmaster/websites/2166760/offers/20807-trainline-ww/"/>
    <hyperlink ref="C1934" r:id="rId3867" display="https://www.geekbuying.pl/"/>
    <hyperlink ref="E1934" r:id="rId3868" display="https://store.admitad.com/webmaster/websites/2166760/offers/20835-geekbuying-pl/"/>
    <hyperlink ref="C1935" r:id="rId3869" display="https://touch.com.ua/"/>
    <hyperlink ref="E1935" r:id="rId3870" display="https://store.admitad.com/webmaster/websites/2166760/offers/21026-touch-ua/"/>
    <hyperlink ref="C1936" r:id="rId3871" display="https://www.asics.com/in/en-in"/>
    <hyperlink ref="E1936" r:id="rId3872" display="https://store.admitad.com/webmaster/websites/2166760/offers/21334-asics-cps-in/"/>
    <hyperlink ref="C1937" r:id="rId3873" display="https://www.oneplus.in/"/>
    <hyperlink ref="E1937" r:id="rId3874" display="https://store.admitad.com/webmaster/websites/2166760/offers/21934-oneplus-cps-many-geos/"/>
    <hyperlink ref="C1938" r:id="rId3875" display="https://www.ivi.ru/"/>
    <hyperlink ref="E1938" r:id="rId3876" display="https://store.admitad.com/webmaster/websites/2166760/offers/22004-iviru-cps/"/>
    <hyperlink ref="C1939" r:id="rId3877" display="https://www.joigifts.com/"/>
    <hyperlink ref="E1939" r:id="rId3878" display="https://store.admitad.com/webmaster/websites/2166760/offers/22113-joigifts-mena/"/>
    <hyperlink ref="C1940" r:id="rId3879" display="https://www.perfumesclub.com/"/>
    <hyperlink ref="E1940" r:id="rId3880" display="https://store.admitad.com/webmaster/websites/2166760/offers/22373-perfumes-club-cps-es-de-it-fr-uk/"/>
    <hyperlink ref="C1941" r:id="rId3881" display="https://www.udemy.com/"/>
    <hyperlink ref="E1941" r:id="rId3882" display="https://store.admitad.com/webmaster/websites/2166760/offers/22448-udemy-ww/"/>
    <hyperlink ref="C1942" r:id="rId3883" display="https://unacademy.com/"/>
    <hyperlink ref="E1942" r:id="rId3884" display="https://store.admitad.com/webmaster/websites/2166760/offers/22749-unacademy-cpa-in/"/>
    <hyperlink ref="C1943" r:id="rId3885" display="https://oh.ua/osago-promo/"/>
    <hyperlink ref="E1943" r:id="rId3886" display="https://store.admitad.com/webmaster/websites/2166760/offers/22842-oh-cps-ua/"/>
    <hyperlink ref="C1944" r:id="rId3887" display="https://kumo.com.ua/"/>
    <hyperlink ref="E1944" r:id="rId3888" display="https://store.admitad.com/webmaster/websites/2166760/offers/22847-kumo-cps-api-ua/"/>
    <hyperlink ref="C1945" r:id="rId3889" display="https://bloomingdales.ae/"/>
    <hyperlink ref="E1945" r:id="rId3890" display="https://store.admitad.com/webmaster/websites/2166760/offers/22897-bloomingdales-ae-sa-kw-offline-codes-links/"/>
    <hyperlink ref="C1946" r:id="rId3891" display="https://fitstars.ru/"/>
    <hyperlink ref="E1946" r:id="rId3892" display="https://store.admitad.com/webmaster/websites/2166760/offers/22919-fitstars-ru/"/>
    <hyperlink ref="C1947" r:id="rId3893" display="https://www.mihyar.com/saudi-en"/>
    <hyperlink ref="E1947" r:id="rId3894" display="https://store.admitad.com/webmaster/websites/2166760/offers/23125-mihyar-many-geos/"/>
    <hyperlink ref="C1948" r:id="rId3895" display="https://malinovka.org/"/>
    <hyperlink ref="E1948" r:id="rId3896" display="https://store.admitad.com/webmaster/websites/2166760/offers/23335-malinovka-cpp-rucis/"/>
    <hyperlink ref="C1949" r:id="rId3897" display="https://www.parallels.com/"/>
    <hyperlink ref="E1949" r:id="rId3898" display="https://store.admitad.com/webmaster/websites/2166760/offers/23486-parallels-ww/"/>
    <hyperlink ref="C1950" r:id="rId3899" display="https://www.ziprecruiter.com/"/>
    <hyperlink ref="E1950" r:id="rId3900" display="https://store.admitad.com/webmaster/websites/2166760/offers/23638-ziprecruiter-us/"/>
    <hyperlink ref="C1951" r:id="rId3901" display="https://plarium.com/landings/en/desktop/raid/dragon_fire_a_m_f038_droapp"/>
    <hyperlink ref="E1951" r:id="rId3902" display="https://store.admitad.com/webmaster/websites/2166760/offers/23656-raid-shadow-legends-soi-nordics/"/>
    <hyperlink ref="C1952" r:id="rId3903" display="https://www.jiomart.com/"/>
    <hyperlink ref="E1952" r:id="rId3904" display="https://store.admitad.com/webmaster/websites/2166760/offers/23702-jiomart-cpv-in/"/>
    <hyperlink ref="C1953" r:id="rId3905" display="https://iu.ru/"/>
    <hyperlink ref="E1953" r:id="rId3906" display="https://store.admitad.com/webmaster/websites/2166760/offers/24346-iuru/"/>
    <hyperlink ref="C1954" r:id="rId3907" display="https://norwegianfishoil.ru/"/>
    <hyperlink ref="E1954" r:id="rId3908" display="https://store.admitad.com/webmaster/websites/2166760/offers/24478-nfo-norwegian-fish-oil/"/>
    <hyperlink ref="C1955" r:id="rId3909" display="https://theoriginals.com.ua/"/>
    <hyperlink ref="E1955" r:id="rId3910" display="https://store.admitad.com/webmaster/websites/2166760/offers/24482-theoriginals-ua/"/>
    <hyperlink ref="C1956" r:id="rId3911" display="https://www.italki.com/"/>
    <hyperlink ref="E1956" r:id="rId3912" display="https://store.admitad.com/webmaster/websites/2166760/offers/24736-italki-ww/"/>
    <hyperlink ref="C1957" r:id="rId3913" display="https://enlisted.net/ru"/>
    <hyperlink ref="E1957" r:id="rId3914" display="https://store.admitad.com/webmaster/websites/2166760/offers/24811-enlisted-cpp-rucis/"/>
    <hyperlink ref="C1958" r:id="rId3915" display="https://www.itead.cc/"/>
    <hyperlink ref="E1958" r:id="rId3916" display="https://store.admitad.com/webmaster/websites/2166760/offers/24851-itead-ww/"/>
    <hyperlink ref="C1959" r:id="rId3917" display="https://www.mahzooz.ae/en"/>
    <hyperlink ref="E1959" r:id="rId3918" display="https://store.admitad.com/webmaster/websites/2166760/offers/24855-mahzooz-many-geos/"/>
    <hyperlink ref="C1960" r:id="rId3919" display="https://fo4.101xp.com/"/>
    <hyperlink ref="E1960" r:id="rId3920" display="https://store.admitad.com/webmaster/websites/2166760/offers/24930-fifa-online-4-cpp-rucis/"/>
    <hyperlink ref="C1961" r:id="rId3921" display="https://www.own3d.tv/"/>
    <hyperlink ref="E1961" r:id="rId3922" display="https://store.admitad.com/webmaster/websites/2166760/offers/24940-own3dtv-shop-for-game-live-streamers-cps-many-geos/"/>
    <hyperlink ref="C1962" r:id="rId3923" display="https://www.techwearclub.com/"/>
    <hyperlink ref="E1962" r:id="rId3924" display="https://store.admitad.com/webmaster/websites/2166760/offers/25007-techwearclub-ww/"/>
    <hyperlink ref="C1963" r:id="rId3925" display="https://htmlacademy.ru/"/>
    <hyperlink ref="E1963" r:id="rId3926" display="https://store.admitad.com/webmaster/websites/2166760/offers/25331-html-academy/"/>
    <hyperlink ref="C1964" r:id="rId3927" display="https://www.justherbs.in/"/>
    <hyperlink ref="E1964" r:id="rId3928" display="https://store.admitad.com/webmaster/websites/2166760/offers/25860-justherbs-cps-in/"/>
    <hyperlink ref="C1965" r:id="rId3929" display="https://escapewelt.de/"/>
    <hyperlink ref="E1965" r:id="rId3930" display="https://store.admitad.com/webmaster/websites/2166760/offers/25976-escapeweltde-many-geos/"/>
    <hyperlink ref="C1966" r:id="rId3931" display="https://www.zolucky.com/"/>
    <hyperlink ref="E1966" r:id="rId3932" display="https://store.admitad.com/webmaster/websites/2166760/offers/26167-zolucky-ww/"/>
    <hyperlink ref="C1967" r:id="rId3933" display="https://www.21vek.by/"/>
    <hyperlink ref="E1967" r:id="rId3934" display="https://store.admitad.com/webmaster/websites/2166760/offers/26293-21vek-by-new/"/>
    <hyperlink ref="C1968" r:id="rId3935" display="https://fun-sport-vision.com/"/>
    <hyperlink ref="E1968" r:id="rId3936" display="https://store.admitad.com/webmaster/websites/2166760/offers/26304-fun-sport-vision-de/"/>
    <hyperlink ref="C1969" r:id="rId3937" display="http://favoriteshoes.com.ua/"/>
    <hyperlink ref="E1969" r:id="rId3938" display="https://store.admitad.com/webmaster/websites/2166760/offers/26457-favorite-shoes-ua/"/>
    <hyperlink ref="C1970" r:id="rId3939" display="https://www.street-one.de/"/>
    <hyperlink ref="E1970" r:id="rId3940" display="https://store.admitad.com/webmaster/websites/2166760/offers/26564-street-one-de/"/>
    <hyperlink ref="C1971" r:id="rId3941" display="https://www.healthspan.co.uk/"/>
    <hyperlink ref="E1971" r:id="rId3942" display="https://store.admitad.com/webmaster/websites/2166760/offers/26602-healthspan-uk/"/>
    <hyperlink ref="C1972" r:id="rId3943" display="https://eastar-music.com/"/>
    <hyperlink ref="E1972" r:id="rId3944" display="https://store.admitad.com/webmaster/websites/2166760/offers/26617-eastar-music-ww/"/>
    <hyperlink ref="C1973" r:id="rId3945" display="https://www.furnitureinfashion.net/"/>
    <hyperlink ref="E1973" r:id="rId3946" display="https://store.admitad.com/webmaster/websites/2166760/offers/26652-furniture-in-fashion/"/>
    <hyperlink ref="C1974" r:id="rId3947" display="http://adheart.ru/"/>
    <hyperlink ref="E1974" r:id="rId3948" display="https://store.admitad.com/webmaster/websites/2166760/offers/27304-adheart/"/>
    <hyperlink ref="C1975" r:id="rId3949" display="https://www.tatacliq.com/"/>
    <hyperlink ref="E1975" r:id="rId3950" display="https://store.admitad.com/webmaster/websites/2166760/offers/15542-tatacliq-cps-in/"/>
    <hyperlink ref="C1976" r:id="rId3951" display="http://www.milanoo.com/"/>
    <hyperlink ref="E1976" r:id="rId3952" display="https://store.admitad.com/webmaster/websites/2166760/offers/18350-milanoo-ww/"/>
    <hyperlink ref="C1977" r:id="rId3953" display="https://www.movavi.ru/"/>
    <hyperlink ref="E1977" r:id="rId3954" display="https://store.admitad.com/webmaster/websites/2166760/offers/18423-movavi/"/>
    <hyperlink ref="C1978" r:id="rId3955" display="https://www.ivory.co.il/"/>
    <hyperlink ref="E1978" r:id="rId3956" display="https://store.admitad.com/webmaster/websites/2166760/offers/21523-ivoryil/"/>
    <hyperlink ref="C1979" r:id="rId3957" display="https://www.garshinka.ru/"/>
    <hyperlink ref="E1979" r:id="rId3958" display="https://store.admitad.com/webmaster/websites/2166760/offers/21527-garshinka/"/>
    <hyperlink ref="C1980" r:id="rId3959" display="https://www.maxmilhas.com.br/"/>
    <hyperlink ref="E1980" r:id="rId3960" display="https://store.admitad.com/webmaster/websites/2166760/offers/21552-maxmilhas/"/>
    <hyperlink ref="C1981" r:id="rId3961" display="https://eyewa.com/"/>
    <hyperlink ref="E1981" r:id="rId3962" display="https://store.admitad.com/webmaster/websites/2166760/offers/21562-eyewa-ae-sa-kw-qt-om-offline-codes-links/"/>
    <hyperlink ref="C1982" r:id="rId3963" display="https://en-sa.citrusstv.com/"/>
    <hyperlink ref="E1982" r:id="rId3964" display="https://store.admitad.com/webmaster/websites/2166760/offers/22441-citrusstv-many-geos-offline-codes-and-links/"/>
    <hyperlink ref="C1983" r:id="rId3965" display="https://www.sportmaster.ua/"/>
    <hyperlink ref="E1983" r:id="rId3966" display="https://store.admitad.com/webmaster/websites/2166760/offers/22718-sportmaster-ua-2/"/>
    <hyperlink ref="C1984" r:id="rId3967" display="https://www.canva.com/"/>
    <hyperlink ref="E1984" r:id="rId3968" display="https://store.admitad.com/webmaster/websites/2166760/offers/22931-canva-many-geos/"/>
    <hyperlink ref="C1985" r:id="rId3969" display="https://creditbox.in.ua/"/>
    <hyperlink ref="E1985" r:id="rId3970" display="https://store.admitad.com/webmaster/websites/2166760/offers/23086-creditbox-cps-ua/"/>
    <hyperlink ref="C1986" r:id="rId3971" display="https://kreditmarket.ua/"/>
    <hyperlink ref="E1986" r:id="rId3972" display="https://store.admitad.com/webmaster/websites/2166760/offers/23269-kreditmarket-cps-api-ua/"/>
    <hyperlink ref="C1987" r:id="rId3973" display="https://www.indusind.com/in/en/personal/accounts/saving-account.html"/>
    <hyperlink ref="E1987" r:id="rId3974" display="https://store.admitad.com/webmaster/websites/2166760/offers/23326-indusind-saving-account-cpl-in/"/>
    <hyperlink ref="C1988" r:id="rId3975" display="https://www.linio.cl/"/>
    <hyperlink ref="E1988" r:id="rId3976" display="https://store.admitad.com/webmaster/websites/2166760/offers/23347-linio-cl/"/>
    <hyperlink ref="C1989" r:id="rId3977" display="https://www.lookfantastic.ae/"/>
    <hyperlink ref="E1989" r:id="rId3978" display="https://store.admitad.com/webmaster/websites/2166760/offers/23390-lookfantastic-many-geos/"/>
    <hyperlink ref="C1990" r:id="rId3979" display="https://www.kapiva.in/"/>
    <hyperlink ref="E1990" r:id="rId3980" display="https://store.admitad.com/webmaster/websites/2166760/offers/23646-kapiva-cps-in/"/>
    <hyperlink ref="C1991" r:id="rId3981" display="https://www.bellelily.com/"/>
    <hyperlink ref="E1991" r:id="rId3982" display="https://store.admitad.com/webmaster/websites/2166760/offers/23698-bellelily-ww/"/>
    <hyperlink ref="C1992" r:id="rId3983" display="https://101xp.com/games/game_of_thrones"/>
    <hyperlink ref="E1992" r:id="rId3984" display="https://store.admitad.com/webmaster/websites/2166760/offers/24209-game-of-thrones-soi-rucis/"/>
    <hyperlink ref="C1993" r:id="rId3985" display="https://erli.pl/"/>
    <hyperlink ref="E1993" r:id="rId3986" display="https://store.admitad.com/webmaster/websites/2166760/offers/24848-erli-pl/"/>
    <hyperlink ref="C1994" r:id="rId3987" display="https://smartlamp.by/"/>
    <hyperlink ref="E1994" r:id="rId3988" display="https://store.admitad.com/webmaster/websites/2166760/offers/25158-smartlamp-by/"/>
    <hyperlink ref="C1995" r:id="rId3989" display="https://store.my.games/special/lts/1/"/>
    <hyperlink ref="E1995" r:id="rId3990" display="https://store.admitad.com/webmaster/websites/2166760/offers/25695-left-to-survive-cpp-rucis/"/>
    <hyperlink ref="C1996" r:id="rId3991" display="https://www.vidaxl.nl/"/>
    <hyperlink ref="E1996" r:id="rId3992" display="https://store.admitad.com/webmaster/websites/2166760/offers/26573-vidaxl-nl/"/>
    <hyperlink ref="C1997" r:id="rId3993" display="https://5element.by/"/>
    <hyperlink ref="E1997" r:id="rId3994" display="https://store.admitad.com/webmaster/websites/2166760/offers/12211-5element-by/"/>
    <hyperlink ref="C1998" r:id="rId3995" display="http://worldoftanks.ru/"/>
    <hyperlink ref="E1998" r:id="rId3996" display="https://store.admitad.com/webmaster/websites/2166760/offers/14070-world-of-tanks-soi-rucis/"/>
    <hyperlink ref="C1999" r:id="rId3997" display="http://flipkart.com/"/>
    <hyperlink ref="E1999" r:id="rId3998" display="https://store.admitad.com/webmaster/websites/2166760/offers/14627-flipkart-cps-in/"/>
    <hyperlink ref="C2000" r:id="rId3999" display="https://profi.ru/"/>
    <hyperlink ref="E2000" r:id="rId4000" display="https://store.admitad.com/webmaster/websites/2166760/offers/14670-profi/"/>
    <hyperlink ref="C2001" r:id="rId4001" display="https://play.google.com/store/apps/details?id=com.imrbint.mam2020"/>
    <hyperlink ref="E2001" r:id="rId4002" display="https://store.admitad.com/webmaster/websites/2166760/offers/15452-imrb-mobile-meter-cpr-android-in/"/>
    <hyperlink ref="C2002" r:id="rId4003" display="http://ajio.com/"/>
    <hyperlink ref="E2002" r:id="rId4004" display="https://store.admitad.com/webmaster/websites/2166760/offers/15591-ajio-cps-in/"/>
    <hyperlink ref="C2003" r:id="rId4005" display="https://www.faasos.com/"/>
    <hyperlink ref="E2003" r:id="rId4006" display="https://store.admitad.com/webmaster/websites/2166760/offers/15613-faasos-cps-in/"/>
    <hyperlink ref="C2004" r:id="rId4007" display="https://globalcredit.ua/"/>
    <hyperlink ref="E2004" r:id="rId4008" display="https://store.admitad.com/webmaster/websites/2166760/offers/16014-globalcredit-cps-ua/"/>
    <hyperlink ref="C2005" r:id="rId4009" display="https://www.wizard101.com/wizardcreator"/>
    <hyperlink ref="E2005" r:id="rId4010" display="https://store.admitad.com/webmaster/websites/2166760/offers/16812-wizard101-soi-us-ca-au-nz/"/>
    <hyperlink ref="C2006" r:id="rId4011" display="http://depositphotos.com/"/>
    <hyperlink ref="E2006" r:id="rId4012" display="https://store.admitad.com/webmaster/websites/2166760/offers/17314-depositphotos-cps-ww/"/>
    <hyperlink ref="C2007" r:id="rId4013" display="https://www.raynatours.com/"/>
    <hyperlink ref="E2007" r:id="rId4014" display="https://store.admitad.com/webmaster/websites/2166760/offers/18183-raynatours-many-geos/"/>
    <hyperlink ref="C2008" r:id="rId4015" display="http://www.lenovo.com/uk/en/"/>
    <hyperlink ref="E2008" r:id="rId4016" display="https://store.admitad.com/webmaster/websites/2166760/offers/18201-lenovo-many-geos/"/>
    <hyperlink ref="C2009" r:id="rId4017" display="https://seikoclub.ru/"/>
    <hyperlink ref="E2009" r:id="rId4018" display="https://store.admitad.com/webmaster/websites/2166760/offers/18218-seikoclub/"/>
    <hyperlink ref="C2010" r:id="rId4019" display="http://www.ivrose.com/"/>
    <hyperlink ref="E2010" r:id="rId4020" display="https://store.admitad.com/webmaster/websites/2166760/offers/18430-ivrose-ww/"/>
    <hyperlink ref="C2011" r:id="rId4021" display="https://nordvpn.com/"/>
    <hyperlink ref="E2011" r:id="rId4022" display="https://store.admitad.com/webmaster/websites/2166760/offers/18867-nordvpn-ww/"/>
    <hyperlink ref="C2012" r:id="rId4023" display="http://www.fairyseason.com/"/>
    <hyperlink ref="E2012" r:id="rId4024" display="https://store.admitad.com/webmaster/websites/2166760/offers/19857-fairyseason-ww/"/>
    <hyperlink ref="C2013" r:id="rId4025" display="https://www.patpat.com/"/>
    <hyperlink ref="E2013" r:id="rId4026" display="https://store.admitad.com/webmaster/websites/2166760/offers/19992-patpat-ww/"/>
    <hyperlink ref="C2014" r:id="rId4027" display="https://theluxurycloset.com/"/>
    <hyperlink ref="E2014" r:id="rId4028" display="https://store.admitad.com/webmaster/websites/2166760/offers/20375-the-luxury-closet-ww-offline-codes-links/"/>
    <hyperlink ref="C2015" r:id="rId4029" display="https://www.americanas.com.br/"/>
    <hyperlink ref="E2015" r:id="rId4030" display="https://store.admitad.com/webmaster/websites/2166760/offers/20999-americanas-br/"/>
    <hyperlink ref="C2016" r:id="rId4031" display="https://dok.ua/"/>
    <hyperlink ref="E2016" r:id="rId4032" display="https://store.admitad.com/webmaster/websites/2166760/offers/21466-dokua/"/>
    <hyperlink ref="C2017" r:id="rId4033" display="https://www.money4you.com.ua/"/>
    <hyperlink ref="E2017" r:id="rId4034" display="https://store.admitad.com/webmaster/websites/2166760/offers/21954-money4you-cps-ua/"/>
    <hyperlink ref="C2018" r:id="rId4035" display="https://www.magzter.com/"/>
    <hyperlink ref="E2018" r:id="rId4036" display="https://store.admitad.com/webmaster/websites/2166760/offers/22180-magzter-cps-ww/"/>
    <hyperlink ref="C2019" r:id="rId4037" display="https://puccini.pl/"/>
    <hyperlink ref="E2019" r:id="rId4038" display="https://store.admitad.com/webmaster/websites/2166760/offers/22259-puccini-pl/"/>
    <hyperlink ref="C2020" r:id="rId4039" display="https://eva.ua/"/>
    <hyperlink ref="E2020" r:id="rId4040" display="https://store.admitad.com/webmaster/websites/2166760/offers/22579-evaua/"/>
    <hyperlink ref="C2021" r:id="rId4041" display="https://ffins.kz/"/>
    <hyperlink ref="E2021" r:id="rId4042" display="https://store.admitad.com/webmaster/websites/2166760/offers/22627-ffins-cps-kz/"/>
    <hyperlink ref="C2022" r:id="rId4043" display="https://www.novakid.ru/"/>
    <hyperlink ref="E2022" r:id="rId4044" display="https://store.admitad.com/webmaster/websites/2166760/offers/22748-novakid-ru/"/>
    <hyperlink ref="C2023" r:id="rId4045" display="https://www.marksandspencer.in/"/>
    <hyperlink ref="E2023" r:id="rId4046" display="https://store.admitad.com/webmaster/websites/2166760/offers/23281-marks-and-spencer-cps-in/"/>
    <hyperlink ref="C2024" r:id="rId4047" display="http://skyeng.es/aprenderingles"/>
    <hyperlink ref="E2024" r:id="rId4048" display="https://store.admitad.com/webmaster/websites/2166760/offers/23481-skyeng-cps-many-geos/"/>
    <hyperlink ref="C2025" r:id="rId4049" display="https://cash-kf.com.ua/ru/"/>
    <hyperlink ref="E2025" r:id="rId4050" display="https://store.admitad.com/webmaster/websites/2166760/offers/23545-cash-kf-cps-ua/"/>
    <hyperlink ref="C2026" r:id="rId4051" display="http://worldofwarships.com/"/>
    <hyperlink ref="E2026" r:id="rId4052" display="https://store.admitad.com/webmaster/websites/2166760/offers/23756-world-of-warships-cpp-many-geos/"/>
    <hyperlink ref="C2027" r:id="rId4053" display="https://myglo.com.ua/"/>
    <hyperlink ref="E2027" r:id="rId4054" display="https://store.admitad.com/webmaster/websites/2166760/offers/23775-glo-cpl-cps-ua/"/>
    <hyperlink ref="C2028" r:id="rId4055" display="https://arx.com.ua/"/>
    <hyperlink ref="E2028" r:id="rId4056" display="https://store.admitad.com/webmaster/websites/2166760/offers/23845-arx-cps-ua/"/>
    <hyperlink ref="C2029" r:id="rId4057" display="https://hola.org/"/>
    <hyperlink ref="E2029" r:id="rId4058" display="https://store.admitad.com/webmaster/websites/2166760/offers/23979-hola-vpn-cps-many-geos/"/>
    <hyperlink ref="C2030" r:id="rId4059" display="https://www.bellewholesale.com/"/>
    <hyperlink ref="E2030" r:id="rId4060" display="https://store.admitad.com/webmaster/websites/2166760/offers/24183-bellewholesale-ww/"/>
    <hyperlink ref="C2031" r:id="rId4061" display="https://ic-misto.com.ua/ru"/>
    <hyperlink ref="E2031" r:id="rId4062" display="https://store.admitad.com/webmaster/websites/2166760/offers/24189-sk-misto-cps-ua/"/>
    <hyperlink ref="C2032" r:id="rId4063" display="https://www.pavers.co.uk/"/>
    <hyperlink ref="E2032" r:id="rId4064" display="https://store.admitad.com/webmaster/websites/2166760/offers/24332-pavers-uk/"/>
    <hyperlink ref="C2033" r:id="rId4065" display="http://www.cupshe.com/"/>
    <hyperlink ref="E2033" r:id="rId4066" display="https://store.admitad.com/webmaster/websites/2166760/offers/24353-cupshe-ww/"/>
    <hyperlink ref="C2034" r:id="rId4067" display="https://www.komily.com/"/>
    <hyperlink ref="E2034" r:id="rId4068" display="https://store.admitad.com/webmaster/websites/2166760/offers/24818-komily-ww/"/>
    <hyperlink ref="C2035" r:id="rId4069" display="https://www.hdfc.com/"/>
    <hyperlink ref="E2035" r:id="rId4070" display="https://store.admitad.com/webmaster/websites/2166760/offers/24882-hdfc-home-loan-cpl-in/"/>
    <hyperlink ref="C2036" r:id="rId4071" display="https://www.starstable.com/"/>
    <hyperlink ref="E2036" r:id="rId4072" display="https://store.admitad.com/webmaster/websites/2166760/offers/25907-star-stable-soi-many-geos/"/>
    <hyperlink ref="C2037" r:id="rId4073" display="https://winsqdbmeasmtdev01-m.azurewebsites.net/InApp_Plus_Live_DownloadAPK?V=1"/>
    <hyperlink ref="E2037" r:id="rId4074" display="https://store.admitad.com/webmaster/websites/2166760/offers/26060-imrb-grocery-android-apk-cpr/"/>
    <hyperlink ref="C2038" r:id="rId4075" display="https://ewacash.com.ua/"/>
    <hyperlink ref="E2038" r:id="rId4076" display="https://store.admitad.com/webmaster/websites/2166760/offers/26129-ewacash-cps-ua/"/>
    <hyperlink ref="C2039" r:id="rId4077" display="https://gentleherd.com/"/>
    <hyperlink ref="E2039" r:id="rId4078" display="https://store.admitad.com/webmaster/websites/2166760/offers/26287-gentleherd-ww/"/>
    <hyperlink ref="C2040" r:id="rId4079" display="https://www.thalia.at/shop/home/show/"/>
    <hyperlink ref="E2040" r:id="rId4080" display="https://store.admitad.com/webmaster/websites/2166760/offers/26291-thalia-at/"/>
    <hyperlink ref="C2041" r:id="rId4081" display="https://www.bilder.de/"/>
    <hyperlink ref="E2041" r:id="rId4082" display="https://store.admitad.com/webmaster/websites/2166760/offers/26423-bilder-de/"/>
    <hyperlink ref="C2042" r:id="rId4083" display="https://www.druckerzubehoer.de/"/>
    <hyperlink ref="E2042" r:id="rId4084" display="https://store.admitad.com/webmaster/websites/2166760/offers/26648-druckerzubehoer-de/"/>
    <hyperlink ref="C2043" r:id="rId4085" display="https://online-groshi.com/"/>
    <hyperlink ref="E2043" r:id="rId4086" display="https://store.admitad.com/webmaster/websites/2166760/offers/26828-onlain-groshi-cpl-ua/"/>
    <hyperlink ref="C2044" r:id="rId4087" display="https://www.lexoffice.de/"/>
    <hyperlink ref="E2044" r:id="rId4088" display="https://store.admitad.com/webmaster/websites/2166760/offers/26876-lexoffice-de/"/>
    <hyperlink ref="C2045" r:id="rId4089" display="https://www.happybeds.co.uk/"/>
    <hyperlink ref="E2045" r:id="rId4090" display="https://store.admitad.com/webmaster/websites/2166760/offers/27010-happy-beds-uk/"/>
    <hyperlink ref="C2046" r:id="rId4091" display="http://nutritive.com.ua/"/>
    <hyperlink ref="E2046" r:id="rId4092" display="https://store.admitad.com/webmaster/websites/2166760/offers/27496-nutritive-cosmetics-ua/"/>
    <hyperlink ref="C2047" r:id="rId4093" display="https://www.ctrs.com.ua/"/>
    <hyperlink ref="E2047" r:id="rId4094" display="https://store.admitad.com/webmaster/websites/2166760/offers/9798-citrus-ua/"/>
    <hyperlink ref="C2048" r:id="rId4095" display="https://zakaz.ua/ru/"/>
    <hyperlink ref="E2048" r:id="rId4096" display="https://store.admitad.com/webmaster/websites/2166760/offers/12438-zakaz-ua/"/>
    <hyperlink ref="C2049" r:id="rId4097" display="http://www.adidas.ru/"/>
    <hyperlink ref="E2049" r:id="rId4098" display="https://store.admitad.com/webmaster/websites/2166760/offers/14827-adidas-ru/"/>
    <hyperlink ref="C2050" r:id="rId4099" display="http://www.chitai-gorod.ru/"/>
    <hyperlink ref="E2050" r:id="rId4100" display="https://store.admitad.com/webmaster/websites/2166760/offers/15460-chitai-gorod/"/>
    <hyperlink ref="C2051" r:id="rId4101" display="https://creditplus.ua/"/>
    <hyperlink ref="E2051" r:id="rId4102" display="https://store.admitad.com/webmaster/websites/2166760/offers/17790-creditplus-cps-ua/"/>
    <hyperlink ref="C2052" r:id="rId4103" display="https://goldapple.ru/"/>
    <hyperlink ref="E2052" r:id="rId4104" display="https://store.admitad.com/webmaster/websites/2166760/offers/20612-goldapple/"/>
    <hyperlink ref="C2053" r:id="rId4105" display="https://otus.ru/"/>
    <hyperlink ref="E2053" r:id="rId4106" display="https://store.admitad.com/webmaster/websites/2166760/offers/21788-otus/"/>
    <hyperlink ref="C2054" r:id="rId4107" display="https://billiger.de/"/>
    <hyperlink ref="E2054" r:id="rId4108" display="https://store.admitad.com/webmaster/websites/2166760/offers/22799-billiger-de/"/>
    <hyperlink ref="C2055" r:id="rId4109" display="https://www.nayomi.com/"/>
    <hyperlink ref="E2055" r:id="rId4110" display="https://store.admitad.com/webmaster/websites/2166760/offers/22865-nayomi-sa-ae-offline-codes-links/"/>
    <hyperlink ref="C2056" r:id="rId4111" display="https://www.puravida.com.br/"/>
    <hyperlink ref="E2056" r:id="rId4112" display="https://store.admitad.com/webmaster/websites/2166760/offers/26059-pura-vida-br/"/>
    <hyperlink ref="C2057" r:id="rId4113" display="https://www.tyre-shopper.co.uk/"/>
    <hyperlink ref="E2057" r:id="rId4114" display="https://store.admitad.com/webmaster/websites/2166760/offers/26704-tyre-shopper-uk/"/>
    <hyperlink ref="C2058" r:id="rId4115" display="https://playcaliber.com/ru/"/>
    <hyperlink ref="E2058" r:id="rId4116" display="https://store.admitad.com/webmaster/websites/2166760/offers/26866-caliber-doi-rucis/"/>
    <hyperlink ref="C2059" r:id="rId4117" display="http://aviasales.ru/"/>
    <hyperlink ref="E2059" r:id="rId4118" display="https://store.admitad.com/webmaster/websites/2166760/offers/1678-aviaseils-ru-cis/"/>
    <hyperlink ref="C2060" r:id="rId4119" display="http://letu.ru/"/>
    <hyperlink ref="E2060" r:id="rId4120" display="https://store.admitad.com/webmaster/websites/2166760/offers/3444-letual/"/>
    <hyperlink ref="C2061" r:id="rId4121" display="https://yakaboo.ua/"/>
    <hyperlink ref="E2061" r:id="rId4122" display="https://store.admitad.com/webmaster/websites/2166760/offers/8065-yakaboo-ua/"/>
    <hyperlink ref="C2062" r:id="rId4123" display="https://moyo.ua/"/>
    <hyperlink ref="E2062" r:id="rId4124" display="https://store.admitad.com/webmaster/websites/2166760/offers/13937-moyo-ua/"/>
    <hyperlink ref="C2063" r:id="rId4125" display="https://om.forgeofempires.com/foe/ru?ref=igcom"/>
    <hyperlink ref="E2063" r:id="rId4126" display="https://store.admitad.com/webmaster/websites/2166760/offers/14957-forge-of-empires-soi-many-geos/"/>
    <hyperlink ref="C2064" r:id="rId4127" display="https://play.google.com/store/apps/details?id=com.joom&amp;hl=ru"/>
    <hyperlink ref="E2064" r:id="rId4128" display="https://store.admitad.com/webmaster/websites/2166760/offers/16070-joom-cps-android-many-geos/"/>
    <hyperlink ref="C2065" r:id="rId4129" display="https://cashpoint.com.ua/"/>
    <hyperlink ref="E2065" r:id="rId4130" display="https://store.admitad.com/webmaster/websites/2166760/offers/17288-cashpoint-cps-ua/"/>
    <hyperlink ref="C2066" r:id="rId4131" display="http://croma.com/"/>
    <hyperlink ref="E2066" r:id="rId4132" display="https://store.admitad.com/webmaster/websites/2166760/offers/17685-croma-cps-in/"/>
    <hyperlink ref="C2067" r:id="rId4133" display="https://www.flydubai.com/"/>
    <hyperlink ref="E2067" r:id="rId4134" display="https://store.admitad.com/webmaster/websites/2166760/offers/22300-flydubai-ww/"/>
    <hyperlink ref="C2068" r:id="rId4135" display="https://www.reliancedigital.in/"/>
    <hyperlink ref="E2068" r:id="rId4136" display="https://store.admitad.com/webmaster/websites/2166760/offers/22647-reliance-digital-cps-in/"/>
    <hyperlink ref="C2069" r:id="rId4137" display="https://www.novakid.es/"/>
    <hyperlink ref="E2069" r:id="rId4138" display="https://store.admitad.com/webmaster/websites/2166760/offers/22695-novakid-es/"/>
    <hyperlink ref="C2070" r:id="rId4139" display="https://stylishop.com/en/"/>
    <hyperlink ref="E2070" r:id="rId4140" display="https://store.admitad.com/webmaster/websites/2166760/offers/22727-stylishop-ae-sa-offline-codes/"/>
    <hyperlink ref="C2071" r:id="rId4141" display="https://www.iubenda.com/it/"/>
    <hyperlink ref="E2071" r:id="rId4142" display="https://store.admitad.com/webmaster/websites/2166760/offers/23043-iubenda-many-geos/"/>
    <hyperlink ref="C2072" r:id="rId4143" display="https://hillary-shop.com.ua/"/>
    <hyperlink ref="E2072" r:id="rId4144" display="https://store.admitad.com/webmaster/websites/2166760/offers/23203-hillary-shop-ua/"/>
    <hyperlink ref="C2073" r:id="rId4145" display="https://www.forestessentialsindia.com/"/>
    <hyperlink ref="E2073" r:id="rId4146" display="https://store.admitad.com/webmaster/websites/2166760/offers/23441-forest-essentials-cps-ww/"/>
    <hyperlink ref="C2074" r:id="rId4147" display="https://om.elvenar.com/ox/ru?ref=igcom"/>
    <hyperlink ref="E2074" r:id="rId4148" display="https://store.admitad.com/webmaster/websites/2166760/offers/24151-elvenar-soi-yandex-ru/"/>
    <hyperlink ref="C2075" r:id="rId4149" display="https://mca.onlinemanipal.com/"/>
    <hyperlink ref="E2075" r:id="rId4150" display="https://store.admitad.com/webmaster/websites/2166760/offers/24191-manipal-university-cpl-in/"/>
    <hyperlink ref="C2076" r:id="rId4151" display="https://www.kinguin.net/"/>
    <hyperlink ref="E2076" r:id="rId4152" display="https://store.admitad.com/webmaster/websites/2166760/offers/24298-kinguin-ww/"/>
    <hyperlink ref="C2077" r:id="rId4153" display="https://itcstore.in/"/>
    <hyperlink ref="E2077" r:id="rId4154" display="https://store.admitad.com/webmaster/websites/2166760/offers/25268-itc-stores-cps-in/"/>
    <hyperlink ref="C2078" r:id="rId4155" display="https://www.vevor.com/"/>
    <hyperlink ref="E2078" r:id="rId4156" display="https://store.admitad.com/webmaster/websites/2166760/offers/25369-vevor-many-geos/"/>
    <hyperlink ref="C2079" r:id="rId4157" display="https://www.datacamp.com/"/>
    <hyperlink ref="E2079" r:id="rId4158" display="https://store.admitad.com/webmaster/websites/2166760/offers/25873-datacampww/"/>
    <hyperlink ref="C2080" r:id="rId4159" display="https://www.zaplo.cz/"/>
    <hyperlink ref="E2080" r:id="rId4160" display="https://store.admitad.com/webmaster/websites/2166760/offers/25945-zaplo-cz/"/>
    <hyperlink ref="C2081" r:id="rId4161" display="https://www.donnerdeal.com/"/>
    <hyperlink ref="E2081" r:id="rId4162" display="https://store.admitad.com/webmaster/websites/2166760/offers/26000-donnerdeal-ww/"/>
    <hyperlink ref="C2082" r:id="rId4163" display="https://www.eis.de/"/>
    <hyperlink ref="E2082" r:id="rId4164" display="https://store.admitad.com/webmaster/websites/2166760/offers/26425-eis-de/"/>
    <hyperlink ref="C2083" r:id="rId4165" display="https://tradition.com.ua/ru"/>
    <hyperlink ref="E2083" r:id="rId4166" display="https://store.admitad.com/webmaster/websites/2166760/offers/26613-tradition-cps-ua/"/>
    <hyperlink ref="C2084" r:id="rId4167" display="https://lidberty.com/"/>
    <hyperlink ref="E2084" r:id="rId4168" display="https://store.admitad.com/webmaster/websites/2166760/offers/26954-lidberty-ua/"/>
    <hyperlink ref="C2085" r:id="rId4169" display="https://besthosting.ua/"/>
    <hyperlink ref="E2085" r:id="rId4170" display="https://store.admitad.com/webmaster/websites/2166760/offers/27197-besthosting-ua/"/>
    <hyperlink ref="C2086" r:id="rId4171" location="/" display="http://emirates.com/in/english/destinations_offers/special_offers/featured-fares/?intcid=NavFaresLink_3440809&amp;id=3440809&amp;region=EU&amp;fsearch= - /"/>
    <hyperlink ref="E2086" r:id="rId4172" display="https://store.admitad.com/webmaster/websites/2166760/offers/15787-emirates-cps-ww/"/>
    <hyperlink ref="C2087" r:id="rId4173" display="https://www.shutterstock.com/"/>
    <hyperlink ref="E2087" r:id="rId4174" display="https://store.admitad.com/webmaster/websites/2166760/offers/17600-shutterstock-ww/"/>
    <hyperlink ref="C2088" r:id="rId4175" display="https://www.monobank.com.ua/"/>
    <hyperlink ref="E2088" r:id="rId4176" display="https://store.admitad.com/webmaster/websites/2166760/offers/18990-monobank-cps-api-ua/"/>
    <hyperlink ref="C2089" r:id="rId4177" display="https://digital.axisbank.co.in/"/>
    <hyperlink ref="E2089" r:id="rId4178" display="https://store.admitad.com/webmaster/websites/2166760/offers/19168-axis-dsa-cpa-in/"/>
    <hyperlink ref="C2090" r:id="rId4179" display="https://www.bigcommerce.com/"/>
    <hyperlink ref="E2090" r:id="rId4180" display="https://store.admitad.com/webmaster/websites/2166760/offers/20603-bigcommerce-many-geos/"/>
    <hyperlink ref="C2091" r:id="rId4181" display="https://www.decathlon.pl/"/>
    <hyperlink ref="E2091" r:id="rId4182" display="https://store.admitad.com/webmaster/websites/2166760/offers/20828-decathlon-pl/"/>
    <hyperlink ref="C2092" r:id="rId4183" display="https://farmacialoreto.it/"/>
    <hyperlink ref="E2092" r:id="rId4184" display="https://store.admitad.com/webmaster/websites/2166760/offers/21765-farmacia-loreto-gallo-cps-it/"/>
    <hyperlink ref="C2093" r:id="rId4185" display="https://alfabank.ua/"/>
    <hyperlink ref="E2093" r:id="rId4186" display="https://store.admitad.com/webmaster/websites/2166760/offers/6447-alfa-bank-cps-ua/"/>
    <hyperlink ref="C2094" r:id="rId4187" display="https://letyshops.com/"/>
    <hyperlink ref="E2094" r:id="rId4188" display="https://store.admitad.com/webmaster/websites/2166760/offers/14361-letyshops-lifetime/"/>
    <hyperlink ref="C2095" r:id="rId4189" display="http://dhgate.com/"/>
    <hyperlink ref="E2095" r:id="rId4190" display="https://store.admitad.com/webmaster/websites/2166760/offers/14622-dhgate-ww/"/>
    <hyperlink ref="C2096" r:id="rId4191" display="https://forzacredit.com.ua/"/>
    <hyperlink ref="E2096" r:id="rId4192" display="https://store.admitad.com/webmaster/websites/2166760/offers/19816-forzacredit-cps-ua/"/>
    <hyperlink ref="C2097" r:id="rId4193" display="https://sokolov.ru/"/>
    <hyperlink ref="E2097" r:id="rId4194" display="https://store.admitad.com/webmaster/websites/2166760/offers/20385-sokolov/"/>
    <hyperlink ref="C2098" r:id="rId4195" display="https://vogacloset.com/"/>
    <hyperlink ref="E2098" r:id="rId4196" display="https://store.admitad.com/webmaster/websites/2166760/offers/21383-vogacloset-many-geos-offline-promocodes/"/>
    <hyperlink ref="C2099" r:id="rId4197" display="https://www.movavi.com/"/>
    <hyperlink ref="E2099" r:id="rId4198" display="https://store.admitad.com/webmaster/websites/2166760/offers/25001-movavi-ww/"/>
    <hyperlink ref="C2100" r:id="rId4199" display="https://www.casando.de/"/>
    <hyperlink ref="E2100" r:id="rId4200" display="https://store.admitad.com/webmaster/websites/2166760/offers/26666-casando-de/"/>
    <hyperlink ref="C2101" r:id="rId4201" display="http://booking.com/"/>
    <hyperlink ref="E2101" r:id="rId4202" display="https://store.admitad.com/webmaster/websites/2166760/offers/12026-bookingcom-many-geos/"/>
    <hyperlink ref="C2102" r:id="rId4203" display="https://www.banggood.com/"/>
    <hyperlink ref="E2102" r:id="rId4204" display="https://store.admitad.com/webmaster/websites/2166760/offers/13623-banggood-ww/"/>
    <hyperlink ref="C2103" r:id="rId4205" display="http://iherb.com/"/>
    <hyperlink ref="E2103" r:id="rId4206" display="https://store.admitad.com/webmaster/websites/2166760/offers/17044-iherb-ww/"/>
    <hyperlink ref="C2104" r:id="rId4207" display="http://www.chicme.com/"/>
    <hyperlink ref="E2104" r:id="rId4208" display="https://store.admitad.com/webmaster/websites/2166760/offers/18336-chicme-ww/"/>
    <hyperlink ref="C2105" r:id="rId4209" display="https://www.alexcredit.ua/"/>
    <hyperlink ref="E2105" r:id="rId4210" display="https://store.admitad.com/webmaster/websites/2166760/offers/18487-alexcredit-cps-ua/"/>
    <hyperlink ref="C2106" r:id="rId4211" display="https://www.guess.ru/ru/"/>
    <hyperlink ref="E2106" r:id="rId4212" display="https://store.admitad.com/webmaster/websites/2166760/offers/19912-guess-ru/"/>
    <hyperlink ref="C2107" r:id="rId4213" display="https://www.novakid.pl/"/>
    <hyperlink ref="E2107" r:id="rId4214" display="https://store.admitad.com/webmaster/websites/2166760/offers/21093-novakid-plitptrocz/"/>
    <hyperlink ref="C2108" r:id="rId4215" display="https://www.eneba.com/"/>
    <hyperlink ref="E2108" r:id="rId4216" display="https://store.admitad.com/webmaster/websites/2166760/offers/21633-eneba-many-geos/"/>
    <hyperlink ref="C2109" r:id="rId4217" display="https://www.admitad.com/"/>
    <hyperlink ref="E2109" r:id="rId4218" display="https://store.admitad.com/webmaster/websites/2166760/offers/21659-admitad-lite/"/>
    <hyperlink ref="C2110" r:id="rId4219" display="https://in.norton.com/"/>
    <hyperlink ref="E2110" r:id="rId4220" display="https://store.admitad.com/webmaster/websites/2166760/offers/22143-norton-cps-ww/"/>
    <hyperlink ref="C2111" r:id="rId4221" display="https://www.oqvestir.com.br/"/>
    <hyperlink ref="E2111" r:id="rId4222" display="https://store.admitad.com/webmaster/websites/2166760/offers/22311-oqvestir-br/"/>
    <hyperlink ref="C2112" r:id="rId4223" display="https://www.shop2gether.com.br/"/>
    <hyperlink ref="E2112" r:id="rId4224" display="https://store.admitad.com/webmaster/websites/2166760/offers/22313-shop2gether-br/"/>
    <hyperlink ref="C2113" r:id="rId4225" display="https://plarium.com/landings/en/desktop/raid/icegolem_f036_a_rdoapp?plid=150227"/>
    <hyperlink ref="E2113" r:id="rId4226" display="https://store.admitad.com/webmaster/websites/2166760/offers/22573-raid-shadow-legends-cpp-us-uk-ca-au-nz/"/>
    <hyperlink ref="C2114" r:id="rId4227" display="https://www.kotak.com/811-savingsaccount-ZeroBalanceAccount/811/ahome2.action?source"/>
    <hyperlink ref="E2114" r:id="rId4228" display="https://store.admitad.com/webmaster/websites/2166760/offers/22594-kotak-811-savings-account-cpa-in/"/>
    <hyperlink ref="C2115" r:id="rId4229" display="https://www.epicgames.com/fortnite/home"/>
    <hyperlink ref="E2115" r:id="rId4230" display="https://store.admitad.com/webmaster/websites/2166760/offers/22646-fortnite-doi-many-geos/"/>
    <hyperlink ref="C2116" r:id="rId4231" display="https://ar.patpat.com/"/>
    <hyperlink ref="E2116" r:id="rId4232" display="https://store.admitad.com/webmaster/websites/2166760/offers/23830-patpat-many-geos-offline-codes/"/>
    <hyperlink ref="C2117" r:id="rId4233" display="https://www.cotosen.com/"/>
    <hyperlink ref="E2117" r:id="rId4234" display="https://store.admitad.com/webmaster/websites/2166760/offers/26821-cotosen-ww/"/>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2"/>
  <dimension ref="A1:G32"/>
  <sheetViews>
    <sheetView workbookViewId="0">
      <selection activeCell="D1" sqref="D1"/>
    </sheetView>
  </sheetViews>
  <sheetFormatPr defaultRowHeight="15" x14ac:dyDescent="0.25"/>
  <cols>
    <col min="1" max="1" width="9" style="1"/>
    <col min="3" max="3" width="24.7109375" customWidth="1"/>
    <col min="4" max="4" width="28.140625" customWidth="1"/>
    <col min="5" max="5" width="51.5703125" customWidth="1"/>
    <col min="6" max="6" width="19.28515625" customWidth="1"/>
    <col min="12" max="12" width="67" customWidth="1"/>
  </cols>
  <sheetData>
    <row r="1" spans="1:7" x14ac:dyDescent="0.25">
      <c r="A1" s="1">
        <v>1</v>
      </c>
      <c r="B1">
        <v>25179</v>
      </c>
      <c r="C1" t="s">
        <v>1414</v>
      </c>
      <c r="D1" t="s">
        <v>1413</v>
      </c>
      <c r="E1" t="s">
        <v>1447</v>
      </c>
      <c r="F1" t="str">
        <f>C1</f>
        <v>AliExpress RU&amp;CIS NEW</v>
      </c>
      <c r="G1" s="3"/>
    </row>
    <row r="2" spans="1:7" x14ac:dyDescent="0.25">
      <c r="A2" s="1">
        <v>2</v>
      </c>
      <c r="B2">
        <v>6115</v>
      </c>
      <c r="C2" t="s">
        <v>1416</v>
      </c>
      <c r="D2" s="1" t="s">
        <v>1415</v>
      </c>
      <c r="E2" t="s">
        <v>1448</v>
      </c>
      <c r="F2" s="1" t="str">
        <f t="shared" ref="F2:F32" si="0">C2</f>
        <v>Aliexpress WW</v>
      </c>
      <c r="G2" s="3"/>
    </row>
    <row r="3" spans="1:7" x14ac:dyDescent="0.25">
      <c r="A3" s="1">
        <v>3</v>
      </c>
      <c r="B3">
        <v>21659</v>
      </c>
      <c r="C3" t="s">
        <v>1387</v>
      </c>
      <c r="D3" s="1" t="s">
        <v>1417</v>
      </c>
      <c r="E3" t="s">
        <v>1449</v>
      </c>
      <c r="F3" s="1" t="str">
        <f t="shared" si="0"/>
        <v>Admitad Lite</v>
      </c>
      <c r="G3" s="3"/>
    </row>
    <row r="4" spans="1:7" x14ac:dyDescent="0.25">
      <c r="A4" s="1">
        <v>4</v>
      </c>
      <c r="B4">
        <v>26821</v>
      </c>
      <c r="C4" t="s">
        <v>1404</v>
      </c>
      <c r="D4" s="1" t="s">
        <v>1418</v>
      </c>
      <c r="E4" t="s">
        <v>1450</v>
      </c>
      <c r="F4" s="1" t="str">
        <f t="shared" si="0"/>
        <v>Cotosen WW</v>
      </c>
      <c r="G4" s="3"/>
    </row>
    <row r="5" spans="1:7" x14ac:dyDescent="0.25">
      <c r="A5" s="1">
        <v>5</v>
      </c>
      <c r="B5">
        <v>26000</v>
      </c>
      <c r="C5" t="s">
        <v>1355</v>
      </c>
      <c r="D5" s="1" t="s">
        <v>1419</v>
      </c>
      <c r="E5" t="s">
        <v>1451</v>
      </c>
      <c r="F5" s="1" t="str">
        <f t="shared" si="0"/>
        <v>Donnerdeal WW</v>
      </c>
      <c r="G5" s="3"/>
    </row>
    <row r="6" spans="1:7" x14ac:dyDescent="0.25">
      <c r="A6" s="1">
        <v>6</v>
      </c>
      <c r="B6">
        <v>24183</v>
      </c>
      <c r="C6" t="s">
        <v>1305</v>
      </c>
      <c r="D6" s="1" t="s">
        <v>1420</v>
      </c>
      <c r="E6" t="s">
        <v>1452</v>
      </c>
      <c r="F6" s="1" t="str">
        <f t="shared" si="0"/>
        <v>Bellewholesale WW</v>
      </c>
      <c r="G6" s="3"/>
    </row>
    <row r="7" spans="1:7" x14ac:dyDescent="0.25">
      <c r="A7" s="1">
        <v>7</v>
      </c>
      <c r="B7">
        <v>26287</v>
      </c>
      <c r="C7" t="s">
        <v>1312</v>
      </c>
      <c r="D7" s="1" t="s">
        <v>1421</v>
      </c>
      <c r="E7" t="s">
        <v>1453</v>
      </c>
      <c r="F7" s="1" t="str">
        <f t="shared" si="0"/>
        <v>Gentleherd WW</v>
      </c>
      <c r="G7" s="3"/>
    </row>
    <row r="8" spans="1:7" x14ac:dyDescent="0.25">
      <c r="A8" s="1">
        <v>8</v>
      </c>
      <c r="B8">
        <v>18350</v>
      </c>
      <c r="C8" t="s">
        <v>1268</v>
      </c>
      <c r="D8" s="1" t="s">
        <v>1422</v>
      </c>
      <c r="E8" t="s">
        <v>1454</v>
      </c>
      <c r="F8" s="1" t="str">
        <f t="shared" si="0"/>
        <v>Milanoo WW</v>
      </c>
      <c r="G8" s="3"/>
    </row>
    <row r="9" spans="1:7" x14ac:dyDescent="0.25">
      <c r="A9" s="1">
        <v>9</v>
      </c>
      <c r="B9">
        <v>26167</v>
      </c>
      <c r="C9" t="s">
        <v>1256</v>
      </c>
      <c r="D9" s="1" t="s">
        <v>1423</v>
      </c>
      <c r="E9" t="s">
        <v>1455</v>
      </c>
      <c r="F9" s="1" t="str">
        <f t="shared" si="0"/>
        <v>Zolucky WW</v>
      </c>
      <c r="G9" s="3"/>
    </row>
    <row r="10" spans="1:7" x14ac:dyDescent="0.25">
      <c r="A10" s="1">
        <v>10</v>
      </c>
      <c r="B10">
        <v>26617</v>
      </c>
      <c r="C10" t="s">
        <v>1262</v>
      </c>
      <c r="D10" s="1" t="s">
        <v>1424</v>
      </c>
      <c r="E10" t="s">
        <v>1456</v>
      </c>
      <c r="F10" s="1" t="str">
        <f t="shared" si="0"/>
        <v>Eastar-music WW</v>
      </c>
      <c r="G10" s="3"/>
    </row>
    <row r="11" spans="1:7" x14ac:dyDescent="0.25">
      <c r="A11" s="1">
        <v>11</v>
      </c>
      <c r="B11">
        <v>25258</v>
      </c>
      <c r="C11" t="s">
        <v>1158</v>
      </c>
      <c r="D11" s="1" t="s">
        <v>1425</v>
      </c>
      <c r="E11" t="s">
        <v>1457</v>
      </c>
      <c r="F11" s="1" t="str">
        <f t="shared" si="0"/>
        <v>Wholesale21 WW</v>
      </c>
      <c r="G11" s="3"/>
    </row>
    <row r="12" spans="1:7" x14ac:dyDescent="0.25">
      <c r="A12" s="1">
        <v>12</v>
      </c>
      <c r="B12">
        <v>23111</v>
      </c>
      <c r="C12" t="s">
        <v>1060</v>
      </c>
      <c r="D12" s="1" t="s">
        <v>1426</v>
      </c>
      <c r="E12" t="s">
        <v>1458</v>
      </c>
      <c r="F12" s="1" t="str">
        <f t="shared" si="0"/>
        <v>Knowfashionstyle WW</v>
      </c>
      <c r="G12" s="3"/>
    </row>
    <row r="13" spans="1:7" x14ac:dyDescent="0.25">
      <c r="A13" s="1">
        <v>13</v>
      </c>
      <c r="B13">
        <v>23964</v>
      </c>
      <c r="C13" t="s">
        <v>1068</v>
      </c>
      <c r="D13" s="1" t="s">
        <v>1427</v>
      </c>
      <c r="E13" t="s">
        <v>1459</v>
      </c>
      <c r="F13" s="1" t="str">
        <f t="shared" si="0"/>
        <v>Italojewerly WW</v>
      </c>
      <c r="G13" s="3"/>
    </row>
    <row r="14" spans="1:7" x14ac:dyDescent="0.25">
      <c r="A14" s="1">
        <v>14</v>
      </c>
      <c r="B14">
        <v>19861</v>
      </c>
      <c r="C14" t="s">
        <v>966</v>
      </c>
      <c r="D14" s="1" t="s">
        <v>1428</v>
      </c>
      <c r="E14" t="s">
        <v>1460</v>
      </c>
      <c r="F14" s="1" t="str">
        <f t="shared" si="0"/>
        <v>Blackview WW</v>
      </c>
      <c r="G14" s="3"/>
    </row>
    <row r="15" spans="1:7" x14ac:dyDescent="0.25">
      <c r="A15" s="1">
        <v>15</v>
      </c>
      <c r="B15">
        <v>24295</v>
      </c>
      <c r="C15" t="s">
        <v>1002</v>
      </c>
      <c r="D15" s="1" t="s">
        <v>1429</v>
      </c>
      <c r="E15" t="s">
        <v>1461</v>
      </c>
      <c r="F15" s="1" t="str">
        <f t="shared" si="0"/>
        <v>Stylewe WW</v>
      </c>
      <c r="G15" s="3"/>
    </row>
    <row r="16" spans="1:7" x14ac:dyDescent="0.25">
      <c r="A16" s="1">
        <v>16</v>
      </c>
      <c r="B16">
        <v>24286</v>
      </c>
      <c r="C16" t="s">
        <v>880</v>
      </c>
      <c r="D16" s="1" t="s">
        <v>1430</v>
      </c>
      <c r="E16" t="s">
        <v>1462</v>
      </c>
      <c r="F16" s="1" t="str">
        <f t="shared" si="0"/>
        <v>Justfashionnow WW</v>
      </c>
      <c r="G16" s="3"/>
    </row>
    <row r="17" spans="1:7" x14ac:dyDescent="0.25">
      <c r="A17" s="1">
        <v>17</v>
      </c>
      <c r="B17">
        <v>24288</v>
      </c>
      <c r="C17" t="s">
        <v>886</v>
      </c>
      <c r="D17" s="1" t="s">
        <v>1431</v>
      </c>
      <c r="E17" t="s">
        <v>1463</v>
      </c>
      <c r="F17" s="1" t="str">
        <f t="shared" si="0"/>
        <v>Lilicloth WW</v>
      </c>
      <c r="G17" s="3"/>
    </row>
    <row r="18" spans="1:7" x14ac:dyDescent="0.25">
      <c r="A18" s="1">
        <v>18</v>
      </c>
      <c r="B18">
        <v>26470</v>
      </c>
      <c r="C18" t="s">
        <v>921</v>
      </c>
      <c r="D18" s="1" t="s">
        <v>1432</v>
      </c>
      <c r="E18" t="s">
        <v>1464</v>
      </c>
      <c r="F18" s="1" t="str">
        <f t="shared" si="0"/>
        <v>J.ing WW</v>
      </c>
      <c r="G18" s="3"/>
    </row>
    <row r="19" spans="1:7" x14ac:dyDescent="0.25">
      <c r="A19" s="1">
        <v>19</v>
      </c>
      <c r="B19">
        <v>18930</v>
      </c>
      <c r="C19" t="s">
        <v>692</v>
      </c>
      <c r="D19" s="1" t="s">
        <v>1433</v>
      </c>
      <c r="E19" t="s">
        <v>1465</v>
      </c>
      <c r="F19" s="1" t="str">
        <f t="shared" si="0"/>
        <v>Peggybuy WW</v>
      </c>
      <c r="G19" s="3"/>
    </row>
    <row r="20" spans="1:7" x14ac:dyDescent="0.25">
      <c r="A20" s="1">
        <v>20</v>
      </c>
      <c r="B20">
        <v>22709</v>
      </c>
      <c r="C20" t="s">
        <v>742</v>
      </c>
      <c r="D20" s="1" t="s">
        <v>1434</v>
      </c>
      <c r="E20" t="s">
        <v>1466</v>
      </c>
      <c r="F20" s="1" t="str">
        <f t="shared" si="0"/>
        <v>Youtravel.me</v>
      </c>
      <c r="G20" s="3"/>
    </row>
    <row r="21" spans="1:7" x14ac:dyDescent="0.25">
      <c r="A21" s="1">
        <v>21</v>
      </c>
      <c r="B21">
        <v>24669</v>
      </c>
      <c r="C21" t="s">
        <v>775</v>
      </c>
      <c r="D21" s="1" t="s">
        <v>1435</v>
      </c>
      <c r="E21" t="s">
        <v>1467</v>
      </c>
      <c r="F21" s="1" t="str">
        <f t="shared" si="0"/>
        <v>Roselinlin WW</v>
      </c>
      <c r="G21" s="3"/>
    </row>
    <row r="22" spans="1:7" x14ac:dyDescent="0.25">
      <c r="A22" s="1">
        <v>22</v>
      </c>
      <c r="B22">
        <v>23008</v>
      </c>
      <c r="C22" t="s">
        <v>630</v>
      </c>
      <c r="D22" s="1" t="s">
        <v>1436</v>
      </c>
      <c r="E22" t="s">
        <v>1468</v>
      </c>
      <c r="F22" s="1" t="str">
        <f t="shared" si="0"/>
        <v>Cubot WW</v>
      </c>
      <c r="G22" s="3"/>
    </row>
    <row r="23" spans="1:7" x14ac:dyDescent="0.25">
      <c r="A23" s="1">
        <v>23</v>
      </c>
      <c r="B23">
        <v>24667</v>
      </c>
      <c r="C23" t="s">
        <v>644</v>
      </c>
      <c r="D23" s="1" t="s">
        <v>1437</v>
      </c>
      <c r="E23" t="s">
        <v>1469</v>
      </c>
      <c r="F23" s="1" t="str">
        <f t="shared" si="0"/>
        <v>lovemachines.ru</v>
      </c>
      <c r="G23" s="3"/>
    </row>
    <row r="24" spans="1:7" x14ac:dyDescent="0.25">
      <c r="A24" s="1">
        <v>24</v>
      </c>
      <c r="B24">
        <v>24994</v>
      </c>
      <c r="C24" t="s">
        <v>654</v>
      </c>
      <c r="D24" s="1" t="s">
        <v>1438</v>
      </c>
      <c r="E24" t="s">
        <v>1470</v>
      </c>
      <c r="F24" s="1" t="str">
        <f t="shared" si="0"/>
        <v>Hawalili WW</v>
      </c>
      <c r="G24" s="3"/>
    </row>
    <row r="25" spans="1:7" x14ac:dyDescent="0.25">
      <c r="A25" s="1">
        <v>25</v>
      </c>
      <c r="B25">
        <v>18071</v>
      </c>
      <c r="C25" t="s">
        <v>505</v>
      </c>
      <c r="D25" s="1" t="s">
        <v>1439</v>
      </c>
      <c r="E25" t="s">
        <v>1471</v>
      </c>
      <c r="F25" s="1" t="str">
        <f t="shared" si="0"/>
        <v>Teknistore WW</v>
      </c>
      <c r="G25" s="3"/>
    </row>
    <row r="26" spans="1:7" x14ac:dyDescent="0.25">
      <c r="A26" s="1">
        <v>26</v>
      </c>
      <c r="B26">
        <v>19710</v>
      </c>
      <c r="C26" t="s">
        <v>528</v>
      </c>
      <c r="D26" s="1" t="s">
        <v>1440</v>
      </c>
      <c r="E26" t="s">
        <v>1472</v>
      </c>
      <c r="F26" s="1" t="str">
        <f t="shared" si="0"/>
        <v>Whatwears WW</v>
      </c>
      <c r="G26" s="3"/>
    </row>
    <row r="27" spans="1:7" x14ac:dyDescent="0.25">
      <c r="A27" s="1">
        <v>27</v>
      </c>
      <c r="B27">
        <v>27485</v>
      </c>
      <c r="C27" t="s">
        <v>464</v>
      </c>
      <c r="D27" s="1" t="s">
        <v>1441</v>
      </c>
      <c r="E27" t="s">
        <v>1473</v>
      </c>
      <c r="F27" s="1" t="str">
        <f t="shared" si="0"/>
        <v>MacXDVD WW</v>
      </c>
      <c r="G27" s="3"/>
    </row>
    <row r="28" spans="1:7" x14ac:dyDescent="0.25">
      <c r="A28" s="1">
        <v>28</v>
      </c>
      <c r="B28">
        <v>15387</v>
      </c>
      <c r="C28" t="s">
        <v>14</v>
      </c>
      <c r="D28" s="1" t="s">
        <v>1442</v>
      </c>
      <c r="E28" t="s">
        <v>1474</v>
      </c>
      <c r="F28" s="1" t="str">
        <f t="shared" si="0"/>
        <v>Myrentacar WW</v>
      </c>
      <c r="G28" s="3"/>
    </row>
    <row r="29" spans="1:7" x14ac:dyDescent="0.25">
      <c r="A29" s="1">
        <v>29</v>
      </c>
      <c r="B29">
        <v>24655</v>
      </c>
      <c r="C29" t="s">
        <v>176</v>
      </c>
      <c r="D29" s="1" t="s">
        <v>1443</v>
      </c>
      <c r="E29" t="s">
        <v>1475</v>
      </c>
      <c r="F29" s="1" t="str">
        <f t="shared" si="0"/>
        <v>Clevguard WW</v>
      </c>
      <c r="G29" s="3"/>
    </row>
    <row r="30" spans="1:7" x14ac:dyDescent="0.25">
      <c r="A30" s="1">
        <v>30</v>
      </c>
      <c r="B30">
        <v>26479</v>
      </c>
      <c r="C30" t="s">
        <v>303</v>
      </c>
      <c r="D30" s="1" t="s">
        <v>1444</v>
      </c>
      <c r="E30" t="s">
        <v>1476</v>
      </c>
      <c r="F30" s="1" t="str">
        <f t="shared" si="0"/>
        <v>Voogueme WW</v>
      </c>
      <c r="G30" s="3"/>
    </row>
    <row r="31" spans="1:7" x14ac:dyDescent="0.25">
      <c r="A31" s="1">
        <v>31</v>
      </c>
      <c r="B31">
        <v>27495</v>
      </c>
      <c r="C31" t="s">
        <v>351</v>
      </c>
      <c r="D31" s="1" t="s">
        <v>1445</v>
      </c>
      <c r="E31" t="s">
        <v>1477</v>
      </c>
      <c r="F31" s="1" t="str">
        <f t="shared" si="0"/>
        <v>Nadula WW</v>
      </c>
      <c r="G31" s="3"/>
    </row>
    <row r="32" spans="1:7" x14ac:dyDescent="0.25">
      <c r="A32" s="1">
        <v>32</v>
      </c>
      <c r="B32">
        <v>27525</v>
      </c>
      <c r="C32" t="s">
        <v>363</v>
      </c>
      <c r="D32" s="1" t="s">
        <v>1446</v>
      </c>
      <c r="E32" t="s">
        <v>1478</v>
      </c>
      <c r="F32" s="1" t="str">
        <f t="shared" si="0"/>
        <v>Litactivewear WW</v>
      </c>
      <c r="G32"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3"/>
  <dimension ref="A1:S2092"/>
  <sheetViews>
    <sheetView workbookViewId="0">
      <selection activeCell="S1" sqref="S1:S25"/>
    </sheetView>
  </sheetViews>
  <sheetFormatPr defaultRowHeight="15" x14ac:dyDescent="0.25"/>
  <cols>
    <col min="1" max="1" width="9" style="1"/>
    <col min="2" max="2" width="15.28515625" style="1" hidden="1" customWidth="1"/>
    <col min="3" max="3" width="9" hidden="1" customWidth="1"/>
    <col min="4" max="4" width="11.42578125" hidden="1" customWidth="1"/>
    <col min="5" max="6" width="9" hidden="1" customWidth="1"/>
    <col min="7" max="7" width="9" style="1" hidden="1" customWidth="1"/>
    <col min="8" max="12" width="9" hidden="1" customWidth="1"/>
    <col min="13" max="14" width="9" style="1" hidden="1" customWidth="1"/>
    <col min="15" max="15" width="9" hidden="1" customWidth="1"/>
    <col min="16" max="16" width="68.140625" style="1" hidden="1" customWidth="1"/>
    <col min="17" max="18" width="9" style="1" hidden="1" customWidth="1"/>
  </cols>
  <sheetData>
    <row r="1" spans="1:19" x14ac:dyDescent="0.25">
      <c r="A1" s="1">
        <v>1</v>
      </c>
      <c r="B1" t="s">
        <v>1479</v>
      </c>
      <c r="C1" s="1" t="s">
        <v>1481</v>
      </c>
      <c r="D1" s="4" t="str">
        <f>VLOOKUP(A1,المعطيات!$A$1:$J$3500,5,0)</f>
        <v>https://alitems.site/g/vv3q4oey1v83756a41cbb6d1781017/</v>
      </c>
      <c r="E1" s="1" t="s">
        <v>1482</v>
      </c>
      <c r="F1" s="5">
        <f>A1</f>
        <v>1</v>
      </c>
      <c r="G1" s="5" t="s">
        <v>1483</v>
      </c>
      <c r="H1" s="4" t="str">
        <f>VLOOKUP(A1,المعطيات!$A$1:$J$3500,3,0)</f>
        <v>AliExpress RU&amp;CIS NEW</v>
      </c>
      <c r="I1" s="1" t="s">
        <v>1484</v>
      </c>
      <c r="J1" s="1" t="s">
        <v>1485</v>
      </c>
      <c r="K1" s="4" t="str">
        <f>VLOOKUP(A1,المعطيات!$A$1:$J$3500,6,0)</f>
        <v>AliExpress RU&amp;CIS NEW</v>
      </c>
      <c r="L1" s="1" t="s">
        <v>1486</v>
      </c>
      <c r="M1" s="1" t="s">
        <v>1487</v>
      </c>
      <c r="N1" s="4" t="str">
        <f>D1</f>
        <v>https://alitems.site/g/vv3q4oey1v83756a41cbb6d1781017/</v>
      </c>
      <c r="O1" s="1" t="s">
        <v>1488</v>
      </c>
      <c r="P1" s="4" t="str">
        <f>VLOOKUP(A1,المعطيات!$A$1:$J$3500,4,0)</f>
        <v>https://cdn.admitad-connect.com/campaign/images/2021/7/2/25179-cdf0262c0712a868.png</v>
      </c>
      <c r="Q1" s="1" t="s">
        <v>1489</v>
      </c>
      <c r="R1" s="1" t="s">
        <v>1480</v>
      </c>
      <c r="S1" s="6" t="str">
        <f>B1&amp;""&amp;C1&amp;""&amp;D1&amp;""&amp;E1&amp;""&amp;F1&amp;""&amp;G1&amp;""&amp;H1&amp;""&amp;I1&amp;""&amp;J1&amp;""&amp;K1&amp;""&amp;L1&amp;""&amp;M1&amp;""&amp;N1&amp;""&amp;O1&amp;""&amp;P1&amp;""&amp;Q1&amp;""&amp;R1</f>
        <v xml:space="preserve"> &lt;div class="w3-container w3-border w3-border-amber w3-leftbar w3-rightbar w3-hover-border-green"&gt; &lt;h3&gt; &lt;a href="https://alitems.site/g/vv3q4oey1v83756a41cbb6d1781017/"&gt;1.AliExpress RU&amp;CIS NEW&lt;/a&gt;&lt;/h3&gt; &lt;p&gt;AliExpress RU&amp;CIS NEW&lt;/p&gt;&lt;a target="_blank" href="https://alitems.site/g/vv3q4oey1v83756a41cbb6d1781017/ "&gt;&lt;img src="https://cdn.admitad-connect.com/campaign/images/2021/7/2/25179-cdf0262c0712a868.png" width=468" height="60"&gt;&lt;/a&gt;&lt;p&gt;&lt;/p&gt;&lt;/div&gt;&lt;hr&gt;</v>
      </c>
    </row>
    <row r="2" spans="1:19" x14ac:dyDescent="0.25">
      <c r="A2" s="1">
        <v>2</v>
      </c>
      <c r="B2" s="1" t="s">
        <v>1479</v>
      </c>
      <c r="C2" s="1" t="s">
        <v>1481</v>
      </c>
      <c r="D2" s="4" t="str">
        <f>VLOOKUP(A2,المعطيات!$A$1:$J$3500,5,0)</f>
        <v>https://alitems.site/g/1e8d11449483756a41cb16525dc3e8/</v>
      </c>
      <c r="E2" s="1" t="s">
        <v>1482</v>
      </c>
      <c r="F2" s="5">
        <f t="shared" ref="F2:F65" si="0">A2</f>
        <v>2</v>
      </c>
      <c r="G2" s="5" t="s">
        <v>1483</v>
      </c>
      <c r="H2" s="4" t="str">
        <f>VLOOKUP(A2,المعطيات!$A$1:$J$3500,3,0)</f>
        <v>Aliexpress WW</v>
      </c>
      <c r="I2" s="1" t="s">
        <v>1484</v>
      </c>
      <c r="J2" s="1" t="s">
        <v>1485</v>
      </c>
      <c r="K2" s="4" t="str">
        <f>VLOOKUP(A2,المعطيات!$A$1:$J$3500,6,0)</f>
        <v>Aliexpress WW</v>
      </c>
      <c r="L2" s="1" t="s">
        <v>1486</v>
      </c>
      <c r="M2" s="1" t="s">
        <v>1487</v>
      </c>
      <c r="N2" s="4" t="str">
        <f t="shared" ref="N2:N65" si="1">D2</f>
        <v>https://alitems.site/g/1e8d11449483756a41cb16525dc3e8/</v>
      </c>
      <c r="O2" s="1" t="s">
        <v>1488</v>
      </c>
      <c r="P2" s="4" t="str">
        <f>VLOOKUP(A2,المعطيات!$A$1:$J$3500,4,0)</f>
        <v>https://cdn.admitad-connect.com/campaign/images/2020/9/30/6115-23f0d4d9fb4ec8d1.png</v>
      </c>
      <c r="Q2" s="1" t="s">
        <v>1489</v>
      </c>
      <c r="R2" s="1" t="s">
        <v>1480</v>
      </c>
      <c r="S2" s="6" t="str">
        <f t="shared" ref="S2:S65" si="2">B2&amp;""&amp;C2&amp;""&amp;D2&amp;""&amp;E2&amp;""&amp;F2&amp;""&amp;G2&amp;""&amp;H2&amp;""&amp;I2&amp;""&amp;J2&amp;""&amp;K2&amp;""&amp;L2&amp;""&amp;M2&amp;""&amp;N2&amp;""&amp;O2&amp;""&amp;P2&amp;""&amp;Q2&amp;""&amp;R2</f>
        <v xml:space="preserve"> &lt;div class="w3-container w3-border w3-border-amber w3-leftbar w3-rightbar w3-hover-border-green"&gt; &lt;h3&gt; &lt;a href="https://alitems.site/g/1e8d11449483756a41cb16525dc3e8/"&gt;2.Aliexpress WW&lt;/a&gt;&lt;/h3&gt; &lt;p&gt;Aliexpress WW&lt;/p&gt;&lt;a target="_blank" href="https://alitems.site/g/1e8d11449483756a41cb16525dc3e8/ "&gt;&lt;img src="https://cdn.admitad-connect.com/campaign/images/2020/9/30/6115-23f0d4d9fb4ec8d1.png" width=468" height="60"&gt;&lt;/a&gt;&lt;p&gt;&lt;/p&gt;&lt;/div&gt;&lt;hr&gt;</v>
      </c>
    </row>
    <row r="3" spans="1:19" x14ac:dyDescent="0.25">
      <c r="A3" s="1">
        <v>3</v>
      </c>
      <c r="B3" s="1" t="s">
        <v>1479</v>
      </c>
      <c r="C3" s="1" t="s">
        <v>1481</v>
      </c>
      <c r="D3" s="4" t="str">
        <f>VLOOKUP(A3,المعطيات!$A$1:$J$3500,5,0)</f>
        <v>https://ad.admitad.com/g/md7hpu7zu883756a41cb3e55801b76/</v>
      </c>
      <c r="E3" s="1" t="s">
        <v>1482</v>
      </c>
      <c r="F3" s="5">
        <f t="shared" si="0"/>
        <v>3</v>
      </c>
      <c r="G3" s="5" t="s">
        <v>1483</v>
      </c>
      <c r="H3" s="4" t="str">
        <f>VLOOKUP(A3,المعطيات!$A$1:$J$3500,3,0)</f>
        <v>Admitad Lite</v>
      </c>
      <c r="I3" s="1" t="s">
        <v>1484</v>
      </c>
      <c r="J3" s="1" t="s">
        <v>1485</v>
      </c>
      <c r="K3" s="4" t="str">
        <f>VLOOKUP(A3,المعطيات!$A$1:$J$3500,6,0)</f>
        <v>Admitad Lite</v>
      </c>
      <c r="L3" s="1" t="s">
        <v>1486</v>
      </c>
      <c r="M3" s="1" t="s">
        <v>1487</v>
      </c>
      <c r="N3" s="4" t="str">
        <f t="shared" si="1"/>
        <v>https://ad.admitad.com/g/md7hpu7zu883756a41cb3e55801b76/</v>
      </c>
      <c r="O3" s="1" t="s">
        <v>1488</v>
      </c>
      <c r="P3" s="4" t="str">
        <f>VLOOKUP(A3,المعطيات!$A$1:$J$3500,4,0)</f>
        <v>https://cdn.admitad-connect.com/campaign/images/2021/3/31/21659-c641f095a09dc99f.png</v>
      </c>
      <c r="Q3" s="1" t="s">
        <v>1489</v>
      </c>
      <c r="R3" s="1" t="s">
        <v>1480</v>
      </c>
      <c r="S3" s="6" t="str">
        <f t="shared" si="2"/>
        <v xml:space="preserve"> &lt;div class="w3-container w3-border w3-border-amber w3-leftbar w3-rightbar w3-hover-border-green"&gt; &lt;h3&gt; &lt;a href="https://ad.admitad.com/g/md7hpu7zu883756a41cb3e55801b76/"&gt;3.Admitad Lite&lt;/a&gt;&lt;/h3&gt; &lt;p&gt;Admitad Lite&lt;/p&gt;&lt;a target="_blank" href="https://ad.admitad.com/g/md7hpu7zu883756a41cb3e55801b76/ "&gt;&lt;img src="https://cdn.admitad-connect.com/campaign/images/2021/3/31/21659-c641f095a09dc99f.png" width=468" height="60"&gt;&lt;/a&gt;&lt;p&gt;&lt;/p&gt;&lt;/div&gt;&lt;hr&gt;</v>
      </c>
    </row>
    <row r="4" spans="1:19" x14ac:dyDescent="0.25">
      <c r="A4" s="1">
        <v>4</v>
      </c>
      <c r="B4" s="1" t="s">
        <v>1479</v>
      </c>
      <c r="C4" s="1" t="s">
        <v>1481</v>
      </c>
      <c r="D4" s="4" t="str">
        <f>VLOOKUP(A4,المعطيات!$A$1:$J$3500,5,0)</f>
        <v>https://ad.admitad.com/g/7ez2cndy8k83756a41cbfe9cf762a5/</v>
      </c>
      <c r="E4" s="1" t="s">
        <v>1482</v>
      </c>
      <c r="F4" s="5">
        <f t="shared" si="0"/>
        <v>4</v>
      </c>
      <c r="G4" s="5" t="s">
        <v>1483</v>
      </c>
      <c r="H4" s="4" t="str">
        <f>VLOOKUP(A4,المعطيات!$A$1:$J$3500,3,0)</f>
        <v>Cotosen WW</v>
      </c>
      <c r="I4" s="1" t="s">
        <v>1484</v>
      </c>
      <c r="J4" s="1" t="s">
        <v>1485</v>
      </c>
      <c r="K4" s="4" t="str">
        <f>VLOOKUP(A4,المعطيات!$A$1:$J$3500,6,0)</f>
        <v>Cotosen WW</v>
      </c>
      <c r="L4" s="1" t="s">
        <v>1486</v>
      </c>
      <c r="M4" s="1" t="s">
        <v>1487</v>
      </c>
      <c r="N4" s="4" t="str">
        <f t="shared" si="1"/>
        <v>https://ad.admitad.com/g/7ez2cndy8k83756a41cbfe9cf762a5/</v>
      </c>
      <c r="O4" s="1" t="s">
        <v>1488</v>
      </c>
      <c r="P4" s="4" t="str">
        <f>VLOOKUP(A4,المعطيات!$A$1:$J$3500,4,0)</f>
        <v>https://cdn.admitad-connect.com/campaign/images/2021/11/17/26821-760d33b232b51b31.png</v>
      </c>
      <c r="Q4" s="1" t="s">
        <v>1489</v>
      </c>
      <c r="R4" s="1" t="s">
        <v>1480</v>
      </c>
      <c r="S4" s="6" t="str">
        <f t="shared" si="2"/>
        <v xml:space="preserve"> &lt;div class="w3-container w3-border w3-border-amber w3-leftbar w3-rightbar w3-hover-border-green"&gt; &lt;h3&gt; &lt;a href="https://ad.admitad.com/g/7ez2cndy8k83756a41cbfe9cf762a5/"&gt;4.Cotosen WW&lt;/a&gt;&lt;/h3&gt; &lt;p&gt;Cotosen WW&lt;/p&gt;&lt;a target="_blank" href="https://ad.admitad.com/g/7ez2cndy8k83756a41cbfe9cf762a5/ "&gt;&lt;img src="https://cdn.admitad-connect.com/campaign/images/2021/11/17/26821-760d33b232b51b31.png" width=468" height="60"&gt;&lt;/a&gt;&lt;p&gt;&lt;/p&gt;&lt;/div&gt;&lt;hr&gt;</v>
      </c>
    </row>
    <row r="5" spans="1:19" x14ac:dyDescent="0.25">
      <c r="A5" s="1">
        <v>5</v>
      </c>
      <c r="B5" s="1" t="s">
        <v>1479</v>
      </c>
      <c r="C5" s="1" t="s">
        <v>1481</v>
      </c>
      <c r="D5" s="4" t="str">
        <f>VLOOKUP(A5,المعطيات!$A$1:$J$3500,5,0)</f>
        <v>https://ad.admitad.com/g/11pkisav6i83756a41cb54f7a9dbf9/</v>
      </c>
      <c r="E5" s="1" t="s">
        <v>1482</v>
      </c>
      <c r="F5" s="5">
        <f t="shared" si="0"/>
        <v>5</v>
      </c>
      <c r="G5" s="5" t="s">
        <v>1483</v>
      </c>
      <c r="H5" s="4" t="str">
        <f>VLOOKUP(A5,المعطيات!$A$1:$J$3500,3,0)</f>
        <v>Donnerdeal WW</v>
      </c>
      <c r="I5" s="1" t="s">
        <v>1484</v>
      </c>
      <c r="J5" s="1" t="s">
        <v>1485</v>
      </c>
      <c r="K5" s="4" t="str">
        <f>VLOOKUP(A5,المعطيات!$A$1:$J$3500,6,0)</f>
        <v>Donnerdeal WW</v>
      </c>
      <c r="L5" s="1" t="s">
        <v>1486</v>
      </c>
      <c r="M5" s="1" t="s">
        <v>1487</v>
      </c>
      <c r="N5" s="4" t="str">
        <f t="shared" si="1"/>
        <v>https://ad.admitad.com/g/11pkisav6i83756a41cb54f7a9dbf9/</v>
      </c>
      <c r="O5" s="1" t="s">
        <v>1488</v>
      </c>
      <c r="P5" s="4" t="str">
        <f>VLOOKUP(A5,المعطيات!$A$1:$J$3500,4,0)</f>
        <v>https://cdn.admitad-connect.com/campaign/images/2021/10/22/26000-3dae3adac0da78ee.jpg</v>
      </c>
      <c r="Q5" s="1" t="s">
        <v>1489</v>
      </c>
      <c r="R5" s="1" t="s">
        <v>1480</v>
      </c>
      <c r="S5" s="6" t="str">
        <f t="shared" si="2"/>
        <v xml:space="preserve"> &lt;div class="w3-container w3-border w3-border-amber w3-leftbar w3-rightbar w3-hover-border-green"&gt; &lt;h3&gt; &lt;a href="https://ad.admitad.com/g/11pkisav6i83756a41cb54f7a9dbf9/"&gt;5.Donnerdeal WW&lt;/a&gt;&lt;/h3&gt; &lt;p&gt;Donnerdeal WW&lt;/p&gt;&lt;a target="_blank" href="https://ad.admitad.com/g/11pkisav6i83756a41cb54f7a9dbf9/ "&gt;&lt;img src="https://cdn.admitad-connect.com/campaign/images/2021/10/22/26000-3dae3adac0da78ee.jpg" width=468" height="60"&gt;&lt;/a&gt;&lt;p&gt;&lt;/p&gt;&lt;/div&gt;&lt;hr&gt;</v>
      </c>
    </row>
    <row r="6" spans="1:19" x14ac:dyDescent="0.25">
      <c r="A6" s="1">
        <v>6</v>
      </c>
      <c r="B6" s="1" t="s">
        <v>1479</v>
      </c>
      <c r="C6" s="1" t="s">
        <v>1481</v>
      </c>
      <c r="D6" s="4" t="str">
        <f>VLOOKUP(A6,المعطيات!$A$1:$J$3500,5,0)</f>
        <v>https://ad.admitad.com/g/1qx1gncw8o83756a41cbd373e4227f/</v>
      </c>
      <c r="E6" s="1" t="s">
        <v>1482</v>
      </c>
      <c r="F6" s="5">
        <f t="shared" si="0"/>
        <v>6</v>
      </c>
      <c r="G6" s="5" t="s">
        <v>1483</v>
      </c>
      <c r="H6" s="4" t="str">
        <f>VLOOKUP(A6,المعطيات!$A$1:$J$3500,3,0)</f>
        <v>Bellewholesale WW</v>
      </c>
      <c r="I6" s="1" t="s">
        <v>1484</v>
      </c>
      <c r="J6" s="1" t="s">
        <v>1485</v>
      </c>
      <c r="K6" s="4" t="str">
        <f>VLOOKUP(A6,المعطيات!$A$1:$J$3500,6,0)</f>
        <v>Bellewholesale WW</v>
      </c>
      <c r="L6" s="1" t="s">
        <v>1486</v>
      </c>
      <c r="M6" s="1" t="s">
        <v>1487</v>
      </c>
      <c r="N6" s="4" t="str">
        <f t="shared" si="1"/>
        <v>https://ad.admitad.com/g/1qx1gncw8o83756a41cbd373e4227f/</v>
      </c>
      <c r="O6" s="1" t="s">
        <v>1488</v>
      </c>
      <c r="P6" s="4" t="str">
        <f>VLOOKUP(A6,المعطيات!$A$1:$J$3500,4,0)</f>
        <v>https://cdn.admitad-connect.com/campaign/images/2021/1/14/24183-143a937935ab6d01.png</v>
      </c>
      <c r="Q6" s="1" t="s">
        <v>1489</v>
      </c>
      <c r="R6" s="1" t="s">
        <v>1480</v>
      </c>
      <c r="S6" s="6" t="str">
        <f t="shared" si="2"/>
        <v xml:space="preserve"> &lt;div class="w3-container w3-border w3-border-amber w3-leftbar w3-rightbar w3-hover-border-green"&gt; &lt;h3&gt; &lt;a href="https://ad.admitad.com/g/1qx1gncw8o83756a41cbd373e4227f/"&gt;6.Bellewholesale WW&lt;/a&gt;&lt;/h3&gt; &lt;p&gt;Bellewholesale WW&lt;/p&gt;&lt;a target="_blank" href="https://ad.admitad.com/g/1qx1gncw8o83756a41cbd373e4227f/ "&gt;&lt;img src="https://cdn.admitad-connect.com/campaign/images/2021/1/14/24183-143a937935ab6d01.png" width=468" height="60"&gt;&lt;/a&gt;&lt;p&gt;&lt;/p&gt;&lt;/div&gt;&lt;hr&gt;</v>
      </c>
    </row>
    <row r="7" spans="1:19" x14ac:dyDescent="0.25">
      <c r="A7" s="1">
        <v>7</v>
      </c>
      <c r="B7" s="1" t="s">
        <v>1479</v>
      </c>
      <c r="C7" s="1" t="s">
        <v>1481</v>
      </c>
      <c r="D7" s="4" t="str">
        <f>VLOOKUP(A7,المعطيات!$A$1:$J$3500,5,0)</f>
        <v>https://ad.admitad.com/g/6wtagun4y283756a41cbbf073a8e08/</v>
      </c>
      <c r="E7" s="1" t="s">
        <v>1482</v>
      </c>
      <c r="F7" s="5">
        <f t="shared" si="0"/>
        <v>7</v>
      </c>
      <c r="G7" s="5" t="s">
        <v>1483</v>
      </c>
      <c r="H7" s="4" t="str">
        <f>VLOOKUP(A7,المعطيات!$A$1:$J$3500,3,0)</f>
        <v>Gentleherd WW</v>
      </c>
      <c r="I7" s="1" t="s">
        <v>1484</v>
      </c>
      <c r="J7" s="1" t="s">
        <v>1485</v>
      </c>
      <c r="K7" s="4" t="str">
        <f>VLOOKUP(A7,المعطيات!$A$1:$J$3500,6,0)</f>
        <v>Gentleherd WW</v>
      </c>
      <c r="L7" s="1" t="s">
        <v>1486</v>
      </c>
      <c r="M7" s="1" t="s">
        <v>1487</v>
      </c>
      <c r="N7" s="4" t="str">
        <f t="shared" si="1"/>
        <v>https://ad.admitad.com/g/6wtagun4y283756a41cbbf073a8e08/</v>
      </c>
      <c r="O7" s="1" t="s">
        <v>1488</v>
      </c>
      <c r="P7" s="4" t="str">
        <f>VLOOKUP(A7,المعطيات!$A$1:$J$3500,4,0)</f>
        <v>https://cdn.admitad-connect.com/campaign/images/2021/10/18/26287-3d2b62f31941633c.jpg</v>
      </c>
      <c r="Q7" s="1" t="s">
        <v>1489</v>
      </c>
      <c r="R7" s="1" t="s">
        <v>1480</v>
      </c>
      <c r="S7" s="6" t="str">
        <f t="shared" si="2"/>
        <v xml:space="preserve"> &lt;div class="w3-container w3-border w3-border-amber w3-leftbar w3-rightbar w3-hover-border-green"&gt; &lt;h3&gt; &lt;a href="https://ad.admitad.com/g/6wtagun4y283756a41cbbf073a8e08/"&gt;7.Gentleherd WW&lt;/a&gt;&lt;/h3&gt; &lt;p&gt;Gentleherd WW&lt;/p&gt;&lt;a target="_blank" href="https://ad.admitad.com/g/6wtagun4y283756a41cbbf073a8e08/ "&gt;&lt;img src="https://cdn.admitad-connect.com/campaign/images/2021/10/18/26287-3d2b62f31941633c.jpg" width=468" height="60"&gt;&lt;/a&gt;&lt;p&gt;&lt;/p&gt;&lt;/div&gt;&lt;hr&gt;</v>
      </c>
    </row>
    <row r="8" spans="1:19" x14ac:dyDescent="0.25">
      <c r="A8" s="1">
        <v>8</v>
      </c>
      <c r="B8" s="1" t="s">
        <v>1479</v>
      </c>
      <c r="C8" s="1" t="s">
        <v>1481</v>
      </c>
      <c r="D8" s="4" t="str">
        <f>VLOOKUP(A8,المعطيات!$A$1:$J$3500,5,0)</f>
        <v>https://ad.admitad.com/g/ca265zafmk83756a41cb9f466608b0/</v>
      </c>
      <c r="E8" s="1" t="s">
        <v>1482</v>
      </c>
      <c r="F8" s="5">
        <f t="shared" si="0"/>
        <v>8</v>
      </c>
      <c r="G8" s="5" t="s">
        <v>1483</v>
      </c>
      <c r="H8" s="4" t="str">
        <f>VLOOKUP(A8,المعطيات!$A$1:$J$3500,3,0)</f>
        <v>Milanoo WW</v>
      </c>
      <c r="I8" s="1" t="s">
        <v>1484</v>
      </c>
      <c r="J8" s="1" t="s">
        <v>1485</v>
      </c>
      <c r="K8" s="4" t="str">
        <f>VLOOKUP(A8,المعطيات!$A$1:$J$3500,6,0)</f>
        <v>Milanoo WW</v>
      </c>
      <c r="L8" s="1" t="s">
        <v>1486</v>
      </c>
      <c r="M8" s="1" t="s">
        <v>1487</v>
      </c>
      <c r="N8" s="4" t="str">
        <f t="shared" si="1"/>
        <v>https://ad.admitad.com/g/ca265zafmk83756a41cb9f466608b0/</v>
      </c>
      <c r="O8" s="1" t="s">
        <v>1488</v>
      </c>
      <c r="P8" s="4" t="str">
        <f>VLOOKUP(A8,المعطيات!$A$1:$J$3500,4,0)</f>
        <v>https://cdn.admitad-connect.com/campaign/images/2021/11/24/18350-7840027410a40982.png</v>
      </c>
      <c r="Q8" s="1" t="s">
        <v>1489</v>
      </c>
      <c r="R8" s="1" t="s">
        <v>1480</v>
      </c>
      <c r="S8" s="6" t="str">
        <f t="shared" si="2"/>
        <v xml:space="preserve"> &lt;div class="w3-container w3-border w3-border-amber w3-leftbar w3-rightbar w3-hover-border-green"&gt; &lt;h3&gt; &lt;a href="https://ad.admitad.com/g/ca265zafmk83756a41cb9f466608b0/"&gt;8.Milanoo WW&lt;/a&gt;&lt;/h3&gt; &lt;p&gt;Milanoo WW&lt;/p&gt;&lt;a target="_blank" href="https://ad.admitad.com/g/ca265zafmk83756a41cb9f466608b0/ "&gt;&lt;img src="https://cdn.admitad-connect.com/campaign/images/2021/11/24/18350-7840027410a40982.png" width=468" height="60"&gt;&lt;/a&gt;&lt;p&gt;&lt;/p&gt;&lt;/div&gt;&lt;hr&gt;</v>
      </c>
    </row>
    <row r="9" spans="1:19" x14ac:dyDescent="0.25">
      <c r="A9" s="1">
        <v>9</v>
      </c>
      <c r="B9" s="1" t="s">
        <v>1479</v>
      </c>
      <c r="C9" s="1" t="s">
        <v>1481</v>
      </c>
      <c r="D9" s="4" t="str">
        <f>VLOOKUP(A9,المعطيات!$A$1:$J$3500,5,0)</f>
        <v>https://ad.admitad.com/g/vjpwz6t0gq83756a41cbdd6e46317c/</v>
      </c>
      <c r="E9" s="1" t="s">
        <v>1482</v>
      </c>
      <c r="F9" s="5">
        <f t="shared" si="0"/>
        <v>9</v>
      </c>
      <c r="G9" s="5" t="s">
        <v>1483</v>
      </c>
      <c r="H9" s="4" t="str">
        <f>VLOOKUP(A9,المعطيات!$A$1:$J$3500,3,0)</f>
        <v>Zolucky WW</v>
      </c>
      <c r="I9" s="1" t="s">
        <v>1484</v>
      </c>
      <c r="J9" s="1" t="s">
        <v>1485</v>
      </c>
      <c r="K9" s="4" t="str">
        <f>VLOOKUP(A9,المعطيات!$A$1:$J$3500,6,0)</f>
        <v>Zolucky WW</v>
      </c>
      <c r="L9" s="1" t="s">
        <v>1486</v>
      </c>
      <c r="M9" s="1" t="s">
        <v>1487</v>
      </c>
      <c r="N9" s="4" t="str">
        <f t="shared" si="1"/>
        <v>https://ad.admitad.com/g/vjpwz6t0gq83756a41cbdd6e46317c/</v>
      </c>
      <c r="O9" s="1" t="s">
        <v>1488</v>
      </c>
      <c r="P9" s="4" t="str">
        <f>VLOOKUP(A9,المعطيات!$A$1:$J$3500,4,0)</f>
        <v>https://cdn.admitad-connect.com/campaign/images/2021/9/22/26167-eb84587e47426882.png</v>
      </c>
      <c r="Q9" s="1" t="s">
        <v>1489</v>
      </c>
      <c r="R9" s="1" t="s">
        <v>1480</v>
      </c>
      <c r="S9" s="6" t="str">
        <f t="shared" si="2"/>
        <v xml:space="preserve"> &lt;div class="w3-container w3-border w3-border-amber w3-leftbar w3-rightbar w3-hover-border-green"&gt; &lt;h3&gt; &lt;a href="https://ad.admitad.com/g/vjpwz6t0gq83756a41cbdd6e46317c/"&gt;9.Zolucky WW&lt;/a&gt;&lt;/h3&gt; &lt;p&gt;Zolucky WW&lt;/p&gt;&lt;a target="_blank" href="https://ad.admitad.com/g/vjpwz6t0gq83756a41cbdd6e46317c/ "&gt;&lt;img src="https://cdn.admitad-connect.com/campaign/images/2021/9/22/26167-eb84587e47426882.png" width=468" height="60"&gt;&lt;/a&gt;&lt;p&gt;&lt;/p&gt;&lt;/div&gt;&lt;hr&gt;</v>
      </c>
    </row>
    <row r="10" spans="1:19" x14ac:dyDescent="0.25">
      <c r="A10" s="1">
        <v>10</v>
      </c>
      <c r="B10" s="1" t="s">
        <v>1479</v>
      </c>
      <c r="C10" s="1" t="s">
        <v>1481</v>
      </c>
      <c r="D10" s="4" t="str">
        <f>VLOOKUP(A10,المعطيات!$A$1:$J$3500,5,0)</f>
        <v>https://ad.admitad.com/g/2soz0flx1183756a41cb014674e937/</v>
      </c>
      <c r="E10" s="1" t="s">
        <v>1482</v>
      </c>
      <c r="F10" s="5">
        <f t="shared" si="0"/>
        <v>10</v>
      </c>
      <c r="G10" s="5" t="s">
        <v>1483</v>
      </c>
      <c r="H10" s="4" t="str">
        <f>VLOOKUP(A10,المعطيات!$A$1:$J$3500,3,0)</f>
        <v>Eastar-music WW</v>
      </c>
      <c r="I10" s="1" t="s">
        <v>1484</v>
      </c>
      <c r="J10" s="1" t="s">
        <v>1485</v>
      </c>
      <c r="K10" s="4" t="str">
        <f>VLOOKUP(A10,المعطيات!$A$1:$J$3500,6,0)</f>
        <v>Eastar-music WW</v>
      </c>
      <c r="L10" s="1" t="s">
        <v>1486</v>
      </c>
      <c r="M10" s="1" t="s">
        <v>1487</v>
      </c>
      <c r="N10" s="4" t="str">
        <f t="shared" si="1"/>
        <v>https://ad.admitad.com/g/2soz0flx1183756a41cb014674e937/</v>
      </c>
      <c r="O10" s="1" t="s">
        <v>1488</v>
      </c>
      <c r="P10" s="4" t="str">
        <f>VLOOKUP(A10,المعطيات!$A$1:$J$3500,4,0)</f>
        <v>https://cdn.admitad-connect.com/campaign/images/2021/11/8/26617-31ab32f243ae70d5.jpg</v>
      </c>
      <c r="Q10" s="1" t="s">
        <v>1489</v>
      </c>
      <c r="R10" s="1" t="s">
        <v>1480</v>
      </c>
      <c r="S10" s="6" t="str">
        <f t="shared" si="2"/>
        <v xml:space="preserve"> &lt;div class="w3-container w3-border w3-border-amber w3-leftbar w3-rightbar w3-hover-border-green"&gt; &lt;h3&gt; &lt;a href="https://ad.admitad.com/g/2soz0flx1183756a41cb014674e937/"&gt;10.Eastar-music WW&lt;/a&gt;&lt;/h3&gt; &lt;p&gt;Eastar-music WW&lt;/p&gt;&lt;a target="_blank" href="https://ad.admitad.com/g/2soz0flx1183756a41cb014674e937/ "&gt;&lt;img src="https://cdn.admitad-connect.com/campaign/images/2021/11/8/26617-31ab32f243ae70d5.jpg" width=468" height="60"&gt;&lt;/a&gt;&lt;p&gt;&lt;/p&gt;&lt;/div&gt;&lt;hr&gt;</v>
      </c>
    </row>
    <row r="11" spans="1:19" x14ac:dyDescent="0.25">
      <c r="A11" s="1">
        <v>11</v>
      </c>
      <c r="B11" s="1" t="s">
        <v>1479</v>
      </c>
      <c r="C11" s="1" t="s">
        <v>1481</v>
      </c>
      <c r="D11" s="4" t="str">
        <f>VLOOKUP(A11,المعطيات!$A$1:$J$3500,5,0)</f>
        <v>https://ad.admitad.com/g/8xo2cbxarj83756a41cb48fcc95487/</v>
      </c>
      <c r="E11" s="1" t="s">
        <v>1482</v>
      </c>
      <c r="F11" s="5">
        <f t="shared" si="0"/>
        <v>11</v>
      </c>
      <c r="G11" s="5" t="s">
        <v>1483</v>
      </c>
      <c r="H11" s="4" t="str">
        <f>VLOOKUP(A11,المعطيات!$A$1:$J$3500,3,0)</f>
        <v>Wholesale21 WW</v>
      </c>
      <c r="I11" s="1" t="s">
        <v>1484</v>
      </c>
      <c r="J11" s="1" t="s">
        <v>1485</v>
      </c>
      <c r="K11" s="4" t="str">
        <f>VLOOKUP(A11,المعطيات!$A$1:$J$3500,6,0)</f>
        <v>Wholesale21 WW</v>
      </c>
      <c r="L11" s="1" t="s">
        <v>1486</v>
      </c>
      <c r="M11" s="1" t="s">
        <v>1487</v>
      </c>
      <c r="N11" s="4" t="str">
        <f t="shared" si="1"/>
        <v>https://ad.admitad.com/g/8xo2cbxarj83756a41cb48fcc95487/</v>
      </c>
      <c r="O11" s="1" t="s">
        <v>1488</v>
      </c>
      <c r="P11" s="4" t="str">
        <f>VLOOKUP(A11,المعطيات!$A$1:$J$3500,4,0)</f>
        <v>https://cdn.admitad-connect.com/campaign/images/2021/6/8/25258-e20b91158529d3d4.png</v>
      </c>
      <c r="Q11" s="1" t="s">
        <v>1489</v>
      </c>
      <c r="R11" s="1" t="s">
        <v>1480</v>
      </c>
      <c r="S11" s="6" t="str">
        <f t="shared" si="2"/>
        <v xml:space="preserve"> &lt;div class="w3-container w3-border w3-border-amber w3-leftbar w3-rightbar w3-hover-border-green"&gt; &lt;h3&gt; &lt;a href="https://ad.admitad.com/g/8xo2cbxarj83756a41cb48fcc95487/"&gt;11.Wholesale21 WW&lt;/a&gt;&lt;/h3&gt; &lt;p&gt;Wholesale21 WW&lt;/p&gt;&lt;a target="_blank" href="https://ad.admitad.com/g/8xo2cbxarj83756a41cb48fcc95487/ "&gt;&lt;img src="https://cdn.admitad-connect.com/campaign/images/2021/6/8/25258-e20b91158529d3d4.png" width=468" height="60"&gt;&lt;/a&gt;&lt;p&gt;&lt;/p&gt;&lt;/div&gt;&lt;hr&gt;</v>
      </c>
    </row>
    <row r="12" spans="1:19" x14ac:dyDescent="0.25">
      <c r="A12" s="1">
        <v>12</v>
      </c>
      <c r="B12" s="1" t="s">
        <v>1479</v>
      </c>
      <c r="C12" s="1" t="s">
        <v>1481</v>
      </c>
      <c r="D12" s="4" t="str">
        <f>VLOOKUP(A12,المعطيات!$A$1:$J$3500,5,0)</f>
        <v>https://ad.admitad.com/g/42gyx9a5b883756a41cbb69546a09a/</v>
      </c>
      <c r="E12" s="1" t="s">
        <v>1482</v>
      </c>
      <c r="F12" s="5">
        <f t="shared" si="0"/>
        <v>12</v>
      </c>
      <c r="G12" s="5" t="s">
        <v>1483</v>
      </c>
      <c r="H12" s="4" t="str">
        <f>VLOOKUP(A12,المعطيات!$A$1:$J$3500,3,0)</f>
        <v>Knowfashionstyle WW</v>
      </c>
      <c r="I12" s="1" t="s">
        <v>1484</v>
      </c>
      <c r="J12" s="1" t="s">
        <v>1485</v>
      </c>
      <c r="K12" s="4" t="str">
        <f>VLOOKUP(A12,المعطيات!$A$1:$J$3500,6,0)</f>
        <v>Knowfashionstyle WW</v>
      </c>
      <c r="L12" s="1" t="s">
        <v>1486</v>
      </c>
      <c r="M12" s="1" t="s">
        <v>1487</v>
      </c>
      <c r="N12" s="4" t="str">
        <f t="shared" si="1"/>
        <v>https://ad.admitad.com/g/42gyx9a5b883756a41cbb69546a09a/</v>
      </c>
      <c r="O12" s="1" t="s">
        <v>1488</v>
      </c>
      <c r="P12" s="4" t="str">
        <f>VLOOKUP(A12,المعطيات!$A$1:$J$3500,4,0)</f>
        <v>https://cdn.admitad-connect.com/campaign/images/2020/9/30/23111-51315d0befa997b5.png</v>
      </c>
      <c r="Q12" s="1" t="s">
        <v>1489</v>
      </c>
      <c r="R12" s="1" t="s">
        <v>1480</v>
      </c>
      <c r="S12" s="6" t="str">
        <f t="shared" si="2"/>
        <v xml:space="preserve"> &lt;div class="w3-container w3-border w3-border-amber w3-leftbar w3-rightbar w3-hover-border-green"&gt; &lt;h3&gt; &lt;a href="https://ad.admitad.com/g/42gyx9a5b883756a41cbb69546a09a/"&gt;12.Knowfashionstyle WW&lt;/a&gt;&lt;/h3&gt; &lt;p&gt;Knowfashionstyle WW&lt;/p&gt;&lt;a target="_blank" href="https://ad.admitad.com/g/42gyx9a5b883756a41cbb69546a09a/ "&gt;&lt;img src="https://cdn.admitad-connect.com/campaign/images/2020/9/30/23111-51315d0befa997b5.png" width=468" height="60"&gt;&lt;/a&gt;&lt;p&gt;&lt;/p&gt;&lt;/div&gt;&lt;hr&gt;</v>
      </c>
    </row>
    <row r="13" spans="1:19" x14ac:dyDescent="0.25">
      <c r="A13" s="1">
        <v>13</v>
      </c>
      <c r="B13" s="1" t="s">
        <v>1479</v>
      </c>
      <c r="C13" s="1" t="s">
        <v>1481</v>
      </c>
      <c r="D13" s="4" t="str">
        <f>VLOOKUP(A13,المعطيات!$A$1:$J$3500,5,0)</f>
        <v>https://ad.admitad.com/g/l926tcw2sm83756a41cb87e51e1a66/</v>
      </c>
      <c r="E13" s="1" t="s">
        <v>1482</v>
      </c>
      <c r="F13" s="5">
        <f t="shared" si="0"/>
        <v>13</v>
      </c>
      <c r="G13" s="5" t="s">
        <v>1483</v>
      </c>
      <c r="H13" s="4" t="str">
        <f>VLOOKUP(A13,المعطيات!$A$1:$J$3500,3,0)</f>
        <v>Italojewerly WW</v>
      </c>
      <c r="I13" s="1" t="s">
        <v>1484</v>
      </c>
      <c r="J13" s="1" t="s">
        <v>1485</v>
      </c>
      <c r="K13" s="4" t="str">
        <f>VLOOKUP(A13,المعطيات!$A$1:$J$3500,6,0)</f>
        <v>Italojewerly WW</v>
      </c>
      <c r="L13" s="1" t="s">
        <v>1486</v>
      </c>
      <c r="M13" s="1" t="s">
        <v>1487</v>
      </c>
      <c r="N13" s="4" t="str">
        <f t="shared" si="1"/>
        <v>https://ad.admitad.com/g/l926tcw2sm83756a41cb87e51e1a66/</v>
      </c>
      <c r="O13" s="1" t="s">
        <v>1488</v>
      </c>
      <c r="P13" s="4" t="str">
        <f>VLOOKUP(A13,المعطيات!$A$1:$J$3500,4,0)</f>
        <v>https://cdn.admitad-connect.com/campaign/images/2020/10/29/23964-32d8a4c3272c1cfe.png</v>
      </c>
      <c r="Q13" s="1" t="s">
        <v>1489</v>
      </c>
      <c r="R13" s="1" t="s">
        <v>1480</v>
      </c>
      <c r="S13" s="6" t="str">
        <f t="shared" si="2"/>
        <v xml:space="preserve"> &lt;div class="w3-container w3-border w3-border-amber w3-leftbar w3-rightbar w3-hover-border-green"&gt; &lt;h3&gt; &lt;a href="https://ad.admitad.com/g/l926tcw2sm83756a41cb87e51e1a66/"&gt;13.Italojewerly WW&lt;/a&gt;&lt;/h3&gt; &lt;p&gt;Italojewerly WW&lt;/p&gt;&lt;a target="_blank" href="https://ad.admitad.com/g/l926tcw2sm83756a41cb87e51e1a66/ "&gt;&lt;img src="https://cdn.admitad-connect.com/campaign/images/2020/10/29/23964-32d8a4c3272c1cfe.png" width=468" height="60"&gt;&lt;/a&gt;&lt;p&gt;&lt;/p&gt;&lt;/div&gt;&lt;hr&gt;</v>
      </c>
    </row>
    <row r="14" spans="1:19" x14ac:dyDescent="0.25">
      <c r="A14" s="1">
        <v>14</v>
      </c>
      <c r="B14" s="1" t="s">
        <v>1479</v>
      </c>
      <c r="C14" s="1" t="s">
        <v>1481</v>
      </c>
      <c r="D14" s="4" t="str">
        <f>VLOOKUP(A14,المعطيات!$A$1:$J$3500,5,0)</f>
        <v>https://ad.admitad.com/g/e3s1raesi283756a41cbb0f6ed77fa/</v>
      </c>
      <c r="E14" s="1" t="s">
        <v>1482</v>
      </c>
      <c r="F14" s="5">
        <f t="shared" si="0"/>
        <v>14</v>
      </c>
      <c r="G14" s="5" t="s">
        <v>1483</v>
      </c>
      <c r="H14" s="4" t="str">
        <f>VLOOKUP(A14,المعطيات!$A$1:$J$3500,3,0)</f>
        <v>Blackview WW</v>
      </c>
      <c r="I14" s="1" t="s">
        <v>1484</v>
      </c>
      <c r="J14" s="1" t="s">
        <v>1485</v>
      </c>
      <c r="K14" s="4" t="str">
        <f>VLOOKUP(A14,المعطيات!$A$1:$J$3500,6,0)</f>
        <v>Blackview WW</v>
      </c>
      <c r="L14" s="1" t="s">
        <v>1486</v>
      </c>
      <c r="M14" s="1" t="s">
        <v>1487</v>
      </c>
      <c r="N14" s="4" t="str">
        <f t="shared" si="1"/>
        <v>https://ad.admitad.com/g/e3s1raesi283756a41cbb0f6ed77fa/</v>
      </c>
      <c r="O14" s="1" t="s">
        <v>1488</v>
      </c>
      <c r="P14" s="4" t="str">
        <f>VLOOKUP(A14,المعطيات!$A$1:$J$3500,4,0)</f>
        <v>https://cdn.admitad-connect.com/campaign/images/2021/9/20/19861-557843f052463c47.png</v>
      </c>
      <c r="Q14" s="1" t="s">
        <v>1489</v>
      </c>
      <c r="R14" s="1" t="s">
        <v>1480</v>
      </c>
      <c r="S14" s="6" t="str">
        <f t="shared" si="2"/>
        <v xml:space="preserve"> &lt;div class="w3-container w3-border w3-border-amber w3-leftbar w3-rightbar w3-hover-border-green"&gt; &lt;h3&gt; &lt;a href="https://ad.admitad.com/g/e3s1raesi283756a41cbb0f6ed77fa/"&gt;14.Blackview WW&lt;/a&gt;&lt;/h3&gt; &lt;p&gt;Blackview WW&lt;/p&gt;&lt;a target="_blank" href="https://ad.admitad.com/g/e3s1raesi283756a41cbb0f6ed77fa/ "&gt;&lt;img src="https://cdn.admitad-connect.com/campaign/images/2021/9/20/19861-557843f052463c47.png" width=468" height="60"&gt;&lt;/a&gt;&lt;p&gt;&lt;/p&gt;&lt;/div&gt;&lt;hr&gt;</v>
      </c>
    </row>
    <row r="15" spans="1:19" x14ac:dyDescent="0.25">
      <c r="A15" s="1">
        <v>15</v>
      </c>
      <c r="B15" s="1" t="s">
        <v>1479</v>
      </c>
      <c r="C15" s="1" t="s">
        <v>1481</v>
      </c>
      <c r="D15" s="4" t="str">
        <f>VLOOKUP(A15,المعطيات!$A$1:$J$3500,5,0)</f>
        <v>https://ad.admitad.com/g/r9ybpohdxo83756a41cb806f4427c0/</v>
      </c>
      <c r="E15" s="1" t="s">
        <v>1482</v>
      </c>
      <c r="F15" s="5">
        <f t="shared" si="0"/>
        <v>15</v>
      </c>
      <c r="G15" s="5" t="s">
        <v>1483</v>
      </c>
      <c r="H15" s="4" t="str">
        <f>VLOOKUP(A15,المعطيات!$A$1:$J$3500,3,0)</f>
        <v>Stylewe WW</v>
      </c>
      <c r="I15" s="1" t="s">
        <v>1484</v>
      </c>
      <c r="J15" s="1" t="s">
        <v>1485</v>
      </c>
      <c r="K15" s="4" t="str">
        <f>VLOOKUP(A15,المعطيات!$A$1:$J$3500,6,0)</f>
        <v>Stylewe WW</v>
      </c>
      <c r="L15" s="1" t="s">
        <v>1486</v>
      </c>
      <c r="M15" s="1" t="s">
        <v>1487</v>
      </c>
      <c r="N15" s="4" t="str">
        <f t="shared" si="1"/>
        <v>https://ad.admitad.com/g/r9ybpohdxo83756a41cb806f4427c0/</v>
      </c>
      <c r="O15" s="1" t="s">
        <v>1488</v>
      </c>
      <c r="P15" s="4" t="str">
        <f>VLOOKUP(A15,المعطيات!$A$1:$J$3500,4,0)</f>
        <v>https://cdn.admitad-connect.com/campaign/images/2021/2/26/24295-72048117eb78e9ac.png</v>
      </c>
      <c r="Q15" s="1" t="s">
        <v>1489</v>
      </c>
      <c r="R15" s="1" t="s">
        <v>1480</v>
      </c>
      <c r="S15" s="6" t="str">
        <f t="shared" si="2"/>
        <v xml:space="preserve"> &lt;div class="w3-container w3-border w3-border-amber w3-leftbar w3-rightbar w3-hover-border-green"&gt; &lt;h3&gt; &lt;a href="https://ad.admitad.com/g/r9ybpohdxo83756a41cb806f4427c0/"&gt;15.Stylewe WW&lt;/a&gt;&lt;/h3&gt; &lt;p&gt;Stylewe WW&lt;/p&gt;&lt;a target="_blank" href="https://ad.admitad.com/g/r9ybpohdxo83756a41cb806f4427c0/ "&gt;&lt;img src="https://cdn.admitad-connect.com/campaign/images/2021/2/26/24295-72048117eb78e9ac.png" width=468" height="60"&gt;&lt;/a&gt;&lt;p&gt;&lt;/p&gt;&lt;/div&gt;&lt;hr&gt;</v>
      </c>
    </row>
    <row r="16" spans="1:19" x14ac:dyDescent="0.25">
      <c r="A16" s="1">
        <v>16</v>
      </c>
      <c r="B16" s="1" t="s">
        <v>1479</v>
      </c>
      <c r="C16" s="1" t="s">
        <v>1481</v>
      </c>
      <c r="D16" s="4" t="str">
        <f>VLOOKUP(A16,المعطيات!$A$1:$J$3500,5,0)</f>
        <v>https://ad.admitad.com/g/kmcoj56juv83756a41cb608cdf386b/</v>
      </c>
      <c r="E16" s="1" t="s">
        <v>1482</v>
      </c>
      <c r="F16" s="5">
        <f t="shared" si="0"/>
        <v>16</v>
      </c>
      <c r="G16" s="5" t="s">
        <v>1483</v>
      </c>
      <c r="H16" s="4" t="str">
        <f>VLOOKUP(A16,المعطيات!$A$1:$J$3500,3,0)</f>
        <v>Justfashionnow WW</v>
      </c>
      <c r="I16" s="1" t="s">
        <v>1484</v>
      </c>
      <c r="J16" s="1" t="s">
        <v>1485</v>
      </c>
      <c r="K16" s="4" t="str">
        <f>VLOOKUP(A16,المعطيات!$A$1:$J$3500,6,0)</f>
        <v>Justfashionnow WW</v>
      </c>
      <c r="L16" s="1" t="s">
        <v>1486</v>
      </c>
      <c r="M16" s="1" t="s">
        <v>1487</v>
      </c>
      <c r="N16" s="4" t="str">
        <f t="shared" si="1"/>
        <v>https://ad.admitad.com/g/kmcoj56juv83756a41cb608cdf386b/</v>
      </c>
      <c r="O16" s="1" t="s">
        <v>1488</v>
      </c>
      <c r="P16" s="4" t="str">
        <f>VLOOKUP(A16,المعطيات!$A$1:$J$3500,4,0)</f>
        <v>https://cdn.admitad-connect.com/campaign/images/2021/3/1/24286-7f653b51c4842598.png</v>
      </c>
      <c r="Q16" s="1" t="s">
        <v>1489</v>
      </c>
      <c r="R16" s="1" t="s">
        <v>1480</v>
      </c>
      <c r="S16" s="6" t="str">
        <f t="shared" si="2"/>
        <v xml:space="preserve"> &lt;div class="w3-container w3-border w3-border-amber w3-leftbar w3-rightbar w3-hover-border-green"&gt; &lt;h3&gt; &lt;a href="https://ad.admitad.com/g/kmcoj56juv83756a41cb608cdf386b/"&gt;16.Justfashionnow WW&lt;/a&gt;&lt;/h3&gt; &lt;p&gt;Justfashionnow WW&lt;/p&gt;&lt;a target="_blank" href="https://ad.admitad.com/g/kmcoj56juv83756a41cb608cdf386b/ "&gt;&lt;img src="https://cdn.admitad-connect.com/campaign/images/2021/3/1/24286-7f653b51c4842598.png" width=468" height="60"&gt;&lt;/a&gt;&lt;p&gt;&lt;/p&gt;&lt;/div&gt;&lt;hr&gt;</v>
      </c>
    </row>
    <row r="17" spans="1:19" x14ac:dyDescent="0.25">
      <c r="A17" s="1">
        <v>17</v>
      </c>
      <c r="B17" s="1" t="s">
        <v>1479</v>
      </c>
      <c r="C17" s="1" t="s">
        <v>1481</v>
      </c>
      <c r="D17" s="4" t="str">
        <f>VLOOKUP(A17,المعطيات!$A$1:$J$3500,5,0)</f>
        <v>https://ad.admitad.com/g/6p4zka2wuu83756a41cbcbd5ceef73/</v>
      </c>
      <c r="E17" s="1" t="s">
        <v>1482</v>
      </c>
      <c r="F17" s="5">
        <f t="shared" si="0"/>
        <v>17</v>
      </c>
      <c r="G17" s="5" t="s">
        <v>1483</v>
      </c>
      <c r="H17" s="4" t="str">
        <f>VLOOKUP(A17,المعطيات!$A$1:$J$3500,3,0)</f>
        <v>Lilicloth WW</v>
      </c>
      <c r="I17" s="1" t="s">
        <v>1484</v>
      </c>
      <c r="J17" s="1" t="s">
        <v>1485</v>
      </c>
      <c r="K17" s="4" t="str">
        <f>VLOOKUP(A17,المعطيات!$A$1:$J$3500,6,0)</f>
        <v>Lilicloth WW</v>
      </c>
      <c r="L17" s="1" t="s">
        <v>1486</v>
      </c>
      <c r="M17" s="1" t="s">
        <v>1487</v>
      </c>
      <c r="N17" s="4" t="str">
        <f t="shared" si="1"/>
        <v>https://ad.admitad.com/g/6p4zka2wuu83756a41cbcbd5ceef73/</v>
      </c>
      <c r="O17" s="1" t="s">
        <v>1488</v>
      </c>
      <c r="P17" s="4" t="str">
        <f>VLOOKUP(A17,المعطيات!$A$1:$J$3500,4,0)</f>
        <v>https://cdn.admitad-connect.com/campaign/images/2021/3/1/24288-24c2d19331bac327.png</v>
      </c>
      <c r="Q17" s="1" t="s">
        <v>1489</v>
      </c>
      <c r="R17" s="1" t="s">
        <v>1480</v>
      </c>
      <c r="S17" s="6" t="str">
        <f t="shared" si="2"/>
        <v xml:space="preserve"> &lt;div class="w3-container w3-border w3-border-amber w3-leftbar w3-rightbar w3-hover-border-green"&gt; &lt;h3&gt; &lt;a href="https://ad.admitad.com/g/6p4zka2wuu83756a41cbcbd5ceef73/"&gt;17.Lilicloth WW&lt;/a&gt;&lt;/h3&gt; &lt;p&gt;Lilicloth WW&lt;/p&gt;&lt;a target="_blank" href="https://ad.admitad.com/g/6p4zka2wuu83756a41cbcbd5ceef73/ "&gt;&lt;img src="https://cdn.admitad-connect.com/campaign/images/2021/3/1/24288-24c2d19331bac327.png" width=468" height="60"&gt;&lt;/a&gt;&lt;p&gt;&lt;/p&gt;&lt;/div&gt;&lt;hr&gt;</v>
      </c>
    </row>
    <row r="18" spans="1:19" x14ac:dyDescent="0.25">
      <c r="A18" s="1">
        <v>18</v>
      </c>
      <c r="B18" s="1" t="s">
        <v>1479</v>
      </c>
      <c r="C18" s="1" t="s">
        <v>1481</v>
      </c>
      <c r="D18" s="4" t="str">
        <f>VLOOKUP(A18,المعطيات!$A$1:$J$3500,5,0)</f>
        <v>https://ad.admitad.com/g/hsfqckbh1083756a41cbf7cd9aae96/</v>
      </c>
      <c r="E18" s="1" t="s">
        <v>1482</v>
      </c>
      <c r="F18" s="5">
        <f t="shared" si="0"/>
        <v>18</v>
      </c>
      <c r="G18" s="5" t="s">
        <v>1483</v>
      </c>
      <c r="H18" s="4" t="str">
        <f>VLOOKUP(A18,المعطيات!$A$1:$J$3500,3,0)</f>
        <v>J.ing WW</v>
      </c>
      <c r="I18" s="1" t="s">
        <v>1484</v>
      </c>
      <c r="J18" s="1" t="s">
        <v>1485</v>
      </c>
      <c r="K18" s="4" t="str">
        <f>VLOOKUP(A18,المعطيات!$A$1:$J$3500,6,0)</f>
        <v>J.ing WW</v>
      </c>
      <c r="L18" s="1" t="s">
        <v>1486</v>
      </c>
      <c r="M18" s="1" t="s">
        <v>1487</v>
      </c>
      <c r="N18" s="4" t="str">
        <f t="shared" si="1"/>
        <v>https://ad.admitad.com/g/hsfqckbh1083756a41cbf7cd9aae96/</v>
      </c>
      <c r="O18" s="1" t="s">
        <v>1488</v>
      </c>
      <c r="P18" s="4" t="str">
        <f>VLOOKUP(A18,المعطيات!$A$1:$J$3500,4,0)</f>
        <v>https://cdn.admitad-connect.com/campaign/images/2021/10/25/26470-f08448f5b58ce3fa.png</v>
      </c>
      <c r="Q18" s="1" t="s">
        <v>1489</v>
      </c>
      <c r="R18" s="1" t="s">
        <v>1480</v>
      </c>
      <c r="S18" s="6" t="str">
        <f t="shared" si="2"/>
        <v xml:space="preserve"> &lt;div class="w3-container w3-border w3-border-amber w3-leftbar w3-rightbar w3-hover-border-green"&gt; &lt;h3&gt; &lt;a href="https://ad.admitad.com/g/hsfqckbh1083756a41cbf7cd9aae96/"&gt;18.J.ing WW&lt;/a&gt;&lt;/h3&gt; &lt;p&gt;J.ing WW&lt;/p&gt;&lt;a target="_blank" href="https://ad.admitad.com/g/hsfqckbh1083756a41cbf7cd9aae96/ "&gt;&lt;img src="https://cdn.admitad-connect.com/campaign/images/2021/10/25/26470-f08448f5b58ce3fa.png" width=468" height="60"&gt;&lt;/a&gt;&lt;p&gt;&lt;/p&gt;&lt;/div&gt;&lt;hr&gt;</v>
      </c>
    </row>
    <row r="19" spans="1:19" x14ac:dyDescent="0.25">
      <c r="A19" s="1">
        <v>19</v>
      </c>
      <c r="B19" s="1" t="s">
        <v>1479</v>
      </c>
      <c r="C19" s="1" t="s">
        <v>1481</v>
      </c>
      <c r="D19" s="4" t="str">
        <f>VLOOKUP(A19,المعطيات!$A$1:$J$3500,5,0)</f>
        <v>https://ad.admitad.com/g/pc9t9ez2zs83756a41cb468cec14c0/</v>
      </c>
      <c r="E19" s="1" t="s">
        <v>1482</v>
      </c>
      <c r="F19" s="5">
        <f t="shared" si="0"/>
        <v>19</v>
      </c>
      <c r="G19" s="5" t="s">
        <v>1483</v>
      </c>
      <c r="H19" s="4" t="str">
        <f>VLOOKUP(A19,المعطيات!$A$1:$J$3500,3,0)</f>
        <v>Peggybuy WW</v>
      </c>
      <c r="I19" s="1" t="s">
        <v>1484</v>
      </c>
      <c r="J19" s="1" t="s">
        <v>1485</v>
      </c>
      <c r="K19" s="4" t="str">
        <f>VLOOKUP(A19,المعطيات!$A$1:$J$3500,6,0)</f>
        <v>Peggybuy WW</v>
      </c>
      <c r="L19" s="1" t="s">
        <v>1486</v>
      </c>
      <c r="M19" s="1" t="s">
        <v>1487</v>
      </c>
      <c r="N19" s="4" t="str">
        <f t="shared" si="1"/>
        <v>https://ad.admitad.com/g/pc9t9ez2zs83756a41cb468cec14c0/</v>
      </c>
      <c r="O19" s="1" t="s">
        <v>1488</v>
      </c>
      <c r="P19" s="4" t="str">
        <f>VLOOKUP(A19,المعطيات!$A$1:$J$3500,4,0)</f>
        <v>https://cdn.admitad-connect.com/campaign/images/2020/10/1/18930-5dbae1ff8d80c16b.png</v>
      </c>
      <c r="Q19" s="1" t="s">
        <v>1489</v>
      </c>
      <c r="R19" s="1" t="s">
        <v>1480</v>
      </c>
      <c r="S19" s="6" t="str">
        <f t="shared" si="2"/>
        <v xml:space="preserve"> &lt;div class="w3-container w3-border w3-border-amber w3-leftbar w3-rightbar w3-hover-border-green"&gt; &lt;h3&gt; &lt;a href="https://ad.admitad.com/g/pc9t9ez2zs83756a41cb468cec14c0/"&gt;19.Peggybuy WW&lt;/a&gt;&lt;/h3&gt; &lt;p&gt;Peggybuy WW&lt;/p&gt;&lt;a target="_blank" href="https://ad.admitad.com/g/pc9t9ez2zs83756a41cb468cec14c0/ "&gt;&lt;img src="https://cdn.admitad-connect.com/campaign/images/2020/10/1/18930-5dbae1ff8d80c16b.png" width=468" height="60"&gt;&lt;/a&gt;&lt;p&gt;&lt;/p&gt;&lt;/div&gt;&lt;hr&gt;</v>
      </c>
    </row>
    <row r="20" spans="1:19" x14ac:dyDescent="0.25">
      <c r="A20" s="1">
        <v>20</v>
      </c>
      <c r="B20" s="1" t="s">
        <v>1479</v>
      </c>
      <c r="C20" s="1" t="s">
        <v>1481</v>
      </c>
      <c r="D20" s="4" t="str">
        <f>VLOOKUP(A20,المعطيات!$A$1:$J$3500,5,0)</f>
        <v>https://ad.admitad.com/g/6gk4ba6fs683756a41cbcc54f31e64/</v>
      </c>
      <c r="E20" s="1" t="s">
        <v>1482</v>
      </c>
      <c r="F20" s="5">
        <f t="shared" si="0"/>
        <v>20</v>
      </c>
      <c r="G20" s="5" t="s">
        <v>1483</v>
      </c>
      <c r="H20" s="4" t="str">
        <f>VLOOKUP(A20,المعطيات!$A$1:$J$3500,3,0)</f>
        <v>Youtravel.me</v>
      </c>
      <c r="I20" s="1" t="s">
        <v>1484</v>
      </c>
      <c r="J20" s="1" t="s">
        <v>1485</v>
      </c>
      <c r="K20" s="4" t="str">
        <f>VLOOKUP(A20,المعطيات!$A$1:$J$3500,6,0)</f>
        <v>Youtravel.me</v>
      </c>
      <c r="L20" s="1" t="s">
        <v>1486</v>
      </c>
      <c r="M20" s="1" t="s">
        <v>1487</v>
      </c>
      <c r="N20" s="4" t="str">
        <f t="shared" si="1"/>
        <v>https://ad.admitad.com/g/6gk4ba6fs683756a41cbcc54f31e64/</v>
      </c>
      <c r="O20" s="1" t="s">
        <v>1488</v>
      </c>
      <c r="P20" s="4" t="str">
        <f>VLOOKUP(A20,المعطيات!$A$1:$J$3500,4,0)</f>
        <v>https://cdn.admitad-connect.com/campaign/images/2020/10/1/22709-a9cf42e0607f8ec3.png</v>
      </c>
      <c r="Q20" s="1" t="s">
        <v>1489</v>
      </c>
      <c r="R20" s="1" t="s">
        <v>1480</v>
      </c>
      <c r="S20" s="6" t="str">
        <f t="shared" si="2"/>
        <v xml:space="preserve"> &lt;div class="w3-container w3-border w3-border-amber w3-leftbar w3-rightbar w3-hover-border-green"&gt; &lt;h3&gt; &lt;a href="https://ad.admitad.com/g/6gk4ba6fs683756a41cbcc54f31e64/"&gt;20.Youtravel.me&lt;/a&gt;&lt;/h3&gt; &lt;p&gt;Youtravel.me&lt;/p&gt;&lt;a target="_blank" href="https://ad.admitad.com/g/6gk4ba6fs683756a41cbcc54f31e64/ "&gt;&lt;img src="https://cdn.admitad-connect.com/campaign/images/2020/10/1/22709-a9cf42e0607f8ec3.png" width=468" height="60"&gt;&lt;/a&gt;&lt;p&gt;&lt;/p&gt;&lt;/div&gt;&lt;hr&gt;</v>
      </c>
    </row>
    <row r="21" spans="1:19" x14ac:dyDescent="0.25">
      <c r="A21" s="1">
        <v>21</v>
      </c>
      <c r="B21" s="1" t="s">
        <v>1479</v>
      </c>
      <c r="C21" s="1" t="s">
        <v>1481</v>
      </c>
      <c r="D21" s="4" t="str">
        <f>VLOOKUP(A21,المعطيات!$A$1:$J$3500,5,0)</f>
        <v>https://ad.admitad.com/g/5ajq8jh0ya83756a41cbb36162f539/</v>
      </c>
      <c r="E21" s="1" t="s">
        <v>1482</v>
      </c>
      <c r="F21" s="5">
        <f t="shared" si="0"/>
        <v>21</v>
      </c>
      <c r="G21" s="5" t="s">
        <v>1483</v>
      </c>
      <c r="H21" s="4" t="str">
        <f>VLOOKUP(A21,المعطيات!$A$1:$J$3500,3,0)</f>
        <v>Roselinlin WW</v>
      </c>
      <c r="I21" s="1" t="s">
        <v>1484</v>
      </c>
      <c r="J21" s="1" t="s">
        <v>1485</v>
      </c>
      <c r="K21" s="4" t="str">
        <f>VLOOKUP(A21,المعطيات!$A$1:$J$3500,6,0)</f>
        <v>Roselinlin WW</v>
      </c>
      <c r="L21" s="1" t="s">
        <v>1486</v>
      </c>
      <c r="M21" s="1" t="s">
        <v>1487</v>
      </c>
      <c r="N21" s="4" t="str">
        <f t="shared" si="1"/>
        <v>https://ad.admitad.com/g/5ajq8jh0ya83756a41cbb36162f539/</v>
      </c>
      <c r="O21" s="1" t="s">
        <v>1488</v>
      </c>
      <c r="P21" s="4" t="str">
        <f>VLOOKUP(A21,المعطيات!$A$1:$J$3500,4,0)</f>
        <v>https://cdn.admitad-connect.com/campaign/images/2021/3/16/24669-b701ed1e428fac0a.jpg</v>
      </c>
      <c r="Q21" s="1" t="s">
        <v>1489</v>
      </c>
      <c r="R21" s="1" t="s">
        <v>1480</v>
      </c>
      <c r="S21" s="6" t="str">
        <f t="shared" si="2"/>
        <v xml:space="preserve"> &lt;div class="w3-container w3-border w3-border-amber w3-leftbar w3-rightbar w3-hover-border-green"&gt; &lt;h3&gt; &lt;a href="https://ad.admitad.com/g/5ajq8jh0ya83756a41cbb36162f539/"&gt;21.Roselinlin WW&lt;/a&gt;&lt;/h3&gt; &lt;p&gt;Roselinlin WW&lt;/p&gt;&lt;a target="_blank" href="https://ad.admitad.com/g/5ajq8jh0ya83756a41cbb36162f539/ "&gt;&lt;img src="https://cdn.admitad-connect.com/campaign/images/2021/3/16/24669-b701ed1e428fac0a.jpg" width=468" height="60"&gt;&lt;/a&gt;&lt;p&gt;&lt;/p&gt;&lt;/div&gt;&lt;hr&gt;</v>
      </c>
    </row>
    <row r="22" spans="1:19" x14ac:dyDescent="0.25">
      <c r="A22" s="1">
        <v>22</v>
      </c>
      <c r="B22" s="1" t="s">
        <v>1479</v>
      </c>
      <c r="C22" s="1" t="s">
        <v>1481</v>
      </c>
      <c r="D22" s="4" t="str">
        <f>VLOOKUP(A22,المعطيات!$A$1:$J$3500,5,0)</f>
        <v>https://ad.admitad.com/g/zk14cxa3ib83756a41cbdfca45d921/</v>
      </c>
      <c r="E22" s="1" t="s">
        <v>1482</v>
      </c>
      <c r="F22" s="5">
        <f t="shared" si="0"/>
        <v>22</v>
      </c>
      <c r="G22" s="5" t="s">
        <v>1483</v>
      </c>
      <c r="H22" s="4" t="str">
        <f>VLOOKUP(A22,المعطيات!$A$1:$J$3500,3,0)</f>
        <v>Cubot WW</v>
      </c>
      <c r="I22" s="1" t="s">
        <v>1484</v>
      </c>
      <c r="J22" s="1" t="s">
        <v>1485</v>
      </c>
      <c r="K22" s="4" t="str">
        <f>VLOOKUP(A22,المعطيات!$A$1:$J$3500,6,0)</f>
        <v>Cubot WW</v>
      </c>
      <c r="L22" s="1" t="s">
        <v>1486</v>
      </c>
      <c r="M22" s="1" t="s">
        <v>1487</v>
      </c>
      <c r="N22" s="4" t="str">
        <f t="shared" si="1"/>
        <v>https://ad.admitad.com/g/zk14cxa3ib83756a41cbdfca45d921/</v>
      </c>
      <c r="O22" s="1" t="s">
        <v>1488</v>
      </c>
      <c r="P22" s="4" t="str">
        <f>VLOOKUP(A22,المعطيات!$A$1:$J$3500,4,0)</f>
        <v>https://cdn.admitad-connect.com/campaign/images/2020/9/30/23008-22a1a233f33616af.png</v>
      </c>
      <c r="Q22" s="1" t="s">
        <v>1489</v>
      </c>
      <c r="R22" s="1" t="s">
        <v>1480</v>
      </c>
      <c r="S22" s="6" t="str">
        <f t="shared" si="2"/>
        <v xml:space="preserve"> &lt;div class="w3-container w3-border w3-border-amber w3-leftbar w3-rightbar w3-hover-border-green"&gt; &lt;h3&gt; &lt;a href="https://ad.admitad.com/g/zk14cxa3ib83756a41cbdfca45d921/"&gt;22.Cubot WW&lt;/a&gt;&lt;/h3&gt; &lt;p&gt;Cubot WW&lt;/p&gt;&lt;a target="_blank" href="https://ad.admitad.com/g/zk14cxa3ib83756a41cbdfca45d921/ "&gt;&lt;img src="https://cdn.admitad-connect.com/campaign/images/2020/9/30/23008-22a1a233f33616af.png" width=468" height="60"&gt;&lt;/a&gt;&lt;p&gt;&lt;/p&gt;&lt;/div&gt;&lt;hr&gt;</v>
      </c>
    </row>
    <row r="23" spans="1:19" x14ac:dyDescent="0.25">
      <c r="A23" s="1">
        <v>23</v>
      </c>
      <c r="B23" s="1" t="s">
        <v>1479</v>
      </c>
      <c r="C23" s="1" t="s">
        <v>1481</v>
      </c>
      <c r="D23" s="4" t="str">
        <f>VLOOKUP(A23,المعطيات!$A$1:$J$3500,5,0)</f>
        <v>https://ad.admitad.com/g/8edzsh5t7183756a41cb11a45d6e2f/</v>
      </c>
      <c r="E23" s="1" t="s">
        <v>1482</v>
      </c>
      <c r="F23" s="5">
        <f t="shared" si="0"/>
        <v>23</v>
      </c>
      <c r="G23" s="5" t="s">
        <v>1483</v>
      </c>
      <c r="H23" s="4" t="str">
        <f>VLOOKUP(A23,المعطيات!$A$1:$J$3500,3,0)</f>
        <v>lovemachines.ru</v>
      </c>
      <c r="I23" s="1" t="s">
        <v>1484</v>
      </c>
      <c r="J23" s="1" t="s">
        <v>1485</v>
      </c>
      <c r="K23" s="4" t="str">
        <f>VLOOKUP(A23,المعطيات!$A$1:$J$3500,6,0)</f>
        <v>lovemachines.ru</v>
      </c>
      <c r="L23" s="1" t="s">
        <v>1486</v>
      </c>
      <c r="M23" s="1" t="s">
        <v>1487</v>
      </c>
      <c r="N23" s="4" t="str">
        <f t="shared" si="1"/>
        <v>https://ad.admitad.com/g/8edzsh5t7183756a41cb11a45d6e2f/</v>
      </c>
      <c r="O23" s="1" t="s">
        <v>1488</v>
      </c>
      <c r="P23" s="4" t="str">
        <f>VLOOKUP(A23,المعطيات!$A$1:$J$3500,4,0)</f>
        <v>https://cdn.admitad-connect.com/campaign/images/2021/4/27/24667-b96aaf5720f12c47.png</v>
      </c>
      <c r="Q23" s="1" t="s">
        <v>1489</v>
      </c>
      <c r="R23" s="1" t="s">
        <v>1480</v>
      </c>
      <c r="S23" s="6" t="str">
        <f t="shared" si="2"/>
        <v xml:space="preserve"> &lt;div class="w3-container w3-border w3-border-amber w3-leftbar w3-rightbar w3-hover-border-green"&gt; &lt;h3&gt; &lt;a href="https://ad.admitad.com/g/8edzsh5t7183756a41cb11a45d6e2f/"&gt;23.lovemachines.ru&lt;/a&gt;&lt;/h3&gt; &lt;p&gt;lovemachines.ru&lt;/p&gt;&lt;a target="_blank" href="https://ad.admitad.com/g/8edzsh5t7183756a41cb11a45d6e2f/ "&gt;&lt;img src="https://cdn.admitad-connect.com/campaign/images/2021/4/27/24667-b96aaf5720f12c47.png" width=468" height="60"&gt;&lt;/a&gt;&lt;p&gt;&lt;/p&gt;&lt;/div&gt;&lt;hr&gt;</v>
      </c>
    </row>
    <row r="24" spans="1:19" x14ac:dyDescent="0.25">
      <c r="A24" s="1">
        <v>24</v>
      </c>
      <c r="B24" s="1" t="s">
        <v>1479</v>
      </c>
      <c r="C24" s="1" t="s">
        <v>1481</v>
      </c>
      <c r="D24" s="4" t="str">
        <f>VLOOKUP(A24,المعطيات!$A$1:$J$3500,5,0)</f>
        <v>https://ad.admitad.com/g/pp157ve4q483756a41cbb00fe91635/</v>
      </c>
      <c r="E24" s="1" t="s">
        <v>1482</v>
      </c>
      <c r="F24" s="5">
        <f t="shared" si="0"/>
        <v>24</v>
      </c>
      <c r="G24" s="5" t="s">
        <v>1483</v>
      </c>
      <c r="H24" s="4" t="str">
        <f>VLOOKUP(A24,المعطيات!$A$1:$J$3500,3,0)</f>
        <v>Hawalili WW</v>
      </c>
      <c r="I24" s="1" t="s">
        <v>1484</v>
      </c>
      <c r="J24" s="1" t="s">
        <v>1485</v>
      </c>
      <c r="K24" s="4" t="str">
        <f>VLOOKUP(A24,المعطيات!$A$1:$J$3500,6,0)</f>
        <v>Hawalili WW</v>
      </c>
      <c r="L24" s="1" t="s">
        <v>1486</v>
      </c>
      <c r="M24" s="1" t="s">
        <v>1487</v>
      </c>
      <c r="N24" s="4" t="str">
        <f t="shared" si="1"/>
        <v>https://ad.admitad.com/g/pp157ve4q483756a41cbb00fe91635/</v>
      </c>
      <c r="O24" s="1" t="s">
        <v>1488</v>
      </c>
      <c r="P24" s="4" t="str">
        <f>VLOOKUP(A24,المعطيات!$A$1:$J$3500,4,0)</f>
        <v>https://cdn.admitad-connect.com/campaign/images/2021/5/17/24994-83902492f9eb4838.png</v>
      </c>
      <c r="Q24" s="1" t="s">
        <v>1489</v>
      </c>
      <c r="R24" s="1" t="s">
        <v>1480</v>
      </c>
      <c r="S24" s="6" t="str">
        <f t="shared" si="2"/>
        <v xml:space="preserve"> &lt;div class="w3-container w3-border w3-border-amber w3-leftbar w3-rightbar w3-hover-border-green"&gt; &lt;h3&gt; &lt;a href="https://ad.admitad.com/g/pp157ve4q483756a41cbb00fe91635/"&gt;24.Hawalili WW&lt;/a&gt;&lt;/h3&gt; &lt;p&gt;Hawalili WW&lt;/p&gt;&lt;a target="_blank" href="https://ad.admitad.com/g/pp157ve4q483756a41cbb00fe91635/ "&gt;&lt;img src="https://cdn.admitad-connect.com/campaign/images/2021/5/17/24994-83902492f9eb4838.png" width=468" height="60"&gt;&lt;/a&gt;&lt;p&gt;&lt;/p&gt;&lt;/div&gt;&lt;hr&gt;</v>
      </c>
    </row>
    <row r="25" spans="1:19" x14ac:dyDescent="0.25">
      <c r="A25" s="1">
        <v>25</v>
      </c>
      <c r="B25" s="1" t="s">
        <v>1479</v>
      </c>
      <c r="C25" s="1" t="s">
        <v>1481</v>
      </c>
      <c r="D25" s="4" t="str">
        <f>VLOOKUP(A25,المعطيات!$A$1:$J$3500,5,0)</f>
        <v>https://ad.admitad.com/g/wen3yeakfd83756a41cbe017c44c28/</v>
      </c>
      <c r="E25" s="1" t="s">
        <v>1482</v>
      </c>
      <c r="F25" s="5">
        <f t="shared" si="0"/>
        <v>25</v>
      </c>
      <c r="G25" s="5" t="s">
        <v>1483</v>
      </c>
      <c r="H25" s="4" t="str">
        <f>VLOOKUP(A25,المعطيات!$A$1:$J$3500,3,0)</f>
        <v>Teknistore WW</v>
      </c>
      <c r="I25" s="1" t="s">
        <v>1484</v>
      </c>
      <c r="J25" s="1" t="s">
        <v>1485</v>
      </c>
      <c r="K25" s="4" t="str">
        <f>VLOOKUP(A25,المعطيات!$A$1:$J$3500,6,0)</f>
        <v>Teknistore WW</v>
      </c>
      <c r="L25" s="1" t="s">
        <v>1486</v>
      </c>
      <c r="M25" s="1" t="s">
        <v>1487</v>
      </c>
      <c r="N25" s="4" t="str">
        <f t="shared" si="1"/>
        <v>https://ad.admitad.com/g/wen3yeakfd83756a41cbe017c44c28/</v>
      </c>
      <c r="O25" s="1" t="s">
        <v>1488</v>
      </c>
      <c r="P25" s="4" t="str">
        <f>VLOOKUP(A25,المعطيات!$A$1:$J$3500,4,0)</f>
        <v>https://cdn.admitad-connect.com/campaign/images/2020/10/1/18071-d07bd3f852fb245d.png</v>
      </c>
      <c r="Q25" s="1" t="s">
        <v>1489</v>
      </c>
      <c r="R25" s="1" t="s">
        <v>1480</v>
      </c>
      <c r="S25" s="6" t="str">
        <f t="shared" si="2"/>
        <v xml:space="preserve"> &lt;div class="w3-container w3-border w3-border-amber w3-leftbar w3-rightbar w3-hover-border-green"&gt; &lt;h3&gt; &lt;a href="https://ad.admitad.com/g/wen3yeakfd83756a41cbe017c44c28/"&gt;25.Teknistore WW&lt;/a&gt;&lt;/h3&gt; &lt;p&gt;Teknistore WW&lt;/p&gt;&lt;a target="_blank" href="https://ad.admitad.com/g/wen3yeakfd83756a41cbe017c44c28/ "&gt;&lt;img src="https://cdn.admitad-connect.com/campaign/images/2020/10/1/18071-d07bd3f852fb245d.png" width=468" height="60"&gt;&lt;/a&gt;&lt;p&gt;&lt;/p&gt;&lt;/div&gt;&lt;hr&gt;</v>
      </c>
    </row>
    <row r="26" spans="1:19" x14ac:dyDescent="0.25">
      <c r="B26" s="1" t="s">
        <v>1479</v>
      </c>
      <c r="C26" s="1" t="s">
        <v>1481</v>
      </c>
      <c r="D26" s="4" t="e">
        <f>VLOOKUP(A26,المعطيات!$A$1:$J$3500,5,0)</f>
        <v>#N/A</v>
      </c>
      <c r="E26" s="1" t="s">
        <v>1482</v>
      </c>
      <c r="F26" s="5">
        <f t="shared" si="0"/>
        <v>0</v>
      </c>
      <c r="G26" s="5" t="s">
        <v>1483</v>
      </c>
      <c r="H26" s="4" t="e">
        <f>VLOOKUP(A26,المعطيات!$A$1:$J$3500,3,0)</f>
        <v>#N/A</v>
      </c>
      <c r="I26" s="1" t="s">
        <v>1484</v>
      </c>
      <c r="J26" s="1" t="s">
        <v>1485</v>
      </c>
      <c r="K26" s="4" t="e">
        <f>VLOOKUP(A26,المعطيات!$A$1:$J$3500,6,0)</f>
        <v>#N/A</v>
      </c>
      <c r="L26" s="1" t="s">
        <v>1486</v>
      </c>
      <c r="M26" s="1" t="s">
        <v>1487</v>
      </c>
      <c r="N26" s="4" t="e">
        <f t="shared" si="1"/>
        <v>#N/A</v>
      </c>
      <c r="O26" s="1" t="s">
        <v>1488</v>
      </c>
      <c r="P26" s="4" t="e">
        <f>VLOOKUP(A26,المعطيات!$A$1:$J$3500,4,0)</f>
        <v>#N/A</v>
      </c>
      <c r="Q26" s="1" t="s">
        <v>1489</v>
      </c>
      <c r="R26" s="1" t="s">
        <v>1480</v>
      </c>
      <c r="S26" s="6" t="e">
        <f t="shared" si="2"/>
        <v>#N/A</v>
      </c>
    </row>
    <row r="27" spans="1:19" x14ac:dyDescent="0.25">
      <c r="B27" s="1" t="s">
        <v>1479</v>
      </c>
      <c r="C27" s="1" t="s">
        <v>1481</v>
      </c>
      <c r="D27" s="4" t="e">
        <f>VLOOKUP(A27,المعطيات!$A$1:$J$3500,5,0)</f>
        <v>#N/A</v>
      </c>
      <c r="E27" s="1" t="s">
        <v>1482</v>
      </c>
      <c r="F27" s="5">
        <f t="shared" si="0"/>
        <v>0</v>
      </c>
      <c r="G27" s="5" t="s">
        <v>1483</v>
      </c>
      <c r="H27" s="4" t="e">
        <f>VLOOKUP(A27,المعطيات!$A$1:$J$3500,3,0)</f>
        <v>#N/A</v>
      </c>
      <c r="I27" s="1" t="s">
        <v>1484</v>
      </c>
      <c r="J27" s="1" t="s">
        <v>1485</v>
      </c>
      <c r="K27" s="4" t="e">
        <f>VLOOKUP(A27,المعطيات!$A$1:$J$3500,6,0)</f>
        <v>#N/A</v>
      </c>
      <c r="L27" s="1" t="s">
        <v>1486</v>
      </c>
      <c r="M27" s="1" t="s">
        <v>1487</v>
      </c>
      <c r="N27" s="4" t="e">
        <f t="shared" si="1"/>
        <v>#N/A</v>
      </c>
      <c r="O27" s="1" t="s">
        <v>1488</v>
      </c>
      <c r="P27" s="4" t="e">
        <f>VLOOKUP(A27,المعطيات!$A$1:$J$3500,4,0)</f>
        <v>#N/A</v>
      </c>
      <c r="Q27" s="1" t="s">
        <v>1489</v>
      </c>
      <c r="R27" s="1" t="s">
        <v>1480</v>
      </c>
      <c r="S27" s="6" t="e">
        <f t="shared" si="2"/>
        <v>#N/A</v>
      </c>
    </row>
    <row r="28" spans="1:19" x14ac:dyDescent="0.25">
      <c r="B28" s="1" t="s">
        <v>1479</v>
      </c>
      <c r="C28" s="1" t="s">
        <v>1481</v>
      </c>
      <c r="D28" s="4" t="e">
        <f>VLOOKUP(A28,المعطيات!$A$1:$J$3500,5,0)</f>
        <v>#N/A</v>
      </c>
      <c r="E28" s="1" t="s">
        <v>1482</v>
      </c>
      <c r="F28" s="5">
        <f t="shared" si="0"/>
        <v>0</v>
      </c>
      <c r="G28" s="5" t="s">
        <v>1483</v>
      </c>
      <c r="H28" s="4" t="e">
        <f>VLOOKUP(A28,المعطيات!$A$1:$J$3500,3,0)</f>
        <v>#N/A</v>
      </c>
      <c r="I28" s="1" t="s">
        <v>1484</v>
      </c>
      <c r="J28" s="1" t="s">
        <v>1485</v>
      </c>
      <c r="K28" s="4" t="e">
        <f>VLOOKUP(A28,المعطيات!$A$1:$J$3500,6,0)</f>
        <v>#N/A</v>
      </c>
      <c r="L28" s="1" t="s">
        <v>1486</v>
      </c>
      <c r="M28" s="1" t="s">
        <v>1487</v>
      </c>
      <c r="N28" s="4" t="e">
        <f t="shared" si="1"/>
        <v>#N/A</v>
      </c>
      <c r="O28" s="1" t="s">
        <v>1488</v>
      </c>
      <c r="P28" s="4" t="e">
        <f>VLOOKUP(A28,المعطيات!$A$1:$J$3500,4,0)</f>
        <v>#N/A</v>
      </c>
      <c r="Q28" s="1" t="s">
        <v>1489</v>
      </c>
      <c r="R28" s="1" t="s">
        <v>1480</v>
      </c>
      <c r="S28" s="6" t="e">
        <f t="shared" si="2"/>
        <v>#N/A</v>
      </c>
    </row>
    <row r="29" spans="1:19" x14ac:dyDescent="0.25">
      <c r="B29" s="1" t="s">
        <v>1479</v>
      </c>
      <c r="C29" s="1" t="s">
        <v>1481</v>
      </c>
      <c r="D29" s="4" t="e">
        <f>VLOOKUP(A29,المعطيات!$A$1:$J$3500,5,0)</f>
        <v>#N/A</v>
      </c>
      <c r="E29" s="1" t="s">
        <v>1482</v>
      </c>
      <c r="F29" s="5">
        <f t="shared" si="0"/>
        <v>0</v>
      </c>
      <c r="G29" s="5" t="s">
        <v>1483</v>
      </c>
      <c r="H29" s="4" t="e">
        <f>VLOOKUP(A29,المعطيات!$A$1:$J$3500,3,0)</f>
        <v>#N/A</v>
      </c>
      <c r="I29" s="1" t="s">
        <v>1484</v>
      </c>
      <c r="J29" s="1" t="s">
        <v>1485</v>
      </c>
      <c r="K29" s="4" t="e">
        <f>VLOOKUP(A29,المعطيات!$A$1:$J$3500,6,0)</f>
        <v>#N/A</v>
      </c>
      <c r="L29" s="1" t="s">
        <v>1486</v>
      </c>
      <c r="M29" s="1" t="s">
        <v>1487</v>
      </c>
      <c r="N29" s="4" t="e">
        <f t="shared" si="1"/>
        <v>#N/A</v>
      </c>
      <c r="O29" s="1" t="s">
        <v>1488</v>
      </c>
      <c r="P29" s="4" t="e">
        <f>VLOOKUP(A29,المعطيات!$A$1:$J$3500,4,0)</f>
        <v>#N/A</v>
      </c>
      <c r="Q29" s="1" t="s">
        <v>1489</v>
      </c>
      <c r="R29" s="1" t="s">
        <v>1480</v>
      </c>
      <c r="S29" s="6" t="e">
        <f t="shared" si="2"/>
        <v>#N/A</v>
      </c>
    </row>
    <row r="30" spans="1:19" x14ac:dyDescent="0.25">
      <c r="B30" s="1" t="s">
        <v>1479</v>
      </c>
      <c r="C30" s="1" t="s">
        <v>1481</v>
      </c>
      <c r="D30" s="4" t="e">
        <f>VLOOKUP(A30,المعطيات!$A$1:$J$3500,5,0)</f>
        <v>#N/A</v>
      </c>
      <c r="E30" s="1" t="s">
        <v>1482</v>
      </c>
      <c r="F30" s="5">
        <f t="shared" si="0"/>
        <v>0</v>
      </c>
      <c r="G30" s="5" t="s">
        <v>1483</v>
      </c>
      <c r="H30" s="4" t="e">
        <f>VLOOKUP(A30,المعطيات!$A$1:$J$3500,3,0)</f>
        <v>#N/A</v>
      </c>
      <c r="I30" s="1" t="s">
        <v>1484</v>
      </c>
      <c r="J30" s="1" t="s">
        <v>1485</v>
      </c>
      <c r="K30" s="4" t="e">
        <f>VLOOKUP(A30,المعطيات!$A$1:$J$3500,6,0)</f>
        <v>#N/A</v>
      </c>
      <c r="L30" s="1" t="s">
        <v>1486</v>
      </c>
      <c r="M30" s="1" t="s">
        <v>1487</v>
      </c>
      <c r="N30" s="4" t="e">
        <f t="shared" si="1"/>
        <v>#N/A</v>
      </c>
      <c r="O30" s="1" t="s">
        <v>1488</v>
      </c>
      <c r="P30" s="4" t="e">
        <f>VLOOKUP(A30,المعطيات!$A$1:$J$3500,4,0)</f>
        <v>#N/A</v>
      </c>
      <c r="Q30" s="1" t="s">
        <v>1489</v>
      </c>
      <c r="R30" s="1" t="s">
        <v>1480</v>
      </c>
      <c r="S30" s="6" t="e">
        <f t="shared" si="2"/>
        <v>#N/A</v>
      </c>
    </row>
    <row r="31" spans="1:19" x14ac:dyDescent="0.25">
      <c r="B31" s="1" t="s">
        <v>1479</v>
      </c>
      <c r="C31" s="1" t="s">
        <v>1481</v>
      </c>
      <c r="D31" s="4" t="e">
        <f>VLOOKUP(A31,المعطيات!$A$1:$J$3500,5,0)</f>
        <v>#N/A</v>
      </c>
      <c r="E31" s="1" t="s">
        <v>1482</v>
      </c>
      <c r="F31" s="5">
        <f t="shared" si="0"/>
        <v>0</v>
      </c>
      <c r="G31" s="5" t="s">
        <v>1483</v>
      </c>
      <c r="H31" s="4" t="e">
        <f>VLOOKUP(A31,المعطيات!$A$1:$J$3500,3,0)</f>
        <v>#N/A</v>
      </c>
      <c r="I31" s="1" t="s">
        <v>1484</v>
      </c>
      <c r="J31" s="1" t="s">
        <v>1485</v>
      </c>
      <c r="K31" s="4" t="e">
        <f>VLOOKUP(A31,المعطيات!$A$1:$J$3500,6,0)</f>
        <v>#N/A</v>
      </c>
      <c r="L31" s="1" t="s">
        <v>1486</v>
      </c>
      <c r="M31" s="1" t="s">
        <v>1487</v>
      </c>
      <c r="N31" s="4" t="e">
        <f t="shared" si="1"/>
        <v>#N/A</v>
      </c>
      <c r="O31" s="1" t="s">
        <v>1488</v>
      </c>
      <c r="P31" s="4" t="e">
        <f>VLOOKUP(A31,المعطيات!$A$1:$J$3500,4,0)</f>
        <v>#N/A</v>
      </c>
      <c r="Q31" s="1" t="s">
        <v>1489</v>
      </c>
      <c r="R31" s="1" t="s">
        <v>1480</v>
      </c>
      <c r="S31" s="6" t="e">
        <f t="shared" si="2"/>
        <v>#N/A</v>
      </c>
    </row>
    <row r="32" spans="1:19" x14ac:dyDescent="0.25">
      <c r="B32" s="1" t="s">
        <v>1479</v>
      </c>
      <c r="C32" s="1" t="s">
        <v>1481</v>
      </c>
      <c r="D32" s="4" t="e">
        <f>VLOOKUP(A32,المعطيات!$A$1:$J$3500,5,0)</f>
        <v>#N/A</v>
      </c>
      <c r="E32" s="1" t="s">
        <v>1482</v>
      </c>
      <c r="F32" s="5">
        <f t="shared" si="0"/>
        <v>0</v>
      </c>
      <c r="G32" s="5" t="s">
        <v>1483</v>
      </c>
      <c r="H32" s="4" t="e">
        <f>VLOOKUP(A32,المعطيات!$A$1:$J$3500,3,0)</f>
        <v>#N/A</v>
      </c>
      <c r="I32" s="1" t="s">
        <v>1484</v>
      </c>
      <c r="J32" s="1" t="s">
        <v>1485</v>
      </c>
      <c r="K32" s="4" t="e">
        <f>VLOOKUP(A32,المعطيات!$A$1:$J$3500,6,0)</f>
        <v>#N/A</v>
      </c>
      <c r="L32" s="1" t="s">
        <v>1486</v>
      </c>
      <c r="M32" s="1" t="s">
        <v>1487</v>
      </c>
      <c r="N32" s="4" t="e">
        <f t="shared" si="1"/>
        <v>#N/A</v>
      </c>
      <c r="O32" s="1" t="s">
        <v>1488</v>
      </c>
      <c r="P32" s="4" t="e">
        <f>VLOOKUP(A32,المعطيات!$A$1:$J$3500,4,0)</f>
        <v>#N/A</v>
      </c>
      <c r="Q32" s="1" t="s">
        <v>1489</v>
      </c>
      <c r="R32" s="1" t="s">
        <v>1480</v>
      </c>
      <c r="S32" s="6" t="e">
        <f t="shared" si="2"/>
        <v>#N/A</v>
      </c>
    </row>
    <row r="33" spans="2:19" x14ac:dyDescent="0.25">
      <c r="B33" s="1" t="s">
        <v>1479</v>
      </c>
      <c r="C33" s="1" t="s">
        <v>1481</v>
      </c>
      <c r="D33" s="4" t="e">
        <f>VLOOKUP(A33,المعطيات!$A$1:$J$3500,5,0)</f>
        <v>#N/A</v>
      </c>
      <c r="E33" s="1" t="s">
        <v>1482</v>
      </c>
      <c r="F33" s="5">
        <f t="shared" si="0"/>
        <v>0</v>
      </c>
      <c r="G33" s="5" t="s">
        <v>1483</v>
      </c>
      <c r="H33" s="4" t="e">
        <f>VLOOKUP(A33,المعطيات!$A$1:$J$3500,3,0)</f>
        <v>#N/A</v>
      </c>
      <c r="I33" s="1" t="s">
        <v>1484</v>
      </c>
      <c r="J33" s="1" t="s">
        <v>1485</v>
      </c>
      <c r="K33" s="4" t="e">
        <f>VLOOKUP(A33,المعطيات!$A$1:$J$3500,6,0)</f>
        <v>#N/A</v>
      </c>
      <c r="L33" s="1" t="s">
        <v>1486</v>
      </c>
      <c r="M33" s="1" t="s">
        <v>1487</v>
      </c>
      <c r="N33" s="4" t="e">
        <f t="shared" si="1"/>
        <v>#N/A</v>
      </c>
      <c r="O33" s="1" t="s">
        <v>1488</v>
      </c>
      <c r="P33" s="4" t="e">
        <f>VLOOKUP(A33,المعطيات!$A$1:$J$3500,4,0)</f>
        <v>#N/A</v>
      </c>
      <c r="Q33" s="1" t="s">
        <v>1489</v>
      </c>
      <c r="R33" s="1" t="s">
        <v>1480</v>
      </c>
      <c r="S33" s="6" t="e">
        <f t="shared" si="2"/>
        <v>#N/A</v>
      </c>
    </row>
    <row r="34" spans="2:19" x14ac:dyDescent="0.25">
      <c r="B34" s="1" t="s">
        <v>1479</v>
      </c>
      <c r="C34" s="1" t="s">
        <v>1481</v>
      </c>
      <c r="D34" s="4" t="e">
        <f>VLOOKUP(A34,المعطيات!$A$1:$J$3500,5,0)</f>
        <v>#N/A</v>
      </c>
      <c r="E34" s="1" t="s">
        <v>1482</v>
      </c>
      <c r="F34" s="5">
        <f t="shared" si="0"/>
        <v>0</v>
      </c>
      <c r="G34" s="5" t="s">
        <v>1483</v>
      </c>
      <c r="H34" s="4" t="e">
        <f>VLOOKUP(A34,المعطيات!$A$1:$J$3500,3,0)</f>
        <v>#N/A</v>
      </c>
      <c r="I34" s="1" t="s">
        <v>1484</v>
      </c>
      <c r="J34" s="1" t="s">
        <v>1485</v>
      </c>
      <c r="K34" s="4" t="e">
        <f>VLOOKUP(A34,المعطيات!$A$1:$J$3500,6,0)</f>
        <v>#N/A</v>
      </c>
      <c r="L34" s="1" t="s">
        <v>1486</v>
      </c>
      <c r="M34" s="1" t="s">
        <v>1487</v>
      </c>
      <c r="N34" s="4" t="e">
        <f t="shared" si="1"/>
        <v>#N/A</v>
      </c>
      <c r="O34" s="1" t="s">
        <v>1488</v>
      </c>
      <c r="P34" s="4" t="e">
        <f>VLOOKUP(A34,المعطيات!$A$1:$J$3500,4,0)</f>
        <v>#N/A</v>
      </c>
      <c r="Q34" s="1" t="s">
        <v>1489</v>
      </c>
      <c r="R34" s="1" t="s">
        <v>1480</v>
      </c>
      <c r="S34" s="6" t="e">
        <f t="shared" si="2"/>
        <v>#N/A</v>
      </c>
    </row>
    <row r="35" spans="2:19" x14ac:dyDescent="0.25">
      <c r="B35" s="1" t="s">
        <v>1479</v>
      </c>
      <c r="C35" s="1" t="s">
        <v>1481</v>
      </c>
      <c r="D35" s="4" t="e">
        <f>VLOOKUP(A35,المعطيات!$A$1:$J$3500,5,0)</f>
        <v>#N/A</v>
      </c>
      <c r="E35" s="1" t="s">
        <v>1482</v>
      </c>
      <c r="F35" s="5">
        <f t="shared" si="0"/>
        <v>0</v>
      </c>
      <c r="G35" s="5" t="s">
        <v>1483</v>
      </c>
      <c r="H35" s="4" t="e">
        <f>VLOOKUP(A35,المعطيات!$A$1:$J$3500,3,0)</f>
        <v>#N/A</v>
      </c>
      <c r="I35" s="1" t="s">
        <v>1484</v>
      </c>
      <c r="J35" s="1" t="s">
        <v>1485</v>
      </c>
      <c r="K35" s="4" t="e">
        <f>VLOOKUP(A35,المعطيات!$A$1:$J$3500,6,0)</f>
        <v>#N/A</v>
      </c>
      <c r="L35" s="1" t="s">
        <v>1486</v>
      </c>
      <c r="M35" s="1" t="s">
        <v>1487</v>
      </c>
      <c r="N35" s="4" t="e">
        <f t="shared" si="1"/>
        <v>#N/A</v>
      </c>
      <c r="O35" s="1" t="s">
        <v>1488</v>
      </c>
      <c r="P35" s="4" t="e">
        <f>VLOOKUP(A35,المعطيات!$A$1:$J$3500,4,0)</f>
        <v>#N/A</v>
      </c>
      <c r="Q35" s="1" t="s">
        <v>1489</v>
      </c>
      <c r="R35" s="1" t="s">
        <v>1480</v>
      </c>
      <c r="S35" s="6" t="e">
        <f t="shared" si="2"/>
        <v>#N/A</v>
      </c>
    </row>
    <row r="36" spans="2:19" x14ac:dyDescent="0.25">
      <c r="B36" s="1" t="s">
        <v>1479</v>
      </c>
      <c r="C36" s="1" t="s">
        <v>1481</v>
      </c>
      <c r="D36" s="4" t="e">
        <f>VLOOKUP(A36,المعطيات!$A$1:$J$3500,5,0)</f>
        <v>#N/A</v>
      </c>
      <c r="E36" s="1" t="s">
        <v>1482</v>
      </c>
      <c r="F36" s="5">
        <f t="shared" si="0"/>
        <v>0</v>
      </c>
      <c r="G36" s="5" t="s">
        <v>1483</v>
      </c>
      <c r="H36" s="4" t="e">
        <f>VLOOKUP(A36,المعطيات!$A$1:$J$3500,3,0)</f>
        <v>#N/A</v>
      </c>
      <c r="I36" s="1" t="s">
        <v>1484</v>
      </c>
      <c r="J36" s="1" t="s">
        <v>1485</v>
      </c>
      <c r="K36" s="4" t="e">
        <f>VLOOKUP(A36,المعطيات!$A$1:$J$3500,6,0)</f>
        <v>#N/A</v>
      </c>
      <c r="L36" s="1" t="s">
        <v>1486</v>
      </c>
      <c r="M36" s="1" t="s">
        <v>1487</v>
      </c>
      <c r="N36" s="4" t="e">
        <f t="shared" si="1"/>
        <v>#N/A</v>
      </c>
      <c r="O36" s="1" t="s">
        <v>1488</v>
      </c>
      <c r="P36" s="4" t="e">
        <f>VLOOKUP(A36,المعطيات!$A$1:$J$3500,4,0)</f>
        <v>#N/A</v>
      </c>
      <c r="Q36" s="1" t="s">
        <v>1489</v>
      </c>
      <c r="R36" s="1" t="s">
        <v>1480</v>
      </c>
      <c r="S36" s="6" t="e">
        <f t="shared" si="2"/>
        <v>#N/A</v>
      </c>
    </row>
    <row r="37" spans="2:19" x14ac:dyDescent="0.25">
      <c r="B37" s="1" t="s">
        <v>1479</v>
      </c>
      <c r="C37" s="1" t="s">
        <v>1481</v>
      </c>
      <c r="D37" s="4" t="e">
        <f>VLOOKUP(A37,المعطيات!$A$1:$J$3500,5,0)</f>
        <v>#N/A</v>
      </c>
      <c r="E37" s="1" t="s">
        <v>1482</v>
      </c>
      <c r="F37" s="5">
        <f t="shared" si="0"/>
        <v>0</v>
      </c>
      <c r="G37" s="5" t="s">
        <v>1483</v>
      </c>
      <c r="H37" s="4" t="e">
        <f>VLOOKUP(A37,المعطيات!$A$1:$J$3500,3,0)</f>
        <v>#N/A</v>
      </c>
      <c r="I37" s="1" t="s">
        <v>1484</v>
      </c>
      <c r="J37" s="1" t="s">
        <v>1485</v>
      </c>
      <c r="K37" s="4" t="e">
        <f>VLOOKUP(A37,المعطيات!$A$1:$J$3500,6,0)</f>
        <v>#N/A</v>
      </c>
      <c r="L37" s="1" t="s">
        <v>1486</v>
      </c>
      <c r="M37" s="1" t="s">
        <v>1487</v>
      </c>
      <c r="N37" s="4" t="e">
        <f t="shared" si="1"/>
        <v>#N/A</v>
      </c>
      <c r="O37" s="1" t="s">
        <v>1488</v>
      </c>
      <c r="P37" s="4" t="e">
        <f>VLOOKUP(A37,المعطيات!$A$1:$J$3500,4,0)</f>
        <v>#N/A</v>
      </c>
      <c r="Q37" s="1" t="s">
        <v>1489</v>
      </c>
      <c r="R37" s="1" t="s">
        <v>1480</v>
      </c>
      <c r="S37" s="6" t="e">
        <f t="shared" si="2"/>
        <v>#N/A</v>
      </c>
    </row>
    <row r="38" spans="2:19" x14ac:dyDescent="0.25">
      <c r="B38" s="1" t="s">
        <v>1479</v>
      </c>
      <c r="C38" s="1" t="s">
        <v>1481</v>
      </c>
      <c r="D38" s="4" t="e">
        <f>VLOOKUP(A38,المعطيات!$A$1:$J$3500,5,0)</f>
        <v>#N/A</v>
      </c>
      <c r="E38" s="1" t="s">
        <v>1482</v>
      </c>
      <c r="F38" s="5">
        <f t="shared" si="0"/>
        <v>0</v>
      </c>
      <c r="G38" s="5" t="s">
        <v>1483</v>
      </c>
      <c r="H38" s="4" t="e">
        <f>VLOOKUP(A38,المعطيات!$A$1:$J$3500,3,0)</f>
        <v>#N/A</v>
      </c>
      <c r="I38" s="1" t="s">
        <v>1484</v>
      </c>
      <c r="J38" s="1" t="s">
        <v>1485</v>
      </c>
      <c r="K38" s="4" t="e">
        <f>VLOOKUP(A38,المعطيات!$A$1:$J$3500,6,0)</f>
        <v>#N/A</v>
      </c>
      <c r="L38" s="1" t="s">
        <v>1486</v>
      </c>
      <c r="M38" s="1" t="s">
        <v>1487</v>
      </c>
      <c r="N38" s="4" t="e">
        <f t="shared" si="1"/>
        <v>#N/A</v>
      </c>
      <c r="O38" s="1" t="s">
        <v>1488</v>
      </c>
      <c r="P38" s="4" t="e">
        <f>VLOOKUP(A38,المعطيات!$A$1:$J$3500,4,0)</f>
        <v>#N/A</v>
      </c>
      <c r="Q38" s="1" t="s">
        <v>1489</v>
      </c>
      <c r="R38" s="1" t="s">
        <v>1480</v>
      </c>
      <c r="S38" s="6" t="e">
        <f t="shared" si="2"/>
        <v>#N/A</v>
      </c>
    </row>
    <row r="39" spans="2:19" x14ac:dyDescent="0.25">
      <c r="B39" s="1" t="s">
        <v>1479</v>
      </c>
      <c r="C39" s="1" t="s">
        <v>1481</v>
      </c>
      <c r="D39" s="4" t="e">
        <f>VLOOKUP(A39,المعطيات!$A$1:$J$3500,5,0)</f>
        <v>#N/A</v>
      </c>
      <c r="E39" s="1" t="s">
        <v>1482</v>
      </c>
      <c r="F39" s="5">
        <f t="shared" si="0"/>
        <v>0</v>
      </c>
      <c r="G39" s="5" t="s">
        <v>1483</v>
      </c>
      <c r="H39" s="4" t="e">
        <f>VLOOKUP(A39,المعطيات!$A$1:$J$3500,3,0)</f>
        <v>#N/A</v>
      </c>
      <c r="I39" s="1" t="s">
        <v>1484</v>
      </c>
      <c r="J39" s="1" t="s">
        <v>1485</v>
      </c>
      <c r="K39" s="4" t="e">
        <f>VLOOKUP(A39,المعطيات!$A$1:$J$3500,6,0)</f>
        <v>#N/A</v>
      </c>
      <c r="L39" s="1" t="s">
        <v>1486</v>
      </c>
      <c r="M39" s="1" t="s">
        <v>1487</v>
      </c>
      <c r="N39" s="4" t="e">
        <f t="shared" si="1"/>
        <v>#N/A</v>
      </c>
      <c r="O39" s="1" t="s">
        <v>1488</v>
      </c>
      <c r="P39" s="4" t="e">
        <f>VLOOKUP(A39,المعطيات!$A$1:$J$3500,4,0)</f>
        <v>#N/A</v>
      </c>
      <c r="Q39" s="1" t="s">
        <v>1489</v>
      </c>
      <c r="R39" s="1" t="s">
        <v>1480</v>
      </c>
      <c r="S39" s="6" t="e">
        <f t="shared" si="2"/>
        <v>#N/A</v>
      </c>
    </row>
    <row r="40" spans="2:19" x14ac:dyDescent="0.25">
      <c r="B40" s="1" t="s">
        <v>1479</v>
      </c>
      <c r="C40" s="1" t="s">
        <v>1481</v>
      </c>
      <c r="D40" s="4" t="e">
        <f>VLOOKUP(A40,المعطيات!$A$1:$J$3500,5,0)</f>
        <v>#N/A</v>
      </c>
      <c r="E40" s="1" t="s">
        <v>1482</v>
      </c>
      <c r="F40" s="5">
        <f t="shared" si="0"/>
        <v>0</v>
      </c>
      <c r="G40" s="5" t="s">
        <v>1483</v>
      </c>
      <c r="H40" s="4" t="e">
        <f>VLOOKUP(A40,المعطيات!$A$1:$J$3500,3,0)</f>
        <v>#N/A</v>
      </c>
      <c r="I40" s="1" t="s">
        <v>1484</v>
      </c>
      <c r="J40" s="1" t="s">
        <v>1485</v>
      </c>
      <c r="K40" s="4" t="e">
        <f>VLOOKUP(A40,المعطيات!$A$1:$J$3500,6,0)</f>
        <v>#N/A</v>
      </c>
      <c r="L40" s="1" t="s">
        <v>1486</v>
      </c>
      <c r="M40" s="1" t="s">
        <v>1487</v>
      </c>
      <c r="N40" s="4" t="e">
        <f t="shared" si="1"/>
        <v>#N/A</v>
      </c>
      <c r="O40" s="1" t="s">
        <v>1488</v>
      </c>
      <c r="P40" s="4" t="e">
        <f>VLOOKUP(A40,المعطيات!$A$1:$J$3500,4,0)</f>
        <v>#N/A</v>
      </c>
      <c r="Q40" s="1" t="s">
        <v>1489</v>
      </c>
      <c r="R40" s="1" t="s">
        <v>1480</v>
      </c>
      <c r="S40" s="6" t="e">
        <f t="shared" si="2"/>
        <v>#N/A</v>
      </c>
    </row>
    <row r="41" spans="2:19" x14ac:dyDescent="0.25">
      <c r="B41" s="1" t="s">
        <v>1479</v>
      </c>
      <c r="C41" s="1" t="s">
        <v>1481</v>
      </c>
      <c r="D41" s="4" t="e">
        <f>VLOOKUP(A41,المعطيات!$A$1:$J$3500,5,0)</f>
        <v>#N/A</v>
      </c>
      <c r="E41" s="1" t="s">
        <v>1482</v>
      </c>
      <c r="F41" s="5">
        <f t="shared" si="0"/>
        <v>0</v>
      </c>
      <c r="G41" s="5" t="s">
        <v>1483</v>
      </c>
      <c r="H41" s="4" t="e">
        <f>VLOOKUP(A41,المعطيات!$A$1:$J$3500,3,0)</f>
        <v>#N/A</v>
      </c>
      <c r="I41" s="1" t="s">
        <v>1484</v>
      </c>
      <c r="J41" s="1" t="s">
        <v>1485</v>
      </c>
      <c r="K41" s="4" t="e">
        <f>VLOOKUP(A41,المعطيات!$A$1:$J$3500,6,0)</f>
        <v>#N/A</v>
      </c>
      <c r="L41" s="1" t="s">
        <v>1486</v>
      </c>
      <c r="M41" s="1" t="s">
        <v>1487</v>
      </c>
      <c r="N41" s="4" t="e">
        <f t="shared" si="1"/>
        <v>#N/A</v>
      </c>
      <c r="O41" s="1" t="s">
        <v>1488</v>
      </c>
      <c r="P41" s="4" t="e">
        <f>VLOOKUP(A41,المعطيات!$A$1:$J$3500,4,0)</f>
        <v>#N/A</v>
      </c>
      <c r="Q41" s="1" t="s">
        <v>1489</v>
      </c>
      <c r="R41" s="1" t="s">
        <v>1480</v>
      </c>
      <c r="S41" s="6" t="e">
        <f t="shared" si="2"/>
        <v>#N/A</v>
      </c>
    </row>
    <row r="42" spans="2:19" x14ac:dyDescent="0.25">
      <c r="B42" s="1" t="s">
        <v>1479</v>
      </c>
      <c r="C42" s="1" t="s">
        <v>1481</v>
      </c>
      <c r="D42" s="4" t="e">
        <f>VLOOKUP(A42,المعطيات!$A$1:$J$3500,5,0)</f>
        <v>#N/A</v>
      </c>
      <c r="E42" s="1" t="s">
        <v>1482</v>
      </c>
      <c r="F42" s="5">
        <f t="shared" si="0"/>
        <v>0</v>
      </c>
      <c r="G42" s="5" t="s">
        <v>1483</v>
      </c>
      <c r="H42" s="4" t="e">
        <f>VLOOKUP(A42,المعطيات!$A$1:$J$3500,3,0)</f>
        <v>#N/A</v>
      </c>
      <c r="I42" s="1" t="s">
        <v>1484</v>
      </c>
      <c r="J42" s="1" t="s">
        <v>1485</v>
      </c>
      <c r="K42" s="4" t="e">
        <f>VLOOKUP(A42,المعطيات!$A$1:$J$3500,6,0)</f>
        <v>#N/A</v>
      </c>
      <c r="L42" s="1" t="s">
        <v>1486</v>
      </c>
      <c r="M42" s="1" t="s">
        <v>1487</v>
      </c>
      <c r="N42" s="4" t="e">
        <f t="shared" si="1"/>
        <v>#N/A</v>
      </c>
      <c r="O42" s="1" t="s">
        <v>1488</v>
      </c>
      <c r="P42" s="4" t="e">
        <f>VLOOKUP(A42,المعطيات!$A$1:$J$3500,4,0)</f>
        <v>#N/A</v>
      </c>
      <c r="Q42" s="1" t="s">
        <v>1489</v>
      </c>
      <c r="R42" s="1" t="s">
        <v>1480</v>
      </c>
      <c r="S42" s="6" t="e">
        <f t="shared" si="2"/>
        <v>#N/A</v>
      </c>
    </row>
    <row r="43" spans="2:19" x14ac:dyDescent="0.25">
      <c r="B43" s="1" t="s">
        <v>1479</v>
      </c>
      <c r="C43" s="1" t="s">
        <v>1481</v>
      </c>
      <c r="D43" s="4" t="e">
        <f>VLOOKUP(A43,المعطيات!$A$1:$J$3500,5,0)</f>
        <v>#N/A</v>
      </c>
      <c r="E43" s="1" t="s">
        <v>1482</v>
      </c>
      <c r="F43" s="5">
        <f t="shared" si="0"/>
        <v>0</v>
      </c>
      <c r="G43" s="5" t="s">
        <v>1483</v>
      </c>
      <c r="H43" s="4" t="e">
        <f>VLOOKUP(A43,المعطيات!$A$1:$J$3500,3,0)</f>
        <v>#N/A</v>
      </c>
      <c r="I43" s="1" t="s">
        <v>1484</v>
      </c>
      <c r="J43" s="1" t="s">
        <v>1485</v>
      </c>
      <c r="K43" s="4" t="e">
        <f>VLOOKUP(A43,المعطيات!$A$1:$J$3500,6,0)</f>
        <v>#N/A</v>
      </c>
      <c r="L43" s="1" t="s">
        <v>1486</v>
      </c>
      <c r="M43" s="1" t="s">
        <v>1487</v>
      </c>
      <c r="N43" s="4" t="e">
        <f t="shared" si="1"/>
        <v>#N/A</v>
      </c>
      <c r="O43" s="1" t="s">
        <v>1488</v>
      </c>
      <c r="P43" s="4" t="e">
        <f>VLOOKUP(A43,المعطيات!$A$1:$J$3500,4,0)</f>
        <v>#N/A</v>
      </c>
      <c r="Q43" s="1" t="s">
        <v>1489</v>
      </c>
      <c r="R43" s="1" t="s">
        <v>1480</v>
      </c>
      <c r="S43" s="6" t="e">
        <f t="shared" si="2"/>
        <v>#N/A</v>
      </c>
    </row>
    <row r="44" spans="2:19" x14ac:dyDescent="0.25">
      <c r="B44" s="1" t="s">
        <v>1479</v>
      </c>
      <c r="C44" s="1" t="s">
        <v>1481</v>
      </c>
      <c r="D44" s="4" t="e">
        <f>VLOOKUP(A44,المعطيات!$A$1:$J$3500,5,0)</f>
        <v>#N/A</v>
      </c>
      <c r="E44" s="1" t="s">
        <v>1482</v>
      </c>
      <c r="F44" s="5">
        <f t="shared" si="0"/>
        <v>0</v>
      </c>
      <c r="G44" s="5" t="s">
        <v>1483</v>
      </c>
      <c r="H44" s="4" t="e">
        <f>VLOOKUP(A44,المعطيات!$A$1:$J$3500,3,0)</f>
        <v>#N/A</v>
      </c>
      <c r="I44" s="1" t="s">
        <v>1484</v>
      </c>
      <c r="J44" s="1" t="s">
        <v>1485</v>
      </c>
      <c r="K44" s="4" t="e">
        <f>VLOOKUP(A44,المعطيات!$A$1:$J$3500,6,0)</f>
        <v>#N/A</v>
      </c>
      <c r="L44" s="1" t="s">
        <v>1486</v>
      </c>
      <c r="M44" s="1" t="s">
        <v>1487</v>
      </c>
      <c r="N44" s="4" t="e">
        <f t="shared" si="1"/>
        <v>#N/A</v>
      </c>
      <c r="O44" s="1" t="s">
        <v>1488</v>
      </c>
      <c r="P44" s="4" t="e">
        <f>VLOOKUP(A44,المعطيات!$A$1:$J$3500,4,0)</f>
        <v>#N/A</v>
      </c>
      <c r="Q44" s="1" t="s">
        <v>1489</v>
      </c>
      <c r="R44" s="1" t="s">
        <v>1480</v>
      </c>
      <c r="S44" s="6" t="e">
        <f t="shared" si="2"/>
        <v>#N/A</v>
      </c>
    </row>
    <row r="45" spans="2:19" x14ac:dyDescent="0.25">
      <c r="B45" s="1" t="s">
        <v>1479</v>
      </c>
      <c r="C45" s="1" t="s">
        <v>1481</v>
      </c>
      <c r="D45" s="4" t="e">
        <f>VLOOKUP(A45,المعطيات!$A$1:$J$3500,5,0)</f>
        <v>#N/A</v>
      </c>
      <c r="E45" s="1" t="s">
        <v>1482</v>
      </c>
      <c r="F45" s="5">
        <f t="shared" si="0"/>
        <v>0</v>
      </c>
      <c r="G45" s="5" t="s">
        <v>1483</v>
      </c>
      <c r="H45" s="4" t="e">
        <f>VLOOKUP(A45,المعطيات!$A$1:$J$3500,3,0)</f>
        <v>#N/A</v>
      </c>
      <c r="I45" s="1" t="s">
        <v>1484</v>
      </c>
      <c r="J45" s="1" t="s">
        <v>1485</v>
      </c>
      <c r="K45" s="4" t="e">
        <f>VLOOKUP(A45,المعطيات!$A$1:$J$3500,6,0)</f>
        <v>#N/A</v>
      </c>
      <c r="L45" s="1" t="s">
        <v>1486</v>
      </c>
      <c r="M45" s="1" t="s">
        <v>1487</v>
      </c>
      <c r="N45" s="4" t="e">
        <f t="shared" si="1"/>
        <v>#N/A</v>
      </c>
      <c r="O45" s="1" t="s">
        <v>1488</v>
      </c>
      <c r="P45" s="4" t="e">
        <f>VLOOKUP(A45,المعطيات!$A$1:$J$3500,4,0)</f>
        <v>#N/A</v>
      </c>
      <c r="Q45" s="1" t="s">
        <v>1489</v>
      </c>
      <c r="R45" s="1" t="s">
        <v>1480</v>
      </c>
      <c r="S45" s="6" t="e">
        <f t="shared" si="2"/>
        <v>#N/A</v>
      </c>
    </row>
    <row r="46" spans="2:19" x14ac:dyDescent="0.25">
      <c r="B46" s="1" t="s">
        <v>1479</v>
      </c>
      <c r="C46" s="1" t="s">
        <v>1481</v>
      </c>
      <c r="D46" s="4" t="e">
        <f>VLOOKUP(A46,المعطيات!$A$1:$J$3500,5,0)</f>
        <v>#N/A</v>
      </c>
      <c r="E46" s="1" t="s">
        <v>1482</v>
      </c>
      <c r="F46" s="5">
        <f t="shared" si="0"/>
        <v>0</v>
      </c>
      <c r="G46" s="5" t="s">
        <v>1483</v>
      </c>
      <c r="H46" s="4" t="e">
        <f>VLOOKUP(A46,المعطيات!$A$1:$J$3500,3,0)</f>
        <v>#N/A</v>
      </c>
      <c r="I46" s="1" t="s">
        <v>1484</v>
      </c>
      <c r="J46" s="1" t="s">
        <v>1485</v>
      </c>
      <c r="K46" s="4" t="e">
        <f>VLOOKUP(A46,المعطيات!$A$1:$J$3500,6,0)</f>
        <v>#N/A</v>
      </c>
      <c r="L46" s="1" t="s">
        <v>1486</v>
      </c>
      <c r="M46" s="1" t="s">
        <v>1487</v>
      </c>
      <c r="N46" s="4" t="e">
        <f t="shared" si="1"/>
        <v>#N/A</v>
      </c>
      <c r="O46" s="1" t="s">
        <v>1488</v>
      </c>
      <c r="P46" s="4" t="e">
        <f>VLOOKUP(A46,المعطيات!$A$1:$J$3500,4,0)</f>
        <v>#N/A</v>
      </c>
      <c r="Q46" s="1" t="s">
        <v>1489</v>
      </c>
      <c r="R46" s="1" t="s">
        <v>1480</v>
      </c>
      <c r="S46" s="6" t="e">
        <f t="shared" si="2"/>
        <v>#N/A</v>
      </c>
    </row>
    <row r="47" spans="2:19" x14ac:dyDescent="0.25">
      <c r="B47" s="1" t="s">
        <v>1479</v>
      </c>
      <c r="C47" s="1" t="s">
        <v>1481</v>
      </c>
      <c r="D47" s="4" t="e">
        <f>VLOOKUP(A47,المعطيات!$A$1:$J$3500,5,0)</f>
        <v>#N/A</v>
      </c>
      <c r="E47" s="1" t="s">
        <v>1482</v>
      </c>
      <c r="F47" s="5">
        <f t="shared" si="0"/>
        <v>0</v>
      </c>
      <c r="G47" s="5" t="s">
        <v>1483</v>
      </c>
      <c r="H47" s="4" t="e">
        <f>VLOOKUP(A47,المعطيات!$A$1:$J$3500,3,0)</f>
        <v>#N/A</v>
      </c>
      <c r="I47" s="1" t="s">
        <v>1484</v>
      </c>
      <c r="J47" s="1" t="s">
        <v>1485</v>
      </c>
      <c r="K47" s="4" t="e">
        <f>VLOOKUP(A47,المعطيات!$A$1:$J$3500,6,0)</f>
        <v>#N/A</v>
      </c>
      <c r="L47" s="1" t="s">
        <v>1486</v>
      </c>
      <c r="M47" s="1" t="s">
        <v>1487</v>
      </c>
      <c r="N47" s="4" t="e">
        <f t="shared" si="1"/>
        <v>#N/A</v>
      </c>
      <c r="O47" s="1" t="s">
        <v>1488</v>
      </c>
      <c r="P47" s="4" t="e">
        <f>VLOOKUP(A47,المعطيات!$A$1:$J$3500,4,0)</f>
        <v>#N/A</v>
      </c>
      <c r="Q47" s="1" t="s">
        <v>1489</v>
      </c>
      <c r="R47" s="1" t="s">
        <v>1480</v>
      </c>
      <c r="S47" s="6" t="e">
        <f t="shared" si="2"/>
        <v>#N/A</v>
      </c>
    </row>
    <row r="48" spans="2:19" x14ac:dyDescent="0.25">
      <c r="B48" s="1" t="s">
        <v>1479</v>
      </c>
      <c r="C48" s="1" t="s">
        <v>1481</v>
      </c>
      <c r="D48" s="4" t="e">
        <f>VLOOKUP(A48,المعطيات!$A$1:$J$3500,5,0)</f>
        <v>#N/A</v>
      </c>
      <c r="E48" s="1" t="s">
        <v>1482</v>
      </c>
      <c r="F48" s="5">
        <f t="shared" si="0"/>
        <v>0</v>
      </c>
      <c r="G48" s="5" t="s">
        <v>1483</v>
      </c>
      <c r="H48" s="4" t="e">
        <f>VLOOKUP(A48,المعطيات!$A$1:$J$3500,3,0)</f>
        <v>#N/A</v>
      </c>
      <c r="I48" s="1" t="s">
        <v>1484</v>
      </c>
      <c r="J48" s="1" t="s">
        <v>1485</v>
      </c>
      <c r="K48" s="4" t="e">
        <f>VLOOKUP(A48,المعطيات!$A$1:$J$3500,6,0)</f>
        <v>#N/A</v>
      </c>
      <c r="L48" s="1" t="s">
        <v>1486</v>
      </c>
      <c r="M48" s="1" t="s">
        <v>1487</v>
      </c>
      <c r="N48" s="4" t="e">
        <f t="shared" si="1"/>
        <v>#N/A</v>
      </c>
      <c r="O48" s="1" t="s">
        <v>1488</v>
      </c>
      <c r="P48" s="4" t="e">
        <f>VLOOKUP(A48,المعطيات!$A$1:$J$3500,4,0)</f>
        <v>#N/A</v>
      </c>
      <c r="Q48" s="1" t="s">
        <v>1489</v>
      </c>
      <c r="R48" s="1" t="s">
        <v>1480</v>
      </c>
      <c r="S48" s="6" t="e">
        <f t="shared" si="2"/>
        <v>#N/A</v>
      </c>
    </row>
    <row r="49" spans="2:19" x14ac:dyDescent="0.25">
      <c r="B49" s="1" t="s">
        <v>1479</v>
      </c>
      <c r="C49" s="1" t="s">
        <v>1481</v>
      </c>
      <c r="D49" s="4" t="e">
        <f>VLOOKUP(A49,المعطيات!$A$1:$J$3500,5,0)</f>
        <v>#N/A</v>
      </c>
      <c r="E49" s="1" t="s">
        <v>1482</v>
      </c>
      <c r="F49" s="5">
        <f t="shared" si="0"/>
        <v>0</v>
      </c>
      <c r="G49" s="5" t="s">
        <v>1483</v>
      </c>
      <c r="H49" s="4" t="e">
        <f>VLOOKUP(A49,المعطيات!$A$1:$J$3500,3,0)</f>
        <v>#N/A</v>
      </c>
      <c r="I49" s="1" t="s">
        <v>1484</v>
      </c>
      <c r="J49" s="1" t="s">
        <v>1485</v>
      </c>
      <c r="K49" s="4" t="e">
        <f>VLOOKUP(A49,المعطيات!$A$1:$J$3500,6,0)</f>
        <v>#N/A</v>
      </c>
      <c r="L49" s="1" t="s">
        <v>1486</v>
      </c>
      <c r="M49" s="1" t="s">
        <v>1487</v>
      </c>
      <c r="N49" s="4" t="e">
        <f t="shared" si="1"/>
        <v>#N/A</v>
      </c>
      <c r="O49" s="1" t="s">
        <v>1488</v>
      </c>
      <c r="P49" s="4" t="e">
        <f>VLOOKUP(A49,المعطيات!$A$1:$J$3500,4,0)</f>
        <v>#N/A</v>
      </c>
      <c r="Q49" s="1" t="s">
        <v>1489</v>
      </c>
      <c r="R49" s="1" t="s">
        <v>1480</v>
      </c>
      <c r="S49" s="6" t="e">
        <f t="shared" si="2"/>
        <v>#N/A</v>
      </c>
    </row>
    <row r="50" spans="2:19" x14ac:dyDescent="0.25">
      <c r="B50" s="1" t="s">
        <v>1479</v>
      </c>
      <c r="C50" s="1" t="s">
        <v>1481</v>
      </c>
      <c r="D50" s="4" t="e">
        <f>VLOOKUP(A50,المعطيات!$A$1:$J$3500,5,0)</f>
        <v>#N/A</v>
      </c>
      <c r="E50" s="1" t="s">
        <v>1482</v>
      </c>
      <c r="F50" s="5">
        <f t="shared" si="0"/>
        <v>0</v>
      </c>
      <c r="G50" s="5" t="s">
        <v>1483</v>
      </c>
      <c r="H50" s="4" t="e">
        <f>VLOOKUP(A50,المعطيات!$A$1:$J$3500,3,0)</f>
        <v>#N/A</v>
      </c>
      <c r="I50" s="1" t="s">
        <v>1484</v>
      </c>
      <c r="J50" s="1" t="s">
        <v>1485</v>
      </c>
      <c r="K50" s="4" t="e">
        <f>VLOOKUP(A50,المعطيات!$A$1:$J$3500,6,0)</f>
        <v>#N/A</v>
      </c>
      <c r="L50" s="1" t="s">
        <v>1486</v>
      </c>
      <c r="M50" s="1" t="s">
        <v>1487</v>
      </c>
      <c r="N50" s="4" t="e">
        <f t="shared" si="1"/>
        <v>#N/A</v>
      </c>
      <c r="O50" s="1" t="s">
        <v>1488</v>
      </c>
      <c r="P50" s="4" t="e">
        <f>VLOOKUP(A50,المعطيات!$A$1:$J$3500,4,0)</f>
        <v>#N/A</v>
      </c>
      <c r="Q50" s="1" t="s">
        <v>1489</v>
      </c>
      <c r="R50" s="1" t="s">
        <v>1480</v>
      </c>
      <c r="S50" s="6" t="e">
        <f t="shared" si="2"/>
        <v>#N/A</v>
      </c>
    </row>
    <row r="51" spans="2:19" x14ac:dyDescent="0.25">
      <c r="B51" s="1" t="s">
        <v>1479</v>
      </c>
      <c r="C51" s="1" t="s">
        <v>1481</v>
      </c>
      <c r="D51" s="4" t="e">
        <f>VLOOKUP(A51,المعطيات!$A$1:$J$3500,5,0)</f>
        <v>#N/A</v>
      </c>
      <c r="E51" s="1" t="s">
        <v>1482</v>
      </c>
      <c r="F51" s="5">
        <f t="shared" si="0"/>
        <v>0</v>
      </c>
      <c r="G51" s="5" t="s">
        <v>1483</v>
      </c>
      <c r="H51" s="4" t="e">
        <f>VLOOKUP(A51,المعطيات!$A$1:$J$3500,3,0)</f>
        <v>#N/A</v>
      </c>
      <c r="I51" s="1" t="s">
        <v>1484</v>
      </c>
      <c r="J51" s="1" t="s">
        <v>1485</v>
      </c>
      <c r="K51" s="4" t="e">
        <f>VLOOKUP(A51,المعطيات!$A$1:$J$3500,6,0)</f>
        <v>#N/A</v>
      </c>
      <c r="L51" s="1" t="s">
        <v>1486</v>
      </c>
      <c r="M51" s="1" t="s">
        <v>1487</v>
      </c>
      <c r="N51" s="4" t="e">
        <f t="shared" si="1"/>
        <v>#N/A</v>
      </c>
      <c r="O51" s="1" t="s">
        <v>1488</v>
      </c>
      <c r="P51" s="4" t="e">
        <f>VLOOKUP(A51,المعطيات!$A$1:$J$3500,4,0)</f>
        <v>#N/A</v>
      </c>
      <c r="Q51" s="1" t="s">
        <v>1489</v>
      </c>
      <c r="R51" s="1" t="s">
        <v>1480</v>
      </c>
      <c r="S51" s="6" t="e">
        <f t="shared" si="2"/>
        <v>#N/A</v>
      </c>
    </row>
    <row r="52" spans="2:19" x14ac:dyDescent="0.25">
      <c r="B52" s="1" t="s">
        <v>1479</v>
      </c>
      <c r="C52" s="1" t="s">
        <v>1481</v>
      </c>
      <c r="D52" s="4" t="e">
        <f>VLOOKUP(A52,المعطيات!$A$1:$J$3500,5,0)</f>
        <v>#N/A</v>
      </c>
      <c r="E52" s="1" t="s">
        <v>1482</v>
      </c>
      <c r="F52" s="5">
        <f t="shared" si="0"/>
        <v>0</v>
      </c>
      <c r="G52" s="5" t="s">
        <v>1483</v>
      </c>
      <c r="H52" s="4" t="e">
        <f>VLOOKUP(A52,المعطيات!$A$1:$J$3500,3,0)</f>
        <v>#N/A</v>
      </c>
      <c r="I52" s="1" t="s">
        <v>1484</v>
      </c>
      <c r="J52" s="1" t="s">
        <v>1485</v>
      </c>
      <c r="K52" s="4" t="e">
        <f>VLOOKUP(A52,المعطيات!$A$1:$J$3500,6,0)</f>
        <v>#N/A</v>
      </c>
      <c r="L52" s="1" t="s">
        <v>1486</v>
      </c>
      <c r="M52" s="1" t="s">
        <v>1487</v>
      </c>
      <c r="N52" s="4" t="e">
        <f t="shared" si="1"/>
        <v>#N/A</v>
      </c>
      <c r="O52" s="1" t="s">
        <v>1488</v>
      </c>
      <c r="P52" s="4" t="e">
        <f>VLOOKUP(A52,المعطيات!$A$1:$J$3500,4,0)</f>
        <v>#N/A</v>
      </c>
      <c r="Q52" s="1" t="s">
        <v>1489</v>
      </c>
      <c r="R52" s="1" t="s">
        <v>1480</v>
      </c>
      <c r="S52" s="6" t="e">
        <f t="shared" si="2"/>
        <v>#N/A</v>
      </c>
    </row>
    <row r="53" spans="2:19" x14ac:dyDescent="0.25">
      <c r="B53" s="1" t="s">
        <v>1479</v>
      </c>
      <c r="C53" s="1" t="s">
        <v>1481</v>
      </c>
      <c r="D53" s="4" t="e">
        <f>VLOOKUP(A53,المعطيات!$A$1:$J$3500,5,0)</f>
        <v>#N/A</v>
      </c>
      <c r="E53" s="1" t="s">
        <v>1482</v>
      </c>
      <c r="F53" s="5">
        <f t="shared" si="0"/>
        <v>0</v>
      </c>
      <c r="G53" s="5" t="s">
        <v>1483</v>
      </c>
      <c r="H53" s="4" t="e">
        <f>VLOOKUP(A53,المعطيات!$A$1:$J$3500,3,0)</f>
        <v>#N/A</v>
      </c>
      <c r="I53" s="1" t="s">
        <v>1484</v>
      </c>
      <c r="J53" s="1" t="s">
        <v>1485</v>
      </c>
      <c r="K53" s="4" t="e">
        <f>VLOOKUP(A53,المعطيات!$A$1:$J$3500,6,0)</f>
        <v>#N/A</v>
      </c>
      <c r="L53" s="1" t="s">
        <v>1486</v>
      </c>
      <c r="M53" s="1" t="s">
        <v>1487</v>
      </c>
      <c r="N53" s="4" t="e">
        <f t="shared" si="1"/>
        <v>#N/A</v>
      </c>
      <c r="O53" s="1" t="s">
        <v>1488</v>
      </c>
      <c r="P53" s="4" t="e">
        <f>VLOOKUP(A53,المعطيات!$A$1:$J$3500,4,0)</f>
        <v>#N/A</v>
      </c>
      <c r="Q53" s="1" t="s">
        <v>1489</v>
      </c>
      <c r="R53" s="1" t="s">
        <v>1480</v>
      </c>
      <c r="S53" s="6" t="e">
        <f t="shared" si="2"/>
        <v>#N/A</v>
      </c>
    </row>
    <row r="54" spans="2:19" x14ac:dyDescent="0.25">
      <c r="B54" s="1" t="s">
        <v>1479</v>
      </c>
      <c r="C54" s="1" t="s">
        <v>1481</v>
      </c>
      <c r="D54" s="4" t="e">
        <f>VLOOKUP(A54,المعطيات!$A$1:$J$3500,5,0)</f>
        <v>#N/A</v>
      </c>
      <c r="E54" s="1" t="s">
        <v>1482</v>
      </c>
      <c r="F54" s="5">
        <f t="shared" si="0"/>
        <v>0</v>
      </c>
      <c r="G54" s="5" t="s">
        <v>1483</v>
      </c>
      <c r="H54" s="4" t="e">
        <f>VLOOKUP(A54,المعطيات!$A$1:$J$3500,3,0)</f>
        <v>#N/A</v>
      </c>
      <c r="I54" s="1" t="s">
        <v>1484</v>
      </c>
      <c r="J54" s="1" t="s">
        <v>1485</v>
      </c>
      <c r="K54" s="4" t="e">
        <f>VLOOKUP(A54,المعطيات!$A$1:$J$3500,6,0)</f>
        <v>#N/A</v>
      </c>
      <c r="L54" s="1" t="s">
        <v>1486</v>
      </c>
      <c r="M54" s="1" t="s">
        <v>1487</v>
      </c>
      <c r="N54" s="4" t="e">
        <f t="shared" si="1"/>
        <v>#N/A</v>
      </c>
      <c r="O54" s="1" t="s">
        <v>1488</v>
      </c>
      <c r="P54" s="4" t="e">
        <f>VLOOKUP(A54,المعطيات!$A$1:$J$3500,4,0)</f>
        <v>#N/A</v>
      </c>
      <c r="Q54" s="1" t="s">
        <v>1489</v>
      </c>
      <c r="R54" s="1" t="s">
        <v>1480</v>
      </c>
      <c r="S54" s="6" t="e">
        <f t="shared" si="2"/>
        <v>#N/A</v>
      </c>
    </row>
    <row r="55" spans="2:19" x14ac:dyDescent="0.25">
      <c r="B55" s="1" t="s">
        <v>1479</v>
      </c>
      <c r="C55" s="1" t="s">
        <v>1481</v>
      </c>
      <c r="D55" s="4" t="e">
        <f>VLOOKUP(A55,المعطيات!$A$1:$J$3500,5,0)</f>
        <v>#N/A</v>
      </c>
      <c r="E55" s="1" t="s">
        <v>1482</v>
      </c>
      <c r="F55" s="5">
        <f t="shared" si="0"/>
        <v>0</v>
      </c>
      <c r="G55" s="5" t="s">
        <v>1483</v>
      </c>
      <c r="H55" s="4" t="e">
        <f>VLOOKUP(A55,المعطيات!$A$1:$J$3500,3,0)</f>
        <v>#N/A</v>
      </c>
      <c r="I55" s="1" t="s">
        <v>1484</v>
      </c>
      <c r="J55" s="1" t="s">
        <v>1485</v>
      </c>
      <c r="K55" s="4" t="e">
        <f>VLOOKUP(A55,المعطيات!$A$1:$J$3500,6,0)</f>
        <v>#N/A</v>
      </c>
      <c r="L55" s="1" t="s">
        <v>1486</v>
      </c>
      <c r="M55" s="1" t="s">
        <v>1487</v>
      </c>
      <c r="N55" s="4" t="e">
        <f t="shared" si="1"/>
        <v>#N/A</v>
      </c>
      <c r="O55" s="1" t="s">
        <v>1488</v>
      </c>
      <c r="P55" s="4" t="e">
        <f>VLOOKUP(A55,المعطيات!$A$1:$J$3500,4,0)</f>
        <v>#N/A</v>
      </c>
      <c r="Q55" s="1" t="s">
        <v>1489</v>
      </c>
      <c r="R55" s="1" t="s">
        <v>1480</v>
      </c>
      <c r="S55" s="6" t="e">
        <f t="shared" si="2"/>
        <v>#N/A</v>
      </c>
    </row>
    <row r="56" spans="2:19" x14ac:dyDescent="0.25">
      <c r="B56" s="1" t="s">
        <v>1479</v>
      </c>
      <c r="C56" s="1" t="s">
        <v>1481</v>
      </c>
      <c r="D56" s="4" t="e">
        <f>VLOOKUP(A56,المعطيات!$A$1:$J$3500,5,0)</f>
        <v>#N/A</v>
      </c>
      <c r="E56" s="1" t="s">
        <v>1482</v>
      </c>
      <c r="F56" s="5">
        <f t="shared" si="0"/>
        <v>0</v>
      </c>
      <c r="G56" s="5" t="s">
        <v>1483</v>
      </c>
      <c r="H56" s="4" t="e">
        <f>VLOOKUP(A56,المعطيات!$A$1:$J$3500,3,0)</f>
        <v>#N/A</v>
      </c>
      <c r="I56" s="1" t="s">
        <v>1484</v>
      </c>
      <c r="J56" s="1" t="s">
        <v>1485</v>
      </c>
      <c r="K56" s="4" t="e">
        <f>VLOOKUP(A56,المعطيات!$A$1:$J$3500,6,0)</f>
        <v>#N/A</v>
      </c>
      <c r="L56" s="1" t="s">
        <v>1486</v>
      </c>
      <c r="M56" s="1" t="s">
        <v>1487</v>
      </c>
      <c r="N56" s="4" t="e">
        <f t="shared" si="1"/>
        <v>#N/A</v>
      </c>
      <c r="O56" s="1" t="s">
        <v>1488</v>
      </c>
      <c r="P56" s="4" t="e">
        <f>VLOOKUP(A56,المعطيات!$A$1:$J$3500,4,0)</f>
        <v>#N/A</v>
      </c>
      <c r="Q56" s="1" t="s">
        <v>1489</v>
      </c>
      <c r="R56" s="1" t="s">
        <v>1480</v>
      </c>
      <c r="S56" s="6" t="e">
        <f t="shared" si="2"/>
        <v>#N/A</v>
      </c>
    </row>
    <row r="57" spans="2:19" x14ac:dyDescent="0.25">
      <c r="B57" s="1" t="s">
        <v>1479</v>
      </c>
      <c r="C57" s="1" t="s">
        <v>1481</v>
      </c>
      <c r="D57" s="4" t="e">
        <f>VLOOKUP(A57,المعطيات!$A$1:$J$3500,5,0)</f>
        <v>#N/A</v>
      </c>
      <c r="E57" s="1" t="s">
        <v>1482</v>
      </c>
      <c r="F57" s="5">
        <f t="shared" si="0"/>
        <v>0</v>
      </c>
      <c r="G57" s="5" t="s">
        <v>1483</v>
      </c>
      <c r="H57" s="4" t="e">
        <f>VLOOKUP(A57,المعطيات!$A$1:$J$3500,3,0)</f>
        <v>#N/A</v>
      </c>
      <c r="I57" s="1" t="s">
        <v>1484</v>
      </c>
      <c r="J57" s="1" t="s">
        <v>1485</v>
      </c>
      <c r="K57" s="4" t="e">
        <f>VLOOKUP(A57,المعطيات!$A$1:$J$3500,6,0)</f>
        <v>#N/A</v>
      </c>
      <c r="L57" s="1" t="s">
        <v>1486</v>
      </c>
      <c r="M57" s="1" t="s">
        <v>1487</v>
      </c>
      <c r="N57" s="4" t="e">
        <f t="shared" si="1"/>
        <v>#N/A</v>
      </c>
      <c r="O57" s="1" t="s">
        <v>1488</v>
      </c>
      <c r="P57" s="4" t="e">
        <f>VLOOKUP(A57,المعطيات!$A$1:$J$3500,4,0)</f>
        <v>#N/A</v>
      </c>
      <c r="Q57" s="1" t="s">
        <v>1489</v>
      </c>
      <c r="R57" s="1" t="s">
        <v>1480</v>
      </c>
      <c r="S57" s="6" t="e">
        <f t="shared" si="2"/>
        <v>#N/A</v>
      </c>
    </row>
    <row r="58" spans="2:19" x14ac:dyDescent="0.25">
      <c r="B58" s="1" t="s">
        <v>1479</v>
      </c>
      <c r="C58" s="1" t="s">
        <v>1481</v>
      </c>
      <c r="D58" s="4" t="e">
        <f>VLOOKUP(A58,المعطيات!$A$1:$J$3500,5,0)</f>
        <v>#N/A</v>
      </c>
      <c r="E58" s="1" t="s">
        <v>1482</v>
      </c>
      <c r="F58" s="5">
        <f t="shared" si="0"/>
        <v>0</v>
      </c>
      <c r="G58" s="5" t="s">
        <v>1483</v>
      </c>
      <c r="H58" s="4" t="e">
        <f>VLOOKUP(A58,المعطيات!$A$1:$J$3500,3,0)</f>
        <v>#N/A</v>
      </c>
      <c r="I58" s="1" t="s">
        <v>1484</v>
      </c>
      <c r="J58" s="1" t="s">
        <v>1485</v>
      </c>
      <c r="K58" s="4" t="e">
        <f>VLOOKUP(A58,المعطيات!$A$1:$J$3500,6,0)</f>
        <v>#N/A</v>
      </c>
      <c r="L58" s="1" t="s">
        <v>1486</v>
      </c>
      <c r="M58" s="1" t="s">
        <v>1487</v>
      </c>
      <c r="N58" s="4" t="e">
        <f t="shared" si="1"/>
        <v>#N/A</v>
      </c>
      <c r="O58" s="1" t="s">
        <v>1488</v>
      </c>
      <c r="P58" s="4" t="e">
        <f>VLOOKUP(A58,المعطيات!$A$1:$J$3500,4,0)</f>
        <v>#N/A</v>
      </c>
      <c r="Q58" s="1" t="s">
        <v>1489</v>
      </c>
      <c r="R58" s="1" t="s">
        <v>1480</v>
      </c>
      <c r="S58" s="6" t="e">
        <f t="shared" si="2"/>
        <v>#N/A</v>
      </c>
    </row>
    <row r="59" spans="2:19" x14ac:dyDescent="0.25">
      <c r="B59" s="1" t="s">
        <v>1479</v>
      </c>
      <c r="C59" s="1" t="s">
        <v>1481</v>
      </c>
      <c r="D59" s="4" t="e">
        <f>VLOOKUP(A59,المعطيات!$A$1:$J$3500,5,0)</f>
        <v>#N/A</v>
      </c>
      <c r="E59" s="1" t="s">
        <v>1482</v>
      </c>
      <c r="F59" s="5">
        <f t="shared" si="0"/>
        <v>0</v>
      </c>
      <c r="G59" s="5" t="s">
        <v>1483</v>
      </c>
      <c r="H59" s="4" t="e">
        <f>VLOOKUP(A59,المعطيات!$A$1:$J$3500,3,0)</f>
        <v>#N/A</v>
      </c>
      <c r="I59" s="1" t="s">
        <v>1484</v>
      </c>
      <c r="J59" s="1" t="s">
        <v>1485</v>
      </c>
      <c r="K59" s="4" t="e">
        <f>VLOOKUP(A59,المعطيات!$A$1:$J$3500,6,0)</f>
        <v>#N/A</v>
      </c>
      <c r="L59" s="1" t="s">
        <v>1486</v>
      </c>
      <c r="M59" s="1" t="s">
        <v>1487</v>
      </c>
      <c r="N59" s="4" t="e">
        <f t="shared" si="1"/>
        <v>#N/A</v>
      </c>
      <c r="O59" s="1" t="s">
        <v>1488</v>
      </c>
      <c r="P59" s="4" t="e">
        <f>VLOOKUP(A59,المعطيات!$A$1:$J$3500,4,0)</f>
        <v>#N/A</v>
      </c>
      <c r="Q59" s="1" t="s">
        <v>1489</v>
      </c>
      <c r="R59" s="1" t="s">
        <v>1480</v>
      </c>
      <c r="S59" s="6" t="e">
        <f t="shared" si="2"/>
        <v>#N/A</v>
      </c>
    </row>
    <row r="60" spans="2:19" x14ac:dyDescent="0.25">
      <c r="B60" s="1" t="s">
        <v>1479</v>
      </c>
      <c r="C60" s="1" t="s">
        <v>1481</v>
      </c>
      <c r="D60" s="4" t="e">
        <f>VLOOKUP(A60,المعطيات!$A$1:$J$3500,5,0)</f>
        <v>#N/A</v>
      </c>
      <c r="E60" s="1" t="s">
        <v>1482</v>
      </c>
      <c r="F60" s="5">
        <f t="shared" si="0"/>
        <v>0</v>
      </c>
      <c r="G60" s="5" t="s">
        <v>1483</v>
      </c>
      <c r="H60" s="4" t="e">
        <f>VLOOKUP(A60,المعطيات!$A$1:$J$3500,3,0)</f>
        <v>#N/A</v>
      </c>
      <c r="I60" s="1" t="s">
        <v>1484</v>
      </c>
      <c r="J60" s="1" t="s">
        <v>1485</v>
      </c>
      <c r="K60" s="4" t="e">
        <f>VLOOKUP(A60,المعطيات!$A$1:$J$3500,6,0)</f>
        <v>#N/A</v>
      </c>
      <c r="L60" s="1" t="s">
        <v>1486</v>
      </c>
      <c r="M60" s="1" t="s">
        <v>1487</v>
      </c>
      <c r="N60" s="4" t="e">
        <f t="shared" si="1"/>
        <v>#N/A</v>
      </c>
      <c r="O60" s="1" t="s">
        <v>1488</v>
      </c>
      <c r="P60" s="4" t="e">
        <f>VLOOKUP(A60,المعطيات!$A$1:$J$3500,4,0)</f>
        <v>#N/A</v>
      </c>
      <c r="Q60" s="1" t="s">
        <v>1489</v>
      </c>
      <c r="R60" s="1" t="s">
        <v>1480</v>
      </c>
      <c r="S60" s="6" t="e">
        <f t="shared" si="2"/>
        <v>#N/A</v>
      </c>
    </row>
    <row r="61" spans="2:19" x14ac:dyDescent="0.25">
      <c r="B61" s="1" t="s">
        <v>1479</v>
      </c>
      <c r="C61" s="1" t="s">
        <v>1481</v>
      </c>
      <c r="D61" s="4" t="e">
        <f>VLOOKUP(A61,المعطيات!$A$1:$J$3500,5,0)</f>
        <v>#N/A</v>
      </c>
      <c r="E61" s="1" t="s">
        <v>1482</v>
      </c>
      <c r="F61" s="5">
        <f t="shared" si="0"/>
        <v>0</v>
      </c>
      <c r="G61" s="5" t="s">
        <v>1483</v>
      </c>
      <c r="H61" s="4" t="e">
        <f>VLOOKUP(A61,المعطيات!$A$1:$J$3500,3,0)</f>
        <v>#N/A</v>
      </c>
      <c r="I61" s="1" t="s">
        <v>1484</v>
      </c>
      <c r="J61" s="1" t="s">
        <v>1485</v>
      </c>
      <c r="K61" s="4" t="e">
        <f>VLOOKUP(A61,المعطيات!$A$1:$J$3500,6,0)</f>
        <v>#N/A</v>
      </c>
      <c r="L61" s="1" t="s">
        <v>1486</v>
      </c>
      <c r="M61" s="1" t="s">
        <v>1487</v>
      </c>
      <c r="N61" s="4" t="e">
        <f t="shared" si="1"/>
        <v>#N/A</v>
      </c>
      <c r="O61" s="1" t="s">
        <v>1488</v>
      </c>
      <c r="P61" s="4" t="e">
        <f>VLOOKUP(A61,المعطيات!$A$1:$J$3500,4,0)</f>
        <v>#N/A</v>
      </c>
      <c r="Q61" s="1" t="s">
        <v>1489</v>
      </c>
      <c r="R61" s="1" t="s">
        <v>1480</v>
      </c>
      <c r="S61" s="6" t="e">
        <f t="shared" si="2"/>
        <v>#N/A</v>
      </c>
    </row>
    <row r="62" spans="2:19" x14ac:dyDescent="0.25">
      <c r="B62" s="1" t="s">
        <v>1479</v>
      </c>
      <c r="C62" s="1" t="s">
        <v>1481</v>
      </c>
      <c r="D62" s="4" t="e">
        <f>VLOOKUP(A62,المعطيات!$A$1:$J$3500,5,0)</f>
        <v>#N/A</v>
      </c>
      <c r="E62" s="1" t="s">
        <v>1482</v>
      </c>
      <c r="F62" s="5">
        <f t="shared" si="0"/>
        <v>0</v>
      </c>
      <c r="G62" s="5" t="s">
        <v>1483</v>
      </c>
      <c r="H62" s="4" t="e">
        <f>VLOOKUP(A62,المعطيات!$A$1:$J$3500,3,0)</f>
        <v>#N/A</v>
      </c>
      <c r="I62" s="1" t="s">
        <v>1484</v>
      </c>
      <c r="J62" s="1" t="s">
        <v>1485</v>
      </c>
      <c r="K62" s="4" t="e">
        <f>VLOOKUP(A62,المعطيات!$A$1:$J$3500,6,0)</f>
        <v>#N/A</v>
      </c>
      <c r="L62" s="1" t="s">
        <v>1486</v>
      </c>
      <c r="M62" s="1" t="s">
        <v>1487</v>
      </c>
      <c r="N62" s="4" t="e">
        <f t="shared" si="1"/>
        <v>#N/A</v>
      </c>
      <c r="O62" s="1" t="s">
        <v>1488</v>
      </c>
      <c r="P62" s="4" t="e">
        <f>VLOOKUP(A62,المعطيات!$A$1:$J$3500,4,0)</f>
        <v>#N/A</v>
      </c>
      <c r="Q62" s="1" t="s">
        <v>1489</v>
      </c>
      <c r="R62" s="1" t="s">
        <v>1480</v>
      </c>
      <c r="S62" s="6" t="e">
        <f t="shared" si="2"/>
        <v>#N/A</v>
      </c>
    </row>
    <row r="63" spans="2:19" x14ac:dyDescent="0.25">
      <c r="B63" s="1" t="s">
        <v>1479</v>
      </c>
      <c r="C63" s="1" t="s">
        <v>1481</v>
      </c>
      <c r="D63" s="4" t="e">
        <f>VLOOKUP(A63,المعطيات!$A$1:$J$3500,5,0)</f>
        <v>#N/A</v>
      </c>
      <c r="E63" s="1" t="s">
        <v>1482</v>
      </c>
      <c r="F63" s="5">
        <f t="shared" si="0"/>
        <v>0</v>
      </c>
      <c r="G63" s="5" t="s">
        <v>1483</v>
      </c>
      <c r="H63" s="4" t="e">
        <f>VLOOKUP(A63,المعطيات!$A$1:$J$3500,3,0)</f>
        <v>#N/A</v>
      </c>
      <c r="I63" s="1" t="s">
        <v>1484</v>
      </c>
      <c r="J63" s="1" t="s">
        <v>1485</v>
      </c>
      <c r="K63" s="4" t="e">
        <f>VLOOKUP(A63,المعطيات!$A$1:$J$3500,6,0)</f>
        <v>#N/A</v>
      </c>
      <c r="L63" s="1" t="s">
        <v>1486</v>
      </c>
      <c r="M63" s="1" t="s">
        <v>1487</v>
      </c>
      <c r="N63" s="4" t="e">
        <f t="shared" si="1"/>
        <v>#N/A</v>
      </c>
      <c r="O63" s="1" t="s">
        <v>1488</v>
      </c>
      <c r="P63" s="4" t="e">
        <f>VLOOKUP(A63,المعطيات!$A$1:$J$3500,4,0)</f>
        <v>#N/A</v>
      </c>
      <c r="Q63" s="1" t="s">
        <v>1489</v>
      </c>
      <c r="R63" s="1" t="s">
        <v>1480</v>
      </c>
      <c r="S63" s="6" t="e">
        <f t="shared" si="2"/>
        <v>#N/A</v>
      </c>
    </row>
    <row r="64" spans="2:19" x14ac:dyDescent="0.25">
      <c r="B64" s="1" t="s">
        <v>1479</v>
      </c>
      <c r="C64" s="1" t="s">
        <v>1481</v>
      </c>
      <c r="D64" s="4" t="e">
        <f>VLOOKUP(A64,المعطيات!$A$1:$J$3500,5,0)</f>
        <v>#N/A</v>
      </c>
      <c r="E64" s="1" t="s">
        <v>1482</v>
      </c>
      <c r="F64" s="5">
        <f t="shared" si="0"/>
        <v>0</v>
      </c>
      <c r="G64" s="5" t="s">
        <v>1483</v>
      </c>
      <c r="H64" s="4" t="e">
        <f>VLOOKUP(A64,المعطيات!$A$1:$J$3500,3,0)</f>
        <v>#N/A</v>
      </c>
      <c r="I64" s="1" t="s">
        <v>1484</v>
      </c>
      <c r="J64" s="1" t="s">
        <v>1485</v>
      </c>
      <c r="K64" s="4" t="e">
        <f>VLOOKUP(A64,المعطيات!$A$1:$J$3500,6,0)</f>
        <v>#N/A</v>
      </c>
      <c r="L64" s="1" t="s">
        <v>1486</v>
      </c>
      <c r="M64" s="1" t="s">
        <v>1487</v>
      </c>
      <c r="N64" s="4" t="e">
        <f t="shared" si="1"/>
        <v>#N/A</v>
      </c>
      <c r="O64" s="1" t="s">
        <v>1488</v>
      </c>
      <c r="P64" s="4" t="e">
        <f>VLOOKUP(A64,المعطيات!$A$1:$J$3500,4,0)</f>
        <v>#N/A</v>
      </c>
      <c r="Q64" s="1" t="s">
        <v>1489</v>
      </c>
      <c r="R64" s="1" t="s">
        <v>1480</v>
      </c>
      <c r="S64" s="6" t="e">
        <f t="shared" si="2"/>
        <v>#N/A</v>
      </c>
    </row>
    <row r="65" spans="2:19" x14ac:dyDescent="0.25">
      <c r="B65" s="1" t="s">
        <v>1479</v>
      </c>
      <c r="C65" s="1" t="s">
        <v>1481</v>
      </c>
      <c r="D65" s="4" t="e">
        <f>VLOOKUP(A65,المعطيات!$A$1:$J$3500,5,0)</f>
        <v>#N/A</v>
      </c>
      <c r="E65" s="1" t="s">
        <v>1482</v>
      </c>
      <c r="F65" s="5">
        <f t="shared" si="0"/>
        <v>0</v>
      </c>
      <c r="G65" s="5" t="s">
        <v>1483</v>
      </c>
      <c r="H65" s="4" t="e">
        <f>VLOOKUP(A65,المعطيات!$A$1:$J$3500,3,0)</f>
        <v>#N/A</v>
      </c>
      <c r="I65" s="1" t="s">
        <v>1484</v>
      </c>
      <c r="J65" s="1" t="s">
        <v>1485</v>
      </c>
      <c r="K65" s="4" t="e">
        <f>VLOOKUP(A65,المعطيات!$A$1:$J$3500,6,0)</f>
        <v>#N/A</v>
      </c>
      <c r="L65" s="1" t="s">
        <v>1486</v>
      </c>
      <c r="M65" s="1" t="s">
        <v>1487</v>
      </c>
      <c r="N65" s="4" t="e">
        <f t="shared" si="1"/>
        <v>#N/A</v>
      </c>
      <c r="O65" s="1" t="s">
        <v>1488</v>
      </c>
      <c r="P65" s="4" t="e">
        <f>VLOOKUP(A65,المعطيات!$A$1:$J$3500,4,0)</f>
        <v>#N/A</v>
      </c>
      <c r="Q65" s="1" t="s">
        <v>1489</v>
      </c>
      <c r="R65" s="1" t="s">
        <v>1480</v>
      </c>
      <c r="S65" s="6" t="e">
        <f t="shared" si="2"/>
        <v>#N/A</v>
      </c>
    </row>
    <row r="66" spans="2:19" x14ac:dyDescent="0.25">
      <c r="B66" s="1" t="s">
        <v>1479</v>
      </c>
      <c r="C66" s="1" t="s">
        <v>1481</v>
      </c>
      <c r="D66" s="4" t="e">
        <f>VLOOKUP(A66,المعطيات!$A$1:$J$3500,5,0)</f>
        <v>#N/A</v>
      </c>
      <c r="E66" s="1" t="s">
        <v>1482</v>
      </c>
      <c r="F66" s="5">
        <f t="shared" ref="F66:F129" si="3">A66</f>
        <v>0</v>
      </c>
      <c r="G66" s="5" t="s">
        <v>1483</v>
      </c>
      <c r="H66" s="4" t="e">
        <f>VLOOKUP(A66,المعطيات!$A$1:$J$3500,3,0)</f>
        <v>#N/A</v>
      </c>
      <c r="I66" s="1" t="s">
        <v>1484</v>
      </c>
      <c r="J66" s="1" t="s">
        <v>1485</v>
      </c>
      <c r="K66" s="4" t="e">
        <f>VLOOKUP(A66,المعطيات!$A$1:$J$3500,6,0)</f>
        <v>#N/A</v>
      </c>
      <c r="L66" s="1" t="s">
        <v>1486</v>
      </c>
      <c r="M66" s="1" t="s">
        <v>1487</v>
      </c>
      <c r="N66" s="4" t="e">
        <f t="shared" ref="N66:N129" si="4">D66</f>
        <v>#N/A</v>
      </c>
      <c r="O66" s="1" t="s">
        <v>1488</v>
      </c>
      <c r="P66" s="4" t="e">
        <f>VLOOKUP(A66,المعطيات!$A$1:$J$3500,4,0)</f>
        <v>#N/A</v>
      </c>
      <c r="Q66" s="1" t="s">
        <v>1489</v>
      </c>
      <c r="R66" s="1" t="s">
        <v>1480</v>
      </c>
      <c r="S66" s="6" t="e">
        <f t="shared" ref="S66:S129" si="5">B66&amp;""&amp;C66&amp;""&amp;D66&amp;""&amp;E66&amp;""&amp;F66&amp;""&amp;G66&amp;""&amp;H66&amp;""&amp;I66&amp;""&amp;J66&amp;""&amp;K66&amp;""&amp;L66&amp;""&amp;M66&amp;""&amp;N66&amp;""&amp;O66&amp;""&amp;P66&amp;""&amp;Q66&amp;""&amp;R66</f>
        <v>#N/A</v>
      </c>
    </row>
    <row r="67" spans="2:19" x14ac:dyDescent="0.25">
      <c r="B67" s="1" t="s">
        <v>1479</v>
      </c>
      <c r="C67" s="1" t="s">
        <v>1481</v>
      </c>
      <c r="D67" s="4" t="e">
        <f>VLOOKUP(A67,المعطيات!$A$1:$J$3500,5,0)</f>
        <v>#N/A</v>
      </c>
      <c r="E67" s="1" t="s">
        <v>1482</v>
      </c>
      <c r="F67" s="5">
        <f t="shared" si="3"/>
        <v>0</v>
      </c>
      <c r="G67" s="5" t="s">
        <v>1483</v>
      </c>
      <c r="H67" s="4" t="e">
        <f>VLOOKUP(A67,المعطيات!$A$1:$J$3500,3,0)</f>
        <v>#N/A</v>
      </c>
      <c r="I67" s="1" t="s">
        <v>1484</v>
      </c>
      <c r="J67" s="1" t="s">
        <v>1485</v>
      </c>
      <c r="K67" s="4" t="e">
        <f>VLOOKUP(A67,المعطيات!$A$1:$J$3500,6,0)</f>
        <v>#N/A</v>
      </c>
      <c r="L67" s="1" t="s">
        <v>1486</v>
      </c>
      <c r="M67" s="1" t="s">
        <v>1487</v>
      </c>
      <c r="N67" s="4" t="e">
        <f t="shared" si="4"/>
        <v>#N/A</v>
      </c>
      <c r="O67" s="1" t="s">
        <v>1488</v>
      </c>
      <c r="P67" s="4" t="e">
        <f>VLOOKUP(A67,المعطيات!$A$1:$J$3500,4,0)</f>
        <v>#N/A</v>
      </c>
      <c r="Q67" s="1" t="s">
        <v>1489</v>
      </c>
      <c r="R67" s="1" t="s">
        <v>1480</v>
      </c>
      <c r="S67" s="6" t="e">
        <f t="shared" si="5"/>
        <v>#N/A</v>
      </c>
    </row>
    <row r="68" spans="2:19" x14ac:dyDescent="0.25">
      <c r="B68" s="1" t="s">
        <v>1479</v>
      </c>
      <c r="C68" s="1" t="s">
        <v>1481</v>
      </c>
      <c r="D68" s="4" t="e">
        <f>VLOOKUP(A68,المعطيات!$A$1:$J$3500,5,0)</f>
        <v>#N/A</v>
      </c>
      <c r="E68" s="1" t="s">
        <v>1482</v>
      </c>
      <c r="F68" s="5">
        <f t="shared" si="3"/>
        <v>0</v>
      </c>
      <c r="G68" s="5" t="s">
        <v>1483</v>
      </c>
      <c r="H68" s="4" t="e">
        <f>VLOOKUP(A68,المعطيات!$A$1:$J$3500,3,0)</f>
        <v>#N/A</v>
      </c>
      <c r="I68" s="1" t="s">
        <v>1484</v>
      </c>
      <c r="J68" s="1" t="s">
        <v>1485</v>
      </c>
      <c r="K68" s="4" t="e">
        <f>VLOOKUP(A68,المعطيات!$A$1:$J$3500,6,0)</f>
        <v>#N/A</v>
      </c>
      <c r="L68" s="1" t="s">
        <v>1486</v>
      </c>
      <c r="M68" s="1" t="s">
        <v>1487</v>
      </c>
      <c r="N68" s="4" t="e">
        <f t="shared" si="4"/>
        <v>#N/A</v>
      </c>
      <c r="O68" s="1" t="s">
        <v>1488</v>
      </c>
      <c r="P68" s="4" t="e">
        <f>VLOOKUP(A68,المعطيات!$A$1:$J$3500,4,0)</f>
        <v>#N/A</v>
      </c>
      <c r="Q68" s="1" t="s">
        <v>1489</v>
      </c>
      <c r="R68" s="1" t="s">
        <v>1480</v>
      </c>
      <c r="S68" s="6" t="e">
        <f t="shared" si="5"/>
        <v>#N/A</v>
      </c>
    </row>
    <row r="69" spans="2:19" x14ac:dyDescent="0.25">
      <c r="B69" s="1" t="s">
        <v>1479</v>
      </c>
      <c r="C69" s="1" t="s">
        <v>1481</v>
      </c>
      <c r="D69" s="4" t="e">
        <f>VLOOKUP(A69,المعطيات!$A$1:$J$3500,5,0)</f>
        <v>#N/A</v>
      </c>
      <c r="E69" s="1" t="s">
        <v>1482</v>
      </c>
      <c r="F69" s="5">
        <f t="shared" si="3"/>
        <v>0</v>
      </c>
      <c r="G69" s="5" t="s">
        <v>1483</v>
      </c>
      <c r="H69" s="4" t="e">
        <f>VLOOKUP(A69,المعطيات!$A$1:$J$3500,3,0)</f>
        <v>#N/A</v>
      </c>
      <c r="I69" s="1" t="s">
        <v>1484</v>
      </c>
      <c r="J69" s="1" t="s">
        <v>1485</v>
      </c>
      <c r="K69" s="4" t="e">
        <f>VLOOKUP(A69,المعطيات!$A$1:$J$3500,6,0)</f>
        <v>#N/A</v>
      </c>
      <c r="L69" s="1" t="s">
        <v>1486</v>
      </c>
      <c r="M69" s="1" t="s">
        <v>1487</v>
      </c>
      <c r="N69" s="4" t="e">
        <f t="shared" si="4"/>
        <v>#N/A</v>
      </c>
      <c r="O69" s="1" t="s">
        <v>1488</v>
      </c>
      <c r="P69" s="4" t="e">
        <f>VLOOKUP(A69,المعطيات!$A$1:$J$3500,4,0)</f>
        <v>#N/A</v>
      </c>
      <c r="Q69" s="1" t="s">
        <v>1489</v>
      </c>
      <c r="R69" s="1" t="s">
        <v>1480</v>
      </c>
      <c r="S69" s="6" t="e">
        <f t="shared" si="5"/>
        <v>#N/A</v>
      </c>
    </row>
    <row r="70" spans="2:19" x14ac:dyDescent="0.25">
      <c r="B70" s="1" t="s">
        <v>1479</v>
      </c>
      <c r="C70" s="1" t="s">
        <v>1481</v>
      </c>
      <c r="D70" s="4" t="e">
        <f>VLOOKUP(A70,المعطيات!$A$1:$J$3500,5,0)</f>
        <v>#N/A</v>
      </c>
      <c r="E70" s="1" t="s">
        <v>1482</v>
      </c>
      <c r="F70" s="5">
        <f t="shared" si="3"/>
        <v>0</v>
      </c>
      <c r="G70" s="5" t="s">
        <v>1483</v>
      </c>
      <c r="H70" s="4" t="e">
        <f>VLOOKUP(A70,المعطيات!$A$1:$J$3500,3,0)</f>
        <v>#N/A</v>
      </c>
      <c r="I70" s="1" t="s">
        <v>1484</v>
      </c>
      <c r="J70" s="1" t="s">
        <v>1485</v>
      </c>
      <c r="K70" s="4" t="e">
        <f>VLOOKUP(A70,المعطيات!$A$1:$J$3500,6,0)</f>
        <v>#N/A</v>
      </c>
      <c r="L70" s="1" t="s">
        <v>1486</v>
      </c>
      <c r="M70" s="1" t="s">
        <v>1487</v>
      </c>
      <c r="N70" s="4" t="e">
        <f t="shared" si="4"/>
        <v>#N/A</v>
      </c>
      <c r="O70" s="1" t="s">
        <v>1488</v>
      </c>
      <c r="P70" s="4" t="e">
        <f>VLOOKUP(A70,المعطيات!$A$1:$J$3500,4,0)</f>
        <v>#N/A</v>
      </c>
      <c r="Q70" s="1" t="s">
        <v>1489</v>
      </c>
      <c r="R70" s="1" t="s">
        <v>1480</v>
      </c>
      <c r="S70" s="6" t="e">
        <f t="shared" si="5"/>
        <v>#N/A</v>
      </c>
    </row>
    <row r="71" spans="2:19" x14ac:dyDescent="0.25">
      <c r="B71" s="1" t="s">
        <v>1479</v>
      </c>
      <c r="C71" s="1" t="s">
        <v>1481</v>
      </c>
      <c r="D71" s="4" t="e">
        <f>VLOOKUP(A71,المعطيات!$A$1:$J$3500,5,0)</f>
        <v>#N/A</v>
      </c>
      <c r="E71" s="1" t="s">
        <v>1482</v>
      </c>
      <c r="F71" s="5">
        <f t="shared" si="3"/>
        <v>0</v>
      </c>
      <c r="G71" s="5" t="s">
        <v>1483</v>
      </c>
      <c r="H71" s="4" t="e">
        <f>VLOOKUP(A71,المعطيات!$A$1:$J$3500,3,0)</f>
        <v>#N/A</v>
      </c>
      <c r="I71" s="1" t="s">
        <v>1484</v>
      </c>
      <c r="J71" s="1" t="s">
        <v>1485</v>
      </c>
      <c r="K71" s="4" t="e">
        <f>VLOOKUP(A71,المعطيات!$A$1:$J$3500,6,0)</f>
        <v>#N/A</v>
      </c>
      <c r="L71" s="1" t="s">
        <v>1486</v>
      </c>
      <c r="M71" s="1" t="s">
        <v>1487</v>
      </c>
      <c r="N71" s="4" t="e">
        <f t="shared" si="4"/>
        <v>#N/A</v>
      </c>
      <c r="O71" s="1" t="s">
        <v>1488</v>
      </c>
      <c r="P71" s="4" t="e">
        <f>VLOOKUP(A71,المعطيات!$A$1:$J$3500,4,0)</f>
        <v>#N/A</v>
      </c>
      <c r="Q71" s="1" t="s">
        <v>1489</v>
      </c>
      <c r="R71" s="1" t="s">
        <v>1480</v>
      </c>
      <c r="S71" s="6" t="e">
        <f t="shared" si="5"/>
        <v>#N/A</v>
      </c>
    </row>
    <row r="72" spans="2:19" x14ac:dyDescent="0.25">
      <c r="B72" s="1" t="s">
        <v>1479</v>
      </c>
      <c r="C72" s="1" t="s">
        <v>1481</v>
      </c>
      <c r="D72" s="4" t="e">
        <f>VLOOKUP(A72,المعطيات!$A$1:$J$3500,5,0)</f>
        <v>#N/A</v>
      </c>
      <c r="E72" s="1" t="s">
        <v>1482</v>
      </c>
      <c r="F72" s="5">
        <f t="shared" si="3"/>
        <v>0</v>
      </c>
      <c r="G72" s="5" t="s">
        <v>1483</v>
      </c>
      <c r="H72" s="4" t="e">
        <f>VLOOKUP(A72,المعطيات!$A$1:$J$3500,3,0)</f>
        <v>#N/A</v>
      </c>
      <c r="I72" s="1" t="s">
        <v>1484</v>
      </c>
      <c r="J72" s="1" t="s">
        <v>1485</v>
      </c>
      <c r="K72" s="4" t="e">
        <f>VLOOKUP(A72,المعطيات!$A$1:$J$3500,6,0)</f>
        <v>#N/A</v>
      </c>
      <c r="L72" s="1" t="s">
        <v>1486</v>
      </c>
      <c r="M72" s="1" t="s">
        <v>1487</v>
      </c>
      <c r="N72" s="4" t="e">
        <f t="shared" si="4"/>
        <v>#N/A</v>
      </c>
      <c r="O72" s="1" t="s">
        <v>1488</v>
      </c>
      <c r="P72" s="4" t="e">
        <f>VLOOKUP(A72,المعطيات!$A$1:$J$3500,4,0)</f>
        <v>#N/A</v>
      </c>
      <c r="Q72" s="1" t="s">
        <v>1489</v>
      </c>
      <c r="R72" s="1" t="s">
        <v>1480</v>
      </c>
      <c r="S72" s="6" t="e">
        <f t="shared" si="5"/>
        <v>#N/A</v>
      </c>
    </row>
    <row r="73" spans="2:19" x14ac:dyDescent="0.25">
      <c r="B73" s="1" t="s">
        <v>1479</v>
      </c>
      <c r="C73" s="1" t="s">
        <v>1481</v>
      </c>
      <c r="D73" s="4" t="e">
        <f>VLOOKUP(A73,المعطيات!$A$1:$J$3500,5,0)</f>
        <v>#N/A</v>
      </c>
      <c r="E73" s="1" t="s">
        <v>1482</v>
      </c>
      <c r="F73" s="5">
        <f t="shared" si="3"/>
        <v>0</v>
      </c>
      <c r="G73" s="5" t="s">
        <v>1483</v>
      </c>
      <c r="H73" s="4" t="e">
        <f>VLOOKUP(A73,المعطيات!$A$1:$J$3500,3,0)</f>
        <v>#N/A</v>
      </c>
      <c r="I73" s="1" t="s">
        <v>1484</v>
      </c>
      <c r="J73" s="1" t="s">
        <v>1485</v>
      </c>
      <c r="K73" s="4" t="e">
        <f>VLOOKUP(A73,المعطيات!$A$1:$J$3500,6,0)</f>
        <v>#N/A</v>
      </c>
      <c r="L73" s="1" t="s">
        <v>1486</v>
      </c>
      <c r="M73" s="1" t="s">
        <v>1487</v>
      </c>
      <c r="N73" s="4" t="e">
        <f t="shared" si="4"/>
        <v>#N/A</v>
      </c>
      <c r="O73" s="1" t="s">
        <v>1488</v>
      </c>
      <c r="P73" s="4" t="e">
        <f>VLOOKUP(A73,المعطيات!$A$1:$J$3500,4,0)</f>
        <v>#N/A</v>
      </c>
      <c r="Q73" s="1" t="s">
        <v>1489</v>
      </c>
      <c r="R73" s="1" t="s">
        <v>1480</v>
      </c>
      <c r="S73" s="6" t="e">
        <f t="shared" si="5"/>
        <v>#N/A</v>
      </c>
    </row>
    <row r="74" spans="2:19" x14ac:dyDescent="0.25">
      <c r="B74" s="1" t="s">
        <v>1479</v>
      </c>
      <c r="C74" s="1" t="s">
        <v>1481</v>
      </c>
      <c r="D74" s="4" t="e">
        <f>VLOOKUP(A74,المعطيات!$A$1:$J$3500,5,0)</f>
        <v>#N/A</v>
      </c>
      <c r="E74" s="1" t="s">
        <v>1482</v>
      </c>
      <c r="F74" s="5">
        <f t="shared" si="3"/>
        <v>0</v>
      </c>
      <c r="G74" s="5" t="s">
        <v>1483</v>
      </c>
      <c r="H74" s="4" t="e">
        <f>VLOOKUP(A74,المعطيات!$A$1:$J$3500,3,0)</f>
        <v>#N/A</v>
      </c>
      <c r="I74" s="1" t="s">
        <v>1484</v>
      </c>
      <c r="J74" s="1" t="s">
        <v>1485</v>
      </c>
      <c r="K74" s="4" t="e">
        <f>VLOOKUP(A74,المعطيات!$A$1:$J$3500,6,0)</f>
        <v>#N/A</v>
      </c>
      <c r="L74" s="1" t="s">
        <v>1486</v>
      </c>
      <c r="M74" s="1" t="s">
        <v>1487</v>
      </c>
      <c r="N74" s="4" t="e">
        <f t="shared" si="4"/>
        <v>#N/A</v>
      </c>
      <c r="O74" s="1" t="s">
        <v>1488</v>
      </c>
      <c r="P74" s="4" t="e">
        <f>VLOOKUP(A74,المعطيات!$A$1:$J$3500,4,0)</f>
        <v>#N/A</v>
      </c>
      <c r="Q74" s="1" t="s">
        <v>1489</v>
      </c>
      <c r="R74" s="1" t="s">
        <v>1480</v>
      </c>
      <c r="S74" s="6" t="e">
        <f t="shared" si="5"/>
        <v>#N/A</v>
      </c>
    </row>
    <row r="75" spans="2:19" x14ac:dyDescent="0.25">
      <c r="B75" s="1" t="s">
        <v>1479</v>
      </c>
      <c r="C75" s="1" t="s">
        <v>1481</v>
      </c>
      <c r="D75" s="4" t="e">
        <f>VLOOKUP(A75,المعطيات!$A$1:$J$3500,5,0)</f>
        <v>#N/A</v>
      </c>
      <c r="E75" s="1" t="s">
        <v>1482</v>
      </c>
      <c r="F75" s="5">
        <f t="shared" si="3"/>
        <v>0</v>
      </c>
      <c r="G75" s="5" t="s">
        <v>1483</v>
      </c>
      <c r="H75" s="4" t="e">
        <f>VLOOKUP(A75,المعطيات!$A$1:$J$3500,3,0)</f>
        <v>#N/A</v>
      </c>
      <c r="I75" s="1" t="s">
        <v>1484</v>
      </c>
      <c r="J75" s="1" t="s">
        <v>1485</v>
      </c>
      <c r="K75" s="4" t="e">
        <f>VLOOKUP(A75,المعطيات!$A$1:$J$3500,6,0)</f>
        <v>#N/A</v>
      </c>
      <c r="L75" s="1" t="s">
        <v>1486</v>
      </c>
      <c r="M75" s="1" t="s">
        <v>1487</v>
      </c>
      <c r="N75" s="4" t="e">
        <f t="shared" si="4"/>
        <v>#N/A</v>
      </c>
      <c r="O75" s="1" t="s">
        <v>1488</v>
      </c>
      <c r="P75" s="4" t="e">
        <f>VLOOKUP(A75,المعطيات!$A$1:$J$3500,4,0)</f>
        <v>#N/A</v>
      </c>
      <c r="Q75" s="1" t="s">
        <v>1489</v>
      </c>
      <c r="R75" s="1" t="s">
        <v>1480</v>
      </c>
      <c r="S75" s="6" t="e">
        <f t="shared" si="5"/>
        <v>#N/A</v>
      </c>
    </row>
    <row r="76" spans="2:19" x14ac:dyDescent="0.25">
      <c r="B76" s="1" t="s">
        <v>1479</v>
      </c>
      <c r="C76" s="1" t="s">
        <v>1481</v>
      </c>
      <c r="D76" s="4" t="e">
        <f>VLOOKUP(A76,المعطيات!$A$1:$J$3500,5,0)</f>
        <v>#N/A</v>
      </c>
      <c r="E76" s="1" t="s">
        <v>1482</v>
      </c>
      <c r="F76" s="5">
        <f t="shared" si="3"/>
        <v>0</v>
      </c>
      <c r="G76" s="5" t="s">
        <v>1483</v>
      </c>
      <c r="H76" s="4" t="e">
        <f>VLOOKUP(A76,المعطيات!$A$1:$J$3500,3,0)</f>
        <v>#N/A</v>
      </c>
      <c r="I76" s="1" t="s">
        <v>1484</v>
      </c>
      <c r="J76" s="1" t="s">
        <v>1485</v>
      </c>
      <c r="K76" s="4" t="e">
        <f>VLOOKUP(A76,المعطيات!$A$1:$J$3500,6,0)</f>
        <v>#N/A</v>
      </c>
      <c r="L76" s="1" t="s">
        <v>1486</v>
      </c>
      <c r="M76" s="1" t="s">
        <v>1487</v>
      </c>
      <c r="N76" s="4" t="e">
        <f t="shared" si="4"/>
        <v>#N/A</v>
      </c>
      <c r="O76" s="1" t="s">
        <v>1488</v>
      </c>
      <c r="P76" s="4" t="e">
        <f>VLOOKUP(A76,المعطيات!$A$1:$J$3500,4,0)</f>
        <v>#N/A</v>
      </c>
      <c r="Q76" s="1" t="s">
        <v>1489</v>
      </c>
      <c r="R76" s="1" t="s">
        <v>1480</v>
      </c>
      <c r="S76" s="6" t="e">
        <f t="shared" si="5"/>
        <v>#N/A</v>
      </c>
    </row>
    <row r="77" spans="2:19" x14ac:dyDescent="0.25">
      <c r="B77" s="1" t="s">
        <v>1479</v>
      </c>
      <c r="C77" s="1" t="s">
        <v>1481</v>
      </c>
      <c r="D77" s="4" t="e">
        <f>VLOOKUP(A77,المعطيات!$A$1:$J$3500,5,0)</f>
        <v>#N/A</v>
      </c>
      <c r="E77" s="1" t="s">
        <v>1482</v>
      </c>
      <c r="F77" s="5">
        <f t="shared" si="3"/>
        <v>0</v>
      </c>
      <c r="G77" s="5" t="s">
        <v>1483</v>
      </c>
      <c r="H77" s="4" t="e">
        <f>VLOOKUP(A77,المعطيات!$A$1:$J$3500,3,0)</f>
        <v>#N/A</v>
      </c>
      <c r="I77" s="1" t="s">
        <v>1484</v>
      </c>
      <c r="J77" s="1" t="s">
        <v>1485</v>
      </c>
      <c r="K77" s="4" t="e">
        <f>VLOOKUP(A77,المعطيات!$A$1:$J$3500,6,0)</f>
        <v>#N/A</v>
      </c>
      <c r="L77" s="1" t="s">
        <v>1486</v>
      </c>
      <c r="M77" s="1" t="s">
        <v>1487</v>
      </c>
      <c r="N77" s="4" t="e">
        <f t="shared" si="4"/>
        <v>#N/A</v>
      </c>
      <c r="O77" s="1" t="s">
        <v>1488</v>
      </c>
      <c r="P77" s="4" t="e">
        <f>VLOOKUP(A77,المعطيات!$A$1:$J$3500,4,0)</f>
        <v>#N/A</v>
      </c>
      <c r="Q77" s="1" t="s">
        <v>1489</v>
      </c>
      <c r="R77" s="1" t="s">
        <v>1480</v>
      </c>
      <c r="S77" s="6" t="e">
        <f t="shared" si="5"/>
        <v>#N/A</v>
      </c>
    </row>
    <row r="78" spans="2:19" x14ac:dyDescent="0.25">
      <c r="B78" s="1" t="s">
        <v>1479</v>
      </c>
      <c r="C78" s="1" t="s">
        <v>1481</v>
      </c>
      <c r="D78" s="4" t="e">
        <f>VLOOKUP(A78,المعطيات!$A$1:$J$3500,5,0)</f>
        <v>#N/A</v>
      </c>
      <c r="E78" s="1" t="s">
        <v>1482</v>
      </c>
      <c r="F78" s="5">
        <f t="shared" si="3"/>
        <v>0</v>
      </c>
      <c r="G78" s="5" t="s">
        <v>1483</v>
      </c>
      <c r="H78" s="4" t="e">
        <f>VLOOKUP(A78,المعطيات!$A$1:$J$3500,3,0)</f>
        <v>#N/A</v>
      </c>
      <c r="I78" s="1" t="s">
        <v>1484</v>
      </c>
      <c r="J78" s="1" t="s">
        <v>1485</v>
      </c>
      <c r="K78" s="4" t="e">
        <f>VLOOKUP(A78,المعطيات!$A$1:$J$3500,6,0)</f>
        <v>#N/A</v>
      </c>
      <c r="L78" s="1" t="s">
        <v>1486</v>
      </c>
      <c r="M78" s="1" t="s">
        <v>1487</v>
      </c>
      <c r="N78" s="4" t="e">
        <f t="shared" si="4"/>
        <v>#N/A</v>
      </c>
      <c r="O78" s="1" t="s">
        <v>1488</v>
      </c>
      <c r="P78" s="4" t="e">
        <f>VLOOKUP(A78,المعطيات!$A$1:$J$3500,4,0)</f>
        <v>#N/A</v>
      </c>
      <c r="Q78" s="1" t="s">
        <v>1489</v>
      </c>
      <c r="R78" s="1" t="s">
        <v>1480</v>
      </c>
      <c r="S78" s="6" t="e">
        <f t="shared" si="5"/>
        <v>#N/A</v>
      </c>
    </row>
    <row r="79" spans="2:19" x14ac:dyDescent="0.25">
      <c r="B79" s="1" t="s">
        <v>1479</v>
      </c>
      <c r="C79" s="1" t="s">
        <v>1481</v>
      </c>
      <c r="D79" s="4" t="e">
        <f>VLOOKUP(A79,المعطيات!$A$1:$J$3500,5,0)</f>
        <v>#N/A</v>
      </c>
      <c r="E79" s="1" t="s">
        <v>1482</v>
      </c>
      <c r="F79" s="5">
        <f t="shared" si="3"/>
        <v>0</v>
      </c>
      <c r="G79" s="5" t="s">
        <v>1483</v>
      </c>
      <c r="H79" s="4" t="e">
        <f>VLOOKUP(A79,المعطيات!$A$1:$J$3500,3,0)</f>
        <v>#N/A</v>
      </c>
      <c r="I79" s="1" t="s">
        <v>1484</v>
      </c>
      <c r="J79" s="1" t="s">
        <v>1485</v>
      </c>
      <c r="K79" s="4" t="e">
        <f>VLOOKUP(A79,المعطيات!$A$1:$J$3500,6,0)</f>
        <v>#N/A</v>
      </c>
      <c r="L79" s="1" t="s">
        <v>1486</v>
      </c>
      <c r="M79" s="1" t="s">
        <v>1487</v>
      </c>
      <c r="N79" s="4" t="e">
        <f t="shared" si="4"/>
        <v>#N/A</v>
      </c>
      <c r="O79" s="1" t="s">
        <v>1488</v>
      </c>
      <c r="P79" s="4" t="e">
        <f>VLOOKUP(A79,المعطيات!$A$1:$J$3500,4,0)</f>
        <v>#N/A</v>
      </c>
      <c r="Q79" s="1" t="s">
        <v>1489</v>
      </c>
      <c r="R79" s="1" t="s">
        <v>1480</v>
      </c>
      <c r="S79" s="6" t="e">
        <f t="shared" si="5"/>
        <v>#N/A</v>
      </c>
    </row>
    <row r="80" spans="2:19" x14ac:dyDescent="0.25">
      <c r="B80" s="1" t="s">
        <v>1479</v>
      </c>
      <c r="C80" s="1" t="s">
        <v>1481</v>
      </c>
      <c r="D80" s="4" t="e">
        <f>VLOOKUP(A80,المعطيات!$A$1:$J$3500,5,0)</f>
        <v>#N/A</v>
      </c>
      <c r="E80" s="1" t="s">
        <v>1482</v>
      </c>
      <c r="F80" s="5">
        <f t="shared" si="3"/>
        <v>0</v>
      </c>
      <c r="G80" s="5" t="s">
        <v>1483</v>
      </c>
      <c r="H80" s="4" t="e">
        <f>VLOOKUP(A80,المعطيات!$A$1:$J$3500,3,0)</f>
        <v>#N/A</v>
      </c>
      <c r="I80" s="1" t="s">
        <v>1484</v>
      </c>
      <c r="J80" s="1" t="s">
        <v>1485</v>
      </c>
      <c r="K80" s="4" t="e">
        <f>VLOOKUP(A80,المعطيات!$A$1:$J$3500,6,0)</f>
        <v>#N/A</v>
      </c>
      <c r="L80" s="1" t="s">
        <v>1486</v>
      </c>
      <c r="M80" s="1" t="s">
        <v>1487</v>
      </c>
      <c r="N80" s="4" t="e">
        <f t="shared" si="4"/>
        <v>#N/A</v>
      </c>
      <c r="O80" s="1" t="s">
        <v>1488</v>
      </c>
      <c r="P80" s="4" t="e">
        <f>VLOOKUP(A80,المعطيات!$A$1:$J$3500,4,0)</f>
        <v>#N/A</v>
      </c>
      <c r="Q80" s="1" t="s">
        <v>1489</v>
      </c>
      <c r="R80" s="1" t="s">
        <v>1480</v>
      </c>
      <c r="S80" s="6" t="e">
        <f t="shared" si="5"/>
        <v>#N/A</v>
      </c>
    </row>
    <row r="81" spans="2:19" x14ac:dyDescent="0.25">
      <c r="B81" s="1" t="s">
        <v>1479</v>
      </c>
      <c r="C81" s="1" t="s">
        <v>1481</v>
      </c>
      <c r="D81" s="4" t="e">
        <f>VLOOKUP(A81,المعطيات!$A$1:$J$3500,5,0)</f>
        <v>#N/A</v>
      </c>
      <c r="E81" s="1" t="s">
        <v>1482</v>
      </c>
      <c r="F81" s="5">
        <f t="shared" si="3"/>
        <v>0</v>
      </c>
      <c r="G81" s="5" t="s">
        <v>1483</v>
      </c>
      <c r="H81" s="4" t="e">
        <f>VLOOKUP(A81,المعطيات!$A$1:$J$3500,3,0)</f>
        <v>#N/A</v>
      </c>
      <c r="I81" s="1" t="s">
        <v>1484</v>
      </c>
      <c r="J81" s="1" t="s">
        <v>1485</v>
      </c>
      <c r="K81" s="4" t="e">
        <f>VLOOKUP(A81,المعطيات!$A$1:$J$3500,6,0)</f>
        <v>#N/A</v>
      </c>
      <c r="L81" s="1" t="s">
        <v>1486</v>
      </c>
      <c r="M81" s="1" t="s">
        <v>1487</v>
      </c>
      <c r="N81" s="4" t="e">
        <f t="shared" si="4"/>
        <v>#N/A</v>
      </c>
      <c r="O81" s="1" t="s">
        <v>1488</v>
      </c>
      <c r="P81" s="4" t="e">
        <f>VLOOKUP(A81,المعطيات!$A$1:$J$3500,4,0)</f>
        <v>#N/A</v>
      </c>
      <c r="Q81" s="1" t="s">
        <v>1489</v>
      </c>
      <c r="R81" s="1" t="s">
        <v>1480</v>
      </c>
      <c r="S81" s="6" t="e">
        <f t="shared" si="5"/>
        <v>#N/A</v>
      </c>
    </row>
    <row r="82" spans="2:19" x14ac:dyDescent="0.25">
      <c r="B82" s="1" t="s">
        <v>1479</v>
      </c>
      <c r="C82" s="1" t="s">
        <v>1481</v>
      </c>
      <c r="D82" s="4" t="e">
        <f>VLOOKUP(A82,المعطيات!$A$1:$J$3500,5,0)</f>
        <v>#N/A</v>
      </c>
      <c r="E82" s="1" t="s">
        <v>1482</v>
      </c>
      <c r="F82" s="5">
        <f t="shared" si="3"/>
        <v>0</v>
      </c>
      <c r="G82" s="5" t="s">
        <v>1483</v>
      </c>
      <c r="H82" s="4" t="e">
        <f>VLOOKUP(A82,المعطيات!$A$1:$J$3500,3,0)</f>
        <v>#N/A</v>
      </c>
      <c r="I82" s="1" t="s">
        <v>1484</v>
      </c>
      <c r="J82" s="1" t="s">
        <v>1485</v>
      </c>
      <c r="K82" s="4" t="e">
        <f>VLOOKUP(A82,المعطيات!$A$1:$J$3500,6,0)</f>
        <v>#N/A</v>
      </c>
      <c r="L82" s="1" t="s">
        <v>1486</v>
      </c>
      <c r="M82" s="1" t="s">
        <v>1487</v>
      </c>
      <c r="N82" s="4" t="e">
        <f t="shared" si="4"/>
        <v>#N/A</v>
      </c>
      <c r="O82" s="1" t="s">
        <v>1488</v>
      </c>
      <c r="P82" s="4" t="e">
        <f>VLOOKUP(A82,المعطيات!$A$1:$J$3500,4,0)</f>
        <v>#N/A</v>
      </c>
      <c r="Q82" s="1" t="s">
        <v>1489</v>
      </c>
      <c r="R82" s="1" t="s">
        <v>1480</v>
      </c>
      <c r="S82" s="6" t="e">
        <f t="shared" si="5"/>
        <v>#N/A</v>
      </c>
    </row>
    <row r="83" spans="2:19" x14ac:dyDescent="0.25">
      <c r="B83" s="1" t="s">
        <v>1479</v>
      </c>
      <c r="C83" s="1" t="s">
        <v>1481</v>
      </c>
      <c r="D83" s="4" t="e">
        <f>VLOOKUP(A83,المعطيات!$A$1:$J$3500,5,0)</f>
        <v>#N/A</v>
      </c>
      <c r="E83" s="1" t="s">
        <v>1482</v>
      </c>
      <c r="F83" s="5">
        <f t="shared" si="3"/>
        <v>0</v>
      </c>
      <c r="G83" s="5" t="s">
        <v>1483</v>
      </c>
      <c r="H83" s="4" t="e">
        <f>VLOOKUP(A83,المعطيات!$A$1:$J$3500,3,0)</f>
        <v>#N/A</v>
      </c>
      <c r="I83" s="1" t="s">
        <v>1484</v>
      </c>
      <c r="J83" s="1" t="s">
        <v>1485</v>
      </c>
      <c r="K83" s="4" t="e">
        <f>VLOOKUP(A83,المعطيات!$A$1:$J$3500,6,0)</f>
        <v>#N/A</v>
      </c>
      <c r="L83" s="1" t="s">
        <v>1486</v>
      </c>
      <c r="M83" s="1" t="s">
        <v>1487</v>
      </c>
      <c r="N83" s="4" t="e">
        <f t="shared" si="4"/>
        <v>#N/A</v>
      </c>
      <c r="O83" s="1" t="s">
        <v>1488</v>
      </c>
      <c r="P83" s="4" t="e">
        <f>VLOOKUP(A83,المعطيات!$A$1:$J$3500,4,0)</f>
        <v>#N/A</v>
      </c>
      <c r="Q83" s="1" t="s">
        <v>1489</v>
      </c>
      <c r="R83" s="1" t="s">
        <v>1480</v>
      </c>
      <c r="S83" s="6" t="e">
        <f t="shared" si="5"/>
        <v>#N/A</v>
      </c>
    </row>
    <row r="84" spans="2:19" x14ac:dyDescent="0.25">
      <c r="B84" s="1" t="s">
        <v>1479</v>
      </c>
      <c r="C84" s="1" t="s">
        <v>1481</v>
      </c>
      <c r="D84" s="4" t="e">
        <f>VLOOKUP(A84,المعطيات!$A$1:$J$3500,5,0)</f>
        <v>#N/A</v>
      </c>
      <c r="E84" s="1" t="s">
        <v>1482</v>
      </c>
      <c r="F84" s="5">
        <f t="shared" si="3"/>
        <v>0</v>
      </c>
      <c r="G84" s="5" t="s">
        <v>1483</v>
      </c>
      <c r="H84" s="4" t="e">
        <f>VLOOKUP(A84,المعطيات!$A$1:$J$3500,3,0)</f>
        <v>#N/A</v>
      </c>
      <c r="I84" s="1" t="s">
        <v>1484</v>
      </c>
      <c r="J84" s="1" t="s">
        <v>1485</v>
      </c>
      <c r="K84" s="4" t="e">
        <f>VLOOKUP(A84,المعطيات!$A$1:$J$3500,6,0)</f>
        <v>#N/A</v>
      </c>
      <c r="L84" s="1" t="s">
        <v>1486</v>
      </c>
      <c r="M84" s="1" t="s">
        <v>1487</v>
      </c>
      <c r="N84" s="4" t="e">
        <f t="shared" si="4"/>
        <v>#N/A</v>
      </c>
      <c r="O84" s="1" t="s">
        <v>1488</v>
      </c>
      <c r="P84" s="4" t="e">
        <f>VLOOKUP(A84,المعطيات!$A$1:$J$3500,4,0)</f>
        <v>#N/A</v>
      </c>
      <c r="Q84" s="1" t="s">
        <v>1489</v>
      </c>
      <c r="R84" s="1" t="s">
        <v>1480</v>
      </c>
      <c r="S84" s="6" t="e">
        <f t="shared" si="5"/>
        <v>#N/A</v>
      </c>
    </row>
    <row r="85" spans="2:19" x14ac:dyDescent="0.25">
      <c r="B85" s="1" t="s">
        <v>1479</v>
      </c>
      <c r="C85" s="1" t="s">
        <v>1481</v>
      </c>
      <c r="D85" s="4" t="e">
        <f>VLOOKUP(A85,المعطيات!$A$1:$J$3500,5,0)</f>
        <v>#N/A</v>
      </c>
      <c r="E85" s="1" t="s">
        <v>1482</v>
      </c>
      <c r="F85" s="5">
        <f t="shared" si="3"/>
        <v>0</v>
      </c>
      <c r="G85" s="5" t="s">
        <v>1483</v>
      </c>
      <c r="H85" s="4" t="e">
        <f>VLOOKUP(A85,المعطيات!$A$1:$J$3500,3,0)</f>
        <v>#N/A</v>
      </c>
      <c r="I85" s="1" t="s">
        <v>1484</v>
      </c>
      <c r="J85" s="1" t="s">
        <v>1485</v>
      </c>
      <c r="K85" s="4" t="e">
        <f>VLOOKUP(A85,المعطيات!$A$1:$J$3500,6,0)</f>
        <v>#N/A</v>
      </c>
      <c r="L85" s="1" t="s">
        <v>1486</v>
      </c>
      <c r="M85" s="1" t="s">
        <v>1487</v>
      </c>
      <c r="N85" s="4" t="e">
        <f t="shared" si="4"/>
        <v>#N/A</v>
      </c>
      <c r="O85" s="1" t="s">
        <v>1488</v>
      </c>
      <c r="P85" s="4" t="e">
        <f>VLOOKUP(A85,المعطيات!$A$1:$J$3500,4,0)</f>
        <v>#N/A</v>
      </c>
      <c r="Q85" s="1" t="s">
        <v>1489</v>
      </c>
      <c r="R85" s="1" t="s">
        <v>1480</v>
      </c>
      <c r="S85" s="6" t="e">
        <f t="shared" si="5"/>
        <v>#N/A</v>
      </c>
    </row>
    <row r="86" spans="2:19" x14ac:dyDescent="0.25">
      <c r="B86" s="1" t="s">
        <v>1479</v>
      </c>
      <c r="C86" s="1" t="s">
        <v>1481</v>
      </c>
      <c r="D86" s="4" t="e">
        <f>VLOOKUP(A86,المعطيات!$A$1:$J$3500,5,0)</f>
        <v>#N/A</v>
      </c>
      <c r="E86" s="1" t="s">
        <v>1482</v>
      </c>
      <c r="F86" s="5">
        <f t="shared" si="3"/>
        <v>0</v>
      </c>
      <c r="G86" s="5" t="s">
        <v>1483</v>
      </c>
      <c r="H86" s="4" t="e">
        <f>VLOOKUP(A86,المعطيات!$A$1:$J$3500,3,0)</f>
        <v>#N/A</v>
      </c>
      <c r="I86" s="1" t="s">
        <v>1484</v>
      </c>
      <c r="J86" s="1" t="s">
        <v>1485</v>
      </c>
      <c r="K86" s="4" t="e">
        <f>VLOOKUP(A86,المعطيات!$A$1:$J$3500,6,0)</f>
        <v>#N/A</v>
      </c>
      <c r="L86" s="1" t="s">
        <v>1486</v>
      </c>
      <c r="M86" s="1" t="s">
        <v>1487</v>
      </c>
      <c r="N86" s="4" t="e">
        <f t="shared" si="4"/>
        <v>#N/A</v>
      </c>
      <c r="O86" s="1" t="s">
        <v>1488</v>
      </c>
      <c r="P86" s="4" t="e">
        <f>VLOOKUP(A86,المعطيات!$A$1:$J$3500,4,0)</f>
        <v>#N/A</v>
      </c>
      <c r="Q86" s="1" t="s">
        <v>1489</v>
      </c>
      <c r="R86" s="1" t="s">
        <v>1480</v>
      </c>
      <c r="S86" s="6" t="e">
        <f t="shared" si="5"/>
        <v>#N/A</v>
      </c>
    </row>
    <row r="87" spans="2:19" x14ac:dyDescent="0.25">
      <c r="B87" s="1" t="s">
        <v>1479</v>
      </c>
      <c r="C87" s="1" t="s">
        <v>1481</v>
      </c>
      <c r="D87" s="4" t="e">
        <f>VLOOKUP(A87,المعطيات!$A$1:$J$3500,5,0)</f>
        <v>#N/A</v>
      </c>
      <c r="E87" s="1" t="s">
        <v>1482</v>
      </c>
      <c r="F87" s="5">
        <f t="shared" si="3"/>
        <v>0</v>
      </c>
      <c r="G87" s="5" t="s">
        <v>1483</v>
      </c>
      <c r="H87" s="4" t="e">
        <f>VLOOKUP(A87,المعطيات!$A$1:$J$3500,3,0)</f>
        <v>#N/A</v>
      </c>
      <c r="I87" s="1" t="s">
        <v>1484</v>
      </c>
      <c r="J87" s="1" t="s">
        <v>1485</v>
      </c>
      <c r="K87" s="4" t="e">
        <f>VLOOKUP(A87,المعطيات!$A$1:$J$3500,6,0)</f>
        <v>#N/A</v>
      </c>
      <c r="L87" s="1" t="s">
        <v>1486</v>
      </c>
      <c r="M87" s="1" t="s">
        <v>1487</v>
      </c>
      <c r="N87" s="4" t="e">
        <f t="shared" si="4"/>
        <v>#N/A</v>
      </c>
      <c r="O87" s="1" t="s">
        <v>1488</v>
      </c>
      <c r="P87" s="4" t="e">
        <f>VLOOKUP(A87,المعطيات!$A$1:$J$3500,4,0)</f>
        <v>#N/A</v>
      </c>
      <c r="Q87" s="1" t="s">
        <v>1489</v>
      </c>
      <c r="R87" s="1" t="s">
        <v>1480</v>
      </c>
      <c r="S87" s="6" t="e">
        <f t="shared" si="5"/>
        <v>#N/A</v>
      </c>
    </row>
    <row r="88" spans="2:19" x14ac:dyDescent="0.25">
      <c r="B88" s="1" t="s">
        <v>1479</v>
      </c>
      <c r="C88" s="1" t="s">
        <v>1481</v>
      </c>
      <c r="D88" s="4" t="e">
        <f>VLOOKUP(A88,المعطيات!$A$1:$J$3500,5,0)</f>
        <v>#N/A</v>
      </c>
      <c r="E88" s="1" t="s">
        <v>1482</v>
      </c>
      <c r="F88" s="5">
        <f t="shared" si="3"/>
        <v>0</v>
      </c>
      <c r="G88" s="5" t="s">
        <v>1483</v>
      </c>
      <c r="H88" s="4" t="e">
        <f>VLOOKUP(A88,المعطيات!$A$1:$J$3500,3,0)</f>
        <v>#N/A</v>
      </c>
      <c r="I88" s="1" t="s">
        <v>1484</v>
      </c>
      <c r="J88" s="1" t="s">
        <v>1485</v>
      </c>
      <c r="K88" s="4" t="e">
        <f>VLOOKUP(A88,المعطيات!$A$1:$J$3500,6,0)</f>
        <v>#N/A</v>
      </c>
      <c r="L88" s="1" t="s">
        <v>1486</v>
      </c>
      <c r="M88" s="1" t="s">
        <v>1487</v>
      </c>
      <c r="N88" s="4" t="e">
        <f t="shared" si="4"/>
        <v>#N/A</v>
      </c>
      <c r="O88" s="1" t="s">
        <v>1488</v>
      </c>
      <c r="P88" s="4" t="e">
        <f>VLOOKUP(A88,المعطيات!$A$1:$J$3500,4,0)</f>
        <v>#N/A</v>
      </c>
      <c r="Q88" s="1" t="s">
        <v>1489</v>
      </c>
      <c r="R88" s="1" t="s">
        <v>1480</v>
      </c>
      <c r="S88" s="6" t="e">
        <f t="shared" si="5"/>
        <v>#N/A</v>
      </c>
    </row>
    <row r="89" spans="2:19" x14ac:dyDescent="0.25">
      <c r="B89" s="1" t="s">
        <v>1479</v>
      </c>
      <c r="C89" s="1" t="s">
        <v>1481</v>
      </c>
      <c r="D89" s="4" t="e">
        <f>VLOOKUP(A89,المعطيات!$A$1:$J$3500,5,0)</f>
        <v>#N/A</v>
      </c>
      <c r="E89" s="1" t="s">
        <v>1482</v>
      </c>
      <c r="F89" s="5">
        <f t="shared" si="3"/>
        <v>0</v>
      </c>
      <c r="G89" s="5" t="s">
        <v>1483</v>
      </c>
      <c r="H89" s="4" t="e">
        <f>VLOOKUP(A89,المعطيات!$A$1:$J$3500,3,0)</f>
        <v>#N/A</v>
      </c>
      <c r="I89" s="1" t="s">
        <v>1484</v>
      </c>
      <c r="J89" s="1" t="s">
        <v>1485</v>
      </c>
      <c r="K89" s="4" t="e">
        <f>VLOOKUP(A89,المعطيات!$A$1:$J$3500,6,0)</f>
        <v>#N/A</v>
      </c>
      <c r="L89" s="1" t="s">
        <v>1486</v>
      </c>
      <c r="M89" s="1" t="s">
        <v>1487</v>
      </c>
      <c r="N89" s="4" t="e">
        <f t="shared" si="4"/>
        <v>#N/A</v>
      </c>
      <c r="O89" s="1" t="s">
        <v>1488</v>
      </c>
      <c r="P89" s="4" t="e">
        <f>VLOOKUP(A89,المعطيات!$A$1:$J$3500,4,0)</f>
        <v>#N/A</v>
      </c>
      <c r="Q89" s="1" t="s">
        <v>1489</v>
      </c>
      <c r="R89" s="1" t="s">
        <v>1480</v>
      </c>
      <c r="S89" s="6" t="e">
        <f t="shared" si="5"/>
        <v>#N/A</v>
      </c>
    </row>
    <row r="90" spans="2:19" x14ac:dyDescent="0.25">
      <c r="B90" s="1" t="s">
        <v>1479</v>
      </c>
      <c r="C90" s="1" t="s">
        <v>1481</v>
      </c>
      <c r="D90" s="4" t="e">
        <f>VLOOKUP(A90,المعطيات!$A$1:$J$3500,5,0)</f>
        <v>#N/A</v>
      </c>
      <c r="E90" s="1" t="s">
        <v>1482</v>
      </c>
      <c r="F90" s="5">
        <f t="shared" si="3"/>
        <v>0</v>
      </c>
      <c r="G90" s="5" t="s">
        <v>1483</v>
      </c>
      <c r="H90" s="4" t="e">
        <f>VLOOKUP(A90,المعطيات!$A$1:$J$3500,3,0)</f>
        <v>#N/A</v>
      </c>
      <c r="I90" s="1" t="s">
        <v>1484</v>
      </c>
      <c r="J90" s="1" t="s">
        <v>1485</v>
      </c>
      <c r="K90" s="4" t="e">
        <f>VLOOKUP(A90,المعطيات!$A$1:$J$3500,6,0)</f>
        <v>#N/A</v>
      </c>
      <c r="L90" s="1" t="s">
        <v>1486</v>
      </c>
      <c r="M90" s="1" t="s">
        <v>1487</v>
      </c>
      <c r="N90" s="4" t="e">
        <f t="shared" si="4"/>
        <v>#N/A</v>
      </c>
      <c r="O90" s="1" t="s">
        <v>1488</v>
      </c>
      <c r="P90" s="4" t="e">
        <f>VLOOKUP(A90,المعطيات!$A$1:$J$3500,4,0)</f>
        <v>#N/A</v>
      </c>
      <c r="Q90" s="1" t="s">
        <v>1489</v>
      </c>
      <c r="R90" s="1" t="s">
        <v>1480</v>
      </c>
      <c r="S90" s="6" t="e">
        <f t="shared" si="5"/>
        <v>#N/A</v>
      </c>
    </row>
    <row r="91" spans="2:19" x14ac:dyDescent="0.25">
      <c r="B91" s="1" t="s">
        <v>1479</v>
      </c>
      <c r="C91" s="1" t="s">
        <v>1481</v>
      </c>
      <c r="D91" s="4" t="e">
        <f>VLOOKUP(A91,المعطيات!$A$1:$J$3500,5,0)</f>
        <v>#N/A</v>
      </c>
      <c r="E91" s="1" t="s">
        <v>1482</v>
      </c>
      <c r="F91" s="5">
        <f t="shared" si="3"/>
        <v>0</v>
      </c>
      <c r="G91" s="5" t="s">
        <v>1483</v>
      </c>
      <c r="H91" s="4" t="e">
        <f>VLOOKUP(A91,المعطيات!$A$1:$J$3500,3,0)</f>
        <v>#N/A</v>
      </c>
      <c r="I91" s="1" t="s">
        <v>1484</v>
      </c>
      <c r="J91" s="1" t="s">
        <v>1485</v>
      </c>
      <c r="K91" s="4" t="e">
        <f>VLOOKUP(A91,المعطيات!$A$1:$J$3500,6,0)</f>
        <v>#N/A</v>
      </c>
      <c r="L91" s="1" t="s">
        <v>1486</v>
      </c>
      <c r="M91" s="1" t="s">
        <v>1487</v>
      </c>
      <c r="N91" s="4" t="e">
        <f t="shared" si="4"/>
        <v>#N/A</v>
      </c>
      <c r="O91" s="1" t="s">
        <v>1488</v>
      </c>
      <c r="P91" s="4" t="e">
        <f>VLOOKUP(A91,المعطيات!$A$1:$J$3500,4,0)</f>
        <v>#N/A</v>
      </c>
      <c r="Q91" s="1" t="s">
        <v>1489</v>
      </c>
      <c r="R91" s="1" t="s">
        <v>1480</v>
      </c>
      <c r="S91" s="6" t="e">
        <f t="shared" si="5"/>
        <v>#N/A</v>
      </c>
    </row>
    <row r="92" spans="2:19" x14ac:dyDescent="0.25">
      <c r="B92" s="1" t="s">
        <v>1479</v>
      </c>
      <c r="C92" s="1" t="s">
        <v>1481</v>
      </c>
      <c r="D92" s="4" t="e">
        <f>VLOOKUP(A92,المعطيات!$A$1:$J$3500,5,0)</f>
        <v>#N/A</v>
      </c>
      <c r="E92" s="1" t="s">
        <v>1482</v>
      </c>
      <c r="F92" s="5">
        <f t="shared" si="3"/>
        <v>0</v>
      </c>
      <c r="G92" s="5" t="s">
        <v>1483</v>
      </c>
      <c r="H92" s="4" t="e">
        <f>VLOOKUP(A92,المعطيات!$A$1:$J$3500,3,0)</f>
        <v>#N/A</v>
      </c>
      <c r="I92" s="1" t="s">
        <v>1484</v>
      </c>
      <c r="J92" s="1" t="s">
        <v>1485</v>
      </c>
      <c r="K92" s="4" t="e">
        <f>VLOOKUP(A92,المعطيات!$A$1:$J$3500,6,0)</f>
        <v>#N/A</v>
      </c>
      <c r="L92" s="1" t="s">
        <v>1486</v>
      </c>
      <c r="M92" s="1" t="s">
        <v>1487</v>
      </c>
      <c r="N92" s="4" t="e">
        <f t="shared" si="4"/>
        <v>#N/A</v>
      </c>
      <c r="O92" s="1" t="s">
        <v>1488</v>
      </c>
      <c r="P92" s="4" t="e">
        <f>VLOOKUP(A92,المعطيات!$A$1:$J$3500,4,0)</f>
        <v>#N/A</v>
      </c>
      <c r="Q92" s="1" t="s">
        <v>1489</v>
      </c>
      <c r="R92" s="1" t="s">
        <v>1480</v>
      </c>
      <c r="S92" s="6" t="e">
        <f t="shared" si="5"/>
        <v>#N/A</v>
      </c>
    </row>
    <row r="93" spans="2:19" x14ac:dyDescent="0.25">
      <c r="B93" s="1" t="s">
        <v>1479</v>
      </c>
      <c r="C93" s="1" t="s">
        <v>1481</v>
      </c>
      <c r="D93" s="4" t="e">
        <f>VLOOKUP(A93,المعطيات!$A$1:$J$3500,5,0)</f>
        <v>#N/A</v>
      </c>
      <c r="E93" s="1" t="s">
        <v>1482</v>
      </c>
      <c r="F93" s="5">
        <f t="shared" si="3"/>
        <v>0</v>
      </c>
      <c r="G93" s="5" t="s">
        <v>1483</v>
      </c>
      <c r="H93" s="4" t="e">
        <f>VLOOKUP(A93,المعطيات!$A$1:$J$3500,3,0)</f>
        <v>#N/A</v>
      </c>
      <c r="I93" s="1" t="s">
        <v>1484</v>
      </c>
      <c r="J93" s="1" t="s">
        <v>1485</v>
      </c>
      <c r="K93" s="4" t="e">
        <f>VLOOKUP(A93,المعطيات!$A$1:$J$3500,6,0)</f>
        <v>#N/A</v>
      </c>
      <c r="L93" s="1" t="s">
        <v>1486</v>
      </c>
      <c r="M93" s="1" t="s">
        <v>1487</v>
      </c>
      <c r="N93" s="4" t="e">
        <f t="shared" si="4"/>
        <v>#N/A</v>
      </c>
      <c r="O93" s="1" t="s">
        <v>1488</v>
      </c>
      <c r="P93" s="4" t="e">
        <f>VLOOKUP(A93,المعطيات!$A$1:$J$3500,4,0)</f>
        <v>#N/A</v>
      </c>
      <c r="Q93" s="1" t="s">
        <v>1489</v>
      </c>
      <c r="R93" s="1" t="s">
        <v>1480</v>
      </c>
      <c r="S93" s="6" t="e">
        <f t="shared" si="5"/>
        <v>#N/A</v>
      </c>
    </row>
    <row r="94" spans="2:19" x14ac:dyDescent="0.25">
      <c r="B94" s="1" t="s">
        <v>1479</v>
      </c>
      <c r="C94" s="1" t="s">
        <v>1481</v>
      </c>
      <c r="D94" s="4" t="e">
        <f>VLOOKUP(A94,المعطيات!$A$1:$J$3500,5,0)</f>
        <v>#N/A</v>
      </c>
      <c r="E94" s="1" t="s">
        <v>1482</v>
      </c>
      <c r="F94" s="5">
        <f t="shared" si="3"/>
        <v>0</v>
      </c>
      <c r="G94" s="5" t="s">
        <v>1483</v>
      </c>
      <c r="H94" s="4" t="e">
        <f>VLOOKUP(A94,المعطيات!$A$1:$J$3500,3,0)</f>
        <v>#N/A</v>
      </c>
      <c r="I94" s="1" t="s">
        <v>1484</v>
      </c>
      <c r="J94" s="1" t="s">
        <v>1485</v>
      </c>
      <c r="K94" s="4" t="e">
        <f>VLOOKUP(A94,المعطيات!$A$1:$J$3500,6,0)</f>
        <v>#N/A</v>
      </c>
      <c r="L94" s="1" t="s">
        <v>1486</v>
      </c>
      <c r="M94" s="1" t="s">
        <v>1487</v>
      </c>
      <c r="N94" s="4" t="e">
        <f t="shared" si="4"/>
        <v>#N/A</v>
      </c>
      <c r="O94" s="1" t="s">
        <v>1488</v>
      </c>
      <c r="P94" s="4" t="e">
        <f>VLOOKUP(A94,المعطيات!$A$1:$J$3500,4,0)</f>
        <v>#N/A</v>
      </c>
      <c r="Q94" s="1" t="s">
        <v>1489</v>
      </c>
      <c r="R94" s="1" t="s">
        <v>1480</v>
      </c>
      <c r="S94" s="6" t="e">
        <f t="shared" si="5"/>
        <v>#N/A</v>
      </c>
    </row>
    <row r="95" spans="2:19" x14ac:dyDescent="0.25">
      <c r="B95" s="1" t="s">
        <v>1479</v>
      </c>
      <c r="C95" s="1" t="s">
        <v>1481</v>
      </c>
      <c r="D95" s="4" t="e">
        <f>VLOOKUP(A95,المعطيات!$A$1:$J$3500,5,0)</f>
        <v>#N/A</v>
      </c>
      <c r="E95" s="1" t="s">
        <v>1482</v>
      </c>
      <c r="F95" s="5">
        <f t="shared" si="3"/>
        <v>0</v>
      </c>
      <c r="G95" s="5" t="s">
        <v>1483</v>
      </c>
      <c r="H95" s="4" t="e">
        <f>VLOOKUP(A95,المعطيات!$A$1:$J$3500,3,0)</f>
        <v>#N/A</v>
      </c>
      <c r="I95" s="1" t="s">
        <v>1484</v>
      </c>
      <c r="J95" s="1" t="s">
        <v>1485</v>
      </c>
      <c r="K95" s="4" t="e">
        <f>VLOOKUP(A95,المعطيات!$A$1:$J$3500,6,0)</f>
        <v>#N/A</v>
      </c>
      <c r="L95" s="1" t="s">
        <v>1486</v>
      </c>
      <c r="M95" s="1" t="s">
        <v>1487</v>
      </c>
      <c r="N95" s="4" t="e">
        <f t="shared" si="4"/>
        <v>#N/A</v>
      </c>
      <c r="O95" s="1" t="s">
        <v>1488</v>
      </c>
      <c r="P95" s="4" t="e">
        <f>VLOOKUP(A95,المعطيات!$A$1:$J$3500,4,0)</f>
        <v>#N/A</v>
      </c>
      <c r="Q95" s="1" t="s">
        <v>1489</v>
      </c>
      <c r="R95" s="1" t="s">
        <v>1480</v>
      </c>
      <c r="S95" s="6" t="e">
        <f t="shared" si="5"/>
        <v>#N/A</v>
      </c>
    </row>
    <row r="96" spans="2:19" x14ac:dyDescent="0.25">
      <c r="B96" s="1" t="s">
        <v>1479</v>
      </c>
      <c r="C96" s="1" t="s">
        <v>1481</v>
      </c>
      <c r="D96" s="4" t="e">
        <f>VLOOKUP(A96,المعطيات!$A$1:$J$3500,5,0)</f>
        <v>#N/A</v>
      </c>
      <c r="E96" s="1" t="s">
        <v>1482</v>
      </c>
      <c r="F96" s="5">
        <f t="shared" si="3"/>
        <v>0</v>
      </c>
      <c r="G96" s="5" t="s">
        <v>1483</v>
      </c>
      <c r="H96" s="4" t="e">
        <f>VLOOKUP(A96,المعطيات!$A$1:$J$3500,3,0)</f>
        <v>#N/A</v>
      </c>
      <c r="I96" s="1" t="s">
        <v>1484</v>
      </c>
      <c r="J96" s="1" t="s">
        <v>1485</v>
      </c>
      <c r="K96" s="4" t="e">
        <f>VLOOKUP(A96,المعطيات!$A$1:$J$3500,6,0)</f>
        <v>#N/A</v>
      </c>
      <c r="L96" s="1" t="s">
        <v>1486</v>
      </c>
      <c r="M96" s="1" t="s">
        <v>1487</v>
      </c>
      <c r="N96" s="4" t="e">
        <f t="shared" si="4"/>
        <v>#N/A</v>
      </c>
      <c r="O96" s="1" t="s">
        <v>1488</v>
      </c>
      <c r="P96" s="4" t="e">
        <f>VLOOKUP(A96,المعطيات!$A$1:$J$3500,4,0)</f>
        <v>#N/A</v>
      </c>
      <c r="Q96" s="1" t="s">
        <v>1489</v>
      </c>
      <c r="R96" s="1" t="s">
        <v>1480</v>
      </c>
      <c r="S96" s="6" t="e">
        <f t="shared" si="5"/>
        <v>#N/A</v>
      </c>
    </row>
    <row r="97" spans="2:19" x14ac:dyDescent="0.25">
      <c r="B97" s="1" t="s">
        <v>1479</v>
      </c>
      <c r="C97" s="1" t="s">
        <v>1481</v>
      </c>
      <c r="D97" s="4" t="e">
        <f>VLOOKUP(A97,المعطيات!$A$1:$J$3500,5,0)</f>
        <v>#N/A</v>
      </c>
      <c r="E97" s="1" t="s">
        <v>1482</v>
      </c>
      <c r="F97" s="5">
        <f t="shared" si="3"/>
        <v>0</v>
      </c>
      <c r="G97" s="5" t="s">
        <v>1483</v>
      </c>
      <c r="H97" s="4" t="e">
        <f>VLOOKUP(A97,المعطيات!$A$1:$J$3500,3,0)</f>
        <v>#N/A</v>
      </c>
      <c r="I97" s="1" t="s">
        <v>1484</v>
      </c>
      <c r="J97" s="1" t="s">
        <v>1485</v>
      </c>
      <c r="K97" s="4" t="e">
        <f>VLOOKUP(A97,المعطيات!$A$1:$J$3500,6,0)</f>
        <v>#N/A</v>
      </c>
      <c r="L97" s="1" t="s">
        <v>1486</v>
      </c>
      <c r="M97" s="1" t="s">
        <v>1487</v>
      </c>
      <c r="N97" s="4" t="e">
        <f t="shared" si="4"/>
        <v>#N/A</v>
      </c>
      <c r="O97" s="1" t="s">
        <v>1488</v>
      </c>
      <c r="P97" s="4" t="e">
        <f>VLOOKUP(A97,المعطيات!$A$1:$J$3500,4,0)</f>
        <v>#N/A</v>
      </c>
      <c r="Q97" s="1" t="s">
        <v>1489</v>
      </c>
      <c r="R97" s="1" t="s">
        <v>1480</v>
      </c>
      <c r="S97" s="6" t="e">
        <f t="shared" si="5"/>
        <v>#N/A</v>
      </c>
    </row>
    <row r="98" spans="2:19" x14ac:dyDescent="0.25">
      <c r="B98" s="1" t="s">
        <v>1479</v>
      </c>
      <c r="C98" s="1" t="s">
        <v>1481</v>
      </c>
      <c r="D98" s="4" t="e">
        <f>VLOOKUP(A98,المعطيات!$A$1:$J$3500,5,0)</f>
        <v>#N/A</v>
      </c>
      <c r="E98" s="1" t="s">
        <v>1482</v>
      </c>
      <c r="F98" s="5">
        <f t="shared" si="3"/>
        <v>0</v>
      </c>
      <c r="G98" s="5" t="s">
        <v>1483</v>
      </c>
      <c r="H98" s="4" t="e">
        <f>VLOOKUP(A98,المعطيات!$A$1:$J$3500,3,0)</f>
        <v>#N/A</v>
      </c>
      <c r="I98" s="1" t="s">
        <v>1484</v>
      </c>
      <c r="J98" s="1" t="s">
        <v>1485</v>
      </c>
      <c r="K98" s="4" t="e">
        <f>VLOOKUP(A98,المعطيات!$A$1:$J$3500,6,0)</f>
        <v>#N/A</v>
      </c>
      <c r="L98" s="1" t="s">
        <v>1486</v>
      </c>
      <c r="M98" s="1" t="s">
        <v>1487</v>
      </c>
      <c r="N98" s="4" t="e">
        <f t="shared" si="4"/>
        <v>#N/A</v>
      </c>
      <c r="O98" s="1" t="s">
        <v>1488</v>
      </c>
      <c r="P98" s="4" t="e">
        <f>VLOOKUP(A98,المعطيات!$A$1:$J$3500,4,0)</f>
        <v>#N/A</v>
      </c>
      <c r="Q98" s="1" t="s">
        <v>1489</v>
      </c>
      <c r="R98" s="1" t="s">
        <v>1480</v>
      </c>
      <c r="S98" s="6" t="e">
        <f t="shared" si="5"/>
        <v>#N/A</v>
      </c>
    </row>
    <row r="99" spans="2:19" x14ac:dyDescent="0.25">
      <c r="B99" s="1" t="s">
        <v>1479</v>
      </c>
      <c r="C99" s="1" t="s">
        <v>1481</v>
      </c>
      <c r="D99" s="4" t="e">
        <f>VLOOKUP(A99,المعطيات!$A$1:$J$3500,5,0)</f>
        <v>#N/A</v>
      </c>
      <c r="E99" s="1" t="s">
        <v>1482</v>
      </c>
      <c r="F99" s="5">
        <f t="shared" si="3"/>
        <v>0</v>
      </c>
      <c r="G99" s="5" t="s">
        <v>1483</v>
      </c>
      <c r="H99" s="4" t="e">
        <f>VLOOKUP(A99,المعطيات!$A$1:$J$3500,3,0)</f>
        <v>#N/A</v>
      </c>
      <c r="I99" s="1" t="s">
        <v>1484</v>
      </c>
      <c r="J99" s="1" t="s">
        <v>1485</v>
      </c>
      <c r="K99" s="4" t="e">
        <f>VLOOKUP(A99,المعطيات!$A$1:$J$3500,6,0)</f>
        <v>#N/A</v>
      </c>
      <c r="L99" s="1" t="s">
        <v>1486</v>
      </c>
      <c r="M99" s="1" t="s">
        <v>1487</v>
      </c>
      <c r="N99" s="4" t="e">
        <f t="shared" si="4"/>
        <v>#N/A</v>
      </c>
      <c r="O99" s="1" t="s">
        <v>1488</v>
      </c>
      <c r="P99" s="4" t="e">
        <f>VLOOKUP(A99,المعطيات!$A$1:$J$3500,4,0)</f>
        <v>#N/A</v>
      </c>
      <c r="Q99" s="1" t="s">
        <v>1489</v>
      </c>
      <c r="R99" s="1" t="s">
        <v>1480</v>
      </c>
      <c r="S99" s="6" t="e">
        <f t="shared" si="5"/>
        <v>#N/A</v>
      </c>
    </row>
    <row r="100" spans="2:19" x14ac:dyDescent="0.25">
      <c r="B100" s="1" t="s">
        <v>1479</v>
      </c>
      <c r="C100" s="1" t="s">
        <v>1481</v>
      </c>
      <c r="D100" s="4" t="e">
        <f>VLOOKUP(A100,المعطيات!$A$1:$J$3500,5,0)</f>
        <v>#N/A</v>
      </c>
      <c r="E100" s="1" t="s">
        <v>1482</v>
      </c>
      <c r="F100" s="5">
        <f t="shared" si="3"/>
        <v>0</v>
      </c>
      <c r="G100" s="5" t="s">
        <v>1483</v>
      </c>
      <c r="H100" s="4" t="e">
        <f>VLOOKUP(A100,المعطيات!$A$1:$J$3500,3,0)</f>
        <v>#N/A</v>
      </c>
      <c r="I100" s="1" t="s">
        <v>1484</v>
      </c>
      <c r="J100" s="1" t="s">
        <v>1485</v>
      </c>
      <c r="K100" s="4" t="e">
        <f>VLOOKUP(A100,المعطيات!$A$1:$J$3500,6,0)</f>
        <v>#N/A</v>
      </c>
      <c r="L100" s="1" t="s">
        <v>1486</v>
      </c>
      <c r="M100" s="1" t="s">
        <v>1487</v>
      </c>
      <c r="N100" s="4" t="e">
        <f t="shared" si="4"/>
        <v>#N/A</v>
      </c>
      <c r="O100" s="1" t="s">
        <v>1488</v>
      </c>
      <c r="P100" s="4" t="e">
        <f>VLOOKUP(A100,المعطيات!$A$1:$J$3500,4,0)</f>
        <v>#N/A</v>
      </c>
      <c r="Q100" s="1" t="s">
        <v>1489</v>
      </c>
      <c r="R100" s="1" t="s">
        <v>1480</v>
      </c>
      <c r="S100" s="6" t="e">
        <f t="shared" si="5"/>
        <v>#N/A</v>
      </c>
    </row>
    <row r="101" spans="2:19" x14ac:dyDescent="0.25">
      <c r="B101" s="1" t="s">
        <v>1479</v>
      </c>
      <c r="C101" s="1" t="s">
        <v>1481</v>
      </c>
      <c r="D101" s="4" t="e">
        <f>VLOOKUP(A101,المعطيات!$A$1:$J$3500,5,0)</f>
        <v>#N/A</v>
      </c>
      <c r="E101" s="1" t="s">
        <v>1482</v>
      </c>
      <c r="F101" s="5">
        <f t="shared" si="3"/>
        <v>0</v>
      </c>
      <c r="G101" s="5" t="s">
        <v>1483</v>
      </c>
      <c r="H101" s="4" t="e">
        <f>VLOOKUP(A101,المعطيات!$A$1:$J$3500,3,0)</f>
        <v>#N/A</v>
      </c>
      <c r="I101" s="1" t="s">
        <v>1484</v>
      </c>
      <c r="J101" s="1" t="s">
        <v>1485</v>
      </c>
      <c r="K101" s="4" t="e">
        <f>VLOOKUP(A101,المعطيات!$A$1:$J$3500,6,0)</f>
        <v>#N/A</v>
      </c>
      <c r="L101" s="1" t="s">
        <v>1486</v>
      </c>
      <c r="M101" s="1" t="s">
        <v>1487</v>
      </c>
      <c r="N101" s="4" t="e">
        <f t="shared" si="4"/>
        <v>#N/A</v>
      </c>
      <c r="O101" s="1" t="s">
        <v>1488</v>
      </c>
      <c r="P101" s="4" t="e">
        <f>VLOOKUP(A101,المعطيات!$A$1:$J$3500,4,0)</f>
        <v>#N/A</v>
      </c>
      <c r="Q101" s="1" t="s">
        <v>1489</v>
      </c>
      <c r="R101" s="1" t="s">
        <v>1480</v>
      </c>
      <c r="S101" s="6" t="e">
        <f t="shared" si="5"/>
        <v>#N/A</v>
      </c>
    </row>
    <row r="102" spans="2:19" x14ac:dyDescent="0.25">
      <c r="B102" s="1" t="s">
        <v>1479</v>
      </c>
      <c r="C102" s="1" t="s">
        <v>1481</v>
      </c>
      <c r="D102" s="4" t="e">
        <f>VLOOKUP(A102,المعطيات!$A$1:$J$3500,5,0)</f>
        <v>#N/A</v>
      </c>
      <c r="E102" s="1" t="s">
        <v>1482</v>
      </c>
      <c r="F102" s="5">
        <f t="shared" si="3"/>
        <v>0</v>
      </c>
      <c r="G102" s="5" t="s">
        <v>1483</v>
      </c>
      <c r="H102" s="4" t="e">
        <f>VLOOKUP(A102,المعطيات!$A$1:$J$3500,3,0)</f>
        <v>#N/A</v>
      </c>
      <c r="I102" s="1" t="s">
        <v>1484</v>
      </c>
      <c r="J102" s="1" t="s">
        <v>1485</v>
      </c>
      <c r="K102" s="4" t="e">
        <f>VLOOKUP(A102,المعطيات!$A$1:$J$3500,6,0)</f>
        <v>#N/A</v>
      </c>
      <c r="L102" s="1" t="s">
        <v>1486</v>
      </c>
      <c r="M102" s="1" t="s">
        <v>1487</v>
      </c>
      <c r="N102" s="4" t="e">
        <f t="shared" si="4"/>
        <v>#N/A</v>
      </c>
      <c r="O102" s="1" t="s">
        <v>1488</v>
      </c>
      <c r="P102" s="4" t="e">
        <f>VLOOKUP(A102,المعطيات!$A$1:$J$3500,4,0)</f>
        <v>#N/A</v>
      </c>
      <c r="Q102" s="1" t="s">
        <v>1489</v>
      </c>
      <c r="R102" s="1" t="s">
        <v>1480</v>
      </c>
      <c r="S102" s="6" t="e">
        <f t="shared" si="5"/>
        <v>#N/A</v>
      </c>
    </row>
    <row r="103" spans="2:19" x14ac:dyDescent="0.25">
      <c r="B103" s="1" t="s">
        <v>1479</v>
      </c>
      <c r="C103" s="1" t="s">
        <v>1481</v>
      </c>
      <c r="D103" s="4" t="e">
        <f>VLOOKUP(A103,المعطيات!$A$1:$J$3500,5,0)</f>
        <v>#N/A</v>
      </c>
      <c r="E103" s="1" t="s">
        <v>1482</v>
      </c>
      <c r="F103" s="5">
        <f t="shared" si="3"/>
        <v>0</v>
      </c>
      <c r="G103" s="5" t="s">
        <v>1483</v>
      </c>
      <c r="H103" s="4" t="e">
        <f>VLOOKUP(A103,المعطيات!$A$1:$J$3500,3,0)</f>
        <v>#N/A</v>
      </c>
      <c r="I103" s="1" t="s">
        <v>1484</v>
      </c>
      <c r="J103" s="1" t="s">
        <v>1485</v>
      </c>
      <c r="K103" s="4" t="e">
        <f>VLOOKUP(A103,المعطيات!$A$1:$J$3500,6,0)</f>
        <v>#N/A</v>
      </c>
      <c r="L103" s="1" t="s">
        <v>1486</v>
      </c>
      <c r="M103" s="1" t="s">
        <v>1487</v>
      </c>
      <c r="N103" s="4" t="e">
        <f t="shared" si="4"/>
        <v>#N/A</v>
      </c>
      <c r="O103" s="1" t="s">
        <v>1488</v>
      </c>
      <c r="P103" s="4" t="e">
        <f>VLOOKUP(A103,المعطيات!$A$1:$J$3500,4,0)</f>
        <v>#N/A</v>
      </c>
      <c r="Q103" s="1" t="s">
        <v>1489</v>
      </c>
      <c r="R103" s="1" t="s">
        <v>1480</v>
      </c>
      <c r="S103" s="6" t="e">
        <f t="shared" si="5"/>
        <v>#N/A</v>
      </c>
    </row>
    <row r="104" spans="2:19" x14ac:dyDescent="0.25">
      <c r="B104" s="1" t="s">
        <v>1479</v>
      </c>
      <c r="C104" s="1" t="s">
        <v>1481</v>
      </c>
      <c r="D104" s="4" t="e">
        <f>VLOOKUP(A104,المعطيات!$A$1:$J$3500,5,0)</f>
        <v>#N/A</v>
      </c>
      <c r="E104" s="1" t="s">
        <v>1482</v>
      </c>
      <c r="F104" s="5">
        <f t="shared" si="3"/>
        <v>0</v>
      </c>
      <c r="G104" s="5" t="s">
        <v>1483</v>
      </c>
      <c r="H104" s="4" t="e">
        <f>VLOOKUP(A104,المعطيات!$A$1:$J$3500,3,0)</f>
        <v>#N/A</v>
      </c>
      <c r="I104" s="1" t="s">
        <v>1484</v>
      </c>
      <c r="J104" s="1" t="s">
        <v>1485</v>
      </c>
      <c r="K104" s="4" t="e">
        <f>VLOOKUP(A104,المعطيات!$A$1:$J$3500,6,0)</f>
        <v>#N/A</v>
      </c>
      <c r="L104" s="1" t="s">
        <v>1486</v>
      </c>
      <c r="M104" s="1" t="s">
        <v>1487</v>
      </c>
      <c r="N104" s="4" t="e">
        <f t="shared" si="4"/>
        <v>#N/A</v>
      </c>
      <c r="O104" s="1" t="s">
        <v>1488</v>
      </c>
      <c r="P104" s="4" t="e">
        <f>VLOOKUP(A104,المعطيات!$A$1:$J$3500,4,0)</f>
        <v>#N/A</v>
      </c>
      <c r="Q104" s="1" t="s">
        <v>1489</v>
      </c>
      <c r="R104" s="1" t="s">
        <v>1480</v>
      </c>
      <c r="S104" s="6" t="e">
        <f t="shared" si="5"/>
        <v>#N/A</v>
      </c>
    </row>
    <row r="105" spans="2:19" x14ac:dyDescent="0.25">
      <c r="B105" s="1" t="s">
        <v>1479</v>
      </c>
      <c r="C105" s="1" t="s">
        <v>1481</v>
      </c>
      <c r="D105" s="4" t="e">
        <f>VLOOKUP(A105,المعطيات!$A$1:$J$3500,5,0)</f>
        <v>#N/A</v>
      </c>
      <c r="E105" s="1" t="s">
        <v>1482</v>
      </c>
      <c r="F105" s="5">
        <f t="shared" si="3"/>
        <v>0</v>
      </c>
      <c r="G105" s="5" t="s">
        <v>1483</v>
      </c>
      <c r="H105" s="4" t="e">
        <f>VLOOKUP(A105,المعطيات!$A$1:$J$3500,3,0)</f>
        <v>#N/A</v>
      </c>
      <c r="I105" s="1" t="s">
        <v>1484</v>
      </c>
      <c r="J105" s="1" t="s">
        <v>1485</v>
      </c>
      <c r="K105" s="4" t="e">
        <f>VLOOKUP(A105,المعطيات!$A$1:$J$3500,6,0)</f>
        <v>#N/A</v>
      </c>
      <c r="L105" s="1" t="s">
        <v>1486</v>
      </c>
      <c r="M105" s="1" t="s">
        <v>1487</v>
      </c>
      <c r="N105" s="4" t="e">
        <f t="shared" si="4"/>
        <v>#N/A</v>
      </c>
      <c r="O105" s="1" t="s">
        <v>1488</v>
      </c>
      <c r="P105" s="4" t="e">
        <f>VLOOKUP(A105,المعطيات!$A$1:$J$3500,4,0)</f>
        <v>#N/A</v>
      </c>
      <c r="Q105" s="1" t="s">
        <v>1489</v>
      </c>
      <c r="R105" s="1" t="s">
        <v>1480</v>
      </c>
      <c r="S105" s="6" t="e">
        <f t="shared" si="5"/>
        <v>#N/A</v>
      </c>
    </row>
    <row r="106" spans="2:19" x14ac:dyDescent="0.25">
      <c r="B106" s="1" t="s">
        <v>1479</v>
      </c>
      <c r="C106" s="1" t="s">
        <v>1481</v>
      </c>
      <c r="D106" s="4" t="e">
        <f>VLOOKUP(A106,المعطيات!$A$1:$J$3500,5,0)</f>
        <v>#N/A</v>
      </c>
      <c r="E106" s="1" t="s">
        <v>1482</v>
      </c>
      <c r="F106" s="5">
        <f t="shared" si="3"/>
        <v>0</v>
      </c>
      <c r="G106" s="5" t="s">
        <v>1483</v>
      </c>
      <c r="H106" s="4" t="e">
        <f>VLOOKUP(A106,المعطيات!$A$1:$J$3500,3,0)</f>
        <v>#N/A</v>
      </c>
      <c r="I106" s="1" t="s">
        <v>1484</v>
      </c>
      <c r="J106" s="1" t="s">
        <v>1485</v>
      </c>
      <c r="K106" s="4" t="e">
        <f>VLOOKUP(A106,المعطيات!$A$1:$J$3500,6,0)</f>
        <v>#N/A</v>
      </c>
      <c r="L106" s="1" t="s">
        <v>1486</v>
      </c>
      <c r="M106" s="1" t="s">
        <v>1487</v>
      </c>
      <c r="N106" s="4" t="e">
        <f t="shared" si="4"/>
        <v>#N/A</v>
      </c>
      <c r="O106" s="1" t="s">
        <v>1488</v>
      </c>
      <c r="P106" s="4" t="e">
        <f>VLOOKUP(A106,المعطيات!$A$1:$J$3500,4,0)</f>
        <v>#N/A</v>
      </c>
      <c r="Q106" s="1" t="s">
        <v>1489</v>
      </c>
      <c r="R106" s="1" t="s">
        <v>1480</v>
      </c>
      <c r="S106" s="6" t="e">
        <f t="shared" si="5"/>
        <v>#N/A</v>
      </c>
    </row>
    <row r="107" spans="2:19" x14ac:dyDescent="0.25">
      <c r="B107" s="1" t="s">
        <v>1479</v>
      </c>
      <c r="C107" s="1" t="s">
        <v>1481</v>
      </c>
      <c r="D107" s="4" t="e">
        <f>VLOOKUP(A107,المعطيات!$A$1:$J$3500,5,0)</f>
        <v>#N/A</v>
      </c>
      <c r="E107" s="1" t="s">
        <v>1482</v>
      </c>
      <c r="F107" s="5">
        <f t="shared" si="3"/>
        <v>0</v>
      </c>
      <c r="G107" s="5" t="s">
        <v>1483</v>
      </c>
      <c r="H107" s="4" t="e">
        <f>VLOOKUP(A107,المعطيات!$A$1:$J$3500,3,0)</f>
        <v>#N/A</v>
      </c>
      <c r="I107" s="1" t="s">
        <v>1484</v>
      </c>
      <c r="J107" s="1" t="s">
        <v>1485</v>
      </c>
      <c r="K107" s="4" t="e">
        <f>VLOOKUP(A107,المعطيات!$A$1:$J$3500,6,0)</f>
        <v>#N/A</v>
      </c>
      <c r="L107" s="1" t="s">
        <v>1486</v>
      </c>
      <c r="M107" s="1" t="s">
        <v>1487</v>
      </c>
      <c r="N107" s="4" t="e">
        <f t="shared" si="4"/>
        <v>#N/A</v>
      </c>
      <c r="O107" s="1" t="s">
        <v>1488</v>
      </c>
      <c r="P107" s="4" t="e">
        <f>VLOOKUP(A107,المعطيات!$A$1:$J$3500,4,0)</f>
        <v>#N/A</v>
      </c>
      <c r="Q107" s="1" t="s">
        <v>1489</v>
      </c>
      <c r="R107" s="1" t="s">
        <v>1480</v>
      </c>
      <c r="S107" s="6" t="e">
        <f t="shared" si="5"/>
        <v>#N/A</v>
      </c>
    </row>
    <row r="108" spans="2:19" x14ac:dyDescent="0.25">
      <c r="B108" s="1" t="s">
        <v>1479</v>
      </c>
      <c r="C108" s="1" t="s">
        <v>1481</v>
      </c>
      <c r="D108" s="4" t="e">
        <f>VLOOKUP(A108,المعطيات!$A$1:$J$3500,5,0)</f>
        <v>#N/A</v>
      </c>
      <c r="E108" s="1" t="s">
        <v>1482</v>
      </c>
      <c r="F108" s="5">
        <f t="shared" si="3"/>
        <v>0</v>
      </c>
      <c r="G108" s="5" t="s">
        <v>1483</v>
      </c>
      <c r="H108" s="4" t="e">
        <f>VLOOKUP(A108,المعطيات!$A$1:$J$3500,3,0)</f>
        <v>#N/A</v>
      </c>
      <c r="I108" s="1" t="s">
        <v>1484</v>
      </c>
      <c r="J108" s="1" t="s">
        <v>1485</v>
      </c>
      <c r="K108" s="4" t="e">
        <f>VLOOKUP(A108,المعطيات!$A$1:$J$3500,6,0)</f>
        <v>#N/A</v>
      </c>
      <c r="L108" s="1" t="s">
        <v>1486</v>
      </c>
      <c r="M108" s="1" t="s">
        <v>1487</v>
      </c>
      <c r="N108" s="4" t="e">
        <f t="shared" si="4"/>
        <v>#N/A</v>
      </c>
      <c r="O108" s="1" t="s">
        <v>1488</v>
      </c>
      <c r="P108" s="4" t="e">
        <f>VLOOKUP(A108,المعطيات!$A$1:$J$3500,4,0)</f>
        <v>#N/A</v>
      </c>
      <c r="Q108" s="1" t="s">
        <v>1489</v>
      </c>
      <c r="R108" s="1" t="s">
        <v>1480</v>
      </c>
      <c r="S108" s="6" t="e">
        <f t="shared" si="5"/>
        <v>#N/A</v>
      </c>
    </row>
    <row r="109" spans="2:19" x14ac:dyDescent="0.25">
      <c r="B109" s="1" t="s">
        <v>1479</v>
      </c>
      <c r="C109" s="1" t="s">
        <v>1481</v>
      </c>
      <c r="D109" s="4" t="e">
        <f>VLOOKUP(A109,المعطيات!$A$1:$J$3500,5,0)</f>
        <v>#N/A</v>
      </c>
      <c r="E109" s="1" t="s">
        <v>1482</v>
      </c>
      <c r="F109" s="5">
        <f t="shared" si="3"/>
        <v>0</v>
      </c>
      <c r="G109" s="5" t="s">
        <v>1483</v>
      </c>
      <c r="H109" s="4" t="e">
        <f>VLOOKUP(A109,المعطيات!$A$1:$J$3500,3,0)</f>
        <v>#N/A</v>
      </c>
      <c r="I109" s="1" t="s">
        <v>1484</v>
      </c>
      <c r="J109" s="1" t="s">
        <v>1485</v>
      </c>
      <c r="K109" s="4" t="e">
        <f>VLOOKUP(A109,المعطيات!$A$1:$J$3500,6,0)</f>
        <v>#N/A</v>
      </c>
      <c r="L109" s="1" t="s">
        <v>1486</v>
      </c>
      <c r="M109" s="1" t="s">
        <v>1487</v>
      </c>
      <c r="N109" s="4" t="e">
        <f t="shared" si="4"/>
        <v>#N/A</v>
      </c>
      <c r="O109" s="1" t="s">
        <v>1488</v>
      </c>
      <c r="P109" s="4" t="e">
        <f>VLOOKUP(A109,المعطيات!$A$1:$J$3500,4,0)</f>
        <v>#N/A</v>
      </c>
      <c r="Q109" s="1" t="s">
        <v>1489</v>
      </c>
      <c r="R109" s="1" t="s">
        <v>1480</v>
      </c>
      <c r="S109" s="6" t="e">
        <f t="shared" si="5"/>
        <v>#N/A</v>
      </c>
    </row>
    <row r="110" spans="2:19" x14ac:dyDescent="0.25">
      <c r="B110" s="1" t="s">
        <v>1479</v>
      </c>
      <c r="C110" s="1" t="s">
        <v>1481</v>
      </c>
      <c r="D110" s="4" t="e">
        <f>VLOOKUP(A110,المعطيات!$A$1:$J$3500,5,0)</f>
        <v>#N/A</v>
      </c>
      <c r="E110" s="1" t="s">
        <v>1482</v>
      </c>
      <c r="F110" s="5">
        <f t="shared" si="3"/>
        <v>0</v>
      </c>
      <c r="G110" s="5" t="s">
        <v>1483</v>
      </c>
      <c r="H110" s="4" t="e">
        <f>VLOOKUP(A110,المعطيات!$A$1:$J$3500,3,0)</f>
        <v>#N/A</v>
      </c>
      <c r="I110" s="1" t="s">
        <v>1484</v>
      </c>
      <c r="J110" s="1" t="s">
        <v>1485</v>
      </c>
      <c r="K110" s="4" t="e">
        <f>VLOOKUP(A110,المعطيات!$A$1:$J$3500,6,0)</f>
        <v>#N/A</v>
      </c>
      <c r="L110" s="1" t="s">
        <v>1486</v>
      </c>
      <c r="M110" s="1" t="s">
        <v>1487</v>
      </c>
      <c r="N110" s="4" t="e">
        <f t="shared" si="4"/>
        <v>#N/A</v>
      </c>
      <c r="O110" s="1" t="s">
        <v>1488</v>
      </c>
      <c r="P110" s="4" t="e">
        <f>VLOOKUP(A110,المعطيات!$A$1:$J$3500,4,0)</f>
        <v>#N/A</v>
      </c>
      <c r="Q110" s="1" t="s">
        <v>1489</v>
      </c>
      <c r="R110" s="1" t="s">
        <v>1480</v>
      </c>
      <c r="S110" s="6" t="e">
        <f t="shared" si="5"/>
        <v>#N/A</v>
      </c>
    </row>
    <row r="111" spans="2:19" x14ac:dyDescent="0.25">
      <c r="B111" s="1" t="s">
        <v>1479</v>
      </c>
      <c r="C111" s="1" t="s">
        <v>1481</v>
      </c>
      <c r="D111" s="4" t="e">
        <f>VLOOKUP(A111,المعطيات!$A$1:$J$3500,5,0)</f>
        <v>#N/A</v>
      </c>
      <c r="E111" s="1" t="s">
        <v>1482</v>
      </c>
      <c r="F111" s="5">
        <f t="shared" si="3"/>
        <v>0</v>
      </c>
      <c r="G111" s="5" t="s">
        <v>1483</v>
      </c>
      <c r="H111" s="4" t="e">
        <f>VLOOKUP(A111,المعطيات!$A$1:$J$3500,3,0)</f>
        <v>#N/A</v>
      </c>
      <c r="I111" s="1" t="s">
        <v>1484</v>
      </c>
      <c r="J111" s="1" t="s">
        <v>1485</v>
      </c>
      <c r="K111" s="4" t="e">
        <f>VLOOKUP(A111,المعطيات!$A$1:$J$3500,6,0)</f>
        <v>#N/A</v>
      </c>
      <c r="L111" s="1" t="s">
        <v>1486</v>
      </c>
      <c r="M111" s="1" t="s">
        <v>1487</v>
      </c>
      <c r="N111" s="4" t="e">
        <f t="shared" si="4"/>
        <v>#N/A</v>
      </c>
      <c r="O111" s="1" t="s">
        <v>1488</v>
      </c>
      <c r="P111" s="4" t="e">
        <f>VLOOKUP(A111,المعطيات!$A$1:$J$3500,4,0)</f>
        <v>#N/A</v>
      </c>
      <c r="Q111" s="1" t="s">
        <v>1489</v>
      </c>
      <c r="R111" s="1" t="s">
        <v>1480</v>
      </c>
      <c r="S111" s="6" t="e">
        <f t="shared" si="5"/>
        <v>#N/A</v>
      </c>
    </row>
    <row r="112" spans="2:19" x14ac:dyDescent="0.25">
      <c r="B112" s="1" t="s">
        <v>1479</v>
      </c>
      <c r="C112" s="1" t="s">
        <v>1481</v>
      </c>
      <c r="D112" s="4" t="e">
        <f>VLOOKUP(A112,المعطيات!$A$1:$J$3500,5,0)</f>
        <v>#N/A</v>
      </c>
      <c r="E112" s="1" t="s">
        <v>1482</v>
      </c>
      <c r="F112" s="5">
        <f t="shared" si="3"/>
        <v>0</v>
      </c>
      <c r="G112" s="5" t="s">
        <v>1483</v>
      </c>
      <c r="H112" s="4" t="e">
        <f>VLOOKUP(A112,المعطيات!$A$1:$J$3500,3,0)</f>
        <v>#N/A</v>
      </c>
      <c r="I112" s="1" t="s">
        <v>1484</v>
      </c>
      <c r="J112" s="1" t="s">
        <v>1485</v>
      </c>
      <c r="K112" s="4" t="e">
        <f>VLOOKUP(A112,المعطيات!$A$1:$J$3500,6,0)</f>
        <v>#N/A</v>
      </c>
      <c r="L112" s="1" t="s">
        <v>1486</v>
      </c>
      <c r="M112" s="1" t="s">
        <v>1487</v>
      </c>
      <c r="N112" s="4" t="e">
        <f t="shared" si="4"/>
        <v>#N/A</v>
      </c>
      <c r="O112" s="1" t="s">
        <v>1488</v>
      </c>
      <c r="P112" s="4" t="e">
        <f>VLOOKUP(A112,المعطيات!$A$1:$J$3500,4,0)</f>
        <v>#N/A</v>
      </c>
      <c r="Q112" s="1" t="s">
        <v>1489</v>
      </c>
      <c r="R112" s="1" t="s">
        <v>1480</v>
      </c>
      <c r="S112" s="6" t="e">
        <f t="shared" si="5"/>
        <v>#N/A</v>
      </c>
    </row>
    <row r="113" spans="2:19" x14ac:dyDescent="0.25">
      <c r="B113" s="1" t="s">
        <v>1479</v>
      </c>
      <c r="C113" s="1" t="s">
        <v>1481</v>
      </c>
      <c r="D113" s="4" t="e">
        <f>VLOOKUP(A113,المعطيات!$A$1:$J$3500,5,0)</f>
        <v>#N/A</v>
      </c>
      <c r="E113" s="1" t="s">
        <v>1482</v>
      </c>
      <c r="F113" s="5">
        <f t="shared" si="3"/>
        <v>0</v>
      </c>
      <c r="G113" s="5" t="s">
        <v>1483</v>
      </c>
      <c r="H113" s="4" t="e">
        <f>VLOOKUP(A113,المعطيات!$A$1:$J$3500,3,0)</f>
        <v>#N/A</v>
      </c>
      <c r="I113" s="1" t="s">
        <v>1484</v>
      </c>
      <c r="J113" s="1" t="s">
        <v>1485</v>
      </c>
      <c r="K113" s="4" t="e">
        <f>VLOOKUP(A113,المعطيات!$A$1:$J$3500,6,0)</f>
        <v>#N/A</v>
      </c>
      <c r="L113" s="1" t="s">
        <v>1486</v>
      </c>
      <c r="M113" s="1" t="s">
        <v>1487</v>
      </c>
      <c r="N113" s="4" t="e">
        <f t="shared" si="4"/>
        <v>#N/A</v>
      </c>
      <c r="O113" s="1" t="s">
        <v>1488</v>
      </c>
      <c r="P113" s="4" t="e">
        <f>VLOOKUP(A113,المعطيات!$A$1:$J$3500,4,0)</f>
        <v>#N/A</v>
      </c>
      <c r="Q113" s="1" t="s">
        <v>1489</v>
      </c>
      <c r="R113" s="1" t="s">
        <v>1480</v>
      </c>
      <c r="S113" s="6" t="e">
        <f t="shared" si="5"/>
        <v>#N/A</v>
      </c>
    </row>
    <row r="114" spans="2:19" x14ac:dyDescent="0.25">
      <c r="B114" s="1" t="s">
        <v>1479</v>
      </c>
      <c r="C114" s="1" t="s">
        <v>1481</v>
      </c>
      <c r="D114" s="4" t="e">
        <f>VLOOKUP(A114,المعطيات!$A$1:$J$3500,5,0)</f>
        <v>#N/A</v>
      </c>
      <c r="E114" s="1" t="s">
        <v>1482</v>
      </c>
      <c r="F114" s="5">
        <f t="shared" si="3"/>
        <v>0</v>
      </c>
      <c r="G114" s="5" t="s">
        <v>1483</v>
      </c>
      <c r="H114" s="4" t="e">
        <f>VLOOKUP(A114,المعطيات!$A$1:$J$3500,3,0)</f>
        <v>#N/A</v>
      </c>
      <c r="I114" s="1" t="s">
        <v>1484</v>
      </c>
      <c r="J114" s="1" t="s">
        <v>1485</v>
      </c>
      <c r="K114" s="4" t="e">
        <f>VLOOKUP(A114,المعطيات!$A$1:$J$3500,6,0)</f>
        <v>#N/A</v>
      </c>
      <c r="L114" s="1" t="s">
        <v>1486</v>
      </c>
      <c r="M114" s="1" t="s">
        <v>1487</v>
      </c>
      <c r="N114" s="4" t="e">
        <f t="shared" si="4"/>
        <v>#N/A</v>
      </c>
      <c r="O114" s="1" t="s">
        <v>1488</v>
      </c>
      <c r="P114" s="4" t="e">
        <f>VLOOKUP(A114,المعطيات!$A$1:$J$3500,4,0)</f>
        <v>#N/A</v>
      </c>
      <c r="Q114" s="1" t="s">
        <v>1489</v>
      </c>
      <c r="R114" s="1" t="s">
        <v>1480</v>
      </c>
      <c r="S114" s="6" t="e">
        <f t="shared" si="5"/>
        <v>#N/A</v>
      </c>
    </row>
    <row r="115" spans="2:19" x14ac:dyDescent="0.25">
      <c r="B115" s="1" t="s">
        <v>1479</v>
      </c>
      <c r="C115" s="1" t="s">
        <v>1481</v>
      </c>
      <c r="D115" s="4" t="e">
        <f>VLOOKUP(A115,المعطيات!$A$1:$J$3500,5,0)</f>
        <v>#N/A</v>
      </c>
      <c r="E115" s="1" t="s">
        <v>1482</v>
      </c>
      <c r="F115" s="5">
        <f t="shared" si="3"/>
        <v>0</v>
      </c>
      <c r="G115" s="5" t="s">
        <v>1483</v>
      </c>
      <c r="H115" s="4" t="e">
        <f>VLOOKUP(A115,المعطيات!$A$1:$J$3500,3,0)</f>
        <v>#N/A</v>
      </c>
      <c r="I115" s="1" t="s">
        <v>1484</v>
      </c>
      <c r="J115" s="1" t="s">
        <v>1485</v>
      </c>
      <c r="K115" s="4" t="e">
        <f>VLOOKUP(A115,المعطيات!$A$1:$J$3500,6,0)</f>
        <v>#N/A</v>
      </c>
      <c r="L115" s="1" t="s">
        <v>1486</v>
      </c>
      <c r="M115" s="1" t="s">
        <v>1487</v>
      </c>
      <c r="N115" s="4" t="e">
        <f t="shared" si="4"/>
        <v>#N/A</v>
      </c>
      <c r="O115" s="1" t="s">
        <v>1488</v>
      </c>
      <c r="P115" s="4" t="e">
        <f>VLOOKUP(A115,المعطيات!$A$1:$J$3500,4,0)</f>
        <v>#N/A</v>
      </c>
      <c r="Q115" s="1" t="s">
        <v>1489</v>
      </c>
      <c r="R115" s="1" t="s">
        <v>1480</v>
      </c>
      <c r="S115" s="6" t="e">
        <f t="shared" si="5"/>
        <v>#N/A</v>
      </c>
    </row>
    <row r="116" spans="2:19" x14ac:dyDescent="0.25">
      <c r="B116" s="1" t="s">
        <v>1479</v>
      </c>
      <c r="C116" s="1" t="s">
        <v>1481</v>
      </c>
      <c r="D116" s="4" t="e">
        <f>VLOOKUP(A116,المعطيات!$A$1:$J$3500,5,0)</f>
        <v>#N/A</v>
      </c>
      <c r="E116" s="1" t="s">
        <v>1482</v>
      </c>
      <c r="F116" s="5">
        <f t="shared" si="3"/>
        <v>0</v>
      </c>
      <c r="G116" s="5" t="s">
        <v>1483</v>
      </c>
      <c r="H116" s="4" t="e">
        <f>VLOOKUP(A116,المعطيات!$A$1:$J$3500,3,0)</f>
        <v>#N/A</v>
      </c>
      <c r="I116" s="1" t="s">
        <v>1484</v>
      </c>
      <c r="J116" s="1" t="s">
        <v>1485</v>
      </c>
      <c r="K116" s="4" t="e">
        <f>VLOOKUP(A116,المعطيات!$A$1:$J$3500,6,0)</f>
        <v>#N/A</v>
      </c>
      <c r="L116" s="1" t="s">
        <v>1486</v>
      </c>
      <c r="M116" s="1" t="s">
        <v>1487</v>
      </c>
      <c r="N116" s="4" t="e">
        <f t="shared" si="4"/>
        <v>#N/A</v>
      </c>
      <c r="O116" s="1" t="s">
        <v>1488</v>
      </c>
      <c r="P116" s="4" t="e">
        <f>VLOOKUP(A116,المعطيات!$A$1:$J$3500,4,0)</f>
        <v>#N/A</v>
      </c>
      <c r="Q116" s="1" t="s">
        <v>1489</v>
      </c>
      <c r="R116" s="1" t="s">
        <v>1480</v>
      </c>
      <c r="S116" s="6" t="e">
        <f t="shared" si="5"/>
        <v>#N/A</v>
      </c>
    </row>
    <row r="117" spans="2:19" x14ac:dyDescent="0.25">
      <c r="B117" s="1" t="s">
        <v>1479</v>
      </c>
      <c r="C117" s="1" t="s">
        <v>1481</v>
      </c>
      <c r="D117" s="4" t="e">
        <f>VLOOKUP(A117,المعطيات!$A$1:$J$3500,5,0)</f>
        <v>#N/A</v>
      </c>
      <c r="E117" s="1" t="s">
        <v>1482</v>
      </c>
      <c r="F117" s="5">
        <f t="shared" si="3"/>
        <v>0</v>
      </c>
      <c r="G117" s="5" t="s">
        <v>1483</v>
      </c>
      <c r="H117" s="4" t="e">
        <f>VLOOKUP(A117,المعطيات!$A$1:$J$3500,3,0)</f>
        <v>#N/A</v>
      </c>
      <c r="I117" s="1" t="s">
        <v>1484</v>
      </c>
      <c r="J117" s="1" t="s">
        <v>1485</v>
      </c>
      <c r="K117" s="4" t="e">
        <f>VLOOKUP(A117,المعطيات!$A$1:$J$3500,6,0)</f>
        <v>#N/A</v>
      </c>
      <c r="L117" s="1" t="s">
        <v>1486</v>
      </c>
      <c r="M117" s="1" t="s">
        <v>1487</v>
      </c>
      <c r="N117" s="4" t="e">
        <f t="shared" si="4"/>
        <v>#N/A</v>
      </c>
      <c r="O117" s="1" t="s">
        <v>1488</v>
      </c>
      <c r="P117" s="4" t="e">
        <f>VLOOKUP(A117,المعطيات!$A$1:$J$3500,4,0)</f>
        <v>#N/A</v>
      </c>
      <c r="Q117" s="1" t="s">
        <v>1489</v>
      </c>
      <c r="R117" s="1" t="s">
        <v>1480</v>
      </c>
      <c r="S117" s="6" t="e">
        <f t="shared" si="5"/>
        <v>#N/A</v>
      </c>
    </row>
    <row r="118" spans="2:19" x14ac:dyDescent="0.25">
      <c r="B118" s="1" t="s">
        <v>1479</v>
      </c>
      <c r="C118" s="1" t="s">
        <v>1481</v>
      </c>
      <c r="D118" s="4" t="e">
        <f>VLOOKUP(A118,المعطيات!$A$1:$J$3500,5,0)</f>
        <v>#N/A</v>
      </c>
      <c r="E118" s="1" t="s">
        <v>1482</v>
      </c>
      <c r="F118" s="5">
        <f t="shared" si="3"/>
        <v>0</v>
      </c>
      <c r="G118" s="5" t="s">
        <v>1483</v>
      </c>
      <c r="H118" s="4" t="e">
        <f>VLOOKUP(A118,المعطيات!$A$1:$J$3500,3,0)</f>
        <v>#N/A</v>
      </c>
      <c r="I118" s="1" t="s">
        <v>1484</v>
      </c>
      <c r="J118" s="1" t="s">
        <v>1485</v>
      </c>
      <c r="K118" s="4" t="e">
        <f>VLOOKUP(A118,المعطيات!$A$1:$J$3500,6,0)</f>
        <v>#N/A</v>
      </c>
      <c r="L118" s="1" t="s">
        <v>1486</v>
      </c>
      <c r="M118" s="1" t="s">
        <v>1487</v>
      </c>
      <c r="N118" s="4" t="e">
        <f t="shared" si="4"/>
        <v>#N/A</v>
      </c>
      <c r="O118" s="1" t="s">
        <v>1488</v>
      </c>
      <c r="P118" s="4" t="e">
        <f>VLOOKUP(A118,المعطيات!$A$1:$J$3500,4,0)</f>
        <v>#N/A</v>
      </c>
      <c r="Q118" s="1" t="s">
        <v>1489</v>
      </c>
      <c r="R118" s="1" t="s">
        <v>1480</v>
      </c>
      <c r="S118" s="6" t="e">
        <f t="shared" si="5"/>
        <v>#N/A</v>
      </c>
    </row>
    <row r="119" spans="2:19" x14ac:dyDescent="0.25">
      <c r="B119" s="1" t="s">
        <v>1479</v>
      </c>
      <c r="C119" s="1" t="s">
        <v>1481</v>
      </c>
      <c r="D119" s="4" t="e">
        <f>VLOOKUP(A119,المعطيات!$A$1:$J$3500,5,0)</f>
        <v>#N/A</v>
      </c>
      <c r="E119" s="1" t="s">
        <v>1482</v>
      </c>
      <c r="F119" s="5">
        <f t="shared" si="3"/>
        <v>0</v>
      </c>
      <c r="G119" s="5" t="s">
        <v>1483</v>
      </c>
      <c r="H119" s="4" t="e">
        <f>VLOOKUP(A119,المعطيات!$A$1:$J$3500,3,0)</f>
        <v>#N/A</v>
      </c>
      <c r="I119" s="1" t="s">
        <v>1484</v>
      </c>
      <c r="J119" s="1" t="s">
        <v>1485</v>
      </c>
      <c r="K119" s="4" t="e">
        <f>VLOOKUP(A119,المعطيات!$A$1:$J$3500,6,0)</f>
        <v>#N/A</v>
      </c>
      <c r="L119" s="1" t="s">
        <v>1486</v>
      </c>
      <c r="M119" s="1" t="s">
        <v>1487</v>
      </c>
      <c r="N119" s="4" t="e">
        <f t="shared" si="4"/>
        <v>#N/A</v>
      </c>
      <c r="O119" s="1" t="s">
        <v>1488</v>
      </c>
      <c r="P119" s="4" t="e">
        <f>VLOOKUP(A119,المعطيات!$A$1:$J$3500,4,0)</f>
        <v>#N/A</v>
      </c>
      <c r="Q119" s="1" t="s">
        <v>1489</v>
      </c>
      <c r="R119" s="1" t="s">
        <v>1480</v>
      </c>
      <c r="S119" s="6" t="e">
        <f t="shared" si="5"/>
        <v>#N/A</v>
      </c>
    </row>
    <row r="120" spans="2:19" x14ac:dyDescent="0.25">
      <c r="B120" s="1" t="s">
        <v>1479</v>
      </c>
      <c r="C120" s="1" t="s">
        <v>1481</v>
      </c>
      <c r="D120" s="4" t="e">
        <f>VLOOKUP(A120,المعطيات!$A$1:$J$3500,5,0)</f>
        <v>#N/A</v>
      </c>
      <c r="E120" s="1" t="s">
        <v>1482</v>
      </c>
      <c r="F120" s="5">
        <f t="shared" si="3"/>
        <v>0</v>
      </c>
      <c r="G120" s="5" t="s">
        <v>1483</v>
      </c>
      <c r="H120" s="4" t="e">
        <f>VLOOKUP(A120,المعطيات!$A$1:$J$3500,3,0)</f>
        <v>#N/A</v>
      </c>
      <c r="I120" s="1" t="s">
        <v>1484</v>
      </c>
      <c r="J120" s="1" t="s">
        <v>1485</v>
      </c>
      <c r="K120" s="4" t="e">
        <f>VLOOKUP(A120,المعطيات!$A$1:$J$3500,6,0)</f>
        <v>#N/A</v>
      </c>
      <c r="L120" s="1" t="s">
        <v>1486</v>
      </c>
      <c r="M120" s="1" t="s">
        <v>1487</v>
      </c>
      <c r="N120" s="4" t="e">
        <f t="shared" si="4"/>
        <v>#N/A</v>
      </c>
      <c r="O120" s="1" t="s">
        <v>1488</v>
      </c>
      <c r="P120" s="4" t="e">
        <f>VLOOKUP(A120,المعطيات!$A$1:$J$3500,4,0)</f>
        <v>#N/A</v>
      </c>
      <c r="Q120" s="1" t="s">
        <v>1489</v>
      </c>
      <c r="R120" s="1" t="s">
        <v>1480</v>
      </c>
      <c r="S120" s="6" t="e">
        <f t="shared" si="5"/>
        <v>#N/A</v>
      </c>
    </row>
    <row r="121" spans="2:19" x14ac:dyDescent="0.25">
      <c r="B121" s="1" t="s">
        <v>1479</v>
      </c>
      <c r="C121" s="1" t="s">
        <v>1481</v>
      </c>
      <c r="D121" s="4" t="e">
        <f>VLOOKUP(A121,المعطيات!$A$1:$J$3500,5,0)</f>
        <v>#N/A</v>
      </c>
      <c r="E121" s="1" t="s">
        <v>1482</v>
      </c>
      <c r="F121" s="5">
        <f t="shared" si="3"/>
        <v>0</v>
      </c>
      <c r="G121" s="5" t="s">
        <v>1483</v>
      </c>
      <c r="H121" s="4" t="e">
        <f>VLOOKUP(A121,المعطيات!$A$1:$J$3500,3,0)</f>
        <v>#N/A</v>
      </c>
      <c r="I121" s="1" t="s">
        <v>1484</v>
      </c>
      <c r="J121" s="1" t="s">
        <v>1485</v>
      </c>
      <c r="K121" s="4" t="e">
        <f>VLOOKUP(A121,المعطيات!$A$1:$J$3500,6,0)</f>
        <v>#N/A</v>
      </c>
      <c r="L121" s="1" t="s">
        <v>1486</v>
      </c>
      <c r="M121" s="1" t="s">
        <v>1487</v>
      </c>
      <c r="N121" s="4" t="e">
        <f t="shared" si="4"/>
        <v>#N/A</v>
      </c>
      <c r="O121" s="1" t="s">
        <v>1488</v>
      </c>
      <c r="P121" s="4" t="e">
        <f>VLOOKUP(A121,المعطيات!$A$1:$J$3500,4,0)</f>
        <v>#N/A</v>
      </c>
      <c r="Q121" s="1" t="s">
        <v>1489</v>
      </c>
      <c r="R121" s="1" t="s">
        <v>1480</v>
      </c>
      <c r="S121" s="6" t="e">
        <f t="shared" si="5"/>
        <v>#N/A</v>
      </c>
    </row>
    <row r="122" spans="2:19" x14ac:dyDescent="0.25">
      <c r="B122" s="1" t="s">
        <v>1479</v>
      </c>
      <c r="C122" s="1" t="s">
        <v>1481</v>
      </c>
      <c r="D122" s="4" t="e">
        <f>VLOOKUP(A122,المعطيات!$A$1:$J$3500,5,0)</f>
        <v>#N/A</v>
      </c>
      <c r="E122" s="1" t="s">
        <v>1482</v>
      </c>
      <c r="F122" s="5">
        <f t="shared" si="3"/>
        <v>0</v>
      </c>
      <c r="G122" s="5" t="s">
        <v>1483</v>
      </c>
      <c r="H122" s="4" t="e">
        <f>VLOOKUP(A122,المعطيات!$A$1:$J$3500,3,0)</f>
        <v>#N/A</v>
      </c>
      <c r="I122" s="1" t="s">
        <v>1484</v>
      </c>
      <c r="J122" s="1" t="s">
        <v>1485</v>
      </c>
      <c r="K122" s="4" t="e">
        <f>VLOOKUP(A122,المعطيات!$A$1:$J$3500,6,0)</f>
        <v>#N/A</v>
      </c>
      <c r="L122" s="1" t="s">
        <v>1486</v>
      </c>
      <c r="M122" s="1" t="s">
        <v>1487</v>
      </c>
      <c r="N122" s="4" t="e">
        <f t="shared" si="4"/>
        <v>#N/A</v>
      </c>
      <c r="O122" s="1" t="s">
        <v>1488</v>
      </c>
      <c r="P122" s="4" t="e">
        <f>VLOOKUP(A122,المعطيات!$A$1:$J$3500,4,0)</f>
        <v>#N/A</v>
      </c>
      <c r="Q122" s="1" t="s">
        <v>1489</v>
      </c>
      <c r="R122" s="1" t="s">
        <v>1480</v>
      </c>
      <c r="S122" s="6" t="e">
        <f t="shared" si="5"/>
        <v>#N/A</v>
      </c>
    </row>
    <row r="123" spans="2:19" x14ac:dyDescent="0.25">
      <c r="B123" s="1" t="s">
        <v>1479</v>
      </c>
      <c r="C123" s="1" t="s">
        <v>1481</v>
      </c>
      <c r="D123" s="4" t="e">
        <f>VLOOKUP(A123,المعطيات!$A$1:$J$3500,5,0)</f>
        <v>#N/A</v>
      </c>
      <c r="E123" s="1" t="s">
        <v>1482</v>
      </c>
      <c r="F123" s="5">
        <f t="shared" si="3"/>
        <v>0</v>
      </c>
      <c r="G123" s="5" t="s">
        <v>1483</v>
      </c>
      <c r="H123" s="4" t="e">
        <f>VLOOKUP(A123,المعطيات!$A$1:$J$3500,3,0)</f>
        <v>#N/A</v>
      </c>
      <c r="I123" s="1" t="s">
        <v>1484</v>
      </c>
      <c r="J123" s="1" t="s">
        <v>1485</v>
      </c>
      <c r="K123" s="4" t="e">
        <f>VLOOKUP(A123,المعطيات!$A$1:$J$3500,6,0)</f>
        <v>#N/A</v>
      </c>
      <c r="L123" s="1" t="s">
        <v>1486</v>
      </c>
      <c r="M123" s="1" t="s">
        <v>1487</v>
      </c>
      <c r="N123" s="4" t="e">
        <f t="shared" si="4"/>
        <v>#N/A</v>
      </c>
      <c r="O123" s="1" t="s">
        <v>1488</v>
      </c>
      <c r="P123" s="4" t="e">
        <f>VLOOKUP(A123,المعطيات!$A$1:$J$3500,4,0)</f>
        <v>#N/A</v>
      </c>
      <c r="Q123" s="1" t="s">
        <v>1489</v>
      </c>
      <c r="R123" s="1" t="s">
        <v>1480</v>
      </c>
      <c r="S123" s="6" t="e">
        <f t="shared" si="5"/>
        <v>#N/A</v>
      </c>
    </row>
    <row r="124" spans="2:19" x14ac:dyDescent="0.25">
      <c r="B124" s="1" t="s">
        <v>1479</v>
      </c>
      <c r="C124" s="1" t="s">
        <v>1481</v>
      </c>
      <c r="D124" s="4" t="e">
        <f>VLOOKUP(A124,المعطيات!$A$1:$J$3500,5,0)</f>
        <v>#N/A</v>
      </c>
      <c r="E124" s="1" t="s">
        <v>1482</v>
      </c>
      <c r="F124" s="5">
        <f t="shared" si="3"/>
        <v>0</v>
      </c>
      <c r="G124" s="5" t="s">
        <v>1483</v>
      </c>
      <c r="H124" s="4" t="e">
        <f>VLOOKUP(A124,المعطيات!$A$1:$J$3500,3,0)</f>
        <v>#N/A</v>
      </c>
      <c r="I124" s="1" t="s">
        <v>1484</v>
      </c>
      <c r="J124" s="1" t="s">
        <v>1485</v>
      </c>
      <c r="K124" s="4" t="e">
        <f>VLOOKUP(A124,المعطيات!$A$1:$J$3500,6,0)</f>
        <v>#N/A</v>
      </c>
      <c r="L124" s="1" t="s">
        <v>1486</v>
      </c>
      <c r="M124" s="1" t="s">
        <v>1487</v>
      </c>
      <c r="N124" s="4" t="e">
        <f t="shared" si="4"/>
        <v>#N/A</v>
      </c>
      <c r="O124" s="1" t="s">
        <v>1488</v>
      </c>
      <c r="P124" s="4" t="e">
        <f>VLOOKUP(A124,المعطيات!$A$1:$J$3500,4,0)</f>
        <v>#N/A</v>
      </c>
      <c r="Q124" s="1" t="s">
        <v>1489</v>
      </c>
      <c r="R124" s="1" t="s">
        <v>1480</v>
      </c>
      <c r="S124" s="6" t="e">
        <f t="shared" si="5"/>
        <v>#N/A</v>
      </c>
    </row>
    <row r="125" spans="2:19" x14ac:dyDescent="0.25">
      <c r="B125" s="1" t="s">
        <v>1479</v>
      </c>
      <c r="C125" s="1" t="s">
        <v>1481</v>
      </c>
      <c r="D125" s="4" t="e">
        <f>VLOOKUP(A125,المعطيات!$A$1:$J$3500,5,0)</f>
        <v>#N/A</v>
      </c>
      <c r="E125" s="1" t="s">
        <v>1482</v>
      </c>
      <c r="F125" s="5">
        <f t="shared" si="3"/>
        <v>0</v>
      </c>
      <c r="G125" s="5" t="s">
        <v>1483</v>
      </c>
      <c r="H125" s="4" t="e">
        <f>VLOOKUP(A125,المعطيات!$A$1:$J$3500,3,0)</f>
        <v>#N/A</v>
      </c>
      <c r="I125" s="1" t="s">
        <v>1484</v>
      </c>
      <c r="J125" s="1" t="s">
        <v>1485</v>
      </c>
      <c r="K125" s="4" t="e">
        <f>VLOOKUP(A125,المعطيات!$A$1:$J$3500,6,0)</f>
        <v>#N/A</v>
      </c>
      <c r="L125" s="1" t="s">
        <v>1486</v>
      </c>
      <c r="M125" s="1" t="s">
        <v>1487</v>
      </c>
      <c r="N125" s="4" t="e">
        <f t="shared" si="4"/>
        <v>#N/A</v>
      </c>
      <c r="O125" s="1" t="s">
        <v>1488</v>
      </c>
      <c r="P125" s="4" t="e">
        <f>VLOOKUP(A125,المعطيات!$A$1:$J$3500,4,0)</f>
        <v>#N/A</v>
      </c>
      <c r="Q125" s="1" t="s">
        <v>1489</v>
      </c>
      <c r="R125" s="1" t="s">
        <v>1480</v>
      </c>
      <c r="S125" s="6" t="e">
        <f t="shared" si="5"/>
        <v>#N/A</v>
      </c>
    </row>
    <row r="126" spans="2:19" x14ac:dyDescent="0.25">
      <c r="B126" s="1" t="s">
        <v>1479</v>
      </c>
      <c r="C126" s="1" t="s">
        <v>1481</v>
      </c>
      <c r="D126" s="4" t="e">
        <f>VLOOKUP(A126,المعطيات!$A$1:$J$3500,5,0)</f>
        <v>#N/A</v>
      </c>
      <c r="E126" s="1" t="s">
        <v>1482</v>
      </c>
      <c r="F126" s="5">
        <f t="shared" si="3"/>
        <v>0</v>
      </c>
      <c r="G126" s="5" t="s">
        <v>1483</v>
      </c>
      <c r="H126" s="4" t="e">
        <f>VLOOKUP(A126,المعطيات!$A$1:$J$3500,3,0)</f>
        <v>#N/A</v>
      </c>
      <c r="I126" s="1" t="s">
        <v>1484</v>
      </c>
      <c r="J126" s="1" t="s">
        <v>1485</v>
      </c>
      <c r="K126" s="4" t="e">
        <f>VLOOKUP(A126,المعطيات!$A$1:$J$3500,6,0)</f>
        <v>#N/A</v>
      </c>
      <c r="L126" s="1" t="s">
        <v>1486</v>
      </c>
      <c r="M126" s="1" t="s">
        <v>1487</v>
      </c>
      <c r="N126" s="4" t="e">
        <f t="shared" si="4"/>
        <v>#N/A</v>
      </c>
      <c r="O126" s="1" t="s">
        <v>1488</v>
      </c>
      <c r="P126" s="4" t="e">
        <f>VLOOKUP(A126,المعطيات!$A$1:$J$3500,4,0)</f>
        <v>#N/A</v>
      </c>
      <c r="Q126" s="1" t="s">
        <v>1489</v>
      </c>
      <c r="R126" s="1" t="s">
        <v>1480</v>
      </c>
      <c r="S126" s="6" t="e">
        <f t="shared" si="5"/>
        <v>#N/A</v>
      </c>
    </row>
    <row r="127" spans="2:19" x14ac:dyDescent="0.25">
      <c r="B127" s="1" t="s">
        <v>1479</v>
      </c>
      <c r="C127" s="1" t="s">
        <v>1481</v>
      </c>
      <c r="D127" s="4" t="e">
        <f>VLOOKUP(A127,المعطيات!$A$1:$J$3500,5,0)</f>
        <v>#N/A</v>
      </c>
      <c r="E127" s="1" t="s">
        <v>1482</v>
      </c>
      <c r="F127" s="5">
        <f t="shared" si="3"/>
        <v>0</v>
      </c>
      <c r="G127" s="5" t="s">
        <v>1483</v>
      </c>
      <c r="H127" s="4" t="e">
        <f>VLOOKUP(A127,المعطيات!$A$1:$J$3500,3,0)</f>
        <v>#N/A</v>
      </c>
      <c r="I127" s="1" t="s">
        <v>1484</v>
      </c>
      <c r="J127" s="1" t="s">
        <v>1485</v>
      </c>
      <c r="K127" s="4" t="e">
        <f>VLOOKUP(A127,المعطيات!$A$1:$J$3500,6,0)</f>
        <v>#N/A</v>
      </c>
      <c r="L127" s="1" t="s">
        <v>1486</v>
      </c>
      <c r="M127" s="1" t="s">
        <v>1487</v>
      </c>
      <c r="N127" s="4" t="e">
        <f t="shared" si="4"/>
        <v>#N/A</v>
      </c>
      <c r="O127" s="1" t="s">
        <v>1488</v>
      </c>
      <c r="P127" s="4" t="e">
        <f>VLOOKUP(A127,المعطيات!$A$1:$J$3500,4,0)</f>
        <v>#N/A</v>
      </c>
      <c r="Q127" s="1" t="s">
        <v>1489</v>
      </c>
      <c r="R127" s="1" t="s">
        <v>1480</v>
      </c>
      <c r="S127" s="6" t="e">
        <f t="shared" si="5"/>
        <v>#N/A</v>
      </c>
    </row>
    <row r="128" spans="2:19" x14ac:dyDescent="0.25">
      <c r="B128" s="1" t="s">
        <v>1479</v>
      </c>
      <c r="C128" s="1" t="s">
        <v>1481</v>
      </c>
      <c r="D128" s="4" t="e">
        <f>VLOOKUP(A128,المعطيات!$A$1:$J$3500,5,0)</f>
        <v>#N/A</v>
      </c>
      <c r="E128" s="1" t="s">
        <v>1482</v>
      </c>
      <c r="F128" s="5">
        <f t="shared" si="3"/>
        <v>0</v>
      </c>
      <c r="G128" s="5" t="s">
        <v>1483</v>
      </c>
      <c r="H128" s="4" t="e">
        <f>VLOOKUP(A128,المعطيات!$A$1:$J$3500,3,0)</f>
        <v>#N/A</v>
      </c>
      <c r="I128" s="1" t="s">
        <v>1484</v>
      </c>
      <c r="J128" s="1" t="s">
        <v>1485</v>
      </c>
      <c r="K128" s="4" t="e">
        <f>VLOOKUP(A128,المعطيات!$A$1:$J$3500,6,0)</f>
        <v>#N/A</v>
      </c>
      <c r="L128" s="1" t="s">
        <v>1486</v>
      </c>
      <c r="M128" s="1" t="s">
        <v>1487</v>
      </c>
      <c r="N128" s="4" t="e">
        <f t="shared" si="4"/>
        <v>#N/A</v>
      </c>
      <c r="O128" s="1" t="s">
        <v>1488</v>
      </c>
      <c r="P128" s="4" t="e">
        <f>VLOOKUP(A128,المعطيات!$A$1:$J$3500,4,0)</f>
        <v>#N/A</v>
      </c>
      <c r="Q128" s="1" t="s">
        <v>1489</v>
      </c>
      <c r="R128" s="1" t="s">
        <v>1480</v>
      </c>
      <c r="S128" s="6" t="e">
        <f t="shared" si="5"/>
        <v>#N/A</v>
      </c>
    </row>
    <row r="129" spans="2:19" x14ac:dyDescent="0.25">
      <c r="B129" s="1" t="s">
        <v>1479</v>
      </c>
      <c r="C129" s="1" t="s">
        <v>1481</v>
      </c>
      <c r="D129" s="4" t="e">
        <f>VLOOKUP(A129,المعطيات!$A$1:$J$3500,5,0)</f>
        <v>#N/A</v>
      </c>
      <c r="E129" s="1" t="s">
        <v>1482</v>
      </c>
      <c r="F129" s="5">
        <f t="shared" si="3"/>
        <v>0</v>
      </c>
      <c r="G129" s="5" t="s">
        <v>1483</v>
      </c>
      <c r="H129" s="4" t="e">
        <f>VLOOKUP(A129,المعطيات!$A$1:$J$3500,3,0)</f>
        <v>#N/A</v>
      </c>
      <c r="I129" s="1" t="s">
        <v>1484</v>
      </c>
      <c r="J129" s="1" t="s">
        <v>1485</v>
      </c>
      <c r="K129" s="4" t="e">
        <f>VLOOKUP(A129,المعطيات!$A$1:$J$3500,6,0)</f>
        <v>#N/A</v>
      </c>
      <c r="L129" s="1" t="s">
        <v>1486</v>
      </c>
      <c r="M129" s="1" t="s">
        <v>1487</v>
      </c>
      <c r="N129" s="4" t="e">
        <f t="shared" si="4"/>
        <v>#N/A</v>
      </c>
      <c r="O129" s="1" t="s">
        <v>1488</v>
      </c>
      <c r="P129" s="4" t="e">
        <f>VLOOKUP(A129,المعطيات!$A$1:$J$3500,4,0)</f>
        <v>#N/A</v>
      </c>
      <c r="Q129" s="1" t="s">
        <v>1489</v>
      </c>
      <c r="R129" s="1" t="s">
        <v>1480</v>
      </c>
      <c r="S129" s="6" t="e">
        <f t="shared" si="5"/>
        <v>#N/A</v>
      </c>
    </row>
    <row r="130" spans="2:19" x14ac:dyDescent="0.25">
      <c r="B130" s="1" t="s">
        <v>1479</v>
      </c>
      <c r="C130" s="1" t="s">
        <v>1481</v>
      </c>
      <c r="D130" s="4" t="e">
        <f>VLOOKUP(A130,المعطيات!$A$1:$J$3500,5,0)</f>
        <v>#N/A</v>
      </c>
      <c r="E130" s="1" t="s">
        <v>1482</v>
      </c>
      <c r="F130" s="5">
        <f t="shared" ref="F130:F193" si="6">A130</f>
        <v>0</v>
      </c>
      <c r="G130" s="5" t="s">
        <v>1483</v>
      </c>
      <c r="H130" s="4" t="e">
        <f>VLOOKUP(A130,المعطيات!$A$1:$J$3500,3,0)</f>
        <v>#N/A</v>
      </c>
      <c r="I130" s="1" t="s">
        <v>1484</v>
      </c>
      <c r="J130" s="1" t="s">
        <v>1485</v>
      </c>
      <c r="K130" s="4" t="e">
        <f>VLOOKUP(A130,المعطيات!$A$1:$J$3500,6,0)</f>
        <v>#N/A</v>
      </c>
      <c r="L130" s="1" t="s">
        <v>1486</v>
      </c>
      <c r="M130" s="1" t="s">
        <v>1487</v>
      </c>
      <c r="N130" s="4" t="e">
        <f t="shared" ref="N130:N193" si="7">D130</f>
        <v>#N/A</v>
      </c>
      <c r="O130" s="1" t="s">
        <v>1488</v>
      </c>
      <c r="P130" s="4" t="e">
        <f>VLOOKUP(A130,المعطيات!$A$1:$J$3500,4,0)</f>
        <v>#N/A</v>
      </c>
      <c r="Q130" s="1" t="s">
        <v>1489</v>
      </c>
      <c r="R130" s="1" t="s">
        <v>1480</v>
      </c>
      <c r="S130" s="6" t="e">
        <f t="shared" ref="S130:S193" si="8">B130&amp;""&amp;C130&amp;""&amp;D130&amp;""&amp;E130&amp;""&amp;F130&amp;""&amp;G130&amp;""&amp;H130&amp;""&amp;I130&amp;""&amp;J130&amp;""&amp;K130&amp;""&amp;L130&amp;""&amp;M130&amp;""&amp;N130&amp;""&amp;O130&amp;""&amp;P130&amp;""&amp;Q130&amp;""&amp;R130</f>
        <v>#N/A</v>
      </c>
    </row>
    <row r="131" spans="2:19" x14ac:dyDescent="0.25">
      <c r="B131" s="1" t="s">
        <v>1479</v>
      </c>
      <c r="C131" s="1" t="s">
        <v>1481</v>
      </c>
      <c r="D131" s="4" t="e">
        <f>VLOOKUP(A131,المعطيات!$A$1:$J$3500,5,0)</f>
        <v>#N/A</v>
      </c>
      <c r="E131" s="1" t="s">
        <v>1482</v>
      </c>
      <c r="F131" s="5">
        <f t="shared" si="6"/>
        <v>0</v>
      </c>
      <c r="G131" s="5" t="s">
        <v>1483</v>
      </c>
      <c r="H131" s="4" t="e">
        <f>VLOOKUP(A131,المعطيات!$A$1:$J$3500,3,0)</f>
        <v>#N/A</v>
      </c>
      <c r="I131" s="1" t="s">
        <v>1484</v>
      </c>
      <c r="J131" s="1" t="s">
        <v>1485</v>
      </c>
      <c r="K131" s="4" t="e">
        <f>VLOOKUP(A131,المعطيات!$A$1:$J$3500,6,0)</f>
        <v>#N/A</v>
      </c>
      <c r="L131" s="1" t="s">
        <v>1486</v>
      </c>
      <c r="M131" s="1" t="s">
        <v>1487</v>
      </c>
      <c r="N131" s="4" t="e">
        <f t="shared" si="7"/>
        <v>#N/A</v>
      </c>
      <c r="O131" s="1" t="s">
        <v>1488</v>
      </c>
      <c r="P131" s="4" t="e">
        <f>VLOOKUP(A131,المعطيات!$A$1:$J$3500,4,0)</f>
        <v>#N/A</v>
      </c>
      <c r="Q131" s="1" t="s">
        <v>1489</v>
      </c>
      <c r="R131" s="1" t="s">
        <v>1480</v>
      </c>
      <c r="S131" s="6" t="e">
        <f t="shared" si="8"/>
        <v>#N/A</v>
      </c>
    </row>
    <row r="132" spans="2:19" x14ac:dyDescent="0.25">
      <c r="B132" s="1" t="s">
        <v>1479</v>
      </c>
      <c r="C132" s="1" t="s">
        <v>1481</v>
      </c>
      <c r="D132" s="4" t="e">
        <f>VLOOKUP(A132,المعطيات!$A$1:$J$3500,5,0)</f>
        <v>#N/A</v>
      </c>
      <c r="E132" s="1" t="s">
        <v>1482</v>
      </c>
      <c r="F132" s="5">
        <f t="shared" si="6"/>
        <v>0</v>
      </c>
      <c r="G132" s="5" t="s">
        <v>1483</v>
      </c>
      <c r="H132" s="4" t="e">
        <f>VLOOKUP(A132,المعطيات!$A$1:$J$3500,3,0)</f>
        <v>#N/A</v>
      </c>
      <c r="I132" s="1" t="s">
        <v>1484</v>
      </c>
      <c r="J132" s="1" t="s">
        <v>1485</v>
      </c>
      <c r="K132" s="4" t="e">
        <f>VLOOKUP(A132,المعطيات!$A$1:$J$3500,6,0)</f>
        <v>#N/A</v>
      </c>
      <c r="L132" s="1" t="s">
        <v>1486</v>
      </c>
      <c r="M132" s="1" t="s">
        <v>1487</v>
      </c>
      <c r="N132" s="4" t="e">
        <f t="shared" si="7"/>
        <v>#N/A</v>
      </c>
      <c r="O132" s="1" t="s">
        <v>1488</v>
      </c>
      <c r="P132" s="4" t="e">
        <f>VLOOKUP(A132,المعطيات!$A$1:$J$3500,4,0)</f>
        <v>#N/A</v>
      </c>
      <c r="Q132" s="1" t="s">
        <v>1489</v>
      </c>
      <c r="R132" s="1" t="s">
        <v>1480</v>
      </c>
      <c r="S132" s="6" t="e">
        <f t="shared" si="8"/>
        <v>#N/A</v>
      </c>
    </row>
    <row r="133" spans="2:19" x14ac:dyDescent="0.25">
      <c r="B133" s="1" t="s">
        <v>1479</v>
      </c>
      <c r="C133" s="1" t="s">
        <v>1481</v>
      </c>
      <c r="D133" s="4" t="e">
        <f>VLOOKUP(A133,المعطيات!$A$1:$J$3500,5,0)</f>
        <v>#N/A</v>
      </c>
      <c r="E133" s="1" t="s">
        <v>1482</v>
      </c>
      <c r="F133" s="5">
        <f t="shared" si="6"/>
        <v>0</v>
      </c>
      <c r="G133" s="5" t="s">
        <v>1483</v>
      </c>
      <c r="H133" s="4" t="e">
        <f>VLOOKUP(A133,المعطيات!$A$1:$J$3500,3,0)</f>
        <v>#N/A</v>
      </c>
      <c r="I133" s="1" t="s">
        <v>1484</v>
      </c>
      <c r="J133" s="1" t="s">
        <v>1485</v>
      </c>
      <c r="K133" s="4" t="e">
        <f>VLOOKUP(A133,المعطيات!$A$1:$J$3500,6,0)</f>
        <v>#N/A</v>
      </c>
      <c r="L133" s="1" t="s">
        <v>1486</v>
      </c>
      <c r="M133" s="1" t="s">
        <v>1487</v>
      </c>
      <c r="N133" s="4" t="e">
        <f t="shared" si="7"/>
        <v>#N/A</v>
      </c>
      <c r="O133" s="1" t="s">
        <v>1488</v>
      </c>
      <c r="P133" s="4" t="e">
        <f>VLOOKUP(A133,المعطيات!$A$1:$J$3500,4,0)</f>
        <v>#N/A</v>
      </c>
      <c r="Q133" s="1" t="s">
        <v>1489</v>
      </c>
      <c r="R133" s="1" t="s">
        <v>1480</v>
      </c>
      <c r="S133" s="6" t="e">
        <f t="shared" si="8"/>
        <v>#N/A</v>
      </c>
    </row>
    <row r="134" spans="2:19" x14ac:dyDescent="0.25">
      <c r="B134" s="1" t="s">
        <v>1479</v>
      </c>
      <c r="C134" s="1" t="s">
        <v>1481</v>
      </c>
      <c r="D134" s="4" t="e">
        <f>VLOOKUP(A134,المعطيات!$A$1:$J$3500,5,0)</f>
        <v>#N/A</v>
      </c>
      <c r="E134" s="1" t="s">
        <v>1482</v>
      </c>
      <c r="F134" s="5">
        <f t="shared" si="6"/>
        <v>0</v>
      </c>
      <c r="G134" s="5" t="s">
        <v>1483</v>
      </c>
      <c r="H134" s="4" t="e">
        <f>VLOOKUP(A134,المعطيات!$A$1:$J$3500,3,0)</f>
        <v>#N/A</v>
      </c>
      <c r="I134" s="1" t="s">
        <v>1484</v>
      </c>
      <c r="J134" s="1" t="s">
        <v>1485</v>
      </c>
      <c r="K134" s="4" t="e">
        <f>VLOOKUP(A134,المعطيات!$A$1:$J$3500,6,0)</f>
        <v>#N/A</v>
      </c>
      <c r="L134" s="1" t="s">
        <v>1486</v>
      </c>
      <c r="M134" s="1" t="s">
        <v>1487</v>
      </c>
      <c r="N134" s="4" t="e">
        <f t="shared" si="7"/>
        <v>#N/A</v>
      </c>
      <c r="O134" s="1" t="s">
        <v>1488</v>
      </c>
      <c r="P134" s="4" t="e">
        <f>VLOOKUP(A134,المعطيات!$A$1:$J$3500,4,0)</f>
        <v>#N/A</v>
      </c>
      <c r="Q134" s="1" t="s">
        <v>1489</v>
      </c>
      <c r="R134" s="1" t="s">
        <v>1480</v>
      </c>
      <c r="S134" s="6" t="e">
        <f t="shared" si="8"/>
        <v>#N/A</v>
      </c>
    </row>
    <row r="135" spans="2:19" x14ac:dyDescent="0.25">
      <c r="B135" s="1" t="s">
        <v>1479</v>
      </c>
      <c r="C135" s="1" t="s">
        <v>1481</v>
      </c>
      <c r="D135" s="4" t="e">
        <f>VLOOKUP(A135,المعطيات!$A$1:$J$3500,5,0)</f>
        <v>#N/A</v>
      </c>
      <c r="E135" s="1" t="s">
        <v>1482</v>
      </c>
      <c r="F135" s="5">
        <f t="shared" si="6"/>
        <v>0</v>
      </c>
      <c r="G135" s="5" t="s">
        <v>1483</v>
      </c>
      <c r="H135" s="4" t="e">
        <f>VLOOKUP(A135,المعطيات!$A$1:$J$3500,3,0)</f>
        <v>#N/A</v>
      </c>
      <c r="I135" s="1" t="s">
        <v>1484</v>
      </c>
      <c r="J135" s="1" t="s">
        <v>1485</v>
      </c>
      <c r="K135" s="4" t="e">
        <f>VLOOKUP(A135,المعطيات!$A$1:$J$3500,6,0)</f>
        <v>#N/A</v>
      </c>
      <c r="L135" s="1" t="s">
        <v>1486</v>
      </c>
      <c r="M135" s="1" t="s">
        <v>1487</v>
      </c>
      <c r="N135" s="4" t="e">
        <f t="shared" si="7"/>
        <v>#N/A</v>
      </c>
      <c r="O135" s="1" t="s">
        <v>1488</v>
      </c>
      <c r="P135" s="4" t="e">
        <f>VLOOKUP(A135,المعطيات!$A$1:$J$3500,4,0)</f>
        <v>#N/A</v>
      </c>
      <c r="Q135" s="1" t="s">
        <v>1489</v>
      </c>
      <c r="R135" s="1" t="s">
        <v>1480</v>
      </c>
      <c r="S135" s="6" t="e">
        <f t="shared" si="8"/>
        <v>#N/A</v>
      </c>
    </row>
    <row r="136" spans="2:19" x14ac:dyDescent="0.25">
      <c r="B136" s="1" t="s">
        <v>1479</v>
      </c>
      <c r="C136" s="1" t="s">
        <v>1481</v>
      </c>
      <c r="D136" s="4" t="e">
        <f>VLOOKUP(A136,المعطيات!$A$1:$J$3500,5,0)</f>
        <v>#N/A</v>
      </c>
      <c r="E136" s="1" t="s">
        <v>1482</v>
      </c>
      <c r="F136" s="5">
        <f t="shared" si="6"/>
        <v>0</v>
      </c>
      <c r="G136" s="5" t="s">
        <v>1483</v>
      </c>
      <c r="H136" s="4" t="e">
        <f>VLOOKUP(A136,المعطيات!$A$1:$J$3500,3,0)</f>
        <v>#N/A</v>
      </c>
      <c r="I136" s="1" t="s">
        <v>1484</v>
      </c>
      <c r="J136" s="1" t="s">
        <v>1485</v>
      </c>
      <c r="K136" s="4" t="e">
        <f>VLOOKUP(A136,المعطيات!$A$1:$J$3500,6,0)</f>
        <v>#N/A</v>
      </c>
      <c r="L136" s="1" t="s">
        <v>1486</v>
      </c>
      <c r="M136" s="1" t="s">
        <v>1487</v>
      </c>
      <c r="N136" s="4" t="e">
        <f t="shared" si="7"/>
        <v>#N/A</v>
      </c>
      <c r="O136" s="1" t="s">
        <v>1488</v>
      </c>
      <c r="P136" s="4" t="e">
        <f>VLOOKUP(A136,المعطيات!$A$1:$J$3500,4,0)</f>
        <v>#N/A</v>
      </c>
      <c r="Q136" s="1" t="s">
        <v>1489</v>
      </c>
      <c r="R136" s="1" t="s">
        <v>1480</v>
      </c>
      <c r="S136" s="6" t="e">
        <f t="shared" si="8"/>
        <v>#N/A</v>
      </c>
    </row>
    <row r="137" spans="2:19" x14ac:dyDescent="0.25">
      <c r="B137" s="1" t="s">
        <v>1479</v>
      </c>
      <c r="C137" s="1" t="s">
        <v>1481</v>
      </c>
      <c r="D137" s="4" t="e">
        <f>VLOOKUP(A137,المعطيات!$A$1:$J$3500,5,0)</f>
        <v>#N/A</v>
      </c>
      <c r="E137" s="1" t="s">
        <v>1482</v>
      </c>
      <c r="F137" s="5">
        <f t="shared" si="6"/>
        <v>0</v>
      </c>
      <c r="G137" s="5" t="s">
        <v>1483</v>
      </c>
      <c r="H137" s="4" t="e">
        <f>VLOOKUP(A137,المعطيات!$A$1:$J$3500,3,0)</f>
        <v>#N/A</v>
      </c>
      <c r="I137" s="1" t="s">
        <v>1484</v>
      </c>
      <c r="J137" s="1" t="s">
        <v>1485</v>
      </c>
      <c r="K137" s="4" t="e">
        <f>VLOOKUP(A137,المعطيات!$A$1:$J$3500,6,0)</f>
        <v>#N/A</v>
      </c>
      <c r="L137" s="1" t="s">
        <v>1486</v>
      </c>
      <c r="M137" s="1" t="s">
        <v>1487</v>
      </c>
      <c r="N137" s="4" t="e">
        <f t="shared" si="7"/>
        <v>#N/A</v>
      </c>
      <c r="O137" s="1" t="s">
        <v>1488</v>
      </c>
      <c r="P137" s="4" t="e">
        <f>VLOOKUP(A137,المعطيات!$A$1:$J$3500,4,0)</f>
        <v>#N/A</v>
      </c>
      <c r="Q137" s="1" t="s">
        <v>1489</v>
      </c>
      <c r="R137" s="1" t="s">
        <v>1480</v>
      </c>
      <c r="S137" s="6" t="e">
        <f t="shared" si="8"/>
        <v>#N/A</v>
      </c>
    </row>
    <row r="138" spans="2:19" x14ac:dyDescent="0.25">
      <c r="B138" s="1" t="s">
        <v>1479</v>
      </c>
      <c r="C138" s="1" t="s">
        <v>1481</v>
      </c>
      <c r="D138" s="4" t="e">
        <f>VLOOKUP(A138,المعطيات!$A$1:$J$3500,5,0)</f>
        <v>#N/A</v>
      </c>
      <c r="E138" s="1" t="s">
        <v>1482</v>
      </c>
      <c r="F138" s="5">
        <f t="shared" si="6"/>
        <v>0</v>
      </c>
      <c r="G138" s="5" t="s">
        <v>1483</v>
      </c>
      <c r="H138" s="4" t="e">
        <f>VLOOKUP(A138,المعطيات!$A$1:$J$3500,3,0)</f>
        <v>#N/A</v>
      </c>
      <c r="I138" s="1" t="s">
        <v>1484</v>
      </c>
      <c r="J138" s="1" t="s">
        <v>1485</v>
      </c>
      <c r="K138" s="4" t="e">
        <f>VLOOKUP(A138,المعطيات!$A$1:$J$3500,6,0)</f>
        <v>#N/A</v>
      </c>
      <c r="L138" s="1" t="s">
        <v>1486</v>
      </c>
      <c r="M138" s="1" t="s">
        <v>1487</v>
      </c>
      <c r="N138" s="4" t="e">
        <f t="shared" si="7"/>
        <v>#N/A</v>
      </c>
      <c r="O138" s="1" t="s">
        <v>1488</v>
      </c>
      <c r="P138" s="4" t="e">
        <f>VLOOKUP(A138,المعطيات!$A$1:$J$3500,4,0)</f>
        <v>#N/A</v>
      </c>
      <c r="Q138" s="1" t="s">
        <v>1489</v>
      </c>
      <c r="R138" s="1" t="s">
        <v>1480</v>
      </c>
      <c r="S138" s="6" t="e">
        <f t="shared" si="8"/>
        <v>#N/A</v>
      </c>
    </row>
    <row r="139" spans="2:19" x14ac:dyDescent="0.25">
      <c r="B139" s="1" t="s">
        <v>1479</v>
      </c>
      <c r="C139" s="1" t="s">
        <v>1481</v>
      </c>
      <c r="D139" s="4" t="e">
        <f>VLOOKUP(A139,المعطيات!$A$1:$J$3500,5,0)</f>
        <v>#N/A</v>
      </c>
      <c r="E139" s="1" t="s">
        <v>1482</v>
      </c>
      <c r="F139" s="5">
        <f t="shared" si="6"/>
        <v>0</v>
      </c>
      <c r="G139" s="5" t="s">
        <v>1483</v>
      </c>
      <c r="H139" s="4" t="e">
        <f>VLOOKUP(A139,المعطيات!$A$1:$J$3500,3,0)</f>
        <v>#N/A</v>
      </c>
      <c r="I139" s="1" t="s">
        <v>1484</v>
      </c>
      <c r="J139" s="1" t="s">
        <v>1485</v>
      </c>
      <c r="K139" s="4" t="e">
        <f>VLOOKUP(A139,المعطيات!$A$1:$J$3500,6,0)</f>
        <v>#N/A</v>
      </c>
      <c r="L139" s="1" t="s">
        <v>1486</v>
      </c>
      <c r="M139" s="1" t="s">
        <v>1487</v>
      </c>
      <c r="N139" s="4" t="e">
        <f t="shared" si="7"/>
        <v>#N/A</v>
      </c>
      <c r="O139" s="1" t="s">
        <v>1488</v>
      </c>
      <c r="P139" s="4" t="e">
        <f>VLOOKUP(A139,المعطيات!$A$1:$J$3500,4,0)</f>
        <v>#N/A</v>
      </c>
      <c r="Q139" s="1" t="s">
        <v>1489</v>
      </c>
      <c r="R139" s="1" t="s">
        <v>1480</v>
      </c>
      <c r="S139" s="6" t="e">
        <f t="shared" si="8"/>
        <v>#N/A</v>
      </c>
    </row>
    <row r="140" spans="2:19" x14ac:dyDescent="0.25">
      <c r="B140" s="1" t="s">
        <v>1479</v>
      </c>
      <c r="C140" s="1" t="s">
        <v>1481</v>
      </c>
      <c r="D140" s="4" t="e">
        <f>VLOOKUP(A140,المعطيات!$A$1:$J$3500,5,0)</f>
        <v>#N/A</v>
      </c>
      <c r="E140" s="1" t="s">
        <v>1482</v>
      </c>
      <c r="F140" s="5">
        <f t="shared" si="6"/>
        <v>0</v>
      </c>
      <c r="G140" s="5" t="s">
        <v>1483</v>
      </c>
      <c r="H140" s="4" t="e">
        <f>VLOOKUP(A140,المعطيات!$A$1:$J$3500,3,0)</f>
        <v>#N/A</v>
      </c>
      <c r="I140" s="1" t="s">
        <v>1484</v>
      </c>
      <c r="J140" s="1" t="s">
        <v>1485</v>
      </c>
      <c r="K140" s="4" t="e">
        <f>VLOOKUP(A140,المعطيات!$A$1:$J$3500,6,0)</f>
        <v>#N/A</v>
      </c>
      <c r="L140" s="1" t="s">
        <v>1486</v>
      </c>
      <c r="M140" s="1" t="s">
        <v>1487</v>
      </c>
      <c r="N140" s="4" t="e">
        <f t="shared" si="7"/>
        <v>#N/A</v>
      </c>
      <c r="O140" s="1" t="s">
        <v>1488</v>
      </c>
      <c r="P140" s="4" t="e">
        <f>VLOOKUP(A140,المعطيات!$A$1:$J$3500,4,0)</f>
        <v>#N/A</v>
      </c>
      <c r="Q140" s="1" t="s">
        <v>1489</v>
      </c>
      <c r="R140" s="1" t="s">
        <v>1480</v>
      </c>
      <c r="S140" s="6" t="e">
        <f t="shared" si="8"/>
        <v>#N/A</v>
      </c>
    </row>
    <row r="141" spans="2:19" x14ac:dyDescent="0.25">
      <c r="B141" s="1" t="s">
        <v>1479</v>
      </c>
      <c r="C141" s="1" t="s">
        <v>1481</v>
      </c>
      <c r="D141" s="4" t="e">
        <f>VLOOKUP(A141,المعطيات!$A$1:$J$3500,5,0)</f>
        <v>#N/A</v>
      </c>
      <c r="E141" s="1" t="s">
        <v>1482</v>
      </c>
      <c r="F141" s="5">
        <f t="shared" si="6"/>
        <v>0</v>
      </c>
      <c r="G141" s="5" t="s">
        <v>1483</v>
      </c>
      <c r="H141" s="4" t="e">
        <f>VLOOKUP(A141,المعطيات!$A$1:$J$3500,3,0)</f>
        <v>#N/A</v>
      </c>
      <c r="I141" s="1" t="s">
        <v>1484</v>
      </c>
      <c r="J141" s="1" t="s">
        <v>1485</v>
      </c>
      <c r="K141" s="4" t="e">
        <f>VLOOKUP(A141,المعطيات!$A$1:$J$3500,6,0)</f>
        <v>#N/A</v>
      </c>
      <c r="L141" s="1" t="s">
        <v>1486</v>
      </c>
      <c r="M141" s="1" t="s">
        <v>1487</v>
      </c>
      <c r="N141" s="4" t="e">
        <f t="shared" si="7"/>
        <v>#N/A</v>
      </c>
      <c r="O141" s="1" t="s">
        <v>1488</v>
      </c>
      <c r="P141" s="4" t="e">
        <f>VLOOKUP(A141,المعطيات!$A$1:$J$3500,4,0)</f>
        <v>#N/A</v>
      </c>
      <c r="Q141" s="1" t="s">
        <v>1489</v>
      </c>
      <c r="R141" s="1" t="s">
        <v>1480</v>
      </c>
      <c r="S141" s="6" t="e">
        <f t="shared" si="8"/>
        <v>#N/A</v>
      </c>
    </row>
    <row r="142" spans="2:19" x14ac:dyDescent="0.25">
      <c r="B142" s="1" t="s">
        <v>1479</v>
      </c>
      <c r="C142" s="1" t="s">
        <v>1481</v>
      </c>
      <c r="D142" s="4" t="e">
        <f>VLOOKUP(A142,المعطيات!$A$1:$J$3500,5,0)</f>
        <v>#N/A</v>
      </c>
      <c r="E142" s="1" t="s">
        <v>1482</v>
      </c>
      <c r="F142" s="5">
        <f t="shared" si="6"/>
        <v>0</v>
      </c>
      <c r="G142" s="5" t="s">
        <v>1483</v>
      </c>
      <c r="H142" s="4" t="e">
        <f>VLOOKUP(A142,المعطيات!$A$1:$J$3500,3,0)</f>
        <v>#N/A</v>
      </c>
      <c r="I142" s="1" t="s">
        <v>1484</v>
      </c>
      <c r="J142" s="1" t="s">
        <v>1485</v>
      </c>
      <c r="K142" s="4" t="e">
        <f>VLOOKUP(A142,المعطيات!$A$1:$J$3500,6,0)</f>
        <v>#N/A</v>
      </c>
      <c r="L142" s="1" t="s">
        <v>1486</v>
      </c>
      <c r="M142" s="1" t="s">
        <v>1487</v>
      </c>
      <c r="N142" s="4" t="e">
        <f t="shared" si="7"/>
        <v>#N/A</v>
      </c>
      <c r="O142" s="1" t="s">
        <v>1488</v>
      </c>
      <c r="P142" s="4" t="e">
        <f>VLOOKUP(A142,المعطيات!$A$1:$J$3500,4,0)</f>
        <v>#N/A</v>
      </c>
      <c r="Q142" s="1" t="s">
        <v>1489</v>
      </c>
      <c r="R142" s="1" t="s">
        <v>1480</v>
      </c>
      <c r="S142" s="6" t="e">
        <f t="shared" si="8"/>
        <v>#N/A</v>
      </c>
    </row>
    <row r="143" spans="2:19" x14ac:dyDescent="0.25">
      <c r="B143" s="1" t="s">
        <v>1479</v>
      </c>
      <c r="C143" s="1" t="s">
        <v>1481</v>
      </c>
      <c r="D143" s="4" t="e">
        <f>VLOOKUP(A143,المعطيات!$A$1:$J$3500,5,0)</f>
        <v>#N/A</v>
      </c>
      <c r="E143" s="1" t="s">
        <v>1482</v>
      </c>
      <c r="F143" s="5">
        <f t="shared" si="6"/>
        <v>0</v>
      </c>
      <c r="G143" s="5" t="s">
        <v>1483</v>
      </c>
      <c r="H143" s="4" t="e">
        <f>VLOOKUP(A143,المعطيات!$A$1:$J$3500,3,0)</f>
        <v>#N/A</v>
      </c>
      <c r="I143" s="1" t="s">
        <v>1484</v>
      </c>
      <c r="J143" s="1" t="s">
        <v>1485</v>
      </c>
      <c r="K143" s="4" t="e">
        <f>VLOOKUP(A143,المعطيات!$A$1:$J$3500,6,0)</f>
        <v>#N/A</v>
      </c>
      <c r="L143" s="1" t="s">
        <v>1486</v>
      </c>
      <c r="M143" s="1" t="s">
        <v>1487</v>
      </c>
      <c r="N143" s="4" t="e">
        <f t="shared" si="7"/>
        <v>#N/A</v>
      </c>
      <c r="O143" s="1" t="s">
        <v>1488</v>
      </c>
      <c r="P143" s="4" t="e">
        <f>VLOOKUP(A143,المعطيات!$A$1:$J$3500,4,0)</f>
        <v>#N/A</v>
      </c>
      <c r="Q143" s="1" t="s">
        <v>1489</v>
      </c>
      <c r="R143" s="1" t="s">
        <v>1480</v>
      </c>
      <c r="S143" s="6" t="e">
        <f t="shared" si="8"/>
        <v>#N/A</v>
      </c>
    </row>
    <row r="144" spans="2:19" x14ac:dyDescent="0.25">
      <c r="B144" s="1" t="s">
        <v>1479</v>
      </c>
      <c r="C144" s="1" t="s">
        <v>1481</v>
      </c>
      <c r="D144" s="4" t="e">
        <f>VLOOKUP(A144,المعطيات!$A$1:$J$3500,5,0)</f>
        <v>#N/A</v>
      </c>
      <c r="E144" s="1" t="s">
        <v>1482</v>
      </c>
      <c r="F144" s="5">
        <f t="shared" si="6"/>
        <v>0</v>
      </c>
      <c r="G144" s="5" t="s">
        <v>1483</v>
      </c>
      <c r="H144" s="4" t="e">
        <f>VLOOKUP(A144,المعطيات!$A$1:$J$3500,3,0)</f>
        <v>#N/A</v>
      </c>
      <c r="I144" s="1" t="s">
        <v>1484</v>
      </c>
      <c r="J144" s="1" t="s">
        <v>1485</v>
      </c>
      <c r="K144" s="4" t="e">
        <f>VLOOKUP(A144,المعطيات!$A$1:$J$3500,6,0)</f>
        <v>#N/A</v>
      </c>
      <c r="L144" s="1" t="s">
        <v>1486</v>
      </c>
      <c r="M144" s="1" t="s">
        <v>1487</v>
      </c>
      <c r="N144" s="4" t="e">
        <f t="shared" si="7"/>
        <v>#N/A</v>
      </c>
      <c r="O144" s="1" t="s">
        <v>1488</v>
      </c>
      <c r="P144" s="4" t="e">
        <f>VLOOKUP(A144,المعطيات!$A$1:$J$3500,4,0)</f>
        <v>#N/A</v>
      </c>
      <c r="Q144" s="1" t="s">
        <v>1489</v>
      </c>
      <c r="R144" s="1" t="s">
        <v>1480</v>
      </c>
      <c r="S144" s="6" t="e">
        <f t="shared" si="8"/>
        <v>#N/A</v>
      </c>
    </row>
    <row r="145" spans="2:19" x14ac:dyDescent="0.25">
      <c r="B145" s="1" t="s">
        <v>1479</v>
      </c>
      <c r="C145" s="1" t="s">
        <v>1481</v>
      </c>
      <c r="D145" s="4" t="e">
        <f>VLOOKUP(A145,المعطيات!$A$1:$J$3500,5,0)</f>
        <v>#N/A</v>
      </c>
      <c r="E145" s="1" t="s">
        <v>1482</v>
      </c>
      <c r="F145" s="5">
        <f t="shared" si="6"/>
        <v>0</v>
      </c>
      <c r="G145" s="5" t="s">
        <v>1483</v>
      </c>
      <c r="H145" s="4" t="e">
        <f>VLOOKUP(A145,المعطيات!$A$1:$J$3500,3,0)</f>
        <v>#N/A</v>
      </c>
      <c r="I145" s="1" t="s">
        <v>1484</v>
      </c>
      <c r="J145" s="1" t="s">
        <v>1485</v>
      </c>
      <c r="K145" s="4" t="e">
        <f>VLOOKUP(A145,المعطيات!$A$1:$J$3500,6,0)</f>
        <v>#N/A</v>
      </c>
      <c r="L145" s="1" t="s">
        <v>1486</v>
      </c>
      <c r="M145" s="1" t="s">
        <v>1487</v>
      </c>
      <c r="N145" s="4" t="e">
        <f t="shared" si="7"/>
        <v>#N/A</v>
      </c>
      <c r="O145" s="1" t="s">
        <v>1488</v>
      </c>
      <c r="P145" s="4" t="e">
        <f>VLOOKUP(A145,المعطيات!$A$1:$J$3500,4,0)</f>
        <v>#N/A</v>
      </c>
      <c r="Q145" s="1" t="s">
        <v>1489</v>
      </c>
      <c r="R145" s="1" t="s">
        <v>1480</v>
      </c>
      <c r="S145" s="6" t="e">
        <f t="shared" si="8"/>
        <v>#N/A</v>
      </c>
    </row>
    <row r="146" spans="2:19" x14ac:dyDescent="0.25">
      <c r="B146" s="1" t="s">
        <v>1479</v>
      </c>
      <c r="C146" s="1" t="s">
        <v>1481</v>
      </c>
      <c r="D146" s="4" t="e">
        <f>VLOOKUP(A146,المعطيات!$A$1:$J$3500,5,0)</f>
        <v>#N/A</v>
      </c>
      <c r="E146" s="1" t="s">
        <v>1482</v>
      </c>
      <c r="F146" s="5">
        <f t="shared" si="6"/>
        <v>0</v>
      </c>
      <c r="G146" s="5" t="s">
        <v>1483</v>
      </c>
      <c r="H146" s="4" t="e">
        <f>VLOOKUP(A146,المعطيات!$A$1:$J$3500,3,0)</f>
        <v>#N/A</v>
      </c>
      <c r="I146" s="1" t="s">
        <v>1484</v>
      </c>
      <c r="J146" s="1" t="s">
        <v>1485</v>
      </c>
      <c r="K146" s="4" t="e">
        <f>VLOOKUP(A146,المعطيات!$A$1:$J$3500,6,0)</f>
        <v>#N/A</v>
      </c>
      <c r="L146" s="1" t="s">
        <v>1486</v>
      </c>
      <c r="M146" s="1" t="s">
        <v>1487</v>
      </c>
      <c r="N146" s="4" t="e">
        <f t="shared" si="7"/>
        <v>#N/A</v>
      </c>
      <c r="O146" s="1" t="s">
        <v>1488</v>
      </c>
      <c r="P146" s="4" t="e">
        <f>VLOOKUP(A146,المعطيات!$A$1:$J$3500,4,0)</f>
        <v>#N/A</v>
      </c>
      <c r="Q146" s="1" t="s">
        <v>1489</v>
      </c>
      <c r="R146" s="1" t="s">
        <v>1480</v>
      </c>
      <c r="S146" s="6" t="e">
        <f t="shared" si="8"/>
        <v>#N/A</v>
      </c>
    </row>
    <row r="147" spans="2:19" x14ac:dyDescent="0.25">
      <c r="B147" s="1" t="s">
        <v>1479</v>
      </c>
      <c r="C147" s="1" t="s">
        <v>1481</v>
      </c>
      <c r="D147" s="4" t="e">
        <f>VLOOKUP(A147,المعطيات!$A$1:$J$3500,5,0)</f>
        <v>#N/A</v>
      </c>
      <c r="E147" s="1" t="s">
        <v>1482</v>
      </c>
      <c r="F147" s="5">
        <f t="shared" si="6"/>
        <v>0</v>
      </c>
      <c r="G147" s="5" t="s">
        <v>1483</v>
      </c>
      <c r="H147" s="4" t="e">
        <f>VLOOKUP(A147,المعطيات!$A$1:$J$3500,3,0)</f>
        <v>#N/A</v>
      </c>
      <c r="I147" s="1" t="s">
        <v>1484</v>
      </c>
      <c r="J147" s="1" t="s">
        <v>1485</v>
      </c>
      <c r="K147" s="4" t="e">
        <f>VLOOKUP(A147,المعطيات!$A$1:$J$3500,6,0)</f>
        <v>#N/A</v>
      </c>
      <c r="L147" s="1" t="s">
        <v>1486</v>
      </c>
      <c r="M147" s="1" t="s">
        <v>1487</v>
      </c>
      <c r="N147" s="4" t="e">
        <f t="shared" si="7"/>
        <v>#N/A</v>
      </c>
      <c r="O147" s="1" t="s">
        <v>1488</v>
      </c>
      <c r="P147" s="4" t="e">
        <f>VLOOKUP(A147,المعطيات!$A$1:$J$3500,4,0)</f>
        <v>#N/A</v>
      </c>
      <c r="Q147" s="1" t="s">
        <v>1489</v>
      </c>
      <c r="R147" s="1" t="s">
        <v>1480</v>
      </c>
      <c r="S147" s="6" t="e">
        <f t="shared" si="8"/>
        <v>#N/A</v>
      </c>
    </row>
    <row r="148" spans="2:19" x14ac:dyDescent="0.25">
      <c r="B148" s="1" t="s">
        <v>1479</v>
      </c>
      <c r="C148" s="1" t="s">
        <v>1481</v>
      </c>
      <c r="D148" s="4" t="e">
        <f>VLOOKUP(A148,المعطيات!$A$1:$J$3500,5,0)</f>
        <v>#N/A</v>
      </c>
      <c r="E148" s="1" t="s">
        <v>1482</v>
      </c>
      <c r="F148" s="5">
        <f t="shared" si="6"/>
        <v>0</v>
      </c>
      <c r="G148" s="5" t="s">
        <v>1483</v>
      </c>
      <c r="H148" s="4" t="e">
        <f>VLOOKUP(A148,المعطيات!$A$1:$J$3500,3,0)</f>
        <v>#N/A</v>
      </c>
      <c r="I148" s="1" t="s">
        <v>1484</v>
      </c>
      <c r="J148" s="1" t="s">
        <v>1485</v>
      </c>
      <c r="K148" s="4" t="e">
        <f>VLOOKUP(A148,المعطيات!$A$1:$J$3500,6,0)</f>
        <v>#N/A</v>
      </c>
      <c r="L148" s="1" t="s">
        <v>1486</v>
      </c>
      <c r="M148" s="1" t="s">
        <v>1487</v>
      </c>
      <c r="N148" s="4" t="e">
        <f t="shared" si="7"/>
        <v>#N/A</v>
      </c>
      <c r="O148" s="1" t="s">
        <v>1488</v>
      </c>
      <c r="P148" s="4" t="e">
        <f>VLOOKUP(A148,المعطيات!$A$1:$J$3500,4,0)</f>
        <v>#N/A</v>
      </c>
      <c r="Q148" s="1" t="s">
        <v>1489</v>
      </c>
      <c r="R148" s="1" t="s">
        <v>1480</v>
      </c>
      <c r="S148" s="6" t="e">
        <f t="shared" si="8"/>
        <v>#N/A</v>
      </c>
    </row>
    <row r="149" spans="2:19" x14ac:dyDescent="0.25">
      <c r="B149" s="1" t="s">
        <v>1479</v>
      </c>
      <c r="C149" s="1" t="s">
        <v>1481</v>
      </c>
      <c r="D149" s="4" t="e">
        <f>VLOOKUP(A149,المعطيات!$A$1:$J$3500,5,0)</f>
        <v>#N/A</v>
      </c>
      <c r="E149" s="1" t="s">
        <v>1482</v>
      </c>
      <c r="F149" s="5">
        <f t="shared" si="6"/>
        <v>0</v>
      </c>
      <c r="G149" s="5" t="s">
        <v>1483</v>
      </c>
      <c r="H149" s="4" t="e">
        <f>VLOOKUP(A149,المعطيات!$A$1:$J$3500,3,0)</f>
        <v>#N/A</v>
      </c>
      <c r="I149" s="1" t="s">
        <v>1484</v>
      </c>
      <c r="J149" s="1" t="s">
        <v>1485</v>
      </c>
      <c r="K149" s="4" t="e">
        <f>VLOOKUP(A149,المعطيات!$A$1:$J$3500,6,0)</f>
        <v>#N/A</v>
      </c>
      <c r="L149" s="1" t="s">
        <v>1486</v>
      </c>
      <c r="M149" s="1" t="s">
        <v>1487</v>
      </c>
      <c r="N149" s="4" t="e">
        <f t="shared" si="7"/>
        <v>#N/A</v>
      </c>
      <c r="O149" s="1" t="s">
        <v>1488</v>
      </c>
      <c r="P149" s="4" t="e">
        <f>VLOOKUP(A149,المعطيات!$A$1:$J$3500,4,0)</f>
        <v>#N/A</v>
      </c>
      <c r="Q149" s="1" t="s">
        <v>1489</v>
      </c>
      <c r="R149" s="1" t="s">
        <v>1480</v>
      </c>
      <c r="S149" s="6" t="e">
        <f t="shared" si="8"/>
        <v>#N/A</v>
      </c>
    </row>
    <row r="150" spans="2:19" x14ac:dyDescent="0.25">
      <c r="B150" s="1" t="s">
        <v>1479</v>
      </c>
      <c r="C150" s="1" t="s">
        <v>1481</v>
      </c>
      <c r="D150" s="4" t="e">
        <f>VLOOKUP(A150,المعطيات!$A$1:$J$3500,5,0)</f>
        <v>#N/A</v>
      </c>
      <c r="E150" s="1" t="s">
        <v>1482</v>
      </c>
      <c r="F150" s="5">
        <f t="shared" si="6"/>
        <v>0</v>
      </c>
      <c r="G150" s="5" t="s">
        <v>1483</v>
      </c>
      <c r="H150" s="4" t="e">
        <f>VLOOKUP(A150,المعطيات!$A$1:$J$3500,3,0)</f>
        <v>#N/A</v>
      </c>
      <c r="I150" s="1" t="s">
        <v>1484</v>
      </c>
      <c r="J150" s="1" t="s">
        <v>1485</v>
      </c>
      <c r="K150" s="4" t="e">
        <f>VLOOKUP(A150,المعطيات!$A$1:$J$3500,6,0)</f>
        <v>#N/A</v>
      </c>
      <c r="L150" s="1" t="s">
        <v>1486</v>
      </c>
      <c r="M150" s="1" t="s">
        <v>1487</v>
      </c>
      <c r="N150" s="4" t="e">
        <f t="shared" si="7"/>
        <v>#N/A</v>
      </c>
      <c r="O150" s="1" t="s">
        <v>1488</v>
      </c>
      <c r="P150" s="4" t="e">
        <f>VLOOKUP(A150,المعطيات!$A$1:$J$3500,4,0)</f>
        <v>#N/A</v>
      </c>
      <c r="Q150" s="1" t="s">
        <v>1489</v>
      </c>
      <c r="R150" s="1" t="s">
        <v>1480</v>
      </c>
      <c r="S150" s="6" t="e">
        <f t="shared" si="8"/>
        <v>#N/A</v>
      </c>
    </row>
    <row r="151" spans="2:19" x14ac:dyDescent="0.25">
      <c r="B151" s="1" t="s">
        <v>1479</v>
      </c>
      <c r="C151" s="1" t="s">
        <v>1481</v>
      </c>
      <c r="D151" s="4" t="e">
        <f>VLOOKUP(A151,المعطيات!$A$1:$J$3500,5,0)</f>
        <v>#N/A</v>
      </c>
      <c r="E151" s="1" t="s">
        <v>1482</v>
      </c>
      <c r="F151" s="5">
        <f t="shared" si="6"/>
        <v>0</v>
      </c>
      <c r="G151" s="5" t="s">
        <v>1483</v>
      </c>
      <c r="H151" s="4" t="e">
        <f>VLOOKUP(A151,المعطيات!$A$1:$J$3500,3,0)</f>
        <v>#N/A</v>
      </c>
      <c r="I151" s="1" t="s">
        <v>1484</v>
      </c>
      <c r="J151" s="1" t="s">
        <v>1485</v>
      </c>
      <c r="K151" s="4" t="e">
        <f>VLOOKUP(A151,المعطيات!$A$1:$J$3500,6,0)</f>
        <v>#N/A</v>
      </c>
      <c r="L151" s="1" t="s">
        <v>1486</v>
      </c>
      <c r="M151" s="1" t="s">
        <v>1487</v>
      </c>
      <c r="N151" s="4" t="e">
        <f t="shared" si="7"/>
        <v>#N/A</v>
      </c>
      <c r="O151" s="1" t="s">
        <v>1488</v>
      </c>
      <c r="P151" s="4" t="e">
        <f>VLOOKUP(A151,المعطيات!$A$1:$J$3500,4,0)</f>
        <v>#N/A</v>
      </c>
      <c r="Q151" s="1" t="s">
        <v>1489</v>
      </c>
      <c r="R151" s="1" t="s">
        <v>1480</v>
      </c>
      <c r="S151" s="6" t="e">
        <f t="shared" si="8"/>
        <v>#N/A</v>
      </c>
    </row>
    <row r="152" spans="2:19" x14ac:dyDescent="0.25">
      <c r="B152" s="1" t="s">
        <v>1479</v>
      </c>
      <c r="C152" s="1" t="s">
        <v>1481</v>
      </c>
      <c r="D152" s="4" t="e">
        <f>VLOOKUP(A152,المعطيات!$A$1:$J$3500,5,0)</f>
        <v>#N/A</v>
      </c>
      <c r="E152" s="1" t="s">
        <v>1482</v>
      </c>
      <c r="F152" s="5">
        <f t="shared" si="6"/>
        <v>0</v>
      </c>
      <c r="G152" s="5" t="s">
        <v>1483</v>
      </c>
      <c r="H152" s="4" t="e">
        <f>VLOOKUP(A152,المعطيات!$A$1:$J$3500,3,0)</f>
        <v>#N/A</v>
      </c>
      <c r="I152" s="1" t="s">
        <v>1484</v>
      </c>
      <c r="J152" s="1" t="s">
        <v>1485</v>
      </c>
      <c r="K152" s="4" t="e">
        <f>VLOOKUP(A152,المعطيات!$A$1:$J$3500,6,0)</f>
        <v>#N/A</v>
      </c>
      <c r="L152" s="1" t="s">
        <v>1486</v>
      </c>
      <c r="M152" s="1" t="s">
        <v>1487</v>
      </c>
      <c r="N152" s="4" t="e">
        <f t="shared" si="7"/>
        <v>#N/A</v>
      </c>
      <c r="O152" s="1" t="s">
        <v>1488</v>
      </c>
      <c r="P152" s="4" t="e">
        <f>VLOOKUP(A152,المعطيات!$A$1:$J$3500,4,0)</f>
        <v>#N/A</v>
      </c>
      <c r="Q152" s="1" t="s">
        <v>1489</v>
      </c>
      <c r="R152" s="1" t="s">
        <v>1480</v>
      </c>
      <c r="S152" s="6" t="e">
        <f t="shared" si="8"/>
        <v>#N/A</v>
      </c>
    </row>
    <row r="153" spans="2:19" x14ac:dyDescent="0.25">
      <c r="B153" s="1" t="s">
        <v>1479</v>
      </c>
      <c r="C153" s="1" t="s">
        <v>1481</v>
      </c>
      <c r="D153" s="4" t="e">
        <f>VLOOKUP(A153,المعطيات!$A$1:$J$3500,5,0)</f>
        <v>#N/A</v>
      </c>
      <c r="E153" s="1" t="s">
        <v>1482</v>
      </c>
      <c r="F153" s="5">
        <f t="shared" si="6"/>
        <v>0</v>
      </c>
      <c r="G153" s="5" t="s">
        <v>1483</v>
      </c>
      <c r="H153" s="4" t="e">
        <f>VLOOKUP(A153,المعطيات!$A$1:$J$3500,3,0)</f>
        <v>#N/A</v>
      </c>
      <c r="I153" s="1" t="s">
        <v>1484</v>
      </c>
      <c r="J153" s="1" t="s">
        <v>1485</v>
      </c>
      <c r="K153" s="4" t="e">
        <f>VLOOKUP(A153,المعطيات!$A$1:$J$3500,6,0)</f>
        <v>#N/A</v>
      </c>
      <c r="L153" s="1" t="s">
        <v>1486</v>
      </c>
      <c r="M153" s="1" t="s">
        <v>1487</v>
      </c>
      <c r="N153" s="4" t="e">
        <f t="shared" si="7"/>
        <v>#N/A</v>
      </c>
      <c r="O153" s="1" t="s">
        <v>1488</v>
      </c>
      <c r="P153" s="4" t="e">
        <f>VLOOKUP(A153,المعطيات!$A$1:$J$3500,4,0)</f>
        <v>#N/A</v>
      </c>
      <c r="Q153" s="1" t="s">
        <v>1489</v>
      </c>
      <c r="R153" s="1" t="s">
        <v>1480</v>
      </c>
      <c r="S153" s="6" t="e">
        <f t="shared" si="8"/>
        <v>#N/A</v>
      </c>
    </row>
    <row r="154" spans="2:19" x14ac:dyDescent="0.25">
      <c r="B154" s="1" t="s">
        <v>1479</v>
      </c>
      <c r="C154" s="1" t="s">
        <v>1481</v>
      </c>
      <c r="D154" s="4" t="e">
        <f>VLOOKUP(A154,المعطيات!$A$1:$J$3500,5,0)</f>
        <v>#N/A</v>
      </c>
      <c r="E154" s="1" t="s">
        <v>1482</v>
      </c>
      <c r="F154" s="5">
        <f t="shared" si="6"/>
        <v>0</v>
      </c>
      <c r="G154" s="5" t="s">
        <v>1483</v>
      </c>
      <c r="H154" s="4" t="e">
        <f>VLOOKUP(A154,المعطيات!$A$1:$J$3500,3,0)</f>
        <v>#N/A</v>
      </c>
      <c r="I154" s="1" t="s">
        <v>1484</v>
      </c>
      <c r="J154" s="1" t="s">
        <v>1485</v>
      </c>
      <c r="K154" s="4" t="e">
        <f>VLOOKUP(A154,المعطيات!$A$1:$J$3500,6,0)</f>
        <v>#N/A</v>
      </c>
      <c r="L154" s="1" t="s">
        <v>1486</v>
      </c>
      <c r="M154" s="1" t="s">
        <v>1487</v>
      </c>
      <c r="N154" s="4" t="e">
        <f t="shared" si="7"/>
        <v>#N/A</v>
      </c>
      <c r="O154" s="1" t="s">
        <v>1488</v>
      </c>
      <c r="P154" s="4" t="e">
        <f>VLOOKUP(A154,المعطيات!$A$1:$J$3500,4,0)</f>
        <v>#N/A</v>
      </c>
      <c r="Q154" s="1" t="s">
        <v>1489</v>
      </c>
      <c r="R154" s="1" t="s">
        <v>1480</v>
      </c>
      <c r="S154" s="6" t="e">
        <f t="shared" si="8"/>
        <v>#N/A</v>
      </c>
    </row>
    <row r="155" spans="2:19" x14ac:dyDescent="0.25">
      <c r="B155" s="1" t="s">
        <v>1479</v>
      </c>
      <c r="C155" s="1" t="s">
        <v>1481</v>
      </c>
      <c r="D155" s="4" t="e">
        <f>VLOOKUP(A155,المعطيات!$A$1:$J$3500,5,0)</f>
        <v>#N/A</v>
      </c>
      <c r="E155" s="1" t="s">
        <v>1482</v>
      </c>
      <c r="F155" s="5">
        <f t="shared" si="6"/>
        <v>0</v>
      </c>
      <c r="G155" s="5" t="s">
        <v>1483</v>
      </c>
      <c r="H155" s="4" t="e">
        <f>VLOOKUP(A155,المعطيات!$A$1:$J$3500,3,0)</f>
        <v>#N/A</v>
      </c>
      <c r="I155" s="1" t="s">
        <v>1484</v>
      </c>
      <c r="J155" s="1" t="s">
        <v>1485</v>
      </c>
      <c r="K155" s="4" t="e">
        <f>VLOOKUP(A155,المعطيات!$A$1:$J$3500,6,0)</f>
        <v>#N/A</v>
      </c>
      <c r="L155" s="1" t="s">
        <v>1486</v>
      </c>
      <c r="M155" s="1" t="s">
        <v>1487</v>
      </c>
      <c r="N155" s="4" t="e">
        <f t="shared" si="7"/>
        <v>#N/A</v>
      </c>
      <c r="O155" s="1" t="s">
        <v>1488</v>
      </c>
      <c r="P155" s="4" t="e">
        <f>VLOOKUP(A155,المعطيات!$A$1:$J$3500,4,0)</f>
        <v>#N/A</v>
      </c>
      <c r="Q155" s="1" t="s">
        <v>1489</v>
      </c>
      <c r="R155" s="1" t="s">
        <v>1480</v>
      </c>
      <c r="S155" s="6" t="e">
        <f t="shared" si="8"/>
        <v>#N/A</v>
      </c>
    </row>
    <row r="156" spans="2:19" x14ac:dyDescent="0.25">
      <c r="B156" s="1" t="s">
        <v>1479</v>
      </c>
      <c r="C156" s="1" t="s">
        <v>1481</v>
      </c>
      <c r="D156" s="4" t="e">
        <f>VLOOKUP(A156,المعطيات!$A$1:$J$3500,5,0)</f>
        <v>#N/A</v>
      </c>
      <c r="E156" s="1" t="s">
        <v>1482</v>
      </c>
      <c r="F156" s="5">
        <f t="shared" si="6"/>
        <v>0</v>
      </c>
      <c r="G156" s="5" t="s">
        <v>1483</v>
      </c>
      <c r="H156" s="4" t="e">
        <f>VLOOKUP(A156,المعطيات!$A$1:$J$3500,3,0)</f>
        <v>#N/A</v>
      </c>
      <c r="I156" s="1" t="s">
        <v>1484</v>
      </c>
      <c r="J156" s="1" t="s">
        <v>1485</v>
      </c>
      <c r="K156" s="4" t="e">
        <f>VLOOKUP(A156,المعطيات!$A$1:$J$3500,6,0)</f>
        <v>#N/A</v>
      </c>
      <c r="L156" s="1" t="s">
        <v>1486</v>
      </c>
      <c r="M156" s="1" t="s">
        <v>1487</v>
      </c>
      <c r="N156" s="4" t="e">
        <f t="shared" si="7"/>
        <v>#N/A</v>
      </c>
      <c r="O156" s="1" t="s">
        <v>1488</v>
      </c>
      <c r="P156" s="4" t="e">
        <f>VLOOKUP(A156,المعطيات!$A$1:$J$3500,4,0)</f>
        <v>#N/A</v>
      </c>
      <c r="Q156" s="1" t="s">
        <v>1489</v>
      </c>
      <c r="R156" s="1" t="s">
        <v>1480</v>
      </c>
      <c r="S156" s="6" t="e">
        <f t="shared" si="8"/>
        <v>#N/A</v>
      </c>
    </row>
    <row r="157" spans="2:19" x14ac:dyDescent="0.25">
      <c r="B157" s="1" t="s">
        <v>1479</v>
      </c>
      <c r="C157" s="1" t="s">
        <v>1481</v>
      </c>
      <c r="D157" s="4" t="e">
        <f>VLOOKUP(A157,المعطيات!$A$1:$J$3500,5,0)</f>
        <v>#N/A</v>
      </c>
      <c r="E157" s="1" t="s">
        <v>1482</v>
      </c>
      <c r="F157" s="5">
        <f t="shared" si="6"/>
        <v>0</v>
      </c>
      <c r="G157" s="5" t="s">
        <v>1483</v>
      </c>
      <c r="H157" s="4" t="e">
        <f>VLOOKUP(A157,المعطيات!$A$1:$J$3500,3,0)</f>
        <v>#N/A</v>
      </c>
      <c r="I157" s="1" t="s">
        <v>1484</v>
      </c>
      <c r="J157" s="1" t="s">
        <v>1485</v>
      </c>
      <c r="K157" s="4" t="e">
        <f>VLOOKUP(A157,المعطيات!$A$1:$J$3500,6,0)</f>
        <v>#N/A</v>
      </c>
      <c r="L157" s="1" t="s">
        <v>1486</v>
      </c>
      <c r="M157" s="1" t="s">
        <v>1487</v>
      </c>
      <c r="N157" s="4" t="e">
        <f t="shared" si="7"/>
        <v>#N/A</v>
      </c>
      <c r="O157" s="1" t="s">
        <v>1488</v>
      </c>
      <c r="P157" s="4" t="e">
        <f>VLOOKUP(A157,المعطيات!$A$1:$J$3500,4,0)</f>
        <v>#N/A</v>
      </c>
      <c r="Q157" s="1" t="s">
        <v>1489</v>
      </c>
      <c r="R157" s="1" t="s">
        <v>1480</v>
      </c>
      <c r="S157" s="6" t="e">
        <f t="shared" si="8"/>
        <v>#N/A</v>
      </c>
    </row>
    <row r="158" spans="2:19" x14ac:dyDescent="0.25">
      <c r="B158" s="1" t="s">
        <v>1479</v>
      </c>
      <c r="C158" s="1" t="s">
        <v>1481</v>
      </c>
      <c r="D158" s="4" t="e">
        <f>VLOOKUP(A158,المعطيات!$A$1:$J$3500,5,0)</f>
        <v>#N/A</v>
      </c>
      <c r="E158" s="1" t="s">
        <v>1482</v>
      </c>
      <c r="F158" s="5">
        <f t="shared" si="6"/>
        <v>0</v>
      </c>
      <c r="G158" s="5" t="s">
        <v>1483</v>
      </c>
      <c r="H158" s="4" t="e">
        <f>VLOOKUP(A158,المعطيات!$A$1:$J$3500,3,0)</f>
        <v>#N/A</v>
      </c>
      <c r="I158" s="1" t="s">
        <v>1484</v>
      </c>
      <c r="J158" s="1" t="s">
        <v>1485</v>
      </c>
      <c r="K158" s="4" t="e">
        <f>VLOOKUP(A158,المعطيات!$A$1:$J$3500,6,0)</f>
        <v>#N/A</v>
      </c>
      <c r="L158" s="1" t="s">
        <v>1486</v>
      </c>
      <c r="M158" s="1" t="s">
        <v>1487</v>
      </c>
      <c r="N158" s="4" t="e">
        <f t="shared" si="7"/>
        <v>#N/A</v>
      </c>
      <c r="O158" s="1" t="s">
        <v>1488</v>
      </c>
      <c r="P158" s="4" t="e">
        <f>VLOOKUP(A158,المعطيات!$A$1:$J$3500,4,0)</f>
        <v>#N/A</v>
      </c>
      <c r="Q158" s="1" t="s">
        <v>1489</v>
      </c>
      <c r="R158" s="1" t="s">
        <v>1480</v>
      </c>
      <c r="S158" s="6" t="e">
        <f t="shared" si="8"/>
        <v>#N/A</v>
      </c>
    </row>
    <row r="159" spans="2:19" x14ac:dyDescent="0.25">
      <c r="B159" s="1" t="s">
        <v>1479</v>
      </c>
      <c r="C159" s="1" t="s">
        <v>1481</v>
      </c>
      <c r="D159" s="4" t="e">
        <f>VLOOKUP(A159,المعطيات!$A$1:$J$3500,5,0)</f>
        <v>#N/A</v>
      </c>
      <c r="E159" s="1" t="s">
        <v>1482</v>
      </c>
      <c r="F159" s="5">
        <f t="shared" si="6"/>
        <v>0</v>
      </c>
      <c r="G159" s="5" t="s">
        <v>1483</v>
      </c>
      <c r="H159" s="4" t="e">
        <f>VLOOKUP(A159,المعطيات!$A$1:$J$3500,3,0)</f>
        <v>#N/A</v>
      </c>
      <c r="I159" s="1" t="s">
        <v>1484</v>
      </c>
      <c r="J159" s="1" t="s">
        <v>1485</v>
      </c>
      <c r="K159" s="4" t="e">
        <f>VLOOKUP(A159,المعطيات!$A$1:$J$3500,6,0)</f>
        <v>#N/A</v>
      </c>
      <c r="L159" s="1" t="s">
        <v>1486</v>
      </c>
      <c r="M159" s="1" t="s">
        <v>1487</v>
      </c>
      <c r="N159" s="4" t="e">
        <f t="shared" si="7"/>
        <v>#N/A</v>
      </c>
      <c r="O159" s="1" t="s">
        <v>1488</v>
      </c>
      <c r="P159" s="4" t="e">
        <f>VLOOKUP(A159,المعطيات!$A$1:$J$3500,4,0)</f>
        <v>#N/A</v>
      </c>
      <c r="Q159" s="1" t="s">
        <v>1489</v>
      </c>
      <c r="R159" s="1" t="s">
        <v>1480</v>
      </c>
      <c r="S159" s="6" t="e">
        <f t="shared" si="8"/>
        <v>#N/A</v>
      </c>
    </row>
    <row r="160" spans="2:19" x14ac:dyDescent="0.25">
      <c r="B160" s="1" t="s">
        <v>1479</v>
      </c>
      <c r="C160" s="1" t="s">
        <v>1481</v>
      </c>
      <c r="D160" s="4" t="e">
        <f>VLOOKUP(A160,المعطيات!$A$1:$J$3500,5,0)</f>
        <v>#N/A</v>
      </c>
      <c r="E160" s="1" t="s">
        <v>1482</v>
      </c>
      <c r="F160" s="5">
        <f t="shared" si="6"/>
        <v>0</v>
      </c>
      <c r="G160" s="5" t="s">
        <v>1483</v>
      </c>
      <c r="H160" s="4" t="e">
        <f>VLOOKUP(A160,المعطيات!$A$1:$J$3500,3,0)</f>
        <v>#N/A</v>
      </c>
      <c r="I160" s="1" t="s">
        <v>1484</v>
      </c>
      <c r="J160" s="1" t="s">
        <v>1485</v>
      </c>
      <c r="K160" s="4" t="e">
        <f>VLOOKUP(A160,المعطيات!$A$1:$J$3500,6,0)</f>
        <v>#N/A</v>
      </c>
      <c r="L160" s="1" t="s">
        <v>1486</v>
      </c>
      <c r="M160" s="1" t="s">
        <v>1487</v>
      </c>
      <c r="N160" s="4" t="e">
        <f t="shared" si="7"/>
        <v>#N/A</v>
      </c>
      <c r="O160" s="1" t="s">
        <v>1488</v>
      </c>
      <c r="P160" s="4" t="e">
        <f>VLOOKUP(A160,المعطيات!$A$1:$J$3500,4,0)</f>
        <v>#N/A</v>
      </c>
      <c r="Q160" s="1" t="s">
        <v>1489</v>
      </c>
      <c r="R160" s="1" t="s">
        <v>1480</v>
      </c>
      <c r="S160" s="6" t="e">
        <f t="shared" si="8"/>
        <v>#N/A</v>
      </c>
    </row>
    <row r="161" spans="2:19" x14ac:dyDescent="0.25">
      <c r="B161" s="1" t="s">
        <v>1479</v>
      </c>
      <c r="C161" s="1" t="s">
        <v>1481</v>
      </c>
      <c r="D161" s="4" t="e">
        <f>VLOOKUP(A161,المعطيات!$A$1:$J$3500,5,0)</f>
        <v>#N/A</v>
      </c>
      <c r="E161" s="1" t="s">
        <v>1482</v>
      </c>
      <c r="F161" s="5">
        <f t="shared" si="6"/>
        <v>0</v>
      </c>
      <c r="G161" s="5" t="s">
        <v>1483</v>
      </c>
      <c r="H161" s="4" t="e">
        <f>VLOOKUP(A161,المعطيات!$A$1:$J$3500,3,0)</f>
        <v>#N/A</v>
      </c>
      <c r="I161" s="1" t="s">
        <v>1484</v>
      </c>
      <c r="J161" s="1" t="s">
        <v>1485</v>
      </c>
      <c r="K161" s="4" t="e">
        <f>VLOOKUP(A161,المعطيات!$A$1:$J$3500,6,0)</f>
        <v>#N/A</v>
      </c>
      <c r="L161" s="1" t="s">
        <v>1486</v>
      </c>
      <c r="M161" s="1" t="s">
        <v>1487</v>
      </c>
      <c r="N161" s="4" t="e">
        <f t="shared" si="7"/>
        <v>#N/A</v>
      </c>
      <c r="O161" s="1" t="s">
        <v>1488</v>
      </c>
      <c r="P161" s="4" t="e">
        <f>VLOOKUP(A161,المعطيات!$A$1:$J$3500,4,0)</f>
        <v>#N/A</v>
      </c>
      <c r="Q161" s="1" t="s">
        <v>1489</v>
      </c>
      <c r="R161" s="1" t="s">
        <v>1480</v>
      </c>
      <c r="S161" s="6" t="e">
        <f t="shared" si="8"/>
        <v>#N/A</v>
      </c>
    </row>
    <row r="162" spans="2:19" x14ac:dyDescent="0.25">
      <c r="B162" s="1" t="s">
        <v>1479</v>
      </c>
      <c r="C162" s="1" t="s">
        <v>1481</v>
      </c>
      <c r="D162" s="4" t="e">
        <f>VLOOKUP(A162,المعطيات!$A$1:$J$3500,5,0)</f>
        <v>#N/A</v>
      </c>
      <c r="E162" s="1" t="s">
        <v>1482</v>
      </c>
      <c r="F162" s="5">
        <f t="shared" si="6"/>
        <v>0</v>
      </c>
      <c r="G162" s="5" t="s">
        <v>1483</v>
      </c>
      <c r="H162" s="4" t="e">
        <f>VLOOKUP(A162,المعطيات!$A$1:$J$3500,3,0)</f>
        <v>#N/A</v>
      </c>
      <c r="I162" s="1" t="s">
        <v>1484</v>
      </c>
      <c r="J162" s="1" t="s">
        <v>1485</v>
      </c>
      <c r="K162" s="4" t="e">
        <f>VLOOKUP(A162,المعطيات!$A$1:$J$3500,6,0)</f>
        <v>#N/A</v>
      </c>
      <c r="L162" s="1" t="s">
        <v>1486</v>
      </c>
      <c r="M162" s="1" t="s">
        <v>1487</v>
      </c>
      <c r="N162" s="4" t="e">
        <f t="shared" si="7"/>
        <v>#N/A</v>
      </c>
      <c r="O162" s="1" t="s">
        <v>1488</v>
      </c>
      <c r="P162" s="4" t="e">
        <f>VLOOKUP(A162,المعطيات!$A$1:$J$3500,4,0)</f>
        <v>#N/A</v>
      </c>
      <c r="Q162" s="1" t="s">
        <v>1489</v>
      </c>
      <c r="R162" s="1" t="s">
        <v>1480</v>
      </c>
      <c r="S162" s="6" t="e">
        <f t="shared" si="8"/>
        <v>#N/A</v>
      </c>
    </row>
    <row r="163" spans="2:19" x14ac:dyDescent="0.25">
      <c r="B163" s="1" t="s">
        <v>1479</v>
      </c>
      <c r="C163" s="1" t="s">
        <v>1481</v>
      </c>
      <c r="D163" s="4" t="e">
        <f>VLOOKUP(A163,المعطيات!$A$1:$J$3500,5,0)</f>
        <v>#N/A</v>
      </c>
      <c r="E163" s="1" t="s">
        <v>1482</v>
      </c>
      <c r="F163" s="5">
        <f t="shared" si="6"/>
        <v>0</v>
      </c>
      <c r="G163" s="5" t="s">
        <v>1483</v>
      </c>
      <c r="H163" s="4" t="e">
        <f>VLOOKUP(A163,المعطيات!$A$1:$J$3500,3,0)</f>
        <v>#N/A</v>
      </c>
      <c r="I163" s="1" t="s">
        <v>1484</v>
      </c>
      <c r="J163" s="1" t="s">
        <v>1485</v>
      </c>
      <c r="K163" s="4" t="e">
        <f>VLOOKUP(A163,المعطيات!$A$1:$J$3500,6,0)</f>
        <v>#N/A</v>
      </c>
      <c r="L163" s="1" t="s">
        <v>1486</v>
      </c>
      <c r="M163" s="1" t="s">
        <v>1487</v>
      </c>
      <c r="N163" s="4" t="e">
        <f t="shared" si="7"/>
        <v>#N/A</v>
      </c>
      <c r="O163" s="1" t="s">
        <v>1488</v>
      </c>
      <c r="P163" s="4" t="e">
        <f>VLOOKUP(A163,المعطيات!$A$1:$J$3500,4,0)</f>
        <v>#N/A</v>
      </c>
      <c r="Q163" s="1" t="s">
        <v>1489</v>
      </c>
      <c r="R163" s="1" t="s">
        <v>1480</v>
      </c>
      <c r="S163" s="6" t="e">
        <f t="shared" si="8"/>
        <v>#N/A</v>
      </c>
    </row>
    <row r="164" spans="2:19" x14ac:dyDescent="0.25">
      <c r="B164" s="1" t="s">
        <v>1479</v>
      </c>
      <c r="C164" s="1" t="s">
        <v>1481</v>
      </c>
      <c r="D164" s="4" t="e">
        <f>VLOOKUP(A164,المعطيات!$A$1:$J$3500,5,0)</f>
        <v>#N/A</v>
      </c>
      <c r="E164" s="1" t="s">
        <v>1482</v>
      </c>
      <c r="F164" s="5">
        <f t="shared" si="6"/>
        <v>0</v>
      </c>
      <c r="G164" s="5" t="s">
        <v>1483</v>
      </c>
      <c r="H164" s="4" t="e">
        <f>VLOOKUP(A164,المعطيات!$A$1:$J$3500,3,0)</f>
        <v>#N/A</v>
      </c>
      <c r="I164" s="1" t="s">
        <v>1484</v>
      </c>
      <c r="J164" s="1" t="s">
        <v>1485</v>
      </c>
      <c r="K164" s="4" t="e">
        <f>VLOOKUP(A164,المعطيات!$A$1:$J$3500,6,0)</f>
        <v>#N/A</v>
      </c>
      <c r="L164" s="1" t="s">
        <v>1486</v>
      </c>
      <c r="M164" s="1" t="s">
        <v>1487</v>
      </c>
      <c r="N164" s="4" t="e">
        <f t="shared" si="7"/>
        <v>#N/A</v>
      </c>
      <c r="O164" s="1" t="s">
        <v>1488</v>
      </c>
      <c r="P164" s="4" t="e">
        <f>VLOOKUP(A164,المعطيات!$A$1:$J$3500,4,0)</f>
        <v>#N/A</v>
      </c>
      <c r="Q164" s="1" t="s">
        <v>1489</v>
      </c>
      <c r="R164" s="1" t="s">
        <v>1480</v>
      </c>
      <c r="S164" s="6" t="e">
        <f t="shared" si="8"/>
        <v>#N/A</v>
      </c>
    </row>
    <row r="165" spans="2:19" x14ac:dyDescent="0.25">
      <c r="B165" s="1" t="s">
        <v>1479</v>
      </c>
      <c r="C165" s="1" t="s">
        <v>1481</v>
      </c>
      <c r="D165" s="4" t="e">
        <f>VLOOKUP(A165,المعطيات!$A$1:$J$3500,5,0)</f>
        <v>#N/A</v>
      </c>
      <c r="E165" s="1" t="s">
        <v>1482</v>
      </c>
      <c r="F165" s="5">
        <f t="shared" si="6"/>
        <v>0</v>
      </c>
      <c r="G165" s="5" t="s">
        <v>1483</v>
      </c>
      <c r="H165" s="4" t="e">
        <f>VLOOKUP(A165,المعطيات!$A$1:$J$3500,3,0)</f>
        <v>#N/A</v>
      </c>
      <c r="I165" s="1" t="s">
        <v>1484</v>
      </c>
      <c r="J165" s="1" t="s">
        <v>1485</v>
      </c>
      <c r="K165" s="4" t="e">
        <f>VLOOKUP(A165,المعطيات!$A$1:$J$3500,6,0)</f>
        <v>#N/A</v>
      </c>
      <c r="L165" s="1" t="s">
        <v>1486</v>
      </c>
      <c r="M165" s="1" t="s">
        <v>1487</v>
      </c>
      <c r="N165" s="4" t="e">
        <f t="shared" si="7"/>
        <v>#N/A</v>
      </c>
      <c r="O165" s="1" t="s">
        <v>1488</v>
      </c>
      <c r="P165" s="4" t="e">
        <f>VLOOKUP(A165,المعطيات!$A$1:$J$3500,4,0)</f>
        <v>#N/A</v>
      </c>
      <c r="Q165" s="1" t="s">
        <v>1489</v>
      </c>
      <c r="R165" s="1" t="s">
        <v>1480</v>
      </c>
      <c r="S165" s="6" t="e">
        <f t="shared" si="8"/>
        <v>#N/A</v>
      </c>
    </row>
    <row r="166" spans="2:19" x14ac:dyDescent="0.25">
      <c r="B166" s="1" t="s">
        <v>1479</v>
      </c>
      <c r="C166" s="1" t="s">
        <v>1481</v>
      </c>
      <c r="D166" s="4" t="e">
        <f>VLOOKUP(A166,المعطيات!$A$1:$J$3500,5,0)</f>
        <v>#N/A</v>
      </c>
      <c r="E166" s="1" t="s">
        <v>1482</v>
      </c>
      <c r="F166" s="5">
        <f t="shared" si="6"/>
        <v>0</v>
      </c>
      <c r="G166" s="5" t="s">
        <v>1483</v>
      </c>
      <c r="H166" s="4" t="e">
        <f>VLOOKUP(A166,المعطيات!$A$1:$J$3500,3,0)</f>
        <v>#N/A</v>
      </c>
      <c r="I166" s="1" t="s">
        <v>1484</v>
      </c>
      <c r="J166" s="1" t="s">
        <v>1485</v>
      </c>
      <c r="K166" s="4" t="e">
        <f>VLOOKUP(A166,المعطيات!$A$1:$J$3500,6,0)</f>
        <v>#N/A</v>
      </c>
      <c r="L166" s="1" t="s">
        <v>1486</v>
      </c>
      <c r="M166" s="1" t="s">
        <v>1487</v>
      </c>
      <c r="N166" s="4" t="e">
        <f t="shared" si="7"/>
        <v>#N/A</v>
      </c>
      <c r="O166" s="1" t="s">
        <v>1488</v>
      </c>
      <c r="P166" s="4" t="e">
        <f>VLOOKUP(A166,المعطيات!$A$1:$J$3500,4,0)</f>
        <v>#N/A</v>
      </c>
      <c r="Q166" s="1" t="s">
        <v>1489</v>
      </c>
      <c r="R166" s="1" t="s">
        <v>1480</v>
      </c>
      <c r="S166" s="6" t="e">
        <f t="shared" si="8"/>
        <v>#N/A</v>
      </c>
    </row>
    <row r="167" spans="2:19" x14ac:dyDescent="0.25">
      <c r="B167" s="1" t="s">
        <v>1479</v>
      </c>
      <c r="C167" s="1" t="s">
        <v>1481</v>
      </c>
      <c r="D167" s="4" t="e">
        <f>VLOOKUP(A167,المعطيات!$A$1:$J$3500,5,0)</f>
        <v>#N/A</v>
      </c>
      <c r="E167" s="1" t="s">
        <v>1482</v>
      </c>
      <c r="F167" s="5">
        <f t="shared" si="6"/>
        <v>0</v>
      </c>
      <c r="G167" s="5" t="s">
        <v>1483</v>
      </c>
      <c r="H167" s="4" t="e">
        <f>VLOOKUP(A167,المعطيات!$A$1:$J$3500,3,0)</f>
        <v>#N/A</v>
      </c>
      <c r="I167" s="1" t="s">
        <v>1484</v>
      </c>
      <c r="J167" s="1" t="s">
        <v>1485</v>
      </c>
      <c r="K167" s="4" t="e">
        <f>VLOOKUP(A167,المعطيات!$A$1:$J$3500,6,0)</f>
        <v>#N/A</v>
      </c>
      <c r="L167" s="1" t="s">
        <v>1486</v>
      </c>
      <c r="M167" s="1" t="s">
        <v>1487</v>
      </c>
      <c r="N167" s="4" t="e">
        <f t="shared" si="7"/>
        <v>#N/A</v>
      </c>
      <c r="O167" s="1" t="s">
        <v>1488</v>
      </c>
      <c r="P167" s="4" t="e">
        <f>VLOOKUP(A167,المعطيات!$A$1:$J$3500,4,0)</f>
        <v>#N/A</v>
      </c>
      <c r="Q167" s="1" t="s">
        <v>1489</v>
      </c>
      <c r="R167" s="1" t="s">
        <v>1480</v>
      </c>
      <c r="S167" s="6" t="e">
        <f t="shared" si="8"/>
        <v>#N/A</v>
      </c>
    </row>
    <row r="168" spans="2:19" x14ac:dyDescent="0.25">
      <c r="B168" s="1" t="s">
        <v>1479</v>
      </c>
      <c r="C168" s="1" t="s">
        <v>1481</v>
      </c>
      <c r="D168" s="4" t="e">
        <f>VLOOKUP(A168,المعطيات!$A$1:$J$3500,5,0)</f>
        <v>#N/A</v>
      </c>
      <c r="E168" s="1" t="s">
        <v>1482</v>
      </c>
      <c r="F168" s="5">
        <f t="shared" si="6"/>
        <v>0</v>
      </c>
      <c r="G168" s="5" t="s">
        <v>1483</v>
      </c>
      <c r="H168" s="4" t="e">
        <f>VLOOKUP(A168,المعطيات!$A$1:$J$3500,3,0)</f>
        <v>#N/A</v>
      </c>
      <c r="I168" s="1" t="s">
        <v>1484</v>
      </c>
      <c r="J168" s="1" t="s">
        <v>1485</v>
      </c>
      <c r="K168" s="4" t="e">
        <f>VLOOKUP(A168,المعطيات!$A$1:$J$3500,6,0)</f>
        <v>#N/A</v>
      </c>
      <c r="L168" s="1" t="s">
        <v>1486</v>
      </c>
      <c r="M168" s="1" t="s">
        <v>1487</v>
      </c>
      <c r="N168" s="4" t="e">
        <f t="shared" si="7"/>
        <v>#N/A</v>
      </c>
      <c r="O168" s="1" t="s">
        <v>1488</v>
      </c>
      <c r="P168" s="4" t="e">
        <f>VLOOKUP(A168,المعطيات!$A$1:$J$3500,4,0)</f>
        <v>#N/A</v>
      </c>
      <c r="Q168" s="1" t="s">
        <v>1489</v>
      </c>
      <c r="R168" s="1" t="s">
        <v>1480</v>
      </c>
      <c r="S168" s="6" t="e">
        <f t="shared" si="8"/>
        <v>#N/A</v>
      </c>
    </row>
    <row r="169" spans="2:19" x14ac:dyDescent="0.25">
      <c r="B169" s="1" t="s">
        <v>1479</v>
      </c>
      <c r="C169" s="1" t="s">
        <v>1481</v>
      </c>
      <c r="D169" s="4" t="e">
        <f>VLOOKUP(A169,المعطيات!$A$1:$J$3500,5,0)</f>
        <v>#N/A</v>
      </c>
      <c r="E169" s="1" t="s">
        <v>1482</v>
      </c>
      <c r="F169" s="5">
        <f t="shared" si="6"/>
        <v>0</v>
      </c>
      <c r="G169" s="5" t="s">
        <v>1483</v>
      </c>
      <c r="H169" s="4" t="e">
        <f>VLOOKUP(A169,المعطيات!$A$1:$J$3500,3,0)</f>
        <v>#N/A</v>
      </c>
      <c r="I169" s="1" t="s">
        <v>1484</v>
      </c>
      <c r="J169" s="1" t="s">
        <v>1485</v>
      </c>
      <c r="K169" s="4" t="e">
        <f>VLOOKUP(A169,المعطيات!$A$1:$J$3500,6,0)</f>
        <v>#N/A</v>
      </c>
      <c r="L169" s="1" t="s">
        <v>1486</v>
      </c>
      <c r="M169" s="1" t="s">
        <v>1487</v>
      </c>
      <c r="N169" s="4" t="e">
        <f t="shared" si="7"/>
        <v>#N/A</v>
      </c>
      <c r="O169" s="1" t="s">
        <v>1488</v>
      </c>
      <c r="P169" s="4" t="e">
        <f>VLOOKUP(A169,المعطيات!$A$1:$J$3500,4,0)</f>
        <v>#N/A</v>
      </c>
      <c r="Q169" s="1" t="s">
        <v>1489</v>
      </c>
      <c r="R169" s="1" t="s">
        <v>1480</v>
      </c>
      <c r="S169" s="6" t="e">
        <f t="shared" si="8"/>
        <v>#N/A</v>
      </c>
    </row>
    <row r="170" spans="2:19" x14ac:dyDescent="0.25">
      <c r="B170" s="1" t="s">
        <v>1479</v>
      </c>
      <c r="C170" s="1" t="s">
        <v>1481</v>
      </c>
      <c r="D170" s="4" t="e">
        <f>VLOOKUP(A170,المعطيات!$A$1:$J$3500,5,0)</f>
        <v>#N/A</v>
      </c>
      <c r="E170" s="1" t="s">
        <v>1482</v>
      </c>
      <c r="F170" s="5">
        <f t="shared" si="6"/>
        <v>0</v>
      </c>
      <c r="G170" s="5" t="s">
        <v>1483</v>
      </c>
      <c r="H170" s="4" t="e">
        <f>VLOOKUP(A170,المعطيات!$A$1:$J$3500,3,0)</f>
        <v>#N/A</v>
      </c>
      <c r="I170" s="1" t="s">
        <v>1484</v>
      </c>
      <c r="J170" s="1" t="s">
        <v>1485</v>
      </c>
      <c r="K170" s="4" t="e">
        <f>VLOOKUP(A170,المعطيات!$A$1:$J$3500,6,0)</f>
        <v>#N/A</v>
      </c>
      <c r="L170" s="1" t="s">
        <v>1486</v>
      </c>
      <c r="M170" s="1" t="s">
        <v>1487</v>
      </c>
      <c r="N170" s="4" t="e">
        <f t="shared" si="7"/>
        <v>#N/A</v>
      </c>
      <c r="O170" s="1" t="s">
        <v>1488</v>
      </c>
      <c r="P170" s="4" t="e">
        <f>VLOOKUP(A170,المعطيات!$A$1:$J$3500,4,0)</f>
        <v>#N/A</v>
      </c>
      <c r="Q170" s="1" t="s">
        <v>1489</v>
      </c>
      <c r="R170" s="1" t="s">
        <v>1480</v>
      </c>
      <c r="S170" s="6" t="e">
        <f t="shared" si="8"/>
        <v>#N/A</v>
      </c>
    </row>
    <row r="171" spans="2:19" x14ac:dyDescent="0.25">
      <c r="B171" s="1" t="s">
        <v>1479</v>
      </c>
      <c r="C171" s="1" t="s">
        <v>1481</v>
      </c>
      <c r="D171" s="4" t="e">
        <f>VLOOKUP(A171,المعطيات!$A$1:$J$3500,5,0)</f>
        <v>#N/A</v>
      </c>
      <c r="E171" s="1" t="s">
        <v>1482</v>
      </c>
      <c r="F171" s="5">
        <f t="shared" si="6"/>
        <v>0</v>
      </c>
      <c r="G171" s="5" t="s">
        <v>1483</v>
      </c>
      <c r="H171" s="4" t="e">
        <f>VLOOKUP(A171,المعطيات!$A$1:$J$3500,3,0)</f>
        <v>#N/A</v>
      </c>
      <c r="I171" s="1" t="s">
        <v>1484</v>
      </c>
      <c r="J171" s="1" t="s">
        <v>1485</v>
      </c>
      <c r="K171" s="4" t="e">
        <f>VLOOKUP(A171,المعطيات!$A$1:$J$3500,6,0)</f>
        <v>#N/A</v>
      </c>
      <c r="L171" s="1" t="s">
        <v>1486</v>
      </c>
      <c r="M171" s="1" t="s">
        <v>1487</v>
      </c>
      <c r="N171" s="4" t="e">
        <f t="shared" si="7"/>
        <v>#N/A</v>
      </c>
      <c r="O171" s="1" t="s">
        <v>1488</v>
      </c>
      <c r="P171" s="4" t="e">
        <f>VLOOKUP(A171,المعطيات!$A$1:$J$3500,4,0)</f>
        <v>#N/A</v>
      </c>
      <c r="Q171" s="1" t="s">
        <v>1489</v>
      </c>
      <c r="R171" s="1" t="s">
        <v>1480</v>
      </c>
      <c r="S171" s="6" t="e">
        <f t="shared" si="8"/>
        <v>#N/A</v>
      </c>
    </row>
    <row r="172" spans="2:19" x14ac:dyDescent="0.25">
      <c r="B172" s="1" t="s">
        <v>1479</v>
      </c>
      <c r="C172" s="1" t="s">
        <v>1481</v>
      </c>
      <c r="D172" s="4" t="e">
        <f>VLOOKUP(A172,المعطيات!$A$1:$J$3500,5,0)</f>
        <v>#N/A</v>
      </c>
      <c r="E172" s="1" t="s">
        <v>1482</v>
      </c>
      <c r="F172" s="5">
        <f t="shared" si="6"/>
        <v>0</v>
      </c>
      <c r="G172" s="5" t="s">
        <v>1483</v>
      </c>
      <c r="H172" s="4" t="e">
        <f>VLOOKUP(A172,المعطيات!$A$1:$J$3500,3,0)</f>
        <v>#N/A</v>
      </c>
      <c r="I172" s="1" t="s">
        <v>1484</v>
      </c>
      <c r="J172" s="1" t="s">
        <v>1485</v>
      </c>
      <c r="K172" s="4" t="e">
        <f>VLOOKUP(A172,المعطيات!$A$1:$J$3500,6,0)</f>
        <v>#N/A</v>
      </c>
      <c r="L172" s="1" t="s">
        <v>1486</v>
      </c>
      <c r="M172" s="1" t="s">
        <v>1487</v>
      </c>
      <c r="N172" s="4" t="e">
        <f t="shared" si="7"/>
        <v>#N/A</v>
      </c>
      <c r="O172" s="1" t="s">
        <v>1488</v>
      </c>
      <c r="P172" s="4" t="e">
        <f>VLOOKUP(A172,المعطيات!$A$1:$J$3500,4,0)</f>
        <v>#N/A</v>
      </c>
      <c r="Q172" s="1" t="s">
        <v>1489</v>
      </c>
      <c r="R172" s="1" t="s">
        <v>1480</v>
      </c>
      <c r="S172" s="6" t="e">
        <f t="shared" si="8"/>
        <v>#N/A</v>
      </c>
    </row>
    <row r="173" spans="2:19" x14ac:dyDescent="0.25">
      <c r="B173" s="1" t="s">
        <v>1479</v>
      </c>
      <c r="C173" s="1" t="s">
        <v>1481</v>
      </c>
      <c r="D173" s="4" t="e">
        <f>VLOOKUP(A173,المعطيات!$A$1:$J$3500,5,0)</f>
        <v>#N/A</v>
      </c>
      <c r="E173" s="1" t="s">
        <v>1482</v>
      </c>
      <c r="F173" s="5">
        <f t="shared" si="6"/>
        <v>0</v>
      </c>
      <c r="G173" s="5" t="s">
        <v>1483</v>
      </c>
      <c r="H173" s="4" t="e">
        <f>VLOOKUP(A173,المعطيات!$A$1:$J$3500,3,0)</f>
        <v>#N/A</v>
      </c>
      <c r="I173" s="1" t="s">
        <v>1484</v>
      </c>
      <c r="J173" s="1" t="s">
        <v>1485</v>
      </c>
      <c r="K173" s="4" t="e">
        <f>VLOOKUP(A173,المعطيات!$A$1:$J$3500,6,0)</f>
        <v>#N/A</v>
      </c>
      <c r="L173" s="1" t="s">
        <v>1486</v>
      </c>
      <c r="M173" s="1" t="s">
        <v>1487</v>
      </c>
      <c r="N173" s="4" t="e">
        <f t="shared" si="7"/>
        <v>#N/A</v>
      </c>
      <c r="O173" s="1" t="s">
        <v>1488</v>
      </c>
      <c r="P173" s="4" t="e">
        <f>VLOOKUP(A173,المعطيات!$A$1:$J$3500,4,0)</f>
        <v>#N/A</v>
      </c>
      <c r="Q173" s="1" t="s">
        <v>1489</v>
      </c>
      <c r="R173" s="1" t="s">
        <v>1480</v>
      </c>
      <c r="S173" s="6" t="e">
        <f t="shared" si="8"/>
        <v>#N/A</v>
      </c>
    </row>
    <row r="174" spans="2:19" x14ac:dyDescent="0.25">
      <c r="B174" s="1" t="s">
        <v>1479</v>
      </c>
      <c r="C174" s="1" t="s">
        <v>1481</v>
      </c>
      <c r="D174" s="4" t="e">
        <f>VLOOKUP(A174,المعطيات!$A$1:$J$3500,5,0)</f>
        <v>#N/A</v>
      </c>
      <c r="E174" s="1" t="s">
        <v>1482</v>
      </c>
      <c r="F174" s="5">
        <f t="shared" si="6"/>
        <v>0</v>
      </c>
      <c r="G174" s="5" t="s">
        <v>1483</v>
      </c>
      <c r="H174" s="4" t="e">
        <f>VLOOKUP(A174,المعطيات!$A$1:$J$3500,3,0)</f>
        <v>#N/A</v>
      </c>
      <c r="I174" s="1" t="s">
        <v>1484</v>
      </c>
      <c r="J174" s="1" t="s">
        <v>1485</v>
      </c>
      <c r="K174" s="4" t="e">
        <f>VLOOKUP(A174,المعطيات!$A$1:$J$3500,6,0)</f>
        <v>#N/A</v>
      </c>
      <c r="L174" s="1" t="s">
        <v>1486</v>
      </c>
      <c r="M174" s="1" t="s">
        <v>1487</v>
      </c>
      <c r="N174" s="4" t="e">
        <f t="shared" si="7"/>
        <v>#N/A</v>
      </c>
      <c r="O174" s="1" t="s">
        <v>1488</v>
      </c>
      <c r="P174" s="4" t="e">
        <f>VLOOKUP(A174,المعطيات!$A$1:$J$3500,4,0)</f>
        <v>#N/A</v>
      </c>
      <c r="Q174" s="1" t="s">
        <v>1489</v>
      </c>
      <c r="R174" s="1" t="s">
        <v>1480</v>
      </c>
      <c r="S174" s="6" t="e">
        <f t="shared" si="8"/>
        <v>#N/A</v>
      </c>
    </row>
    <row r="175" spans="2:19" x14ac:dyDescent="0.25">
      <c r="B175" s="1" t="s">
        <v>1479</v>
      </c>
      <c r="C175" s="1" t="s">
        <v>1481</v>
      </c>
      <c r="D175" s="4" t="e">
        <f>VLOOKUP(A175,المعطيات!$A$1:$J$3500,5,0)</f>
        <v>#N/A</v>
      </c>
      <c r="E175" s="1" t="s">
        <v>1482</v>
      </c>
      <c r="F175" s="5">
        <f t="shared" si="6"/>
        <v>0</v>
      </c>
      <c r="G175" s="5" t="s">
        <v>1483</v>
      </c>
      <c r="H175" s="4" t="e">
        <f>VLOOKUP(A175,المعطيات!$A$1:$J$3500,3,0)</f>
        <v>#N/A</v>
      </c>
      <c r="I175" s="1" t="s">
        <v>1484</v>
      </c>
      <c r="J175" s="1" t="s">
        <v>1485</v>
      </c>
      <c r="K175" s="4" t="e">
        <f>VLOOKUP(A175,المعطيات!$A$1:$J$3500,6,0)</f>
        <v>#N/A</v>
      </c>
      <c r="L175" s="1" t="s">
        <v>1486</v>
      </c>
      <c r="M175" s="1" t="s">
        <v>1487</v>
      </c>
      <c r="N175" s="4" t="e">
        <f t="shared" si="7"/>
        <v>#N/A</v>
      </c>
      <c r="O175" s="1" t="s">
        <v>1488</v>
      </c>
      <c r="P175" s="4" t="e">
        <f>VLOOKUP(A175,المعطيات!$A$1:$J$3500,4,0)</f>
        <v>#N/A</v>
      </c>
      <c r="Q175" s="1" t="s">
        <v>1489</v>
      </c>
      <c r="R175" s="1" t="s">
        <v>1480</v>
      </c>
      <c r="S175" s="6" t="e">
        <f t="shared" si="8"/>
        <v>#N/A</v>
      </c>
    </row>
    <row r="176" spans="2:19" x14ac:dyDescent="0.25">
      <c r="B176" s="1" t="s">
        <v>1479</v>
      </c>
      <c r="C176" s="1" t="s">
        <v>1481</v>
      </c>
      <c r="D176" s="4" t="e">
        <f>VLOOKUP(A176,المعطيات!$A$1:$J$3500,5,0)</f>
        <v>#N/A</v>
      </c>
      <c r="E176" s="1" t="s">
        <v>1482</v>
      </c>
      <c r="F176" s="5">
        <f t="shared" si="6"/>
        <v>0</v>
      </c>
      <c r="G176" s="5" t="s">
        <v>1483</v>
      </c>
      <c r="H176" s="4" t="e">
        <f>VLOOKUP(A176,المعطيات!$A$1:$J$3500,3,0)</f>
        <v>#N/A</v>
      </c>
      <c r="I176" s="1" t="s">
        <v>1484</v>
      </c>
      <c r="J176" s="1" t="s">
        <v>1485</v>
      </c>
      <c r="K176" s="4" t="e">
        <f>VLOOKUP(A176,المعطيات!$A$1:$J$3500,6,0)</f>
        <v>#N/A</v>
      </c>
      <c r="L176" s="1" t="s">
        <v>1486</v>
      </c>
      <c r="M176" s="1" t="s">
        <v>1487</v>
      </c>
      <c r="N176" s="4" t="e">
        <f t="shared" si="7"/>
        <v>#N/A</v>
      </c>
      <c r="O176" s="1" t="s">
        <v>1488</v>
      </c>
      <c r="P176" s="4" t="e">
        <f>VLOOKUP(A176,المعطيات!$A$1:$J$3500,4,0)</f>
        <v>#N/A</v>
      </c>
      <c r="Q176" s="1" t="s">
        <v>1489</v>
      </c>
      <c r="R176" s="1" t="s">
        <v>1480</v>
      </c>
      <c r="S176" s="6" t="e">
        <f t="shared" si="8"/>
        <v>#N/A</v>
      </c>
    </row>
    <row r="177" spans="2:19" x14ac:dyDescent="0.25">
      <c r="B177" s="1" t="s">
        <v>1479</v>
      </c>
      <c r="C177" s="1" t="s">
        <v>1481</v>
      </c>
      <c r="D177" s="4" t="e">
        <f>VLOOKUP(A177,المعطيات!$A$1:$J$3500,5,0)</f>
        <v>#N/A</v>
      </c>
      <c r="E177" s="1" t="s">
        <v>1482</v>
      </c>
      <c r="F177" s="5">
        <f t="shared" si="6"/>
        <v>0</v>
      </c>
      <c r="G177" s="5" t="s">
        <v>1483</v>
      </c>
      <c r="H177" s="4" t="e">
        <f>VLOOKUP(A177,المعطيات!$A$1:$J$3500,3,0)</f>
        <v>#N/A</v>
      </c>
      <c r="I177" s="1" t="s">
        <v>1484</v>
      </c>
      <c r="J177" s="1" t="s">
        <v>1485</v>
      </c>
      <c r="K177" s="4" t="e">
        <f>VLOOKUP(A177,المعطيات!$A$1:$J$3500,6,0)</f>
        <v>#N/A</v>
      </c>
      <c r="L177" s="1" t="s">
        <v>1486</v>
      </c>
      <c r="M177" s="1" t="s">
        <v>1487</v>
      </c>
      <c r="N177" s="4" t="e">
        <f t="shared" si="7"/>
        <v>#N/A</v>
      </c>
      <c r="O177" s="1" t="s">
        <v>1488</v>
      </c>
      <c r="P177" s="4" t="e">
        <f>VLOOKUP(A177,المعطيات!$A$1:$J$3500,4,0)</f>
        <v>#N/A</v>
      </c>
      <c r="Q177" s="1" t="s">
        <v>1489</v>
      </c>
      <c r="R177" s="1" t="s">
        <v>1480</v>
      </c>
      <c r="S177" s="6" t="e">
        <f t="shared" si="8"/>
        <v>#N/A</v>
      </c>
    </row>
    <row r="178" spans="2:19" x14ac:dyDescent="0.25">
      <c r="B178" s="1" t="s">
        <v>1479</v>
      </c>
      <c r="C178" s="1" t="s">
        <v>1481</v>
      </c>
      <c r="D178" s="4" t="e">
        <f>VLOOKUP(A178,المعطيات!$A$1:$J$3500,5,0)</f>
        <v>#N/A</v>
      </c>
      <c r="E178" s="1" t="s">
        <v>1482</v>
      </c>
      <c r="F178" s="5">
        <f t="shared" si="6"/>
        <v>0</v>
      </c>
      <c r="G178" s="5" t="s">
        <v>1483</v>
      </c>
      <c r="H178" s="4" t="e">
        <f>VLOOKUP(A178,المعطيات!$A$1:$J$3500,3,0)</f>
        <v>#N/A</v>
      </c>
      <c r="I178" s="1" t="s">
        <v>1484</v>
      </c>
      <c r="J178" s="1" t="s">
        <v>1485</v>
      </c>
      <c r="K178" s="4" t="e">
        <f>VLOOKUP(A178,المعطيات!$A$1:$J$3500,6,0)</f>
        <v>#N/A</v>
      </c>
      <c r="L178" s="1" t="s">
        <v>1486</v>
      </c>
      <c r="M178" s="1" t="s">
        <v>1487</v>
      </c>
      <c r="N178" s="4" t="e">
        <f t="shared" si="7"/>
        <v>#N/A</v>
      </c>
      <c r="O178" s="1" t="s">
        <v>1488</v>
      </c>
      <c r="P178" s="4" t="e">
        <f>VLOOKUP(A178,المعطيات!$A$1:$J$3500,4,0)</f>
        <v>#N/A</v>
      </c>
      <c r="Q178" s="1" t="s">
        <v>1489</v>
      </c>
      <c r="R178" s="1" t="s">
        <v>1480</v>
      </c>
      <c r="S178" s="6" t="e">
        <f t="shared" si="8"/>
        <v>#N/A</v>
      </c>
    </row>
    <row r="179" spans="2:19" x14ac:dyDescent="0.25">
      <c r="B179" s="1" t="s">
        <v>1479</v>
      </c>
      <c r="C179" s="1" t="s">
        <v>1481</v>
      </c>
      <c r="D179" s="4" t="e">
        <f>VLOOKUP(A179,المعطيات!$A$1:$J$3500,5,0)</f>
        <v>#N/A</v>
      </c>
      <c r="E179" s="1" t="s">
        <v>1482</v>
      </c>
      <c r="F179" s="5">
        <f t="shared" si="6"/>
        <v>0</v>
      </c>
      <c r="G179" s="5" t="s">
        <v>1483</v>
      </c>
      <c r="H179" s="4" t="e">
        <f>VLOOKUP(A179,المعطيات!$A$1:$J$3500,3,0)</f>
        <v>#N/A</v>
      </c>
      <c r="I179" s="1" t="s">
        <v>1484</v>
      </c>
      <c r="J179" s="1" t="s">
        <v>1485</v>
      </c>
      <c r="K179" s="4" t="e">
        <f>VLOOKUP(A179,المعطيات!$A$1:$J$3500,6,0)</f>
        <v>#N/A</v>
      </c>
      <c r="L179" s="1" t="s">
        <v>1486</v>
      </c>
      <c r="M179" s="1" t="s">
        <v>1487</v>
      </c>
      <c r="N179" s="4" t="e">
        <f t="shared" si="7"/>
        <v>#N/A</v>
      </c>
      <c r="O179" s="1" t="s">
        <v>1488</v>
      </c>
      <c r="P179" s="4" t="e">
        <f>VLOOKUP(A179,المعطيات!$A$1:$J$3500,4,0)</f>
        <v>#N/A</v>
      </c>
      <c r="Q179" s="1" t="s">
        <v>1489</v>
      </c>
      <c r="R179" s="1" t="s">
        <v>1480</v>
      </c>
      <c r="S179" s="6" t="e">
        <f t="shared" si="8"/>
        <v>#N/A</v>
      </c>
    </row>
    <row r="180" spans="2:19" x14ac:dyDescent="0.25">
      <c r="B180" s="1" t="s">
        <v>1479</v>
      </c>
      <c r="C180" s="1" t="s">
        <v>1481</v>
      </c>
      <c r="D180" s="4" t="e">
        <f>VLOOKUP(A180,المعطيات!$A$1:$J$3500,5,0)</f>
        <v>#N/A</v>
      </c>
      <c r="E180" s="1" t="s">
        <v>1482</v>
      </c>
      <c r="F180" s="5">
        <f t="shared" si="6"/>
        <v>0</v>
      </c>
      <c r="G180" s="5" t="s">
        <v>1483</v>
      </c>
      <c r="H180" s="4" t="e">
        <f>VLOOKUP(A180,المعطيات!$A$1:$J$3500,3,0)</f>
        <v>#N/A</v>
      </c>
      <c r="I180" s="1" t="s">
        <v>1484</v>
      </c>
      <c r="J180" s="1" t="s">
        <v>1485</v>
      </c>
      <c r="K180" s="4" t="e">
        <f>VLOOKUP(A180,المعطيات!$A$1:$J$3500,6,0)</f>
        <v>#N/A</v>
      </c>
      <c r="L180" s="1" t="s">
        <v>1486</v>
      </c>
      <c r="M180" s="1" t="s">
        <v>1487</v>
      </c>
      <c r="N180" s="4" t="e">
        <f t="shared" si="7"/>
        <v>#N/A</v>
      </c>
      <c r="O180" s="1" t="s">
        <v>1488</v>
      </c>
      <c r="P180" s="4" t="e">
        <f>VLOOKUP(A180,المعطيات!$A$1:$J$3500,4,0)</f>
        <v>#N/A</v>
      </c>
      <c r="Q180" s="1" t="s">
        <v>1489</v>
      </c>
      <c r="R180" s="1" t="s">
        <v>1480</v>
      </c>
      <c r="S180" s="6" t="e">
        <f t="shared" si="8"/>
        <v>#N/A</v>
      </c>
    </row>
    <row r="181" spans="2:19" x14ac:dyDescent="0.25">
      <c r="B181" s="1" t="s">
        <v>1479</v>
      </c>
      <c r="C181" s="1" t="s">
        <v>1481</v>
      </c>
      <c r="D181" s="4" t="e">
        <f>VLOOKUP(A181,المعطيات!$A$1:$J$3500,5,0)</f>
        <v>#N/A</v>
      </c>
      <c r="E181" s="1" t="s">
        <v>1482</v>
      </c>
      <c r="F181" s="5">
        <f t="shared" si="6"/>
        <v>0</v>
      </c>
      <c r="G181" s="5" t="s">
        <v>1483</v>
      </c>
      <c r="H181" s="4" t="e">
        <f>VLOOKUP(A181,المعطيات!$A$1:$J$3500,3,0)</f>
        <v>#N/A</v>
      </c>
      <c r="I181" s="1" t="s">
        <v>1484</v>
      </c>
      <c r="J181" s="1" t="s">
        <v>1485</v>
      </c>
      <c r="K181" s="4" t="e">
        <f>VLOOKUP(A181,المعطيات!$A$1:$J$3500,6,0)</f>
        <v>#N/A</v>
      </c>
      <c r="L181" s="1" t="s">
        <v>1486</v>
      </c>
      <c r="M181" s="1" t="s">
        <v>1487</v>
      </c>
      <c r="N181" s="4" t="e">
        <f t="shared" si="7"/>
        <v>#N/A</v>
      </c>
      <c r="O181" s="1" t="s">
        <v>1488</v>
      </c>
      <c r="P181" s="4" t="e">
        <f>VLOOKUP(A181,المعطيات!$A$1:$J$3500,4,0)</f>
        <v>#N/A</v>
      </c>
      <c r="Q181" s="1" t="s">
        <v>1489</v>
      </c>
      <c r="R181" s="1" t="s">
        <v>1480</v>
      </c>
      <c r="S181" s="6" t="e">
        <f t="shared" si="8"/>
        <v>#N/A</v>
      </c>
    </row>
    <row r="182" spans="2:19" x14ac:dyDescent="0.25">
      <c r="B182" s="1" t="s">
        <v>1479</v>
      </c>
      <c r="C182" s="1" t="s">
        <v>1481</v>
      </c>
      <c r="D182" s="4" t="e">
        <f>VLOOKUP(A182,المعطيات!$A$1:$J$3500,5,0)</f>
        <v>#N/A</v>
      </c>
      <c r="E182" s="1" t="s">
        <v>1482</v>
      </c>
      <c r="F182" s="5">
        <f t="shared" si="6"/>
        <v>0</v>
      </c>
      <c r="G182" s="5" t="s">
        <v>1483</v>
      </c>
      <c r="H182" s="4" t="e">
        <f>VLOOKUP(A182,المعطيات!$A$1:$J$3500,3,0)</f>
        <v>#N/A</v>
      </c>
      <c r="I182" s="1" t="s">
        <v>1484</v>
      </c>
      <c r="J182" s="1" t="s">
        <v>1485</v>
      </c>
      <c r="K182" s="4" t="e">
        <f>VLOOKUP(A182,المعطيات!$A$1:$J$3500,6,0)</f>
        <v>#N/A</v>
      </c>
      <c r="L182" s="1" t="s">
        <v>1486</v>
      </c>
      <c r="M182" s="1" t="s">
        <v>1487</v>
      </c>
      <c r="N182" s="4" t="e">
        <f t="shared" si="7"/>
        <v>#N/A</v>
      </c>
      <c r="O182" s="1" t="s">
        <v>1488</v>
      </c>
      <c r="P182" s="4" t="e">
        <f>VLOOKUP(A182,المعطيات!$A$1:$J$3500,4,0)</f>
        <v>#N/A</v>
      </c>
      <c r="Q182" s="1" t="s">
        <v>1489</v>
      </c>
      <c r="R182" s="1" t="s">
        <v>1480</v>
      </c>
      <c r="S182" s="6" t="e">
        <f t="shared" si="8"/>
        <v>#N/A</v>
      </c>
    </row>
    <row r="183" spans="2:19" x14ac:dyDescent="0.25">
      <c r="B183" s="1" t="s">
        <v>1479</v>
      </c>
      <c r="C183" s="1" t="s">
        <v>1481</v>
      </c>
      <c r="D183" s="4" t="e">
        <f>VLOOKUP(A183,المعطيات!$A$1:$J$3500,5,0)</f>
        <v>#N/A</v>
      </c>
      <c r="E183" s="1" t="s">
        <v>1482</v>
      </c>
      <c r="F183" s="5">
        <f t="shared" si="6"/>
        <v>0</v>
      </c>
      <c r="G183" s="5" t="s">
        <v>1483</v>
      </c>
      <c r="H183" s="4" t="e">
        <f>VLOOKUP(A183,المعطيات!$A$1:$J$3500,3,0)</f>
        <v>#N/A</v>
      </c>
      <c r="I183" s="1" t="s">
        <v>1484</v>
      </c>
      <c r="J183" s="1" t="s">
        <v>1485</v>
      </c>
      <c r="K183" s="4" t="e">
        <f>VLOOKUP(A183,المعطيات!$A$1:$J$3500,6,0)</f>
        <v>#N/A</v>
      </c>
      <c r="L183" s="1" t="s">
        <v>1486</v>
      </c>
      <c r="M183" s="1" t="s">
        <v>1487</v>
      </c>
      <c r="N183" s="4" t="e">
        <f t="shared" si="7"/>
        <v>#N/A</v>
      </c>
      <c r="O183" s="1" t="s">
        <v>1488</v>
      </c>
      <c r="P183" s="4" t="e">
        <f>VLOOKUP(A183,المعطيات!$A$1:$J$3500,4,0)</f>
        <v>#N/A</v>
      </c>
      <c r="Q183" s="1" t="s">
        <v>1489</v>
      </c>
      <c r="R183" s="1" t="s">
        <v>1480</v>
      </c>
      <c r="S183" s="6" t="e">
        <f t="shared" si="8"/>
        <v>#N/A</v>
      </c>
    </row>
    <row r="184" spans="2:19" x14ac:dyDescent="0.25">
      <c r="B184" s="1" t="s">
        <v>1479</v>
      </c>
      <c r="C184" s="1" t="s">
        <v>1481</v>
      </c>
      <c r="D184" s="4" t="e">
        <f>VLOOKUP(A184,المعطيات!$A$1:$J$3500,5,0)</f>
        <v>#N/A</v>
      </c>
      <c r="E184" s="1" t="s">
        <v>1482</v>
      </c>
      <c r="F184" s="5">
        <f t="shared" si="6"/>
        <v>0</v>
      </c>
      <c r="G184" s="5" t="s">
        <v>1483</v>
      </c>
      <c r="H184" s="4" t="e">
        <f>VLOOKUP(A184,المعطيات!$A$1:$J$3500,3,0)</f>
        <v>#N/A</v>
      </c>
      <c r="I184" s="1" t="s">
        <v>1484</v>
      </c>
      <c r="J184" s="1" t="s">
        <v>1485</v>
      </c>
      <c r="K184" s="4" t="e">
        <f>VLOOKUP(A184,المعطيات!$A$1:$J$3500,6,0)</f>
        <v>#N/A</v>
      </c>
      <c r="L184" s="1" t="s">
        <v>1486</v>
      </c>
      <c r="M184" s="1" t="s">
        <v>1487</v>
      </c>
      <c r="N184" s="4" t="e">
        <f t="shared" si="7"/>
        <v>#N/A</v>
      </c>
      <c r="O184" s="1" t="s">
        <v>1488</v>
      </c>
      <c r="P184" s="4" t="e">
        <f>VLOOKUP(A184,المعطيات!$A$1:$J$3500,4,0)</f>
        <v>#N/A</v>
      </c>
      <c r="Q184" s="1" t="s">
        <v>1489</v>
      </c>
      <c r="R184" s="1" t="s">
        <v>1480</v>
      </c>
      <c r="S184" s="6" t="e">
        <f t="shared" si="8"/>
        <v>#N/A</v>
      </c>
    </row>
    <row r="185" spans="2:19" x14ac:dyDescent="0.25">
      <c r="B185" s="1" t="s">
        <v>1479</v>
      </c>
      <c r="C185" s="1" t="s">
        <v>1481</v>
      </c>
      <c r="D185" s="4" t="e">
        <f>VLOOKUP(A185,المعطيات!$A$1:$J$3500,5,0)</f>
        <v>#N/A</v>
      </c>
      <c r="E185" s="1" t="s">
        <v>1482</v>
      </c>
      <c r="F185" s="5">
        <f t="shared" si="6"/>
        <v>0</v>
      </c>
      <c r="G185" s="5" t="s">
        <v>1483</v>
      </c>
      <c r="H185" s="4" t="e">
        <f>VLOOKUP(A185,المعطيات!$A$1:$J$3500,3,0)</f>
        <v>#N/A</v>
      </c>
      <c r="I185" s="1" t="s">
        <v>1484</v>
      </c>
      <c r="J185" s="1" t="s">
        <v>1485</v>
      </c>
      <c r="K185" s="4" t="e">
        <f>VLOOKUP(A185,المعطيات!$A$1:$J$3500,6,0)</f>
        <v>#N/A</v>
      </c>
      <c r="L185" s="1" t="s">
        <v>1486</v>
      </c>
      <c r="M185" s="1" t="s">
        <v>1487</v>
      </c>
      <c r="N185" s="4" t="e">
        <f t="shared" si="7"/>
        <v>#N/A</v>
      </c>
      <c r="O185" s="1" t="s">
        <v>1488</v>
      </c>
      <c r="P185" s="4" t="e">
        <f>VLOOKUP(A185,المعطيات!$A$1:$J$3500,4,0)</f>
        <v>#N/A</v>
      </c>
      <c r="Q185" s="1" t="s">
        <v>1489</v>
      </c>
      <c r="R185" s="1" t="s">
        <v>1480</v>
      </c>
      <c r="S185" s="6" t="e">
        <f t="shared" si="8"/>
        <v>#N/A</v>
      </c>
    </row>
    <row r="186" spans="2:19" x14ac:dyDescent="0.25">
      <c r="B186" s="1" t="s">
        <v>1479</v>
      </c>
      <c r="C186" s="1" t="s">
        <v>1481</v>
      </c>
      <c r="D186" s="4" t="e">
        <f>VLOOKUP(A186,المعطيات!$A$1:$J$3500,5,0)</f>
        <v>#N/A</v>
      </c>
      <c r="E186" s="1" t="s">
        <v>1482</v>
      </c>
      <c r="F186" s="5">
        <f t="shared" si="6"/>
        <v>0</v>
      </c>
      <c r="G186" s="5" t="s">
        <v>1483</v>
      </c>
      <c r="H186" s="4" t="e">
        <f>VLOOKUP(A186,المعطيات!$A$1:$J$3500,3,0)</f>
        <v>#N/A</v>
      </c>
      <c r="I186" s="1" t="s">
        <v>1484</v>
      </c>
      <c r="J186" s="1" t="s">
        <v>1485</v>
      </c>
      <c r="K186" s="4" t="e">
        <f>VLOOKUP(A186,المعطيات!$A$1:$J$3500,6,0)</f>
        <v>#N/A</v>
      </c>
      <c r="L186" s="1" t="s">
        <v>1486</v>
      </c>
      <c r="M186" s="1" t="s">
        <v>1487</v>
      </c>
      <c r="N186" s="4" t="e">
        <f t="shared" si="7"/>
        <v>#N/A</v>
      </c>
      <c r="O186" s="1" t="s">
        <v>1488</v>
      </c>
      <c r="P186" s="4" t="e">
        <f>VLOOKUP(A186,المعطيات!$A$1:$J$3500,4,0)</f>
        <v>#N/A</v>
      </c>
      <c r="Q186" s="1" t="s">
        <v>1489</v>
      </c>
      <c r="R186" s="1" t="s">
        <v>1480</v>
      </c>
      <c r="S186" s="6" t="e">
        <f t="shared" si="8"/>
        <v>#N/A</v>
      </c>
    </row>
    <row r="187" spans="2:19" x14ac:dyDescent="0.25">
      <c r="B187" s="1" t="s">
        <v>1479</v>
      </c>
      <c r="C187" s="1" t="s">
        <v>1481</v>
      </c>
      <c r="D187" s="4" t="e">
        <f>VLOOKUP(A187,المعطيات!$A$1:$J$3500,5,0)</f>
        <v>#N/A</v>
      </c>
      <c r="E187" s="1" t="s">
        <v>1482</v>
      </c>
      <c r="F187" s="5">
        <f t="shared" si="6"/>
        <v>0</v>
      </c>
      <c r="G187" s="5" t="s">
        <v>1483</v>
      </c>
      <c r="H187" s="4" t="e">
        <f>VLOOKUP(A187,المعطيات!$A$1:$J$3500,3,0)</f>
        <v>#N/A</v>
      </c>
      <c r="I187" s="1" t="s">
        <v>1484</v>
      </c>
      <c r="J187" s="1" t="s">
        <v>1485</v>
      </c>
      <c r="K187" s="4" t="e">
        <f>VLOOKUP(A187,المعطيات!$A$1:$J$3500,6,0)</f>
        <v>#N/A</v>
      </c>
      <c r="L187" s="1" t="s">
        <v>1486</v>
      </c>
      <c r="M187" s="1" t="s">
        <v>1487</v>
      </c>
      <c r="N187" s="4" t="e">
        <f t="shared" si="7"/>
        <v>#N/A</v>
      </c>
      <c r="O187" s="1" t="s">
        <v>1488</v>
      </c>
      <c r="P187" s="4" t="e">
        <f>VLOOKUP(A187,المعطيات!$A$1:$J$3500,4,0)</f>
        <v>#N/A</v>
      </c>
      <c r="Q187" s="1" t="s">
        <v>1489</v>
      </c>
      <c r="R187" s="1" t="s">
        <v>1480</v>
      </c>
      <c r="S187" s="6" t="e">
        <f t="shared" si="8"/>
        <v>#N/A</v>
      </c>
    </row>
    <row r="188" spans="2:19" x14ac:dyDescent="0.25">
      <c r="B188" s="1" t="s">
        <v>1479</v>
      </c>
      <c r="C188" s="1" t="s">
        <v>1481</v>
      </c>
      <c r="D188" s="4" t="e">
        <f>VLOOKUP(A188,المعطيات!$A$1:$J$3500,5,0)</f>
        <v>#N/A</v>
      </c>
      <c r="E188" s="1" t="s">
        <v>1482</v>
      </c>
      <c r="F188" s="5">
        <f t="shared" si="6"/>
        <v>0</v>
      </c>
      <c r="G188" s="5" t="s">
        <v>1483</v>
      </c>
      <c r="H188" s="4" t="e">
        <f>VLOOKUP(A188,المعطيات!$A$1:$J$3500,3,0)</f>
        <v>#N/A</v>
      </c>
      <c r="I188" s="1" t="s">
        <v>1484</v>
      </c>
      <c r="J188" s="1" t="s">
        <v>1485</v>
      </c>
      <c r="K188" s="4" t="e">
        <f>VLOOKUP(A188,المعطيات!$A$1:$J$3500,6,0)</f>
        <v>#N/A</v>
      </c>
      <c r="L188" s="1" t="s">
        <v>1486</v>
      </c>
      <c r="M188" s="1" t="s">
        <v>1487</v>
      </c>
      <c r="N188" s="4" t="e">
        <f t="shared" si="7"/>
        <v>#N/A</v>
      </c>
      <c r="O188" s="1" t="s">
        <v>1488</v>
      </c>
      <c r="P188" s="4" t="e">
        <f>VLOOKUP(A188,المعطيات!$A$1:$J$3500,4,0)</f>
        <v>#N/A</v>
      </c>
      <c r="Q188" s="1" t="s">
        <v>1489</v>
      </c>
      <c r="R188" s="1" t="s">
        <v>1480</v>
      </c>
      <c r="S188" s="6" t="e">
        <f t="shared" si="8"/>
        <v>#N/A</v>
      </c>
    </row>
    <row r="189" spans="2:19" x14ac:dyDescent="0.25">
      <c r="B189" s="1" t="s">
        <v>1479</v>
      </c>
      <c r="C189" s="1" t="s">
        <v>1481</v>
      </c>
      <c r="D189" s="4" t="e">
        <f>VLOOKUP(A189,المعطيات!$A$1:$J$3500,5,0)</f>
        <v>#N/A</v>
      </c>
      <c r="E189" s="1" t="s">
        <v>1482</v>
      </c>
      <c r="F189" s="5">
        <f t="shared" si="6"/>
        <v>0</v>
      </c>
      <c r="G189" s="5" t="s">
        <v>1483</v>
      </c>
      <c r="H189" s="4" t="e">
        <f>VLOOKUP(A189,المعطيات!$A$1:$J$3500,3,0)</f>
        <v>#N/A</v>
      </c>
      <c r="I189" s="1" t="s">
        <v>1484</v>
      </c>
      <c r="J189" s="1" t="s">
        <v>1485</v>
      </c>
      <c r="K189" s="4" t="e">
        <f>VLOOKUP(A189,المعطيات!$A$1:$J$3500,6,0)</f>
        <v>#N/A</v>
      </c>
      <c r="L189" s="1" t="s">
        <v>1486</v>
      </c>
      <c r="M189" s="1" t="s">
        <v>1487</v>
      </c>
      <c r="N189" s="4" t="e">
        <f t="shared" si="7"/>
        <v>#N/A</v>
      </c>
      <c r="O189" s="1" t="s">
        <v>1488</v>
      </c>
      <c r="P189" s="4" t="e">
        <f>VLOOKUP(A189,المعطيات!$A$1:$J$3500,4,0)</f>
        <v>#N/A</v>
      </c>
      <c r="Q189" s="1" t="s">
        <v>1489</v>
      </c>
      <c r="R189" s="1" t="s">
        <v>1480</v>
      </c>
      <c r="S189" s="6" t="e">
        <f t="shared" si="8"/>
        <v>#N/A</v>
      </c>
    </row>
    <row r="190" spans="2:19" x14ac:dyDescent="0.25">
      <c r="B190" s="1" t="s">
        <v>1479</v>
      </c>
      <c r="C190" s="1" t="s">
        <v>1481</v>
      </c>
      <c r="D190" s="4" t="e">
        <f>VLOOKUP(A190,المعطيات!$A$1:$J$3500,5,0)</f>
        <v>#N/A</v>
      </c>
      <c r="E190" s="1" t="s">
        <v>1482</v>
      </c>
      <c r="F190" s="5">
        <f t="shared" si="6"/>
        <v>0</v>
      </c>
      <c r="G190" s="5" t="s">
        <v>1483</v>
      </c>
      <c r="H190" s="4" t="e">
        <f>VLOOKUP(A190,المعطيات!$A$1:$J$3500,3,0)</f>
        <v>#N/A</v>
      </c>
      <c r="I190" s="1" t="s">
        <v>1484</v>
      </c>
      <c r="J190" s="1" t="s">
        <v>1485</v>
      </c>
      <c r="K190" s="4" t="e">
        <f>VLOOKUP(A190,المعطيات!$A$1:$J$3500,6,0)</f>
        <v>#N/A</v>
      </c>
      <c r="L190" s="1" t="s">
        <v>1486</v>
      </c>
      <c r="M190" s="1" t="s">
        <v>1487</v>
      </c>
      <c r="N190" s="4" t="e">
        <f t="shared" si="7"/>
        <v>#N/A</v>
      </c>
      <c r="O190" s="1" t="s">
        <v>1488</v>
      </c>
      <c r="P190" s="4" t="e">
        <f>VLOOKUP(A190,المعطيات!$A$1:$J$3500,4,0)</f>
        <v>#N/A</v>
      </c>
      <c r="Q190" s="1" t="s">
        <v>1489</v>
      </c>
      <c r="R190" s="1" t="s">
        <v>1480</v>
      </c>
      <c r="S190" s="6" t="e">
        <f t="shared" si="8"/>
        <v>#N/A</v>
      </c>
    </row>
    <row r="191" spans="2:19" x14ac:dyDescent="0.25">
      <c r="B191" s="1" t="s">
        <v>1479</v>
      </c>
      <c r="C191" s="1" t="s">
        <v>1481</v>
      </c>
      <c r="D191" s="4" t="e">
        <f>VLOOKUP(A191,المعطيات!$A$1:$J$3500,5,0)</f>
        <v>#N/A</v>
      </c>
      <c r="E191" s="1" t="s">
        <v>1482</v>
      </c>
      <c r="F191" s="5">
        <f t="shared" si="6"/>
        <v>0</v>
      </c>
      <c r="G191" s="5" t="s">
        <v>1483</v>
      </c>
      <c r="H191" s="4" t="e">
        <f>VLOOKUP(A191,المعطيات!$A$1:$J$3500,3,0)</f>
        <v>#N/A</v>
      </c>
      <c r="I191" s="1" t="s">
        <v>1484</v>
      </c>
      <c r="J191" s="1" t="s">
        <v>1485</v>
      </c>
      <c r="K191" s="4" t="e">
        <f>VLOOKUP(A191,المعطيات!$A$1:$J$3500,6,0)</f>
        <v>#N/A</v>
      </c>
      <c r="L191" s="1" t="s">
        <v>1486</v>
      </c>
      <c r="M191" s="1" t="s">
        <v>1487</v>
      </c>
      <c r="N191" s="4" t="e">
        <f t="shared" si="7"/>
        <v>#N/A</v>
      </c>
      <c r="O191" s="1" t="s">
        <v>1488</v>
      </c>
      <c r="P191" s="4" t="e">
        <f>VLOOKUP(A191,المعطيات!$A$1:$J$3500,4,0)</f>
        <v>#N/A</v>
      </c>
      <c r="Q191" s="1" t="s">
        <v>1489</v>
      </c>
      <c r="R191" s="1" t="s">
        <v>1480</v>
      </c>
      <c r="S191" s="6" t="e">
        <f t="shared" si="8"/>
        <v>#N/A</v>
      </c>
    </row>
    <row r="192" spans="2:19" x14ac:dyDescent="0.25">
      <c r="B192" s="1" t="s">
        <v>1479</v>
      </c>
      <c r="C192" s="1" t="s">
        <v>1481</v>
      </c>
      <c r="D192" s="4" t="e">
        <f>VLOOKUP(A192,المعطيات!$A$1:$J$3500,5,0)</f>
        <v>#N/A</v>
      </c>
      <c r="E192" s="1" t="s">
        <v>1482</v>
      </c>
      <c r="F192" s="5">
        <f t="shared" si="6"/>
        <v>0</v>
      </c>
      <c r="G192" s="5" t="s">
        <v>1483</v>
      </c>
      <c r="H192" s="4" t="e">
        <f>VLOOKUP(A192,المعطيات!$A$1:$J$3500,3,0)</f>
        <v>#N/A</v>
      </c>
      <c r="I192" s="1" t="s">
        <v>1484</v>
      </c>
      <c r="J192" s="1" t="s">
        <v>1485</v>
      </c>
      <c r="K192" s="4" t="e">
        <f>VLOOKUP(A192,المعطيات!$A$1:$J$3500,6,0)</f>
        <v>#N/A</v>
      </c>
      <c r="L192" s="1" t="s">
        <v>1486</v>
      </c>
      <c r="M192" s="1" t="s">
        <v>1487</v>
      </c>
      <c r="N192" s="4" t="e">
        <f t="shared" si="7"/>
        <v>#N/A</v>
      </c>
      <c r="O192" s="1" t="s">
        <v>1488</v>
      </c>
      <c r="P192" s="4" t="e">
        <f>VLOOKUP(A192,المعطيات!$A$1:$J$3500,4,0)</f>
        <v>#N/A</v>
      </c>
      <c r="Q192" s="1" t="s">
        <v>1489</v>
      </c>
      <c r="R192" s="1" t="s">
        <v>1480</v>
      </c>
      <c r="S192" s="6" t="e">
        <f t="shared" si="8"/>
        <v>#N/A</v>
      </c>
    </row>
    <row r="193" spans="2:19" x14ac:dyDescent="0.25">
      <c r="B193" s="1" t="s">
        <v>1479</v>
      </c>
      <c r="C193" s="1" t="s">
        <v>1481</v>
      </c>
      <c r="D193" s="4" t="e">
        <f>VLOOKUP(A193,المعطيات!$A$1:$J$3500,5,0)</f>
        <v>#N/A</v>
      </c>
      <c r="E193" s="1" t="s">
        <v>1482</v>
      </c>
      <c r="F193" s="5">
        <f t="shared" si="6"/>
        <v>0</v>
      </c>
      <c r="G193" s="5" t="s">
        <v>1483</v>
      </c>
      <c r="H193" s="4" t="e">
        <f>VLOOKUP(A193,المعطيات!$A$1:$J$3500,3,0)</f>
        <v>#N/A</v>
      </c>
      <c r="I193" s="1" t="s">
        <v>1484</v>
      </c>
      <c r="J193" s="1" t="s">
        <v>1485</v>
      </c>
      <c r="K193" s="4" t="e">
        <f>VLOOKUP(A193,المعطيات!$A$1:$J$3500,6,0)</f>
        <v>#N/A</v>
      </c>
      <c r="L193" s="1" t="s">
        <v>1486</v>
      </c>
      <c r="M193" s="1" t="s">
        <v>1487</v>
      </c>
      <c r="N193" s="4" t="e">
        <f t="shared" si="7"/>
        <v>#N/A</v>
      </c>
      <c r="O193" s="1" t="s">
        <v>1488</v>
      </c>
      <c r="P193" s="4" t="e">
        <f>VLOOKUP(A193,المعطيات!$A$1:$J$3500,4,0)</f>
        <v>#N/A</v>
      </c>
      <c r="Q193" s="1" t="s">
        <v>1489</v>
      </c>
      <c r="R193" s="1" t="s">
        <v>1480</v>
      </c>
      <c r="S193" s="6" t="e">
        <f t="shared" si="8"/>
        <v>#N/A</v>
      </c>
    </row>
    <row r="194" spans="2:19" x14ac:dyDescent="0.25">
      <c r="B194" s="1" t="s">
        <v>1479</v>
      </c>
      <c r="C194" s="1" t="s">
        <v>1481</v>
      </c>
      <c r="D194" s="4" t="e">
        <f>VLOOKUP(A194,المعطيات!$A$1:$J$3500,5,0)</f>
        <v>#N/A</v>
      </c>
      <c r="E194" s="1" t="s">
        <v>1482</v>
      </c>
      <c r="F194" s="5">
        <f t="shared" ref="F194:F257" si="9">A194</f>
        <v>0</v>
      </c>
      <c r="G194" s="5" t="s">
        <v>1483</v>
      </c>
      <c r="H194" s="4" t="e">
        <f>VLOOKUP(A194,المعطيات!$A$1:$J$3500,3,0)</f>
        <v>#N/A</v>
      </c>
      <c r="I194" s="1" t="s">
        <v>1484</v>
      </c>
      <c r="J194" s="1" t="s">
        <v>1485</v>
      </c>
      <c r="K194" s="4" t="e">
        <f>VLOOKUP(A194,المعطيات!$A$1:$J$3500,6,0)</f>
        <v>#N/A</v>
      </c>
      <c r="L194" s="1" t="s">
        <v>1486</v>
      </c>
      <c r="M194" s="1" t="s">
        <v>1487</v>
      </c>
      <c r="N194" s="4" t="e">
        <f t="shared" ref="N194:N257" si="10">D194</f>
        <v>#N/A</v>
      </c>
      <c r="O194" s="1" t="s">
        <v>1488</v>
      </c>
      <c r="P194" s="4" t="e">
        <f>VLOOKUP(A194,المعطيات!$A$1:$J$3500,4,0)</f>
        <v>#N/A</v>
      </c>
      <c r="Q194" s="1" t="s">
        <v>1489</v>
      </c>
      <c r="R194" s="1" t="s">
        <v>1480</v>
      </c>
      <c r="S194" s="6" t="e">
        <f t="shared" ref="S194:S257" si="11">B194&amp;""&amp;C194&amp;""&amp;D194&amp;""&amp;E194&amp;""&amp;F194&amp;""&amp;G194&amp;""&amp;H194&amp;""&amp;I194&amp;""&amp;J194&amp;""&amp;K194&amp;""&amp;L194&amp;""&amp;M194&amp;""&amp;N194&amp;""&amp;O194&amp;""&amp;P194&amp;""&amp;Q194&amp;""&amp;R194</f>
        <v>#N/A</v>
      </c>
    </row>
    <row r="195" spans="2:19" x14ac:dyDescent="0.25">
      <c r="B195" s="1" t="s">
        <v>1479</v>
      </c>
      <c r="C195" s="1" t="s">
        <v>1481</v>
      </c>
      <c r="D195" s="4" t="e">
        <f>VLOOKUP(A195,المعطيات!$A$1:$J$3500,5,0)</f>
        <v>#N/A</v>
      </c>
      <c r="E195" s="1" t="s">
        <v>1482</v>
      </c>
      <c r="F195" s="5">
        <f t="shared" si="9"/>
        <v>0</v>
      </c>
      <c r="G195" s="5" t="s">
        <v>1483</v>
      </c>
      <c r="H195" s="4" t="e">
        <f>VLOOKUP(A195,المعطيات!$A$1:$J$3500,3,0)</f>
        <v>#N/A</v>
      </c>
      <c r="I195" s="1" t="s">
        <v>1484</v>
      </c>
      <c r="J195" s="1" t="s">
        <v>1485</v>
      </c>
      <c r="K195" s="4" t="e">
        <f>VLOOKUP(A195,المعطيات!$A$1:$J$3500,6,0)</f>
        <v>#N/A</v>
      </c>
      <c r="L195" s="1" t="s">
        <v>1486</v>
      </c>
      <c r="M195" s="1" t="s">
        <v>1487</v>
      </c>
      <c r="N195" s="4" t="e">
        <f t="shared" si="10"/>
        <v>#N/A</v>
      </c>
      <c r="O195" s="1" t="s">
        <v>1488</v>
      </c>
      <c r="P195" s="4" t="e">
        <f>VLOOKUP(A195,المعطيات!$A$1:$J$3500,4,0)</f>
        <v>#N/A</v>
      </c>
      <c r="Q195" s="1" t="s">
        <v>1489</v>
      </c>
      <c r="R195" s="1" t="s">
        <v>1480</v>
      </c>
      <c r="S195" s="6" t="e">
        <f t="shared" si="11"/>
        <v>#N/A</v>
      </c>
    </row>
    <row r="196" spans="2:19" x14ac:dyDescent="0.25">
      <c r="B196" s="1" t="s">
        <v>1479</v>
      </c>
      <c r="C196" s="1" t="s">
        <v>1481</v>
      </c>
      <c r="D196" s="4" t="e">
        <f>VLOOKUP(A196,المعطيات!$A$1:$J$3500,5,0)</f>
        <v>#N/A</v>
      </c>
      <c r="E196" s="1" t="s">
        <v>1482</v>
      </c>
      <c r="F196" s="5">
        <f t="shared" si="9"/>
        <v>0</v>
      </c>
      <c r="G196" s="5" t="s">
        <v>1483</v>
      </c>
      <c r="H196" s="4" t="e">
        <f>VLOOKUP(A196,المعطيات!$A$1:$J$3500,3,0)</f>
        <v>#N/A</v>
      </c>
      <c r="I196" s="1" t="s">
        <v>1484</v>
      </c>
      <c r="J196" s="1" t="s">
        <v>1485</v>
      </c>
      <c r="K196" s="4" t="e">
        <f>VLOOKUP(A196,المعطيات!$A$1:$J$3500,6,0)</f>
        <v>#N/A</v>
      </c>
      <c r="L196" s="1" t="s">
        <v>1486</v>
      </c>
      <c r="M196" s="1" t="s">
        <v>1487</v>
      </c>
      <c r="N196" s="4" t="e">
        <f t="shared" si="10"/>
        <v>#N/A</v>
      </c>
      <c r="O196" s="1" t="s">
        <v>1488</v>
      </c>
      <c r="P196" s="4" t="e">
        <f>VLOOKUP(A196,المعطيات!$A$1:$J$3500,4,0)</f>
        <v>#N/A</v>
      </c>
      <c r="Q196" s="1" t="s">
        <v>1489</v>
      </c>
      <c r="R196" s="1" t="s">
        <v>1480</v>
      </c>
      <c r="S196" s="6" t="e">
        <f t="shared" si="11"/>
        <v>#N/A</v>
      </c>
    </row>
    <row r="197" spans="2:19" x14ac:dyDescent="0.25">
      <c r="B197" s="1" t="s">
        <v>1479</v>
      </c>
      <c r="C197" s="1" t="s">
        <v>1481</v>
      </c>
      <c r="D197" s="4" t="e">
        <f>VLOOKUP(A197,المعطيات!$A$1:$J$3500,5,0)</f>
        <v>#N/A</v>
      </c>
      <c r="E197" s="1" t="s">
        <v>1482</v>
      </c>
      <c r="F197" s="5">
        <f t="shared" si="9"/>
        <v>0</v>
      </c>
      <c r="G197" s="5" t="s">
        <v>1483</v>
      </c>
      <c r="H197" s="4" t="e">
        <f>VLOOKUP(A197,المعطيات!$A$1:$J$3500,3,0)</f>
        <v>#N/A</v>
      </c>
      <c r="I197" s="1" t="s">
        <v>1484</v>
      </c>
      <c r="J197" s="1" t="s">
        <v>1485</v>
      </c>
      <c r="K197" s="4" t="e">
        <f>VLOOKUP(A197,المعطيات!$A$1:$J$3500,6,0)</f>
        <v>#N/A</v>
      </c>
      <c r="L197" s="1" t="s">
        <v>1486</v>
      </c>
      <c r="M197" s="1" t="s">
        <v>1487</v>
      </c>
      <c r="N197" s="4" t="e">
        <f t="shared" si="10"/>
        <v>#N/A</v>
      </c>
      <c r="O197" s="1" t="s">
        <v>1488</v>
      </c>
      <c r="P197" s="4" t="e">
        <f>VLOOKUP(A197,المعطيات!$A$1:$J$3500,4,0)</f>
        <v>#N/A</v>
      </c>
      <c r="Q197" s="1" t="s">
        <v>1489</v>
      </c>
      <c r="R197" s="1" t="s">
        <v>1480</v>
      </c>
      <c r="S197" s="6" t="e">
        <f t="shared" si="11"/>
        <v>#N/A</v>
      </c>
    </row>
    <row r="198" spans="2:19" x14ac:dyDescent="0.25">
      <c r="B198" s="1" t="s">
        <v>1479</v>
      </c>
      <c r="C198" s="1" t="s">
        <v>1481</v>
      </c>
      <c r="D198" s="4" t="e">
        <f>VLOOKUP(A198,المعطيات!$A$1:$J$3500,5,0)</f>
        <v>#N/A</v>
      </c>
      <c r="E198" s="1" t="s">
        <v>1482</v>
      </c>
      <c r="F198" s="5">
        <f t="shared" si="9"/>
        <v>0</v>
      </c>
      <c r="G198" s="5" t="s">
        <v>1483</v>
      </c>
      <c r="H198" s="4" t="e">
        <f>VLOOKUP(A198,المعطيات!$A$1:$J$3500,3,0)</f>
        <v>#N/A</v>
      </c>
      <c r="I198" s="1" t="s">
        <v>1484</v>
      </c>
      <c r="J198" s="1" t="s">
        <v>1485</v>
      </c>
      <c r="K198" s="4" t="e">
        <f>VLOOKUP(A198,المعطيات!$A$1:$J$3500,6,0)</f>
        <v>#N/A</v>
      </c>
      <c r="L198" s="1" t="s">
        <v>1486</v>
      </c>
      <c r="M198" s="1" t="s">
        <v>1487</v>
      </c>
      <c r="N198" s="4" t="e">
        <f t="shared" si="10"/>
        <v>#N/A</v>
      </c>
      <c r="O198" s="1" t="s">
        <v>1488</v>
      </c>
      <c r="P198" s="4" t="e">
        <f>VLOOKUP(A198,المعطيات!$A$1:$J$3500,4,0)</f>
        <v>#N/A</v>
      </c>
      <c r="Q198" s="1" t="s">
        <v>1489</v>
      </c>
      <c r="R198" s="1" t="s">
        <v>1480</v>
      </c>
      <c r="S198" s="6" t="e">
        <f t="shared" si="11"/>
        <v>#N/A</v>
      </c>
    </row>
    <row r="199" spans="2:19" x14ac:dyDescent="0.25">
      <c r="B199" s="1" t="s">
        <v>1479</v>
      </c>
      <c r="C199" s="1" t="s">
        <v>1481</v>
      </c>
      <c r="D199" s="4" t="e">
        <f>VLOOKUP(A199,المعطيات!$A$1:$J$3500,5,0)</f>
        <v>#N/A</v>
      </c>
      <c r="E199" s="1" t="s">
        <v>1482</v>
      </c>
      <c r="F199" s="5">
        <f t="shared" si="9"/>
        <v>0</v>
      </c>
      <c r="G199" s="5" t="s">
        <v>1483</v>
      </c>
      <c r="H199" s="4" t="e">
        <f>VLOOKUP(A199,المعطيات!$A$1:$J$3500,3,0)</f>
        <v>#N/A</v>
      </c>
      <c r="I199" s="1" t="s">
        <v>1484</v>
      </c>
      <c r="J199" s="1" t="s">
        <v>1485</v>
      </c>
      <c r="K199" s="4" t="e">
        <f>VLOOKUP(A199,المعطيات!$A$1:$J$3500,6,0)</f>
        <v>#N/A</v>
      </c>
      <c r="L199" s="1" t="s">
        <v>1486</v>
      </c>
      <c r="M199" s="1" t="s">
        <v>1487</v>
      </c>
      <c r="N199" s="4" t="e">
        <f t="shared" si="10"/>
        <v>#N/A</v>
      </c>
      <c r="O199" s="1" t="s">
        <v>1488</v>
      </c>
      <c r="P199" s="4" t="e">
        <f>VLOOKUP(A199,المعطيات!$A$1:$J$3500,4,0)</f>
        <v>#N/A</v>
      </c>
      <c r="Q199" s="1" t="s">
        <v>1489</v>
      </c>
      <c r="R199" s="1" t="s">
        <v>1480</v>
      </c>
      <c r="S199" s="6" t="e">
        <f t="shared" si="11"/>
        <v>#N/A</v>
      </c>
    </row>
    <row r="200" spans="2:19" x14ac:dyDescent="0.25">
      <c r="B200" s="1" t="s">
        <v>1479</v>
      </c>
      <c r="C200" s="1" t="s">
        <v>1481</v>
      </c>
      <c r="D200" s="4" t="e">
        <f>VLOOKUP(A200,المعطيات!$A$1:$J$3500,5,0)</f>
        <v>#N/A</v>
      </c>
      <c r="E200" s="1" t="s">
        <v>1482</v>
      </c>
      <c r="F200" s="5">
        <f t="shared" si="9"/>
        <v>0</v>
      </c>
      <c r="G200" s="5" t="s">
        <v>1483</v>
      </c>
      <c r="H200" s="4" t="e">
        <f>VLOOKUP(A200,المعطيات!$A$1:$J$3500,3,0)</f>
        <v>#N/A</v>
      </c>
      <c r="I200" s="1" t="s">
        <v>1484</v>
      </c>
      <c r="J200" s="1" t="s">
        <v>1485</v>
      </c>
      <c r="K200" s="4" t="e">
        <f>VLOOKUP(A200,المعطيات!$A$1:$J$3500,6,0)</f>
        <v>#N/A</v>
      </c>
      <c r="L200" s="1" t="s">
        <v>1486</v>
      </c>
      <c r="M200" s="1" t="s">
        <v>1487</v>
      </c>
      <c r="N200" s="4" t="e">
        <f t="shared" si="10"/>
        <v>#N/A</v>
      </c>
      <c r="O200" s="1" t="s">
        <v>1488</v>
      </c>
      <c r="P200" s="4" t="e">
        <f>VLOOKUP(A200,المعطيات!$A$1:$J$3500,4,0)</f>
        <v>#N/A</v>
      </c>
      <c r="Q200" s="1" t="s">
        <v>1489</v>
      </c>
      <c r="R200" s="1" t="s">
        <v>1480</v>
      </c>
      <c r="S200" s="6" t="e">
        <f t="shared" si="11"/>
        <v>#N/A</v>
      </c>
    </row>
    <row r="201" spans="2:19" x14ac:dyDescent="0.25">
      <c r="B201" s="1" t="s">
        <v>1479</v>
      </c>
      <c r="C201" s="1" t="s">
        <v>1481</v>
      </c>
      <c r="D201" s="4" t="e">
        <f>VLOOKUP(A201,المعطيات!$A$1:$J$3500,5,0)</f>
        <v>#N/A</v>
      </c>
      <c r="E201" s="1" t="s">
        <v>1482</v>
      </c>
      <c r="F201" s="5">
        <f t="shared" si="9"/>
        <v>0</v>
      </c>
      <c r="G201" s="5" t="s">
        <v>1483</v>
      </c>
      <c r="H201" s="4" t="e">
        <f>VLOOKUP(A201,المعطيات!$A$1:$J$3500,3,0)</f>
        <v>#N/A</v>
      </c>
      <c r="I201" s="1" t="s">
        <v>1484</v>
      </c>
      <c r="J201" s="1" t="s">
        <v>1485</v>
      </c>
      <c r="K201" s="4" t="e">
        <f>VLOOKUP(A201,المعطيات!$A$1:$J$3500,6,0)</f>
        <v>#N/A</v>
      </c>
      <c r="L201" s="1" t="s">
        <v>1486</v>
      </c>
      <c r="M201" s="1" t="s">
        <v>1487</v>
      </c>
      <c r="N201" s="4" t="e">
        <f t="shared" si="10"/>
        <v>#N/A</v>
      </c>
      <c r="O201" s="1" t="s">
        <v>1488</v>
      </c>
      <c r="P201" s="4" t="e">
        <f>VLOOKUP(A201,المعطيات!$A$1:$J$3500,4,0)</f>
        <v>#N/A</v>
      </c>
      <c r="Q201" s="1" t="s">
        <v>1489</v>
      </c>
      <c r="R201" s="1" t="s">
        <v>1480</v>
      </c>
      <c r="S201" s="6" t="e">
        <f t="shared" si="11"/>
        <v>#N/A</v>
      </c>
    </row>
    <row r="202" spans="2:19" x14ac:dyDescent="0.25">
      <c r="B202" s="1" t="s">
        <v>1479</v>
      </c>
      <c r="C202" s="1" t="s">
        <v>1481</v>
      </c>
      <c r="D202" s="4" t="e">
        <f>VLOOKUP(A202,المعطيات!$A$1:$J$3500,5,0)</f>
        <v>#N/A</v>
      </c>
      <c r="E202" s="1" t="s">
        <v>1482</v>
      </c>
      <c r="F202" s="5">
        <f t="shared" si="9"/>
        <v>0</v>
      </c>
      <c r="G202" s="5" t="s">
        <v>1483</v>
      </c>
      <c r="H202" s="4" t="e">
        <f>VLOOKUP(A202,المعطيات!$A$1:$J$3500,3,0)</f>
        <v>#N/A</v>
      </c>
      <c r="I202" s="1" t="s">
        <v>1484</v>
      </c>
      <c r="J202" s="1" t="s">
        <v>1485</v>
      </c>
      <c r="K202" s="4" t="e">
        <f>VLOOKUP(A202,المعطيات!$A$1:$J$3500,6,0)</f>
        <v>#N/A</v>
      </c>
      <c r="L202" s="1" t="s">
        <v>1486</v>
      </c>
      <c r="M202" s="1" t="s">
        <v>1487</v>
      </c>
      <c r="N202" s="4" t="e">
        <f t="shared" si="10"/>
        <v>#N/A</v>
      </c>
      <c r="O202" s="1" t="s">
        <v>1488</v>
      </c>
      <c r="P202" s="4" t="e">
        <f>VLOOKUP(A202,المعطيات!$A$1:$J$3500,4,0)</f>
        <v>#N/A</v>
      </c>
      <c r="Q202" s="1" t="s">
        <v>1489</v>
      </c>
      <c r="R202" s="1" t="s">
        <v>1480</v>
      </c>
      <c r="S202" s="6" t="e">
        <f t="shared" si="11"/>
        <v>#N/A</v>
      </c>
    </row>
    <row r="203" spans="2:19" x14ac:dyDescent="0.25">
      <c r="B203" s="1" t="s">
        <v>1479</v>
      </c>
      <c r="C203" s="1" t="s">
        <v>1481</v>
      </c>
      <c r="D203" s="4" t="e">
        <f>VLOOKUP(A203,المعطيات!$A$1:$J$3500,5,0)</f>
        <v>#N/A</v>
      </c>
      <c r="E203" s="1" t="s">
        <v>1482</v>
      </c>
      <c r="F203" s="5">
        <f t="shared" si="9"/>
        <v>0</v>
      </c>
      <c r="G203" s="5" t="s">
        <v>1483</v>
      </c>
      <c r="H203" s="4" t="e">
        <f>VLOOKUP(A203,المعطيات!$A$1:$J$3500,3,0)</f>
        <v>#N/A</v>
      </c>
      <c r="I203" s="1" t="s">
        <v>1484</v>
      </c>
      <c r="J203" s="1" t="s">
        <v>1485</v>
      </c>
      <c r="K203" s="4" t="e">
        <f>VLOOKUP(A203,المعطيات!$A$1:$J$3500,6,0)</f>
        <v>#N/A</v>
      </c>
      <c r="L203" s="1" t="s">
        <v>1486</v>
      </c>
      <c r="M203" s="1" t="s">
        <v>1487</v>
      </c>
      <c r="N203" s="4" t="e">
        <f t="shared" si="10"/>
        <v>#N/A</v>
      </c>
      <c r="O203" s="1" t="s">
        <v>1488</v>
      </c>
      <c r="P203" s="4" t="e">
        <f>VLOOKUP(A203,المعطيات!$A$1:$J$3500,4,0)</f>
        <v>#N/A</v>
      </c>
      <c r="Q203" s="1" t="s">
        <v>1489</v>
      </c>
      <c r="R203" s="1" t="s">
        <v>1480</v>
      </c>
      <c r="S203" s="6" t="e">
        <f t="shared" si="11"/>
        <v>#N/A</v>
      </c>
    </row>
    <row r="204" spans="2:19" x14ac:dyDescent="0.25">
      <c r="B204" s="1" t="s">
        <v>1479</v>
      </c>
      <c r="C204" s="1" t="s">
        <v>1481</v>
      </c>
      <c r="D204" s="4" t="e">
        <f>VLOOKUP(A204,المعطيات!$A$1:$J$3500,5,0)</f>
        <v>#N/A</v>
      </c>
      <c r="E204" s="1" t="s">
        <v>1482</v>
      </c>
      <c r="F204" s="5">
        <f t="shared" si="9"/>
        <v>0</v>
      </c>
      <c r="G204" s="5" t="s">
        <v>1483</v>
      </c>
      <c r="H204" s="4" t="e">
        <f>VLOOKUP(A204,المعطيات!$A$1:$J$3500,3,0)</f>
        <v>#N/A</v>
      </c>
      <c r="I204" s="1" t="s">
        <v>1484</v>
      </c>
      <c r="J204" s="1" t="s">
        <v>1485</v>
      </c>
      <c r="K204" s="4" t="e">
        <f>VLOOKUP(A204,المعطيات!$A$1:$J$3500,6,0)</f>
        <v>#N/A</v>
      </c>
      <c r="L204" s="1" t="s">
        <v>1486</v>
      </c>
      <c r="M204" s="1" t="s">
        <v>1487</v>
      </c>
      <c r="N204" s="4" t="e">
        <f t="shared" si="10"/>
        <v>#N/A</v>
      </c>
      <c r="O204" s="1" t="s">
        <v>1488</v>
      </c>
      <c r="P204" s="4" t="e">
        <f>VLOOKUP(A204,المعطيات!$A$1:$J$3500,4,0)</f>
        <v>#N/A</v>
      </c>
      <c r="Q204" s="1" t="s">
        <v>1489</v>
      </c>
      <c r="R204" s="1" t="s">
        <v>1480</v>
      </c>
      <c r="S204" s="6" t="e">
        <f t="shared" si="11"/>
        <v>#N/A</v>
      </c>
    </row>
    <row r="205" spans="2:19" x14ac:dyDescent="0.25">
      <c r="B205" s="1" t="s">
        <v>1479</v>
      </c>
      <c r="C205" s="1" t="s">
        <v>1481</v>
      </c>
      <c r="D205" s="4" t="e">
        <f>VLOOKUP(A205,المعطيات!$A$1:$J$3500,5,0)</f>
        <v>#N/A</v>
      </c>
      <c r="E205" s="1" t="s">
        <v>1482</v>
      </c>
      <c r="F205" s="5">
        <f t="shared" si="9"/>
        <v>0</v>
      </c>
      <c r="G205" s="5" t="s">
        <v>1483</v>
      </c>
      <c r="H205" s="4" t="e">
        <f>VLOOKUP(A205,المعطيات!$A$1:$J$3500,3,0)</f>
        <v>#N/A</v>
      </c>
      <c r="I205" s="1" t="s">
        <v>1484</v>
      </c>
      <c r="J205" s="1" t="s">
        <v>1485</v>
      </c>
      <c r="K205" s="4" t="e">
        <f>VLOOKUP(A205,المعطيات!$A$1:$J$3500,6,0)</f>
        <v>#N/A</v>
      </c>
      <c r="L205" s="1" t="s">
        <v>1486</v>
      </c>
      <c r="M205" s="1" t="s">
        <v>1487</v>
      </c>
      <c r="N205" s="4" t="e">
        <f t="shared" si="10"/>
        <v>#N/A</v>
      </c>
      <c r="O205" s="1" t="s">
        <v>1488</v>
      </c>
      <c r="P205" s="4" t="e">
        <f>VLOOKUP(A205,المعطيات!$A$1:$J$3500,4,0)</f>
        <v>#N/A</v>
      </c>
      <c r="Q205" s="1" t="s">
        <v>1489</v>
      </c>
      <c r="R205" s="1" t="s">
        <v>1480</v>
      </c>
      <c r="S205" s="6" t="e">
        <f t="shared" si="11"/>
        <v>#N/A</v>
      </c>
    </row>
    <row r="206" spans="2:19" x14ac:dyDescent="0.25">
      <c r="B206" s="1" t="s">
        <v>1479</v>
      </c>
      <c r="C206" s="1" t="s">
        <v>1481</v>
      </c>
      <c r="D206" s="4" t="e">
        <f>VLOOKUP(A206,المعطيات!$A$1:$J$3500,5,0)</f>
        <v>#N/A</v>
      </c>
      <c r="E206" s="1" t="s">
        <v>1482</v>
      </c>
      <c r="F206" s="5">
        <f t="shared" si="9"/>
        <v>0</v>
      </c>
      <c r="G206" s="5" t="s">
        <v>1483</v>
      </c>
      <c r="H206" s="4" t="e">
        <f>VLOOKUP(A206,المعطيات!$A$1:$J$3500,3,0)</f>
        <v>#N/A</v>
      </c>
      <c r="I206" s="1" t="s">
        <v>1484</v>
      </c>
      <c r="J206" s="1" t="s">
        <v>1485</v>
      </c>
      <c r="K206" s="4" t="e">
        <f>VLOOKUP(A206,المعطيات!$A$1:$J$3500,6,0)</f>
        <v>#N/A</v>
      </c>
      <c r="L206" s="1" t="s">
        <v>1486</v>
      </c>
      <c r="M206" s="1" t="s">
        <v>1487</v>
      </c>
      <c r="N206" s="4" t="e">
        <f t="shared" si="10"/>
        <v>#N/A</v>
      </c>
      <c r="O206" s="1" t="s">
        <v>1488</v>
      </c>
      <c r="P206" s="4" t="e">
        <f>VLOOKUP(A206,المعطيات!$A$1:$J$3500,4,0)</f>
        <v>#N/A</v>
      </c>
      <c r="Q206" s="1" t="s">
        <v>1489</v>
      </c>
      <c r="R206" s="1" t="s">
        <v>1480</v>
      </c>
      <c r="S206" s="6" t="e">
        <f t="shared" si="11"/>
        <v>#N/A</v>
      </c>
    </row>
    <row r="207" spans="2:19" x14ac:dyDescent="0.25">
      <c r="B207" s="1" t="s">
        <v>1479</v>
      </c>
      <c r="C207" s="1" t="s">
        <v>1481</v>
      </c>
      <c r="D207" s="4" t="e">
        <f>VLOOKUP(A207,المعطيات!$A$1:$J$3500,5,0)</f>
        <v>#N/A</v>
      </c>
      <c r="E207" s="1" t="s">
        <v>1482</v>
      </c>
      <c r="F207" s="5">
        <f t="shared" si="9"/>
        <v>0</v>
      </c>
      <c r="G207" s="5" t="s">
        <v>1483</v>
      </c>
      <c r="H207" s="4" t="e">
        <f>VLOOKUP(A207,المعطيات!$A$1:$J$3500,3,0)</f>
        <v>#N/A</v>
      </c>
      <c r="I207" s="1" t="s">
        <v>1484</v>
      </c>
      <c r="J207" s="1" t="s">
        <v>1485</v>
      </c>
      <c r="K207" s="4" t="e">
        <f>VLOOKUP(A207,المعطيات!$A$1:$J$3500,6,0)</f>
        <v>#N/A</v>
      </c>
      <c r="L207" s="1" t="s">
        <v>1486</v>
      </c>
      <c r="M207" s="1" t="s">
        <v>1487</v>
      </c>
      <c r="N207" s="4" t="e">
        <f t="shared" si="10"/>
        <v>#N/A</v>
      </c>
      <c r="O207" s="1" t="s">
        <v>1488</v>
      </c>
      <c r="P207" s="4" t="e">
        <f>VLOOKUP(A207,المعطيات!$A$1:$J$3500,4,0)</f>
        <v>#N/A</v>
      </c>
      <c r="Q207" s="1" t="s">
        <v>1489</v>
      </c>
      <c r="R207" s="1" t="s">
        <v>1480</v>
      </c>
      <c r="S207" s="6" t="e">
        <f t="shared" si="11"/>
        <v>#N/A</v>
      </c>
    </row>
    <row r="208" spans="2:19" x14ac:dyDescent="0.25">
      <c r="B208" s="1" t="s">
        <v>1479</v>
      </c>
      <c r="C208" s="1" t="s">
        <v>1481</v>
      </c>
      <c r="D208" s="4" t="e">
        <f>VLOOKUP(A208,المعطيات!$A$1:$J$3500,5,0)</f>
        <v>#N/A</v>
      </c>
      <c r="E208" s="1" t="s">
        <v>1482</v>
      </c>
      <c r="F208" s="5">
        <f t="shared" si="9"/>
        <v>0</v>
      </c>
      <c r="G208" s="5" t="s">
        <v>1483</v>
      </c>
      <c r="H208" s="4" t="e">
        <f>VLOOKUP(A208,المعطيات!$A$1:$J$3500,3,0)</f>
        <v>#N/A</v>
      </c>
      <c r="I208" s="1" t="s">
        <v>1484</v>
      </c>
      <c r="J208" s="1" t="s">
        <v>1485</v>
      </c>
      <c r="K208" s="4" t="e">
        <f>VLOOKUP(A208,المعطيات!$A$1:$J$3500,6,0)</f>
        <v>#N/A</v>
      </c>
      <c r="L208" s="1" t="s">
        <v>1486</v>
      </c>
      <c r="M208" s="1" t="s">
        <v>1487</v>
      </c>
      <c r="N208" s="4" t="e">
        <f t="shared" si="10"/>
        <v>#N/A</v>
      </c>
      <c r="O208" s="1" t="s">
        <v>1488</v>
      </c>
      <c r="P208" s="4" t="e">
        <f>VLOOKUP(A208,المعطيات!$A$1:$J$3500,4,0)</f>
        <v>#N/A</v>
      </c>
      <c r="Q208" s="1" t="s">
        <v>1489</v>
      </c>
      <c r="R208" s="1" t="s">
        <v>1480</v>
      </c>
      <c r="S208" s="6" t="e">
        <f t="shared" si="11"/>
        <v>#N/A</v>
      </c>
    </row>
    <row r="209" spans="2:19" x14ac:dyDescent="0.25">
      <c r="B209" s="1" t="s">
        <v>1479</v>
      </c>
      <c r="C209" s="1" t="s">
        <v>1481</v>
      </c>
      <c r="D209" s="4" t="e">
        <f>VLOOKUP(A209,المعطيات!$A$1:$J$3500,5,0)</f>
        <v>#N/A</v>
      </c>
      <c r="E209" s="1" t="s">
        <v>1482</v>
      </c>
      <c r="F209" s="5">
        <f t="shared" si="9"/>
        <v>0</v>
      </c>
      <c r="G209" s="5" t="s">
        <v>1483</v>
      </c>
      <c r="H209" s="4" t="e">
        <f>VLOOKUP(A209,المعطيات!$A$1:$J$3500,3,0)</f>
        <v>#N/A</v>
      </c>
      <c r="I209" s="1" t="s">
        <v>1484</v>
      </c>
      <c r="J209" s="1" t="s">
        <v>1485</v>
      </c>
      <c r="K209" s="4" t="e">
        <f>VLOOKUP(A209,المعطيات!$A$1:$J$3500,6,0)</f>
        <v>#N/A</v>
      </c>
      <c r="L209" s="1" t="s">
        <v>1486</v>
      </c>
      <c r="M209" s="1" t="s">
        <v>1487</v>
      </c>
      <c r="N209" s="4" t="e">
        <f t="shared" si="10"/>
        <v>#N/A</v>
      </c>
      <c r="O209" s="1" t="s">
        <v>1488</v>
      </c>
      <c r="P209" s="4" t="e">
        <f>VLOOKUP(A209,المعطيات!$A$1:$J$3500,4,0)</f>
        <v>#N/A</v>
      </c>
      <c r="Q209" s="1" t="s">
        <v>1489</v>
      </c>
      <c r="R209" s="1" t="s">
        <v>1480</v>
      </c>
      <c r="S209" s="6" t="e">
        <f t="shared" si="11"/>
        <v>#N/A</v>
      </c>
    </row>
    <row r="210" spans="2:19" x14ac:dyDescent="0.25">
      <c r="B210" s="1" t="s">
        <v>1479</v>
      </c>
      <c r="C210" s="1" t="s">
        <v>1481</v>
      </c>
      <c r="D210" s="4" t="e">
        <f>VLOOKUP(A210,المعطيات!$A$1:$J$3500,5,0)</f>
        <v>#N/A</v>
      </c>
      <c r="E210" s="1" t="s">
        <v>1482</v>
      </c>
      <c r="F210" s="5">
        <f t="shared" si="9"/>
        <v>0</v>
      </c>
      <c r="G210" s="5" t="s">
        <v>1483</v>
      </c>
      <c r="H210" s="4" t="e">
        <f>VLOOKUP(A210,المعطيات!$A$1:$J$3500,3,0)</f>
        <v>#N/A</v>
      </c>
      <c r="I210" s="1" t="s">
        <v>1484</v>
      </c>
      <c r="J210" s="1" t="s">
        <v>1485</v>
      </c>
      <c r="K210" s="4" t="e">
        <f>VLOOKUP(A210,المعطيات!$A$1:$J$3500,6,0)</f>
        <v>#N/A</v>
      </c>
      <c r="L210" s="1" t="s">
        <v>1486</v>
      </c>
      <c r="M210" s="1" t="s">
        <v>1487</v>
      </c>
      <c r="N210" s="4" t="e">
        <f t="shared" si="10"/>
        <v>#N/A</v>
      </c>
      <c r="O210" s="1" t="s">
        <v>1488</v>
      </c>
      <c r="P210" s="4" t="e">
        <f>VLOOKUP(A210,المعطيات!$A$1:$J$3500,4,0)</f>
        <v>#N/A</v>
      </c>
      <c r="Q210" s="1" t="s">
        <v>1489</v>
      </c>
      <c r="R210" s="1" t="s">
        <v>1480</v>
      </c>
      <c r="S210" s="6" t="e">
        <f t="shared" si="11"/>
        <v>#N/A</v>
      </c>
    </row>
    <row r="211" spans="2:19" x14ac:dyDescent="0.25">
      <c r="B211" s="1" t="s">
        <v>1479</v>
      </c>
      <c r="C211" s="1" t="s">
        <v>1481</v>
      </c>
      <c r="D211" s="4" t="e">
        <f>VLOOKUP(A211,المعطيات!$A$1:$J$3500,5,0)</f>
        <v>#N/A</v>
      </c>
      <c r="E211" s="1" t="s">
        <v>1482</v>
      </c>
      <c r="F211" s="5">
        <f t="shared" si="9"/>
        <v>0</v>
      </c>
      <c r="G211" s="5" t="s">
        <v>1483</v>
      </c>
      <c r="H211" s="4" t="e">
        <f>VLOOKUP(A211,المعطيات!$A$1:$J$3500,3,0)</f>
        <v>#N/A</v>
      </c>
      <c r="I211" s="1" t="s">
        <v>1484</v>
      </c>
      <c r="J211" s="1" t="s">
        <v>1485</v>
      </c>
      <c r="K211" s="4" t="e">
        <f>VLOOKUP(A211,المعطيات!$A$1:$J$3500,6,0)</f>
        <v>#N/A</v>
      </c>
      <c r="L211" s="1" t="s">
        <v>1486</v>
      </c>
      <c r="M211" s="1" t="s">
        <v>1487</v>
      </c>
      <c r="N211" s="4" t="e">
        <f t="shared" si="10"/>
        <v>#N/A</v>
      </c>
      <c r="O211" s="1" t="s">
        <v>1488</v>
      </c>
      <c r="P211" s="4" t="e">
        <f>VLOOKUP(A211,المعطيات!$A$1:$J$3500,4,0)</f>
        <v>#N/A</v>
      </c>
      <c r="Q211" s="1" t="s">
        <v>1489</v>
      </c>
      <c r="R211" s="1" t="s">
        <v>1480</v>
      </c>
      <c r="S211" s="6" t="e">
        <f t="shared" si="11"/>
        <v>#N/A</v>
      </c>
    </row>
    <row r="212" spans="2:19" x14ac:dyDescent="0.25">
      <c r="B212" s="1" t="s">
        <v>1479</v>
      </c>
      <c r="C212" s="1" t="s">
        <v>1481</v>
      </c>
      <c r="D212" s="4" t="e">
        <f>VLOOKUP(A212,المعطيات!$A$1:$J$3500,5,0)</f>
        <v>#N/A</v>
      </c>
      <c r="E212" s="1" t="s">
        <v>1482</v>
      </c>
      <c r="F212" s="5">
        <f t="shared" si="9"/>
        <v>0</v>
      </c>
      <c r="G212" s="5" t="s">
        <v>1483</v>
      </c>
      <c r="H212" s="4" t="e">
        <f>VLOOKUP(A212,المعطيات!$A$1:$J$3500,3,0)</f>
        <v>#N/A</v>
      </c>
      <c r="I212" s="1" t="s">
        <v>1484</v>
      </c>
      <c r="J212" s="1" t="s">
        <v>1485</v>
      </c>
      <c r="K212" s="4" t="e">
        <f>VLOOKUP(A212,المعطيات!$A$1:$J$3500,6,0)</f>
        <v>#N/A</v>
      </c>
      <c r="L212" s="1" t="s">
        <v>1486</v>
      </c>
      <c r="M212" s="1" t="s">
        <v>1487</v>
      </c>
      <c r="N212" s="4" t="e">
        <f t="shared" si="10"/>
        <v>#N/A</v>
      </c>
      <c r="O212" s="1" t="s">
        <v>1488</v>
      </c>
      <c r="P212" s="4" t="e">
        <f>VLOOKUP(A212,المعطيات!$A$1:$J$3500,4,0)</f>
        <v>#N/A</v>
      </c>
      <c r="Q212" s="1" t="s">
        <v>1489</v>
      </c>
      <c r="R212" s="1" t="s">
        <v>1480</v>
      </c>
      <c r="S212" s="6" t="e">
        <f t="shared" si="11"/>
        <v>#N/A</v>
      </c>
    </row>
    <row r="213" spans="2:19" x14ac:dyDescent="0.25">
      <c r="B213" s="1" t="s">
        <v>1479</v>
      </c>
      <c r="C213" s="1" t="s">
        <v>1481</v>
      </c>
      <c r="D213" s="4" t="e">
        <f>VLOOKUP(A213,المعطيات!$A$1:$J$3500,5,0)</f>
        <v>#N/A</v>
      </c>
      <c r="E213" s="1" t="s">
        <v>1482</v>
      </c>
      <c r="F213" s="5">
        <f t="shared" si="9"/>
        <v>0</v>
      </c>
      <c r="G213" s="5" t="s">
        <v>1483</v>
      </c>
      <c r="H213" s="4" t="e">
        <f>VLOOKUP(A213,المعطيات!$A$1:$J$3500,3,0)</f>
        <v>#N/A</v>
      </c>
      <c r="I213" s="1" t="s">
        <v>1484</v>
      </c>
      <c r="J213" s="1" t="s">
        <v>1485</v>
      </c>
      <c r="K213" s="4" t="e">
        <f>VLOOKUP(A213,المعطيات!$A$1:$J$3500,6,0)</f>
        <v>#N/A</v>
      </c>
      <c r="L213" s="1" t="s">
        <v>1486</v>
      </c>
      <c r="M213" s="1" t="s">
        <v>1487</v>
      </c>
      <c r="N213" s="4" t="e">
        <f t="shared" si="10"/>
        <v>#N/A</v>
      </c>
      <c r="O213" s="1" t="s">
        <v>1488</v>
      </c>
      <c r="P213" s="4" t="e">
        <f>VLOOKUP(A213,المعطيات!$A$1:$J$3500,4,0)</f>
        <v>#N/A</v>
      </c>
      <c r="Q213" s="1" t="s">
        <v>1489</v>
      </c>
      <c r="R213" s="1" t="s">
        <v>1480</v>
      </c>
      <c r="S213" s="6" t="e">
        <f t="shared" si="11"/>
        <v>#N/A</v>
      </c>
    </row>
    <row r="214" spans="2:19" x14ac:dyDescent="0.25">
      <c r="B214" s="1" t="s">
        <v>1479</v>
      </c>
      <c r="C214" s="1" t="s">
        <v>1481</v>
      </c>
      <c r="D214" s="4" t="e">
        <f>VLOOKUP(A214,المعطيات!$A$1:$J$3500,5,0)</f>
        <v>#N/A</v>
      </c>
      <c r="E214" s="1" t="s">
        <v>1482</v>
      </c>
      <c r="F214" s="5">
        <f t="shared" si="9"/>
        <v>0</v>
      </c>
      <c r="G214" s="5" t="s">
        <v>1483</v>
      </c>
      <c r="H214" s="4" t="e">
        <f>VLOOKUP(A214,المعطيات!$A$1:$J$3500,3,0)</f>
        <v>#N/A</v>
      </c>
      <c r="I214" s="1" t="s">
        <v>1484</v>
      </c>
      <c r="J214" s="1" t="s">
        <v>1485</v>
      </c>
      <c r="K214" s="4" t="e">
        <f>VLOOKUP(A214,المعطيات!$A$1:$J$3500,6,0)</f>
        <v>#N/A</v>
      </c>
      <c r="L214" s="1" t="s">
        <v>1486</v>
      </c>
      <c r="M214" s="1" t="s">
        <v>1487</v>
      </c>
      <c r="N214" s="4" t="e">
        <f t="shared" si="10"/>
        <v>#N/A</v>
      </c>
      <c r="O214" s="1" t="s">
        <v>1488</v>
      </c>
      <c r="P214" s="4" t="e">
        <f>VLOOKUP(A214,المعطيات!$A$1:$J$3500,4,0)</f>
        <v>#N/A</v>
      </c>
      <c r="Q214" s="1" t="s">
        <v>1489</v>
      </c>
      <c r="R214" s="1" t="s">
        <v>1480</v>
      </c>
      <c r="S214" s="6" t="e">
        <f t="shared" si="11"/>
        <v>#N/A</v>
      </c>
    </row>
    <row r="215" spans="2:19" x14ac:dyDescent="0.25">
      <c r="B215" s="1" t="s">
        <v>1479</v>
      </c>
      <c r="C215" s="1" t="s">
        <v>1481</v>
      </c>
      <c r="D215" s="4" t="e">
        <f>VLOOKUP(A215,المعطيات!$A$1:$J$3500,5,0)</f>
        <v>#N/A</v>
      </c>
      <c r="E215" s="1" t="s">
        <v>1482</v>
      </c>
      <c r="F215" s="5">
        <f t="shared" si="9"/>
        <v>0</v>
      </c>
      <c r="G215" s="5" t="s">
        <v>1483</v>
      </c>
      <c r="H215" s="4" t="e">
        <f>VLOOKUP(A215,المعطيات!$A$1:$J$3500,3,0)</f>
        <v>#N/A</v>
      </c>
      <c r="I215" s="1" t="s">
        <v>1484</v>
      </c>
      <c r="J215" s="1" t="s">
        <v>1485</v>
      </c>
      <c r="K215" s="4" t="e">
        <f>VLOOKUP(A215,المعطيات!$A$1:$J$3500,6,0)</f>
        <v>#N/A</v>
      </c>
      <c r="L215" s="1" t="s">
        <v>1486</v>
      </c>
      <c r="M215" s="1" t="s">
        <v>1487</v>
      </c>
      <c r="N215" s="4" t="e">
        <f t="shared" si="10"/>
        <v>#N/A</v>
      </c>
      <c r="O215" s="1" t="s">
        <v>1488</v>
      </c>
      <c r="P215" s="4" t="e">
        <f>VLOOKUP(A215,المعطيات!$A$1:$J$3500,4,0)</f>
        <v>#N/A</v>
      </c>
      <c r="Q215" s="1" t="s">
        <v>1489</v>
      </c>
      <c r="R215" s="1" t="s">
        <v>1480</v>
      </c>
      <c r="S215" s="6" t="e">
        <f t="shared" si="11"/>
        <v>#N/A</v>
      </c>
    </row>
    <row r="216" spans="2:19" x14ac:dyDescent="0.25">
      <c r="B216" s="1" t="s">
        <v>1479</v>
      </c>
      <c r="C216" s="1" t="s">
        <v>1481</v>
      </c>
      <c r="D216" s="4" t="e">
        <f>VLOOKUP(A216,المعطيات!$A$1:$J$3500,5,0)</f>
        <v>#N/A</v>
      </c>
      <c r="E216" s="1" t="s">
        <v>1482</v>
      </c>
      <c r="F216" s="5">
        <f t="shared" si="9"/>
        <v>0</v>
      </c>
      <c r="G216" s="5" t="s">
        <v>1483</v>
      </c>
      <c r="H216" s="4" t="e">
        <f>VLOOKUP(A216,المعطيات!$A$1:$J$3500,3,0)</f>
        <v>#N/A</v>
      </c>
      <c r="I216" s="1" t="s">
        <v>1484</v>
      </c>
      <c r="J216" s="1" t="s">
        <v>1485</v>
      </c>
      <c r="K216" s="4" t="e">
        <f>VLOOKUP(A216,المعطيات!$A$1:$J$3500,6,0)</f>
        <v>#N/A</v>
      </c>
      <c r="L216" s="1" t="s">
        <v>1486</v>
      </c>
      <c r="M216" s="1" t="s">
        <v>1487</v>
      </c>
      <c r="N216" s="4" t="e">
        <f t="shared" si="10"/>
        <v>#N/A</v>
      </c>
      <c r="O216" s="1" t="s">
        <v>1488</v>
      </c>
      <c r="P216" s="4" t="e">
        <f>VLOOKUP(A216,المعطيات!$A$1:$J$3500,4,0)</f>
        <v>#N/A</v>
      </c>
      <c r="Q216" s="1" t="s">
        <v>1489</v>
      </c>
      <c r="R216" s="1" t="s">
        <v>1480</v>
      </c>
      <c r="S216" s="6" t="e">
        <f t="shared" si="11"/>
        <v>#N/A</v>
      </c>
    </row>
    <row r="217" spans="2:19" x14ac:dyDescent="0.25">
      <c r="B217" s="1" t="s">
        <v>1479</v>
      </c>
      <c r="C217" s="1" t="s">
        <v>1481</v>
      </c>
      <c r="D217" s="4" t="e">
        <f>VLOOKUP(A217,المعطيات!$A$1:$J$3500,5,0)</f>
        <v>#N/A</v>
      </c>
      <c r="E217" s="1" t="s">
        <v>1482</v>
      </c>
      <c r="F217" s="5">
        <f t="shared" si="9"/>
        <v>0</v>
      </c>
      <c r="G217" s="5" t="s">
        <v>1483</v>
      </c>
      <c r="H217" s="4" t="e">
        <f>VLOOKUP(A217,المعطيات!$A$1:$J$3500,3,0)</f>
        <v>#N/A</v>
      </c>
      <c r="I217" s="1" t="s">
        <v>1484</v>
      </c>
      <c r="J217" s="1" t="s">
        <v>1485</v>
      </c>
      <c r="K217" s="4" t="e">
        <f>VLOOKUP(A217,المعطيات!$A$1:$J$3500,6,0)</f>
        <v>#N/A</v>
      </c>
      <c r="L217" s="1" t="s">
        <v>1486</v>
      </c>
      <c r="M217" s="1" t="s">
        <v>1487</v>
      </c>
      <c r="N217" s="4" t="e">
        <f t="shared" si="10"/>
        <v>#N/A</v>
      </c>
      <c r="O217" s="1" t="s">
        <v>1488</v>
      </c>
      <c r="P217" s="4" t="e">
        <f>VLOOKUP(A217,المعطيات!$A$1:$J$3500,4,0)</f>
        <v>#N/A</v>
      </c>
      <c r="Q217" s="1" t="s">
        <v>1489</v>
      </c>
      <c r="R217" s="1" t="s">
        <v>1480</v>
      </c>
      <c r="S217" s="6" t="e">
        <f t="shared" si="11"/>
        <v>#N/A</v>
      </c>
    </row>
    <row r="218" spans="2:19" x14ac:dyDescent="0.25">
      <c r="B218" s="1" t="s">
        <v>1479</v>
      </c>
      <c r="C218" s="1" t="s">
        <v>1481</v>
      </c>
      <c r="D218" s="4" t="e">
        <f>VLOOKUP(A218,المعطيات!$A$1:$J$3500,5,0)</f>
        <v>#N/A</v>
      </c>
      <c r="E218" s="1" t="s">
        <v>1482</v>
      </c>
      <c r="F218" s="5">
        <f t="shared" si="9"/>
        <v>0</v>
      </c>
      <c r="G218" s="5" t="s">
        <v>1483</v>
      </c>
      <c r="H218" s="4" t="e">
        <f>VLOOKUP(A218,المعطيات!$A$1:$J$3500,3,0)</f>
        <v>#N/A</v>
      </c>
      <c r="I218" s="1" t="s">
        <v>1484</v>
      </c>
      <c r="J218" s="1" t="s">
        <v>1485</v>
      </c>
      <c r="K218" s="4" t="e">
        <f>VLOOKUP(A218,المعطيات!$A$1:$J$3500,6,0)</f>
        <v>#N/A</v>
      </c>
      <c r="L218" s="1" t="s">
        <v>1486</v>
      </c>
      <c r="M218" s="1" t="s">
        <v>1487</v>
      </c>
      <c r="N218" s="4" t="e">
        <f t="shared" si="10"/>
        <v>#N/A</v>
      </c>
      <c r="O218" s="1" t="s">
        <v>1488</v>
      </c>
      <c r="P218" s="4" t="e">
        <f>VLOOKUP(A218,المعطيات!$A$1:$J$3500,4,0)</f>
        <v>#N/A</v>
      </c>
      <c r="Q218" s="1" t="s">
        <v>1489</v>
      </c>
      <c r="R218" s="1" t="s">
        <v>1480</v>
      </c>
      <c r="S218" s="6" t="e">
        <f t="shared" si="11"/>
        <v>#N/A</v>
      </c>
    </row>
    <row r="219" spans="2:19" x14ac:dyDescent="0.25">
      <c r="B219" s="1" t="s">
        <v>1479</v>
      </c>
      <c r="C219" s="1" t="s">
        <v>1481</v>
      </c>
      <c r="D219" s="4" t="e">
        <f>VLOOKUP(A219,المعطيات!$A$1:$J$3500,5,0)</f>
        <v>#N/A</v>
      </c>
      <c r="E219" s="1" t="s">
        <v>1482</v>
      </c>
      <c r="F219" s="5">
        <f t="shared" si="9"/>
        <v>0</v>
      </c>
      <c r="G219" s="5" t="s">
        <v>1483</v>
      </c>
      <c r="H219" s="4" t="e">
        <f>VLOOKUP(A219,المعطيات!$A$1:$J$3500,3,0)</f>
        <v>#N/A</v>
      </c>
      <c r="I219" s="1" t="s">
        <v>1484</v>
      </c>
      <c r="J219" s="1" t="s">
        <v>1485</v>
      </c>
      <c r="K219" s="4" t="e">
        <f>VLOOKUP(A219,المعطيات!$A$1:$J$3500,6,0)</f>
        <v>#N/A</v>
      </c>
      <c r="L219" s="1" t="s">
        <v>1486</v>
      </c>
      <c r="M219" s="1" t="s">
        <v>1487</v>
      </c>
      <c r="N219" s="4" t="e">
        <f t="shared" si="10"/>
        <v>#N/A</v>
      </c>
      <c r="O219" s="1" t="s">
        <v>1488</v>
      </c>
      <c r="P219" s="4" t="e">
        <f>VLOOKUP(A219,المعطيات!$A$1:$J$3500,4,0)</f>
        <v>#N/A</v>
      </c>
      <c r="Q219" s="1" t="s">
        <v>1489</v>
      </c>
      <c r="R219" s="1" t="s">
        <v>1480</v>
      </c>
      <c r="S219" s="6" t="e">
        <f t="shared" si="11"/>
        <v>#N/A</v>
      </c>
    </row>
    <row r="220" spans="2:19" x14ac:dyDescent="0.25">
      <c r="B220" s="1" t="s">
        <v>1479</v>
      </c>
      <c r="C220" s="1" t="s">
        <v>1481</v>
      </c>
      <c r="D220" s="4" t="e">
        <f>VLOOKUP(A220,المعطيات!$A$1:$J$3500,5,0)</f>
        <v>#N/A</v>
      </c>
      <c r="E220" s="1" t="s">
        <v>1482</v>
      </c>
      <c r="F220" s="5">
        <f t="shared" si="9"/>
        <v>0</v>
      </c>
      <c r="G220" s="5" t="s">
        <v>1483</v>
      </c>
      <c r="H220" s="4" t="e">
        <f>VLOOKUP(A220,المعطيات!$A$1:$J$3500,3,0)</f>
        <v>#N/A</v>
      </c>
      <c r="I220" s="1" t="s">
        <v>1484</v>
      </c>
      <c r="J220" s="1" t="s">
        <v>1485</v>
      </c>
      <c r="K220" s="4" t="e">
        <f>VLOOKUP(A220,المعطيات!$A$1:$J$3500,6,0)</f>
        <v>#N/A</v>
      </c>
      <c r="L220" s="1" t="s">
        <v>1486</v>
      </c>
      <c r="M220" s="1" t="s">
        <v>1487</v>
      </c>
      <c r="N220" s="4" t="e">
        <f t="shared" si="10"/>
        <v>#N/A</v>
      </c>
      <c r="O220" s="1" t="s">
        <v>1488</v>
      </c>
      <c r="P220" s="4" t="e">
        <f>VLOOKUP(A220,المعطيات!$A$1:$J$3500,4,0)</f>
        <v>#N/A</v>
      </c>
      <c r="Q220" s="1" t="s">
        <v>1489</v>
      </c>
      <c r="R220" s="1" t="s">
        <v>1480</v>
      </c>
      <c r="S220" s="6" t="e">
        <f t="shared" si="11"/>
        <v>#N/A</v>
      </c>
    </row>
    <row r="221" spans="2:19" x14ac:dyDescent="0.25">
      <c r="B221" s="1" t="s">
        <v>1479</v>
      </c>
      <c r="C221" s="1" t="s">
        <v>1481</v>
      </c>
      <c r="D221" s="4" t="e">
        <f>VLOOKUP(A221,المعطيات!$A$1:$J$3500,5,0)</f>
        <v>#N/A</v>
      </c>
      <c r="E221" s="1" t="s">
        <v>1482</v>
      </c>
      <c r="F221" s="5">
        <f t="shared" si="9"/>
        <v>0</v>
      </c>
      <c r="G221" s="5" t="s">
        <v>1483</v>
      </c>
      <c r="H221" s="4" t="e">
        <f>VLOOKUP(A221,المعطيات!$A$1:$J$3500,3,0)</f>
        <v>#N/A</v>
      </c>
      <c r="I221" s="1" t="s">
        <v>1484</v>
      </c>
      <c r="J221" s="1" t="s">
        <v>1485</v>
      </c>
      <c r="K221" s="4" t="e">
        <f>VLOOKUP(A221,المعطيات!$A$1:$J$3500,6,0)</f>
        <v>#N/A</v>
      </c>
      <c r="L221" s="1" t="s">
        <v>1486</v>
      </c>
      <c r="M221" s="1" t="s">
        <v>1487</v>
      </c>
      <c r="N221" s="4" t="e">
        <f t="shared" si="10"/>
        <v>#N/A</v>
      </c>
      <c r="O221" s="1" t="s">
        <v>1488</v>
      </c>
      <c r="P221" s="4" t="e">
        <f>VLOOKUP(A221,المعطيات!$A$1:$J$3500,4,0)</f>
        <v>#N/A</v>
      </c>
      <c r="Q221" s="1" t="s">
        <v>1489</v>
      </c>
      <c r="R221" s="1" t="s">
        <v>1480</v>
      </c>
      <c r="S221" s="6" t="e">
        <f t="shared" si="11"/>
        <v>#N/A</v>
      </c>
    </row>
    <row r="222" spans="2:19" x14ac:dyDescent="0.25">
      <c r="B222" s="1" t="s">
        <v>1479</v>
      </c>
      <c r="C222" s="1" t="s">
        <v>1481</v>
      </c>
      <c r="D222" s="4" t="e">
        <f>VLOOKUP(A222,المعطيات!$A$1:$J$3500,5,0)</f>
        <v>#N/A</v>
      </c>
      <c r="E222" s="1" t="s">
        <v>1482</v>
      </c>
      <c r="F222" s="5">
        <f t="shared" si="9"/>
        <v>0</v>
      </c>
      <c r="G222" s="5" t="s">
        <v>1483</v>
      </c>
      <c r="H222" s="4" t="e">
        <f>VLOOKUP(A222,المعطيات!$A$1:$J$3500,3,0)</f>
        <v>#N/A</v>
      </c>
      <c r="I222" s="1" t="s">
        <v>1484</v>
      </c>
      <c r="J222" s="1" t="s">
        <v>1485</v>
      </c>
      <c r="K222" s="4" t="e">
        <f>VLOOKUP(A222,المعطيات!$A$1:$J$3500,6,0)</f>
        <v>#N/A</v>
      </c>
      <c r="L222" s="1" t="s">
        <v>1486</v>
      </c>
      <c r="M222" s="1" t="s">
        <v>1487</v>
      </c>
      <c r="N222" s="4" t="e">
        <f t="shared" si="10"/>
        <v>#N/A</v>
      </c>
      <c r="O222" s="1" t="s">
        <v>1488</v>
      </c>
      <c r="P222" s="4" t="e">
        <f>VLOOKUP(A222,المعطيات!$A$1:$J$3500,4,0)</f>
        <v>#N/A</v>
      </c>
      <c r="Q222" s="1" t="s">
        <v>1489</v>
      </c>
      <c r="R222" s="1" t="s">
        <v>1480</v>
      </c>
      <c r="S222" s="6" t="e">
        <f t="shared" si="11"/>
        <v>#N/A</v>
      </c>
    </row>
    <row r="223" spans="2:19" x14ac:dyDescent="0.25">
      <c r="B223" s="1" t="s">
        <v>1479</v>
      </c>
      <c r="C223" s="1" t="s">
        <v>1481</v>
      </c>
      <c r="D223" s="4" t="e">
        <f>VLOOKUP(A223,المعطيات!$A$1:$J$3500,5,0)</f>
        <v>#N/A</v>
      </c>
      <c r="E223" s="1" t="s">
        <v>1482</v>
      </c>
      <c r="F223" s="5">
        <f t="shared" si="9"/>
        <v>0</v>
      </c>
      <c r="G223" s="5" t="s">
        <v>1483</v>
      </c>
      <c r="H223" s="4" t="e">
        <f>VLOOKUP(A223,المعطيات!$A$1:$J$3500,3,0)</f>
        <v>#N/A</v>
      </c>
      <c r="I223" s="1" t="s">
        <v>1484</v>
      </c>
      <c r="J223" s="1" t="s">
        <v>1485</v>
      </c>
      <c r="K223" s="4" t="e">
        <f>VLOOKUP(A223,المعطيات!$A$1:$J$3500,6,0)</f>
        <v>#N/A</v>
      </c>
      <c r="L223" s="1" t="s">
        <v>1486</v>
      </c>
      <c r="M223" s="1" t="s">
        <v>1487</v>
      </c>
      <c r="N223" s="4" t="e">
        <f t="shared" si="10"/>
        <v>#N/A</v>
      </c>
      <c r="O223" s="1" t="s">
        <v>1488</v>
      </c>
      <c r="P223" s="4" t="e">
        <f>VLOOKUP(A223,المعطيات!$A$1:$J$3500,4,0)</f>
        <v>#N/A</v>
      </c>
      <c r="Q223" s="1" t="s">
        <v>1489</v>
      </c>
      <c r="R223" s="1" t="s">
        <v>1480</v>
      </c>
      <c r="S223" s="6" t="e">
        <f t="shared" si="11"/>
        <v>#N/A</v>
      </c>
    </row>
    <row r="224" spans="2:19" x14ac:dyDescent="0.25">
      <c r="B224" s="1" t="s">
        <v>1479</v>
      </c>
      <c r="C224" s="1" t="s">
        <v>1481</v>
      </c>
      <c r="D224" s="4" t="e">
        <f>VLOOKUP(A224,المعطيات!$A$1:$J$3500,5,0)</f>
        <v>#N/A</v>
      </c>
      <c r="E224" s="1" t="s">
        <v>1482</v>
      </c>
      <c r="F224" s="5">
        <f t="shared" si="9"/>
        <v>0</v>
      </c>
      <c r="G224" s="5" t="s">
        <v>1483</v>
      </c>
      <c r="H224" s="4" t="e">
        <f>VLOOKUP(A224,المعطيات!$A$1:$J$3500,3,0)</f>
        <v>#N/A</v>
      </c>
      <c r="I224" s="1" t="s">
        <v>1484</v>
      </c>
      <c r="J224" s="1" t="s">
        <v>1485</v>
      </c>
      <c r="K224" s="4" t="e">
        <f>VLOOKUP(A224,المعطيات!$A$1:$J$3500,6,0)</f>
        <v>#N/A</v>
      </c>
      <c r="L224" s="1" t="s">
        <v>1486</v>
      </c>
      <c r="M224" s="1" t="s">
        <v>1487</v>
      </c>
      <c r="N224" s="4" t="e">
        <f t="shared" si="10"/>
        <v>#N/A</v>
      </c>
      <c r="O224" s="1" t="s">
        <v>1488</v>
      </c>
      <c r="P224" s="4" t="e">
        <f>VLOOKUP(A224,المعطيات!$A$1:$J$3500,4,0)</f>
        <v>#N/A</v>
      </c>
      <c r="Q224" s="1" t="s">
        <v>1489</v>
      </c>
      <c r="R224" s="1" t="s">
        <v>1480</v>
      </c>
      <c r="S224" s="6" t="e">
        <f t="shared" si="11"/>
        <v>#N/A</v>
      </c>
    </row>
    <row r="225" spans="2:19" x14ac:dyDescent="0.25">
      <c r="B225" s="1" t="s">
        <v>1479</v>
      </c>
      <c r="C225" s="1" t="s">
        <v>1481</v>
      </c>
      <c r="D225" s="4" t="e">
        <f>VLOOKUP(A225,المعطيات!$A$1:$J$3500,5,0)</f>
        <v>#N/A</v>
      </c>
      <c r="E225" s="1" t="s">
        <v>1482</v>
      </c>
      <c r="F225" s="5">
        <f t="shared" si="9"/>
        <v>0</v>
      </c>
      <c r="G225" s="5" t="s">
        <v>1483</v>
      </c>
      <c r="H225" s="4" t="e">
        <f>VLOOKUP(A225,المعطيات!$A$1:$J$3500,3,0)</f>
        <v>#N/A</v>
      </c>
      <c r="I225" s="1" t="s">
        <v>1484</v>
      </c>
      <c r="J225" s="1" t="s">
        <v>1485</v>
      </c>
      <c r="K225" s="4" t="e">
        <f>VLOOKUP(A225,المعطيات!$A$1:$J$3500,6,0)</f>
        <v>#N/A</v>
      </c>
      <c r="L225" s="1" t="s">
        <v>1486</v>
      </c>
      <c r="M225" s="1" t="s">
        <v>1487</v>
      </c>
      <c r="N225" s="4" t="e">
        <f t="shared" si="10"/>
        <v>#N/A</v>
      </c>
      <c r="O225" s="1" t="s">
        <v>1488</v>
      </c>
      <c r="P225" s="4" t="e">
        <f>VLOOKUP(A225,المعطيات!$A$1:$J$3500,4,0)</f>
        <v>#N/A</v>
      </c>
      <c r="Q225" s="1" t="s">
        <v>1489</v>
      </c>
      <c r="R225" s="1" t="s">
        <v>1480</v>
      </c>
      <c r="S225" s="6" t="e">
        <f t="shared" si="11"/>
        <v>#N/A</v>
      </c>
    </row>
    <row r="226" spans="2:19" x14ac:dyDescent="0.25">
      <c r="B226" s="1" t="s">
        <v>1479</v>
      </c>
      <c r="C226" s="1" t="s">
        <v>1481</v>
      </c>
      <c r="D226" s="4" t="e">
        <f>VLOOKUP(A226,المعطيات!$A$1:$J$3500,5,0)</f>
        <v>#N/A</v>
      </c>
      <c r="E226" s="1" t="s">
        <v>1482</v>
      </c>
      <c r="F226" s="5">
        <f t="shared" si="9"/>
        <v>0</v>
      </c>
      <c r="G226" s="5" t="s">
        <v>1483</v>
      </c>
      <c r="H226" s="4" t="e">
        <f>VLOOKUP(A226,المعطيات!$A$1:$J$3500,3,0)</f>
        <v>#N/A</v>
      </c>
      <c r="I226" s="1" t="s">
        <v>1484</v>
      </c>
      <c r="J226" s="1" t="s">
        <v>1485</v>
      </c>
      <c r="K226" s="4" t="e">
        <f>VLOOKUP(A226,المعطيات!$A$1:$J$3500,6,0)</f>
        <v>#N/A</v>
      </c>
      <c r="L226" s="1" t="s">
        <v>1486</v>
      </c>
      <c r="M226" s="1" t="s">
        <v>1487</v>
      </c>
      <c r="N226" s="4" t="e">
        <f t="shared" si="10"/>
        <v>#N/A</v>
      </c>
      <c r="O226" s="1" t="s">
        <v>1488</v>
      </c>
      <c r="P226" s="4" t="e">
        <f>VLOOKUP(A226,المعطيات!$A$1:$J$3500,4,0)</f>
        <v>#N/A</v>
      </c>
      <c r="Q226" s="1" t="s">
        <v>1489</v>
      </c>
      <c r="R226" s="1" t="s">
        <v>1480</v>
      </c>
      <c r="S226" s="6" t="e">
        <f t="shared" si="11"/>
        <v>#N/A</v>
      </c>
    </row>
    <row r="227" spans="2:19" x14ac:dyDescent="0.25">
      <c r="B227" s="1" t="s">
        <v>1479</v>
      </c>
      <c r="C227" s="1" t="s">
        <v>1481</v>
      </c>
      <c r="D227" s="4" t="e">
        <f>VLOOKUP(A227,المعطيات!$A$1:$J$3500,5,0)</f>
        <v>#N/A</v>
      </c>
      <c r="E227" s="1" t="s">
        <v>1482</v>
      </c>
      <c r="F227" s="5">
        <f t="shared" si="9"/>
        <v>0</v>
      </c>
      <c r="G227" s="5" t="s">
        <v>1483</v>
      </c>
      <c r="H227" s="4" t="e">
        <f>VLOOKUP(A227,المعطيات!$A$1:$J$3500,3,0)</f>
        <v>#N/A</v>
      </c>
      <c r="I227" s="1" t="s">
        <v>1484</v>
      </c>
      <c r="J227" s="1" t="s">
        <v>1485</v>
      </c>
      <c r="K227" s="4" t="e">
        <f>VLOOKUP(A227,المعطيات!$A$1:$J$3500,6,0)</f>
        <v>#N/A</v>
      </c>
      <c r="L227" s="1" t="s">
        <v>1486</v>
      </c>
      <c r="M227" s="1" t="s">
        <v>1487</v>
      </c>
      <c r="N227" s="4" t="e">
        <f t="shared" si="10"/>
        <v>#N/A</v>
      </c>
      <c r="O227" s="1" t="s">
        <v>1488</v>
      </c>
      <c r="P227" s="4" t="e">
        <f>VLOOKUP(A227,المعطيات!$A$1:$J$3500,4,0)</f>
        <v>#N/A</v>
      </c>
      <c r="Q227" s="1" t="s">
        <v>1489</v>
      </c>
      <c r="R227" s="1" t="s">
        <v>1480</v>
      </c>
      <c r="S227" s="6" t="e">
        <f t="shared" si="11"/>
        <v>#N/A</v>
      </c>
    </row>
    <row r="228" spans="2:19" x14ac:dyDescent="0.25">
      <c r="B228" s="1" t="s">
        <v>1479</v>
      </c>
      <c r="C228" s="1" t="s">
        <v>1481</v>
      </c>
      <c r="D228" s="4" t="e">
        <f>VLOOKUP(A228,المعطيات!$A$1:$J$3500,5,0)</f>
        <v>#N/A</v>
      </c>
      <c r="E228" s="1" t="s">
        <v>1482</v>
      </c>
      <c r="F228" s="5">
        <f t="shared" si="9"/>
        <v>0</v>
      </c>
      <c r="G228" s="5" t="s">
        <v>1483</v>
      </c>
      <c r="H228" s="4" t="e">
        <f>VLOOKUP(A228,المعطيات!$A$1:$J$3500,3,0)</f>
        <v>#N/A</v>
      </c>
      <c r="I228" s="1" t="s">
        <v>1484</v>
      </c>
      <c r="J228" s="1" t="s">
        <v>1485</v>
      </c>
      <c r="K228" s="4" t="e">
        <f>VLOOKUP(A228,المعطيات!$A$1:$J$3500,6,0)</f>
        <v>#N/A</v>
      </c>
      <c r="L228" s="1" t="s">
        <v>1486</v>
      </c>
      <c r="M228" s="1" t="s">
        <v>1487</v>
      </c>
      <c r="N228" s="4" t="e">
        <f t="shared" si="10"/>
        <v>#N/A</v>
      </c>
      <c r="O228" s="1" t="s">
        <v>1488</v>
      </c>
      <c r="P228" s="4" t="e">
        <f>VLOOKUP(A228,المعطيات!$A$1:$J$3500,4,0)</f>
        <v>#N/A</v>
      </c>
      <c r="Q228" s="1" t="s">
        <v>1489</v>
      </c>
      <c r="R228" s="1" t="s">
        <v>1480</v>
      </c>
      <c r="S228" s="6" t="e">
        <f t="shared" si="11"/>
        <v>#N/A</v>
      </c>
    </row>
    <row r="229" spans="2:19" x14ac:dyDescent="0.25">
      <c r="B229" s="1" t="s">
        <v>1479</v>
      </c>
      <c r="C229" s="1" t="s">
        <v>1481</v>
      </c>
      <c r="D229" s="4" t="e">
        <f>VLOOKUP(A229,المعطيات!$A$1:$J$3500,5,0)</f>
        <v>#N/A</v>
      </c>
      <c r="E229" s="1" t="s">
        <v>1482</v>
      </c>
      <c r="F229" s="5">
        <f t="shared" si="9"/>
        <v>0</v>
      </c>
      <c r="G229" s="5" t="s">
        <v>1483</v>
      </c>
      <c r="H229" s="4" t="e">
        <f>VLOOKUP(A229,المعطيات!$A$1:$J$3500,3,0)</f>
        <v>#N/A</v>
      </c>
      <c r="I229" s="1" t="s">
        <v>1484</v>
      </c>
      <c r="J229" s="1" t="s">
        <v>1485</v>
      </c>
      <c r="K229" s="4" t="e">
        <f>VLOOKUP(A229,المعطيات!$A$1:$J$3500,6,0)</f>
        <v>#N/A</v>
      </c>
      <c r="L229" s="1" t="s">
        <v>1486</v>
      </c>
      <c r="M229" s="1" t="s">
        <v>1487</v>
      </c>
      <c r="N229" s="4" t="e">
        <f t="shared" si="10"/>
        <v>#N/A</v>
      </c>
      <c r="O229" s="1" t="s">
        <v>1488</v>
      </c>
      <c r="P229" s="4" t="e">
        <f>VLOOKUP(A229,المعطيات!$A$1:$J$3500,4,0)</f>
        <v>#N/A</v>
      </c>
      <c r="Q229" s="1" t="s">
        <v>1489</v>
      </c>
      <c r="R229" s="1" t="s">
        <v>1480</v>
      </c>
      <c r="S229" s="6" t="e">
        <f t="shared" si="11"/>
        <v>#N/A</v>
      </c>
    </row>
    <row r="230" spans="2:19" x14ac:dyDescent="0.25">
      <c r="B230" s="1" t="s">
        <v>1479</v>
      </c>
      <c r="C230" s="1" t="s">
        <v>1481</v>
      </c>
      <c r="D230" s="4" t="e">
        <f>VLOOKUP(A230,المعطيات!$A$1:$J$3500,5,0)</f>
        <v>#N/A</v>
      </c>
      <c r="E230" s="1" t="s">
        <v>1482</v>
      </c>
      <c r="F230" s="5">
        <f t="shared" si="9"/>
        <v>0</v>
      </c>
      <c r="G230" s="5" t="s">
        <v>1483</v>
      </c>
      <c r="H230" s="4" t="e">
        <f>VLOOKUP(A230,المعطيات!$A$1:$J$3500,3,0)</f>
        <v>#N/A</v>
      </c>
      <c r="I230" s="1" t="s">
        <v>1484</v>
      </c>
      <c r="J230" s="1" t="s">
        <v>1485</v>
      </c>
      <c r="K230" s="4" t="e">
        <f>VLOOKUP(A230,المعطيات!$A$1:$J$3500,6,0)</f>
        <v>#N/A</v>
      </c>
      <c r="L230" s="1" t="s">
        <v>1486</v>
      </c>
      <c r="M230" s="1" t="s">
        <v>1487</v>
      </c>
      <c r="N230" s="4" t="e">
        <f t="shared" si="10"/>
        <v>#N/A</v>
      </c>
      <c r="O230" s="1" t="s">
        <v>1488</v>
      </c>
      <c r="P230" s="4" t="e">
        <f>VLOOKUP(A230,المعطيات!$A$1:$J$3500,4,0)</f>
        <v>#N/A</v>
      </c>
      <c r="Q230" s="1" t="s">
        <v>1489</v>
      </c>
      <c r="R230" s="1" t="s">
        <v>1480</v>
      </c>
      <c r="S230" s="6" t="e">
        <f t="shared" si="11"/>
        <v>#N/A</v>
      </c>
    </row>
    <row r="231" spans="2:19" x14ac:dyDescent="0.25">
      <c r="B231" s="1" t="s">
        <v>1479</v>
      </c>
      <c r="C231" s="1" t="s">
        <v>1481</v>
      </c>
      <c r="D231" s="4" t="e">
        <f>VLOOKUP(A231,المعطيات!$A$1:$J$3500,5,0)</f>
        <v>#N/A</v>
      </c>
      <c r="E231" s="1" t="s">
        <v>1482</v>
      </c>
      <c r="F231" s="5">
        <f t="shared" si="9"/>
        <v>0</v>
      </c>
      <c r="G231" s="5" t="s">
        <v>1483</v>
      </c>
      <c r="H231" s="4" t="e">
        <f>VLOOKUP(A231,المعطيات!$A$1:$J$3500,3,0)</f>
        <v>#N/A</v>
      </c>
      <c r="I231" s="1" t="s">
        <v>1484</v>
      </c>
      <c r="J231" s="1" t="s">
        <v>1485</v>
      </c>
      <c r="K231" s="4" t="e">
        <f>VLOOKUP(A231,المعطيات!$A$1:$J$3500,6,0)</f>
        <v>#N/A</v>
      </c>
      <c r="L231" s="1" t="s">
        <v>1486</v>
      </c>
      <c r="M231" s="1" t="s">
        <v>1487</v>
      </c>
      <c r="N231" s="4" t="e">
        <f t="shared" si="10"/>
        <v>#N/A</v>
      </c>
      <c r="O231" s="1" t="s">
        <v>1488</v>
      </c>
      <c r="P231" s="4" t="e">
        <f>VLOOKUP(A231,المعطيات!$A$1:$J$3500,4,0)</f>
        <v>#N/A</v>
      </c>
      <c r="Q231" s="1" t="s">
        <v>1489</v>
      </c>
      <c r="R231" s="1" t="s">
        <v>1480</v>
      </c>
      <c r="S231" s="6" t="e">
        <f t="shared" si="11"/>
        <v>#N/A</v>
      </c>
    </row>
    <row r="232" spans="2:19" x14ac:dyDescent="0.25">
      <c r="B232" s="1" t="s">
        <v>1479</v>
      </c>
      <c r="C232" s="1" t="s">
        <v>1481</v>
      </c>
      <c r="D232" s="4" t="e">
        <f>VLOOKUP(A232,المعطيات!$A$1:$J$3500,5,0)</f>
        <v>#N/A</v>
      </c>
      <c r="E232" s="1" t="s">
        <v>1482</v>
      </c>
      <c r="F232" s="5">
        <f t="shared" si="9"/>
        <v>0</v>
      </c>
      <c r="G232" s="5" t="s">
        <v>1483</v>
      </c>
      <c r="H232" s="4" t="e">
        <f>VLOOKUP(A232,المعطيات!$A$1:$J$3500,3,0)</f>
        <v>#N/A</v>
      </c>
      <c r="I232" s="1" t="s">
        <v>1484</v>
      </c>
      <c r="J232" s="1" t="s">
        <v>1485</v>
      </c>
      <c r="K232" s="4" t="e">
        <f>VLOOKUP(A232,المعطيات!$A$1:$J$3500,6,0)</f>
        <v>#N/A</v>
      </c>
      <c r="L232" s="1" t="s">
        <v>1486</v>
      </c>
      <c r="M232" s="1" t="s">
        <v>1487</v>
      </c>
      <c r="N232" s="4" t="e">
        <f t="shared" si="10"/>
        <v>#N/A</v>
      </c>
      <c r="O232" s="1" t="s">
        <v>1488</v>
      </c>
      <c r="P232" s="4" t="e">
        <f>VLOOKUP(A232,المعطيات!$A$1:$J$3500,4,0)</f>
        <v>#N/A</v>
      </c>
      <c r="Q232" s="1" t="s">
        <v>1489</v>
      </c>
      <c r="R232" s="1" t="s">
        <v>1480</v>
      </c>
      <c r="S232" s="6" t="e">
        <f t="shared" si="11"/>
        <v>#N/A</v>
      </c>
    </row>
    <row r="233" spans="2:19" x14ac:dyDescent="0.25">
      <c r="B233" s="1" t="s">
        <v>1479</v>
      </c>
      <c r="C233" s="1" t="s">
        <v>1481</v>
      </c>
      <c r="D233" s="4" t="e">
        <f>VLOOKUP(A233,المعطيات!$A$1:$J$3500,5,0)</f>
        <v>#N/A</v>
      </c>
      <c r="E233" s="1" t="s">
        <v>1482</v>
      </c>
      <c r="F233" s="5">
        <f t="shared" si="9"/>
        <v>0</v>
      </c>
      <c r="G233" s="5" t="s">
        <v>1483</v>
      </c>
      <c r="H233" s="4" t="e">
        <f>VLOOKUP(A233,المعطيات!$A$1:$J$3500,3,0)</f>
        <v>#N/A</v>
      </c>
      <c r="I233" s="1" t="s">
        <v>1484</v>
      </c>
      <c r="J233" s="1" t="s">
        <v>1485</v>
      </c>
      <c r="K233" s="4" t="e">
        <f>VLOOKUP(A233,المعطيات!$A$1:$J$3500,6,0)</f>
        <v>#N/A</v>
      </c>
      <c r="L233" s="1" t="s">
        <v>1486</v>
      </c>
      <c r="M233" s="1" t="s">
        <v>1487</v>
      </c>
      <c r="N233" s="4" t="e">
        <f t="shared" si="10"/>
        <v>#N/A</v>
      </c>
      <c r="O233" s="1" t="s">
        <v>1488</v>
      </c>
      <c r="P233" s="4" t="e">
        <f>VLOOKUP(A233,المعطيات!$A$1:$J$3500,4,0)</f>
        <v>#N/A</v>
      </c>
      <c r="Q233" s="1" t="s">
        <v>1489</v>
      </c>
      <c r="R233" s="1" t="s">
        <v>1480</v>
      </c>
      <c r="S233" s="6" t="e">
        <f t="shared" si="11"/>
        <v>#N/A</v>
      </c>
    </row>
    <row r="234" spans="2:19" x14ac:dyDescent="0.25">
      <c r="B234" s="1" t="s">
        <v>1479</v>
      </c>
      <c r="C234" s="1" t="s">
        <v>1481</v>
      </c>
      <c r="D234" s="4" t="e">
        <f>VLOOKUP(A234,المعطيات!$A$1:$J$3500,5,0)</f>
        <v>#N/A</v>
      </c>
      <c r="E234" s="1" t="s">
        <v>1482</v>
      </c>
      <c r="F234" s="5">
        <f t="shared" si="9"/>
        <v>0</v>
      </c>
      <c r="G234" s="5" t="s">
        <v>1483</v>
      </c>
      <c r="H234" s="4" t="e">
        <f>VLOOKUP(A234,المعطيات!$A$1:$J$3500,3,0)</f>
        <v>#N/A</v>
      </c>
      <c r="I234" s="1" t="s">
        <v>1484</v>
      </c>
      <c r="J234" s="1" t="s">
        <v>1485</v>
      </c>
      <c r="K234" s="4" t="e">
        <f>VLOOKUP(A234,المعطيات!$A$1:$J$3500,6,0)</f>
        <v>#N/A</v>
      </c>
      <c r="L234" s="1" t="s">
        <v>1486</v>
      </c>
      <c r="M234" s="1" t="s">
        <v>1487</v>
      </c>
      <c r="N234" s="4" t="e">
        <f t="shared" si="10"/>
        <v>#N/A</v>
      </c>
      <c r="O234" s="1" t="s">
        <v>1488</v>
      </c>
      <c r="P234" s="4" t="e">
        <f>VLOOKUP(A234,المعطيات!$A$1:$J$3500,4,0)</f>
        <v>#N/A</v>
      </c>
      <c r="Q234" s="1" t="s">
        <v>1489</v>
      </c>
      <c r="R234" s="1" t="s">
        <v>1480</v>
      </c>
      <c r="S234" s="6" t="e">
        <f t="shared" si="11"/>
        <v>#N/A</v>
      </c>
    </row>
    <row r="235" spans="2:19" x14ac:dyDescent="0.25">
      <c r="B235" s="1" t="s">
        <v>1479</v>
      </c>
      <c r="C235" s="1" t="s">
        <v>1481</v>
      </c>
      <c r="D235" s="4" t="e">
        <f>VLOOKUP(A235,المعطيات!$A$1:$J$3500,5,0)</f>
        <v>#N/A</v>
      </c>
      <c r="E235" s="1" t="s">
        <v>1482</v>
      </c>
      <c r="F235" s="5">
        <f t="shared" si="9"/>
        <v>0</v>
      </c>
      <c r="G235" s="5" t="s">
        <v>1483</v>
      </c>
      <c r="H235" s="4" t="e">
        <f>VLOOKUP(A235,المعطيات!$A$1:$J$3500,3,0)</f>
        <v>#N/A</v>
      </c>
      <c r="I235" s="1" t="s">
        <v>1484</v>
      </c>
      <c r="J235" s="1" t="s">
        <v>1485</v>
      </c>
      <c r="K235" s="4" t="e">
        <f>VLOOKUP(A235,المعطيات!$A$1:$J$3500,6,0)</f>
        <v>#N/A</v>
      </c>
      <c r="L235" s="1" t="s">
        <v>1486</v>
      </c>
      <c r="M235" s="1" t="s">
        <v>1487</v>
      </c>
      <c r="N235" s="4" t="e">
        <f t="shared" si="10"/>
        <v>#N/A</v>
      </c>
      <c r="O235" s="1" t="s">
        <v>1488</v>
      </c>
      <c r="P235" s="4" t="e">
        <f>VLOOKUP(A235,المعطيات!$A$1:$J$3500,4,0)</f>
        <v>#N/A</v>
      </c>
      <c r="Q235" s="1" t="s">
        <v>1489</v>
      </c>
      <c r="R235" s="1" t="s">
        <v>1480</v>
      </c>
      <c r="S235" s="6" t="e">
        <f t="shared" si="11"/>
        <v>#N/A</v>
      </c>
    </row>
    <row r="236" spans="2:19" x14ac:dyDescent="0.25">
      <c r="B236" s="1" t="s">
        <v>1479</v>
      </c>
      <c r="C236" s="1" t="s">
        <v>1481</v>
      </c>
      <c r="D236" s="4" t="e">
        <f>VLOOKUP(A236,المعطيات!$A$1:$J$3500,5,0)</f>
        <v>#N/A</v>
      </c>
      <c r="E236" s="1" t="s">
        <v>1482</v>
      </c>
      <c r="F236" s="5">
        <f t="shared" si="9"/>
        <v>0</v>
      </c>
      <c r="G236" s="5" t="s">
        <v>1483</v>
      </c>
      <c r="H236" s="4" t="e">
        <f>VLOOKUP(A236,المعطيات!$A$1:$J$3500,3,0)</f>
        <v>#N/A</v>
      </c>
      <c r="I236" s="1" t="s">
        <v>1484</v>
      </c>
      <c r="J236" s="1" t="s">
        <v>1485</v>
      </c>
      <c r="K236" s="4" t="e">
        <f>VLOOKUP(A236,المعطيات!$A$1:$J$3500,6,0)</f>
        <v>#N/A</v>
      </c>
      <c r="L236" s="1" t="s">
        <v>1486</v>
      </c>
      <c r="M236" s="1" t="s">
        <v>1487</v>
      </c>
      <c r="N236" s="4" t="e">
        <f t="shared" si="10"/>
        <v>#N/A</v>
      </c>
      <c r="O236" s="1" t="s">
        <v>1488</v>
      </c>
      <c r="P236" s="4" t="e">
        <f>VLOOKUP(A236,المعطيات!$A$1:$J$3500,4,0)</f>
        <v>#N/A</v>
      </c>
      <c r="Q236" s="1" t="s">
        <v>1489</v>
      </c>
      <c r="R236" s="1" t="s">
        <v>1480</v>
      </c>
      <c r="S236" s="6" t="e">
        <f t="shared" si="11"/>
        <v>#N/A</v>
      </c>
    </row>
    <row r="237" spans="2:19" x14ac:dyDescent="0.25">
      <c r="B237" s="1" t="s">
        <v>1479</v>
      </c>
      <c r="C237" s="1" t="s">
        <v>1481</v>
      </c>
      <c r="D237" s="4" t="e">
        <f>VLOOKUP(A237,المعطيات!$A$1:$J$3500,5,0)</f>
        <v>#N/A</v>
      </c>
      <c r="E237" s="1" t="s">
        <v>1482</v>
      </c>
      <c r="F237" s="5">
        <f t="shared" si="9"/>
        <v>0</v>
      </c>
      <c r="G237" s="5" t="s">
        <v>1483</v>
      </c>
      <c r="H237" s="4" t="e">
        <f>VLOOKUP(A237,المعطيات!$A$1:$J$3500,3,0)</f>
        <v>#N/A</v>
      </c>
      <c r="I237" s="1" t="s">
        <v>1484</v>
      </c>
      <c r="J237" s="1" t="s">
        <v>1485</v>
      </c>
      <c r="K237" s="4" t="e">
        <f>VLOOKUP(A237,المعطيات!$A$1:$J$3500,6,0)</f>
        <v>#N/A</v>
      </c>
      <c r="L237" s="1" t="s">
        <v>1486</v>
      </c>
      <c r="M237" s="1" t="s">
        <v>1487</v>
      </c>
      <c r="N237" s="4" t="e">
        <f t="shared" si="10"/>
        <v>#N/A</v>
      </c>
      <c r="O237" s="1" t="s">
        <v>1488</v>
      </c>
      <c r="P237" s="4" t="e">
        <f>VLOOKUP(A237,المعطيات!$A$1:$J$3500,4,0)</f>
        <v>#N/A</v>
      </c>
      <c r="Q237" s="1" t="s">
        <v>1489</v>
      </c>
      <c r="R237" s="1" t="s">
        <v>1480</v>
      </c>
      <c r="S237" s="6" t="e">
        <f t="shared" si="11"/>
        <v>#N/A</v>
      </c>
    </row>
    <row r="238" spans="2:19" x14ac:dyDescent="0.25">
      <c r="B238" s="1" t="s">
        <v>1479</v>
      </c>
      <c r="C238" s="1" t="s">
        <v>1481</v>
      </c>
      <c r="D238" s="4" t="e">
        <f>VLOOKUP(A238,المعطيات!$A$1:$J$3500,5,0)</f>
        <v>#N/A</v>
      </c>
      <c r="E238" s="1" t="s">
        <v>1482</v>
      </c>
      <c r="F238" s="5">
        <f t="shared" si="9"/>
        <v>0</v>
      </c>
      <c r="G238" s="5" t="s">
        <v>1483</v>
      </c>
      <c r="H238" s="4" t="e">
        <f>VLOOKUP(A238,المعطيات!$A$1:$J$3500,3,0)</f>
        <v>#N/A</v>
      </c>
      <c r="I238" s="1" t="s">
        <v>1484</v>
      </c>
      <c r="J238" s="1" t="s">
        <v>1485</v>
      </c>
      <c r="K238" s="4" t="e">
        <f>VLOOKUP(A238,المعطيات!$A$1:$J$3500,6,0)</f>
        <v>#N/A</v>
      </c>
      <c r="L238" s="1" t="s">
        <v>1486</v>
      </c>
      <c r="M238" s="1" t="s">
        <v>1487</v>
      </c>
      <c r="N238" s="4" t="e">
        <f t="shared" si="10"/>
        <v>#N/A</v>
      </c>
      <c r="O238" s="1" t="s">
        <v>1488</v>
      </c>
      <c r="P238" s="4" t="e">
        <f>VLOOKUP(A238,المعطيات!$A$1:$J$3500,4,0)</f>
        <v>#N/A</v>
      </c>
      <c r="Q238" s="1" t="s">
        <v>1489</v>
      </c>
      <c r="R238" s="1" t="s">
        <v>1480</v>
      </c>
      <c r="S238" s="6" t="e">
        <f t="shared" si="11"/>
        <v>#N/A</v>
      </c>
    </row>
    <row r="239" spans="2:19" x14ac:dyDescent="0.25">
      <c r="B239" s="1" t="s">
        <v>1479</v>
      </c>
      <c r="C239" s="1" t="s">
        <v>1481</v>
      </c>
      <c r="D239" s="4" t="e">
        <f>VLOOKUP(A239,المعطيات!$A$1:$J$3500,5,0)</f>
        <v>#N/A</v>
      </c>
      <c r="E239" s="1" t="s">
        <v>1482</v>
      </c>
      <c r="F239" s="5">
        <f t="shared" si="9"/>
        <v>0</v>
      </c>
      <c r="G239" s="5" t="s">
        <v>1483</v>
      </c>
      <c r="H239" s="4" t="e">
        <f>VLOOKUP(A239,المعطيات!$A$1:$J$3500,3,0)</f>
        <v>#N/A</v>
      </c>
      <c r="I239" s="1" t="s">
        <v>1484</v>
      </c>
      <c r="J239" s="1" t="s">
        <v>1485</v>
      </c>
      <c r="K239" s="4" t="e">
        <f>VLOOKUP(A239,المعطيات!$A$1:$J$3500,6,0)</f>
        <v>#N/A</v>
      </c>
      <c r="L239" s="1" t="s">
        <v>1486</v>
      </c>
      <c r="M239" s="1" t="s">
        <v>1487</v>
      </c>
      <c r="N239" s="4" t="e">
        <f t="shared" si="10"/>
        <v>#N/A</v>
      </c>
      <c r="O239" s="1" t="s">
        <v>1488</v>
      </c>
      <c r="P239" s="4" t="e">
        <f>VLOOKUP(A239,المعطيات!$A$1:$J$3500,4,0)</f>
        <v>#N/A</v>
      </c>
      <c r="Q239" s="1" t="s">
        <v>1489</v>
      </c>
      <c r="R239" s="1" t="s">
        <v>1480</v>
      </c>
      <c r="S239" s="6" t="e">
        <f t="shared" si="11"/>
        <v>#N/A</v>
      </c>
    </row>
    <row r="240" spans="2:19" x14ac:dyDescent="0.25">
      <c r="B240" s="1" t="s">
        <v>1479</v>
      </c>
      <c r="C240" s="1" t="s">
        <v>1481</v>
      </c>
      <c r="D240" s="4" t="e">
        <f>VLOOKUP(A240,المعطيات!$A$1:$J$3500,5,0)</f>
        <v>#N/A</v>
      </c>
      <c r="E240" s="1" t="s">
        <v>1482</v>
      </c>
      <c r="F240" s="5">
        <f t="shared" si="9"/>
        <v>0</v>
      </c>
      <c r="G240" s="5" t="s">
        <v>1483</v>
      </c>
      <c r="H240" s="4" t="e">
        <f>VLOOKUP(A240,المعطيات!$A$1:$J$3500,3,0)</f>
        <v>#N/A</v>
      </c>
      <c r="I240" s="1" t="s">
        <v>1484</v>
      </c>
      <c r="J240" s="1" t="s">
        <v>1485</v>
      </c>
      <c r="K240" s="4" t="e">
        <f>VLOOKUP(A240,المعطيات!$A$1:$J$3500,6,0)</f>
        <v>#N/A</v>
      </c>
      <c r="L240" s="1" t="s">
        <v>1486</v>
      </c>
      <c r="M240" s="1" t="s">
        <v>1487</v>
      </c>
      <c r="N240" s="4" t="e">
        <f t="shared" si="10"/>
        <v>#N/A</v>
      </c>
      <c r="O240" s="1" t="s">
        <v>1488</v>
      </c>
      <c r="P240" s="4" t="e">
        <f>VLOOKUP(A240,المعطيات!$A$1:$J$3500,4,0)</f>
        <v>#N/A</v>
      </c>
      <c r="Q240" s="1" t="s">
        <v>1489</v>
      </c>
      <c r="R240" s="1" t="s">
        <v>1480</v>
      </c>
      <c r="S240" s="6" t="e">
        <f t="shared" si="11"/>
        <v>#N/A</v>
      </c>
    </row>
    <row r="241" spans="2:19" x14ac:dyDescent="0.25">
      <c r="B241" s="1" t="s">
        <v>1479</v>
      </c>
      <c r="C241" s="1" t="s">
        <v>1481</v>
      </c>
      <c r="D241" s="4" t="e">
        <f>VLOOKUP(A241,المعطيات!$A$1:$J$3500,5,0)</f>
        <v>#N/A</v>
      </c>
      <c r="E241" s="1" t="s">
        <v>1482</v>
      </c>
      <c r="F241" s="5">
        <f t="shared" si="9"/>
        <v>0</v>
      </c>
      <c r="G241" s="5" t="s">
        <v>1483</v>
      </c>
      <c r="H241" s="4" t="e">
        <f>VLOOKUP(A241,المعطيات!$A$1:$J$3500,3,0)</f>
        <v>#N/A</v>
      </c>
      <c r="I241" s="1" t="s">
        <v>1484</v>
      </c>
      <c r="J241" s="1" t="s">
        <v>1485</v>
      </c>
      <c r="K241" s="4" t="e">
        <f>VLOOKUP(A241,المعطيات!$A$1:$J$3500,6,0)</f>
        <v>#N/A</v>
      </c>
      <c r="L241" s="1" t="s">
        <v>1486</v>
      </c>
      <c r="M241" s="1" t="s">
        <v>1487</v>
      </c>
      <c r="N241" s="4" t="e">
        <f t="shared" si="10"/>
        <v>#N/A</v>
      </c>
      <c r="O241" s="1" t="s">
        <v>1488</v>
      </c>
      <c r="P241" s="4" t="e">
        <f>VLOOKUP(A241,المعطيات!$A$1:$J$3500,4,0)</f>
        <v>#N/A</v>
      </c>
      <c r="Q241" s="1" t="s">
        <v>1489</v>
      </c>
      <c r="R241" s="1" t="s">
        <v>1480</v>
      </c>
      <c r="S241" s="6" t="e">
        <f t="shared" si="11"/>
        <v>#N/A</v>
      </c>
    </row>
    <row r="242" spans="2:19" x14ac:dyDescent="0.25">
      <c r="B242" s="1" t="s">
        <v>1479</v>
      </c>
      <c r="C242" s="1" t="s">
        <v>1481</v>
      </c>
      <c r="D242" s="4" t="e">
        <f>VLOOKUP(A242,المعطيات!$A$1:$J$3500,5,0)</f>
        <v>#N/A</v>
      </c>
      <c r="E242" s="1" t="s">
        <v>1482</v>
      </c>
      <c r="F242" s="5">
        <f t="shared" si="9"/>
        <v>0</v>
      </c>
      <c r="G242" s="5" t="s">
        <v>1483</v>
      </c>
      <c r="H242" s="4" t="e">
        <f>VLOOKUP(A242,المعطيات!$A$1:$J$3500,3,0)</f>
        <v>#N/A</v>
      </c>
      <c r="I242" s="1" t="s">
        <v>1484</v>
      </c>
      <c r="J242" s="1" t="s">
        <v>1485</v>
      </c>
      <c r="K242" s="4" t="e">
        <f>VLOOKUP(A242,المعطيات!$A$1:$J$3500,6,0)</f>
        <v>#N/A</v>
      </c>
      <c r="L242" s="1" t="s">
        <v>1486</v>
      </c>
      <c r="M242" s="1" t="s">
        <v>1487</v>
      </c>
      <c r="N242" s="4" t="e">
        <f t="shared" si="10"/>
        <v>#N/A</v>
      </c>
      <c r="O242" s="1" t="s">
        <v>1488</v>
      </c>
      <c r="P242" s="4" t="e">
        <f>VLOOKUP(A242,المعطيات!$A$1:$J$3500,4,0)</f>
        <v>#N/A</v>
      </c>
      <c r="Q242" s="1" t="s">
        <v>1489</v>
      </c>
      <c r="R242" s="1" t="s">
        <v>1480</v>
      </c>
      <c r="S242" s="6" t="e">
        <f t="shared" si="11"/>
        <v>#N/A</v>
      </c>
    </row>
    <row r="243" spans="2:19" x14ac:dyDescent="0.25">
      <c r="B243" s="1" t="s">
        <v>1479</v>
      </c>
      <c r="C243" s="1" t="s">
        <v>1481</v>
      </c>
      <c r="D243" s="4" t="e">
        <f>VLOOKUP(A243,المعطيات!$A$1:$J$3500,5,0)</f>
        <v>#N/A</v>
      </c>
      <c r="E243" s="1" t="s">
        <v>1482</v>
      </c>
      <c r="F243" s="5">
        <f t="shared" si="9"/>
        <v>0</v>
      </c>
      <c r="G243" s="5" t="s">
        <v>1483</v>
      </c>
      <c r="H243" s="4" t="e">
        <f>VLOOKUP(A243,المعطيات!$A$1:$J$3500,3,0)</f>
        <v>#N/A</v>
      </c>
      <c r="I243" s="1" t="s">
        <v>1484</v>
      </c>
      <c r="J243" s="1" t="s">
        <v>1485</v>
      </c>
      <c r="K243" s="4" t="e">
        <f>VLOOKUP(A243,المعطيات!$A$1:$J$3500,6,0)</f>
        <v>#N/A</v>
      </c>
      <c r="L243" s="1" t="s">
        <v>1486</v>
      </c>
      <c r="M243" s="1" t="s">
        <v>1487</v>
      </c>
      <c r="N243" s="4" t="e">
        <f t="shared" si="10"/>
        <v>#N/A</v>
      </c>
      <c r="O243" s="1" t="s">
        <v>1488</v>
      </c>
      <c r="P243" s="4" t="e">
        <f>VLOOKUP(A243,المعطيات!$A$1:$J$3500,4,0)</f>
        <v>#N/A</v>
      </c>
      <c r="Q243" s="1" t="s">
        <v>1489</v>
      </c>
      <c r="R243" s="1" t="s">
        <v>1480</v>
      </c>
      <c r="S243" s="6" t="e">
        <f t="shared" si="11"/>
        <v>#N/A</v>
      </c>
    </row>
    <row r="244" spans="2:19" x14ac:dyDescent="0.25">
      <c r="B244" s="1" t="s">
        <v>1479</v>
      </c>
      <c r="C244" s="1" t="s">
        <v>1481</v>
      </c>
      <c r="D244" s="4" t="e">
        <f>VLOOKUP(A244,المعطيات!$A$1:$J$3500,5,0)</f>
        <v>#N/A</v>
      </c>
      <c r="E244" s="1" t="s">
        <v>1482</v>
      </c>
      <c r="F244" s="5">
        <f t="shared" si="9"/>
        <v>0</v>
      </c>
      <c r="G244" s="5" t="s">
        <v>1483</v>
      </c>
      <c r="H244" s="4" t="e">
        <f>VLOOKUP(A244,المعطيات!$A$1:$J$3500,3,0)</f>
        <v>#N/A</v>
      </c>
      <c r="I244" s="1" t="s">
        <v>1484</v>
      </c>
      <c r="J244" s="1" t="s">
        <v>1485</v>
      </c>
      <c r="K244" s="4" t="e">
        <f>VLOOKUP(A244,المعطيات!$A$1:$J$3500,6,0)</f>
        <v>#N/A</v>
      </c>
      <c r="L244" s="1" t="s">
        <v>1486</v>
      </c>
      <c r="M244" s="1" t="s">
        <v>1487</v>
      </c>
      <c r="N244" s="4" t="e">
        <f t="shared" si="10"/>
        <v>#N/A</v>
      </c>
      <c r="O244" s="1" t="s">
        <v>1488</v>
      </c>
      <c r="P244" s="4" t="e">
        <f>VLOOKUP(A244,المعطيات!$A$1:$J$3500,4,0)</f>
        <v>#N/A</v>
      </c>
      <c r="Q244" s="1" t="s">
        <v>1489</v>
      </c>
      <c r="R244" s="1" t="s">
        <v>1480</v>
      </c>
      <c r="S244" s="6" t="e">
        <f t="shared" si="11"/>
        <v>#N/A</v>
      </c>
    </row>
    <row r="245" spans="2:19" x14ac:dyDescent="0.25">
      <c r="B245" s="1" t="s">
        <v>1479</v>
      </c>
      <c r="C245" s="1" t="s">
        <v>1481</v>
      </c>
      <c r="D245" s="4" t="e">
        <f>VLOOKUP(A245,المعطيات!$A$1:$J$3500,5,0)</f>
        <v>#N/A</v>
      </c>
      <c r="E245" s="1" t="s">
        <v>1482</v>
      </c>
      <c r="F245" s="5">
        <f t="shared" si="9"/>
        <v>0</v>
      </c>
      <c r="G245" s="5" t="s">
        <v>1483</v>
      </c>
      <c r="H245" s="4" t="e">
        <f>VLOOKUP(A245,المعطيات!$A$1:$J$3500,3,0)</f>
        <v>#N/A</v>
      </c>
      <c r="I245" s="1" t="s">
        <v>1484</v>
      </c>
      <c r="J245" s="1" t="s">
        <v>1485</v>
      </c>
      <c r="K245" s="4" t="e">
        <f>VLOOKUP(A245,المعطيات!$A$1:$J$3500,6,0)</f>
        <v>#N/A</v>
      </c>
      <c r="L245" s="1" t="s">
        <v>1486</v>
      </c>
      <c r="M245" s="1" t="s">
        <v>1487</v>
      </c>
      <c r="N245" s="4" t="e">
        <f t="shared" si="10"/>
        <v>#N/A</v>
      </c>
      <c r="O245" s="1" t="s">
        <v>1488</v>
      </c>
      <c r="P245" s="4" t="e">
        <f>VLOOKUP(A245,المعطيات!$A$1:$J$3500,4,0)</f>
        <v>#N/A</v>
      </c>
      <c r="Q245" s="1" t="s">
        <v>1489</v>
      </c>
      <c r="R245" s="1" t="s">
        <v>1480</v>
      </c>
      <c r="S245" s="6" t="e">
        <f t="shared" si="11"/>
        <v>#N/A</v>
      </c>
    </row>
    <row r="246" spans="2:19" x14ac:dyDescent="0.25">
      <c r="B246" s="1" t="s">
        <v>1479</v>
      </c>
      <c r="C246" s="1" t="s">
        <v>1481</v>
      </c>
      <c r="D246" s="4" t="e">
        <f>VLOOKUP(A246,المعطيات!$A$1:$J$3500,5,0)</f>
        <v>#N/A</v>
      </c>
      <c r="E246" s="1" t="s">
        <v>1482</v>
      </c>
      <c r="F246" s="5">
        <f t="shared" si="9"/>
        <v>0</v>
      </c>
      <c r="G246" s="5" t="s">
        <v>1483</v>
      </c>
      <c r="H246" s="4" t="e">
        <f>VLOOKUP(A246,المعطيات!$A$1:$J$3500,3,0)</f>
        <v>#N/A</v>
      </c>
      <c r="I246" s="1" t="s">
        <v>1484</v>
      </c>
      <c r="J246" s="1" t="s">
        <v>1485</v>
      </c>
      <c r="K246" s="4" t="e">
        <f>VLOOKUP(A246,المعطيات!$A$1:$J$3500,6,0)</f>
        <v>#N/A</v>
      </c>
      <c r="L246" s="1" t="s">
        <v>1486</v>
      </c>
      <c r="M246" s="1" t="s">
        <v>1487</v>
      </c>
      <c r="N246" s="4" t="e">
        <f t="shared" si="10"/>
        <v>#N/A</v>
      </c>
      <c r="O246" s="1" t="s">
        <v>1488</v>
      </c>
      <c r="P246" s="4" t="e">
        <f>VLOOKUP(A246,المعطيات!$A$1:$J$3500,4,0)</f>
        <v>#N/A</v>
      </c>
      <c r="Q246" s="1" t="s">
        <v>1489</v>
      </c>
      <c r="R246" s="1" t="s">
        <v>1480</v>
      </c>
      <c r="S246" s="6" t="e">
        <f t="shared" si="11"/>
        <v>#N/A</v>
      </c>
    </row>
    <row r="247" spans="2:19" x14ac:dyDescent="0.25">
      <c r="B247" s="1" t="s">
        <v>1479</v>
      </c>
      <c r="C247" s="1" t="s">
        <v>1481</v>
      </c>
      <c r="D247" s="4" t="e">
        <f>VLOOKUP(A247,المعطيات!$A$1:$J$3500,5,0)</f>
        <v>#N/A</v>
      </c>
      <c r="E247" s="1" t="s">
        <v>1482</v>
      </c>
      <c r="F247" s="5">
        <f t="shared" si="9"/>
        <v>0</v>
      </c>
      <c r="G247" s="5" t="s">
        <v>1483</v>
      </c>
      <c r="H247" s="4" t="e">
        <f>VLOOKUP(A247,المعطيات!$A$1:$J$3500,3,0)</f>
        <v>#N/A</v>
      </c>
      <c r="I247" s="1" t="s">
        <v>1484</v>
      </c>
      <c r="J247" s="1" t="s">
        <v>1485</v>
      </c>
      <c r="K247" s="4" t="e">
        <f>VLOOKUP(A247,المعطيات!$A$1:$J$3500,6,0)</f>
        <v>#N/A</v>
      </c>
      <c r="L247" s="1" t="s">
        <v>1486</v>
      </c>
      <c r="M247" s="1" t="s">
        <v>1487</v>
      </c>
      <c r="N247" s="4" t="e">
        <f t="shared" si="10"/>
        <v>#N/A</v>
      </c>
      <c r="O247" s="1" t="s">
        <v>1488</v>
      </c>
      <c r="P247" s="4" t="e">
        <f>VLOOKUP(A247,المعطيات!$A$1:$J$3500,4,0)</f>
        <v>#N/A</v>
      </c>
      <c r="Q247" s="1" t="s">
        <v>1489</v>
      </c>
      <c r="R247" s="1" t="s">
        <v>1480</v>
      </c>
      <c r="S247" s="6" t="e">
        <f t="shared" si="11"/>
        <v>#N/A</v>
      </c>
    </row>
    <row r="248" spans="2:19" x14ac:dyDescent="0.25">
      <c r="B248" s="1" t="s">
        <v>1479</v>
      </c>
      <c r="C248" s="1" t="s">
        <v>1481</v>
      </c>
      <c r="D248" s="4" t="e">
        <f>VLOOKUP(A248,المعطيات!$A$1:$J$3500,5,0)</f>
        <v>#N/A</v>
      </c>
      <c r="E248" s="1" t="s">
        <v>1482</v>
      </c>
      <c r="F248" s="5">
        <f t="shared" si="9"/>
        <v>0</v>
      </c>
      <c r="G248" s="5" t="s">
        <v>1483</v>
      </c>
      <c r="H248" s="4" t="e">
        <f>VLOOKUP(A248,المعطيات!$A$1:$J$3500,3,0)</f>
        <v>#N/A</v>
      </c>
      <c r="I248" s="1" t="s">
        <v>1484</v>
      </c>
      <c r="J248" s="1" t="s">
        <v>1485</v>
      </c>
      <c r="K248" s="4" t="e">
        <f>VLOOKUP(A248,المعطيات!$A$1:$J$3500,6,0)</f>
        <v>#N/A</v>
      </c>
      <c r="L248" s="1" t="s">
        <v>1486</v>
      </c>
      <c r="M248" s="1" t="s">
        <v>1487</v>
      </c>
      <c r="N248" s="4" t="e">
        <f t="shared" si="10"/>
        <v>#N/A</v>
      </c>
      <c r="O248" s="1" t="s">
        <v>1488</v>
      </c>
      <c r="P248" s="4" t="e">
        <f>VLOOKUP(A248,المعطيات!$A$1:$J$3500,4,0)</f>
        <v>#N/A</v>
      </c>
      <c r="Q248" s="1" t="s">
        <v>1489</v>
      </c>
      <c r="R248" s="1" t="s">
        <v>1480</v>
      </c>
      <c r="S248" s="6" t="e">
        <f t="shared" si="11"/>
        <v>#N/A</v>
      </c>
    </row>
    <row r="249" spans="2:19" x14ac:dyDescent="0.25">
      <c r="B249" s="1" t="s">
        <v>1479</v>
      </c>
      <c r="C249" s="1" t="s">
        <v>1481</v>
      </c>
      <c r="D249" s="4" t="e">
        <f>VLOOKUP(A249,المعطيات!$A$1:$J$3500,5,0)</f>
        <v>#N/A</v>
      </c>
      <c r="E249" s="1" t="s">
        <v>1482</v>
      </c>
      <c r="F249" s="5">
        <f t="shared" si="9"/>
        <v>0</v>
      </c>
      <c r="G249" s="5" t="s">
        <v>1483</v>
      </c>
      <c r="H249" s="4" t="e">
        <f>VLOOKUP(A249,المعطيات!$A$1:$J$3500,3,0)</f>
        <v>#N/A</v>
      </c>
      <c r="I249" s="1" t="s">
        <v>1484</v>
      </c>
      <c r="J249" s="1" t="s">
        <v>1485</v>
      </c>
      <c r="K249" s="4" t="e">
        <f>VLOOKUP(A249,المعطيات!$A$1:$J$3500,6,0)</f>
        <v>#N/A</v>
      </c>
      <c r="L249" s="1" t="s">
        <v>1486</v>
      </c>
      <c r="M249" s="1" t="s">
        <v>1487</v>
      </c>
      <c r="N249" s="4" t="e">
        <f t="shared" si="10"/>
        <v>#N/A</v>
      </c>
      <c r="O249" s="1" t="s">
        <v>1488</v>
      </c>
      <c r="P249" s="4" t="e">
        <f>VLOOKUP(A249,المعطيات!$A$1:$J$3500,4,0)</f>
        <v>#N/A</v>
      </c>
      <c r="Q249" s="1" t="s">
        <v>1489</v>
      </c>
      <c r="R249" s="1" t="s">
        <v>1480</v>
      </c>
      <c r="S249" s="6" t="e">
        <f t="shared" si="11"/>
        <v>#N/A</v>
      </c>
    </row>
    <row r="250" spans="2:19" x14ac:dyDescent="0.25">
      <c r="B250" s="1" t="s">
        <v>1479</v>
      </c>
      <c r="C250" s="1" t="s">
        <v>1481</v>
      </c>
      <c r="D250" s="4" t="e">
        <f>VLOOKUP(A250,المعطيات!$A$1:$J$3500,5,0)</f>
        <v>#N/A</v>
      </c>
      <c r="E250" s="1" t="s">
        <v>1482</v>
      </c>
      <c r="F250" s="5">
        <f t="shared" si="9"/>
        <v>0</v>
      </c>
      <c r="G250" s="5" t="s">
        <v>1483</v>
      </c>
      <c r="H250" s="4" t="e">
        <f>VLOOKUP(A250,المعطيات!$A$1:$J$3500,3,0)</f>
        <v>#N/A</v>
      </c>
      <c r="I250" s="1" t="s">
        <v>1484</v>
      </c>
      <c r="J250" s="1" t="s">
        <v>1485</v>
      </c>
      <c r="K250" s="4" t="e">
        <f>VLOOKUP(A250,المعطيات!$A$1:$J$3500,6,0)</f>
        <v>#N/A</v>
      </c>
      <c r="L250" s="1" t="s">
        <v>1486</v>
      </c>
      <c r="M250" s="1" t="s">
        <v>1487</v>
      </c>
      <c r="N250" s="4" t="e">
        <f t="shared" si="10"/>
        <v>#N/A</v>
      </c>
      <c r="O250" s="1" t="s">
        <v>1488</v>
      </c>
      <c r="P250" s="4" t="e">
        <f>VLOOKUP(A250,المعطيات!$A$1:$J$3500,4,0)</f>
        <v>#N/A</v>
      </c>
      <c r="Q250" s="1" t="s">
        <v>1489</v>
      </c>
      <c r="R250" s="1" t="s">
        <v>1480</v>
      </c>
      <c r="S250" s="6" t="e">
        <f t="shared" si="11"/>
        <v>#N/A</v>
      </c>
    </row>
    <row r="251" spans="2:19" x14ac:dyDescent="0.25">
      <c r="B251" s="1" t="s">
        <v>1479</v>
      </c>
      <c r="C251" s="1" t="s">
        <v>1481</v>
      </c>
      <c r="D251" s="4" t="e">
        <f>VLOOKUP(A251,المعطيات!$A$1:$J$3500,5,0)</f>
        <v>#N/A</v>
      </c>
      <c r="E251" s="1" t="s">
        <v>1482</v>
      </c>
      <c r="F251" s="5">
        <f t="shared" si="9"/>
        <v>0</v>
      </c>
      <c r="G251" s="5" t="s">
        <v>1483</v>
      </c>
      <c r="H251" s="4" t="e">
        <f>VLOOKUP(A251,المعطيات!$A$1:$J$3500,3,0)</f>
        <v>#N/A</v>
      </c>
      <c r="I251" s="1" t="s">
        <v>1484</v>
      </c>
      <c r="J251" s="1" t="s">
        <v>1485</v>
      </c>
      <c r="K251" s="4" t="e">
        <f>VLOOKUP(A251,المعطيات!$A$1:$J$3500,6,0)</f>
        <v>#N/A</v>
      </c>
      <c r="L251" s="1" t="s">
        <v>1486</v>
      </c>
      <c r="M251" s="1" t="s">
        <v>1487</v>
      </c>
      <c r="N251" s="4" t="e">
        <f t="shared" si="10"/>
        <v>#N/A</v>
      </c>
      <c r="O251" s="1" t="s">
        <v>1488</v>
      </c>
      <c r="P251" s="4" t="e">
        <f>VLOOKUP(A251,المعطيات!$A$1:$J$3500,4,0)</f>
        <v>#N/A</v>
      </c>
      <c r="Q251" s="1" t="s">
        <v>1489</v>
      </c>
      <c r="R251" s="1" t="s">
        <v>1480</v>
      </c>
      <c r="S251" s="6" t="e">
        <f t="shared" si="11"/>
        <v>#N/A</v>
      </c>
    </row>
    <row r="252" spans="2:19" x14ac:dyDescent="0.25">
      <c r="B252" s="1" t="s">
        <v>1479</v>
      </c>
      <c r="C252" s="1" t="s">
        <v>1481</v>
      </c>
      <c r="D252" s="4" t="e">
        <f>VLOOKUP(A252,المعطيات!$A$1:$J$3500,5,0)</f>
        <v>#N/A</v>
      </c>
      <c r="E252" s="1" t="s">
        <v>1482</v>
      </c>
      <c r="F252" s="5">
        <f t="shared" si="9"/>
        <v>0</v>
      </c>
      <c r="G252" s="5" t="s">
        <v>1483</v>
      </c>
      <c r="H252" s="4" t="e">
        <f>VLOOKUP(A252,المعطيات!$A$1:$J$3500,3,0)</f>
        <v>#N/A</v>
      </c>
      <c r="I252" s="1" t="s">
        <v>1484</v>
      </c>
      <c r="J252" s="1" t="s">
        <v>1485</v>
      </c>
      <c r="K252" s="4" t="e">
        <f>VLOOKUP(A252,المعطيات!$A$1:$J$3500,6,0)</f>
        <v>#N/A</v>
      </c>
      <c r="L252" s="1" t="s">
        <v>1486</v>
      </c>
      <c r="M252" s="1" t="s">
        <v>1487</v>
      </c>
      <c r="N252" s="4" t="e">
        <f t="shared" si="10"/>
        <v>#N/A</v>
      </c>
      <c r="O252" s="1" t="s">
        <v>1488</v>
      </c>
      <c r="P252" s="4" t="e">
        <f>VLOOKUP(A252,المعطيات!$A$1:$J$3500,4,0)</f>
        <v>#N/A</v>
      </c>
      <c r="Q252" s="1" t="s">
        <v>1489</v>
      </c>
      <c r="R252" s="1" t="s">
        <v>1480</v>
      </c>
      <c r="S252" s="6" t="e">
        <f t="shared" si="11"/>
        <v>#N/A</v>
      </c>
    </row>
    <row r="253" spans="2:19" x14ac:dyDescent="0.25">
      <c r="B253" s="1" t="s">
        <v>1479</v>
      </c>
      <c r="C253" s="1" t="s">
        <v>1481</v>
      </c>
      <c r="D253" s="4" t="e">
        <f>VLOOKUP(A253,المعطيات!$A$1:$J$3500,5,0)</f>
        <v>#N/A</v>
      </c>
      <c r="E253" s="1" t="s">
        <v>1482</v>
      </c>
      <c r="F253" s="5">
        <f t="shared" si="9"/>
        <v>0</v>
      </c>
      <c r="G253" s="5" t="s">
        <v>1483</v>
      </c>
      <c r="H253" s="4" t="e">
        <f>VLOOKUP(A253,المعطيات!$A$1:$J$3500,3,0)</f>
        <v>#N/A</v>
      </c>
      <c r="I253" s="1" t="s">
        <v>1484</v>
      </c>
      <c r="J253" s="1" t="s">
        <v>1485</v>
      </c>
      <c r="K253" s="4" t="e">
        <f>VLOOKUP(A253,المعطيات!$A$1:$J$3500,6,0)</f>
        <v>#N/A</v>
      </c>
      <c r="L253" s="1" t="s">
        <v>1486</v>
      </c>
      <c r="M253" s="1" t="s">
        <v>1487</v>
      </c>
      <c r="N253" s="4" t="e">
        <f t="shared" si="10"/>
        <v>#N/A</v>
      </c>
      <c r="O253" s="1" t="s">
        <v>1488</v>
      </c>
      <c r="P253" s="4" t="e">
        <f>VLOOKUP(A253,المعطيات!$A$1:$J$3500,4,0)</f>
        <v>#N/A</v>
      </c>
      <c r="Q253" s="1" t="s">
        <v>1489</v>
      </c>
      <c r="R253" s="1" t="s">
        <v>1480</v>
      </c>
      <c r="S253" s="6" t="e">
        <f t="shared" si="11"/>
        <v>#N/A</v>
      </c>
    </row>
    <row r="254" spans="2:19" x14ac:dyDescent="0.25">
      <c r="B254" s="1" t="s">
        <v>1479</v>
      </c>
      <c r="C254" s="1" t="s">
        <v>1481</v>
      </c>
      <c r="D254" s="4" t="e">
        <f>VLOOKUP(A254,المعطيات!$A$1:$J$3500,5,0)</f>
        <v>#N/A</v>
      </c>
      <c r="E254" s="1" t="s">
        <v>1482</v>
      </c>
      <c r="F254" s="5">
        <f t="shared" si="9"/>
        <v>0</v>
      </c>
      <c r="G254" s="5" t="s">
        <v>1483</v>
      </c>
      <c r="H254" s="4" t="e">
        <f>VLOOKUP(A254,المعطيات!$A$1:$J$3500,3,0)</f>
        <v>#N/A</v>
      </c>
      <c r="I254" s="1" t="s">
        <v>1484</v>
      </c>
      <c r="J254" s="1" t="s">
        <v>1485</v>
      </c>
      <c r="K254" s="4" t="e">
        <f>VLOOKUP(A254,المعطيات!$A$1:$J$3500,6,0)</f>
        <v>#N/A</v>
      </c>
      <c r="L254" s="1" t="s">
        <v>1486</v>
      </c>
      <c r="M254" s="1" t="s">
        <v>1487</v>
      </c>
      <c r="N254" s="4" t="e">
        <f t="shared" si="10"/>
        <v>#N/A</v>
      </c>
      <c r="O254" s="1" t="s">
        <v>1488</v>
      </c>
      <c r="P254" s="4" t="e">
        <f>VLOOKUP(A254,المعطيات!$A$1:$J$3500,4,0)</f>
        <v>#N/A</v>
      </c>
      <c r="Q254" s="1" t="s">
        <v>1489</v>
      </c>
      <c r="R254" s="1" t="s">
        <v>1480</v>
      </c>
      <c r="S254" s="6" t="e">
        <f t="shared" si="11"/>
        <v>#N/A</v>
      </c>
    </row>
    <row r="255" spans="2:19" x14ac:dyDescent="0.25">
      <c r="B255" s="1" t="s">
        <v>1479</v>
      </c>
      <c r="C255" s="1" t="s">
        <v>1481</v>
      </c>
      <c r="D255" s="4" t="e">
        <f>VLOOKUP(A255,المعطيات!$A$1:$J$3500,5,0)</f>
        <v>#N/A</v>
      </c>
      <c r="E255" s="1" t="s">
        <v>1482</v>
      </c>
      <c r="F255" s="5">
        <f t="shared" si="9"/>
        <v>0</v>
      </c>
      <c r="G255" s="5" t="s">
        <v>1483</v>
      </c>
      <c r="H255" s="4" t="e">
        <f>VLOOKUP(A255,المعطيات!$A$1:$J$3500,3,0)</f>
        <v>#N/A</v>
      </c>
      <c r="I255" s="1" t="s">
        <v>1484</v>
      </c>
      <c r="J255" s="1" t="s">
        <v>1485</v>
      </c>
      <c r="K255" s="4" t="e">
        <f>VLOOKUP(A255,المعطيات!$A$1:$J$3500,6,0)</f>
        <v>#N/A</v>
      </c>
      <c r="L255" s="1" t="s">
        <v>1486</v>
      </c>
      <c r="M255" s="1" t="s">
        <v>1487</v>
      </c>
      <c r="N255" s="4" t="e">
        <f t="shared" si="10"/>
        <v>#N/A</v>
      </c>
      <c r="O255" s="1" t="s">
        <v>1488</v>
      </c>
      <c r="P255" s="4" t="e">
        <f>VLOOKUP(A255,المعطيات!$A$1:$J$3500,4,0)</f>
        <v>#N/A</v>
      </c>
      <c r="Q255" s="1" t="s">
        <v>1489</v>
      </c>
      <c r="R255" s="1" t="s">
        <v>1480</v>
      </c>
      <c r="S255" s="6" t="e">
        <f t="shared" si="11"/>
        <v>#N/A</v>
      </c>
    </row>
    <row r="256" spans="2:19" x14ac:dyDescent="0.25">
      <c r="B256" s="1" t="s">
        <v>1479</v>
      </c>
      <c r="C256" s="1" t="s">
        <v>1481</v>
      </c>
      <c r="D256" s="4" t="e">
        <f>VLOOKUP(A256,المعطيات!$A$1:$J$3500,5,0)</f>
        <v>#N/A</v>
      </c>
      <c r="E256" s="1" t="s">
        <v>1482</v>
      </c>
      <c r="F256" s="5">
        <f t="shared" si="9"/>
        <v>0</v>
      </c>
      <c r="G256" s="5" t="s">
        <v>1483</v>
      </c>
      <c r="H256" s="4" t="e">
        <f>VLOOKUP(A256,المعطيات!$A$1:$J$3500,3,0)</f>
        <v>#N/A</v>
      </c>
      <c r="I256" s="1" t="s">
        <v>1484</v>
      </c>
      <c r="J256" s="1" t="s">
        <v>1485</v>
      </c>
      <c r="K256" s="4" t="e">
        <f>VLOOKUP(A256,المعطيات!$A$1:$J$3500,6,0)</f>
        <v>#N/A</v>
      </c>
      <c r="L256" s="1" t="s">
        <v>1486</v>
      </c>
      <c r="M256" s="1" t="s">
        <v>1487</v>
      </c>
      <c r="N256" s="4" t="e">
        <f t="shared" si="10"/>
        <v>#N/A</v>
      </c>
      <c r="O256" s="1" t="s">
        <v>1488</v>
      </c>
      <c r="P256" s="4" t="e">
        <f>VLOOKUP(A256,المعطيات!$A$1:$J$3500,4,0)</f>
        <v>#N/A</v>
      </c>
      <c r="Q256" s="1" t="s">
        <v>1489</v>
      </c>
      <c r="R256" s="1" t="s">
        <v>1480</v>
      </c>
      <c r="S256" s="6" t="e">
        <f t="shared" si="11"/>
        <v>#N/A</v>
      </c>
    </row>
    <row r="257" spans="2:19" x14ac:dyDescent="0.25">
      <c r="B257" s="1" t="s">
        <v>1479</v>
      </c>
      <c r="C257" s="1" t="s">
        <v>1481</v>
      </c>
      <c r="D257" s="4" t="e">
        <f>VLOOKUP(A257,المعطيات!$A$1:$J$3500,5,0)</f>
        <v>#N/A</v>
      </c>
      <c r="E257" s="1" t="s">
        <v>1482</v>
      </c>
      <c r="F257" s="5">
        <f t="shared" si="9"/>
        <v>0</v>
      </c>
      <c r="G257" s="5" t="s">
        <v>1483</v>
      </c>
      <c r="H257" s="4" t="e">
        <f>VLOOKUP(A257,المعطيات!$A$1:$J$3500,3,0)</f>
        <v>#N/A</v>
      </c>
      <c r="I257" s="1" t="s">
        <v>1484</v>
      </c>
      <c r="J257" s="1" t="s">
        <v>1485</v>
      </c>
      <c r="K257" s="4" t="e">
        <f>VLOOKUP(A257,المعطيات!$A$1:$J$3500,6,0)</f>
        <v>#N/A</v>
      </c>
      <c r="L257" s="1" t="s">
        <v>1486</v>
      </c>
      <c r="M257" s="1" t="s">
        <v>1487</v>
      </c>
      <c r="N257" s="4" t="e">
        <f t="shared" si="10"/>
        <v>#N/A</v>
      </c>
      <c r="O257" s="1" t="s">
        <v>1488</v>
      </c>
      <c r="P257" s="4" t="e">
        <f>VLOOKUP(A257,المعطيات!$A$1:$J$3500,4,0)</f>
        <v>#N/A</v>
      </c>
      <c r="Q257" s="1" t="s">
        <v>1489</v>
      </c>
      <c r="R257" s="1" t="s">
        <v>1480</v>
      </c>
      <c r="S257" s="6" t="e">
        <f t="shared" si="11"/>
        <v>#N/A</v>
      </c>
    </row>
    <row r="258" spans="2:19" x14ac:dyDescent="0.25">
      <c r="B258" s="1" t="s">
        <v>1479</v>
      </c>
      <c r="C258" s="1" t="s">
        <v>1481</v>
      </c>
      <c r="D258" s="4" t="e">
        <f>VLOOKUP(A258,المعطيات!$A$1:$J$3500,5,0)</f>
        <v>#N/A</v>
      </c>
      <c r="E258" s="1" t="s">
        <v>1482</v>
      </c>
      <c r="F258" s="5">
        <f t="shared" ref="F258:F321" si="12">A258</f>
        <v>0</v>
      </c>
      <c r="G258" s="5" t="s">
        <v>1483</v>
      </c>
      <c r="H258" s="4" t="e">
        <f>VLOOKUP(A258,المعطيات!$A$1:$J$3500,3,0)</f>
        <v>#N/A</v>
      </c>
      <c r="I258" s="1" t="s">
        <v>1484</v>
      </c>
      <c r="J258" s="1" t="s">
        <v>1485</v>
      </c>
      <c r="K258" s="4" t="e">
        <f>VLOOKUP(A258,المعطيات!$A$1:$J$3500,6,0)</f>
        <v>#N/A</v>
      </c>
      <c r="L258" s="1" t="s">
        <v>1486</v>
      </c>
      <c r="M258" s="1" t="s">
        <v>1487</v>
      </c>
      <c r="N258" s="4" t="e">
        <f t="shared" ref="N258:N321" si="13">D258</f>
        <v>#N/A</v>
      </c>
      <c r="O258" s="1" t="s">
        <v>1488</v>
      </c>
      <c r="P258" s="4" t="e">
        <f>VLOOKUP(A258,المعطيات!$A$1:$J$3500,4,0)</f>
        <v>#N/A</v>
      </c>
      <c r="Q258" s="1" t="s">
        <v>1489</v>
      </c>
      <c r="R258" s="1" t="s">
        <v>1480</v>
      </c>
      <c r="S258" s="6" t="e">
        <f t="shared" ref="S258:S321" si="14">B258&amp;""&amp;C258&amp;""&amp;D258&amp;""&amp;E258&amp;""&amp;F258&amp;""&amp;G258&amp;""&amp;H258&amp;""&amp;I258&amp;""&amp;J258&amp;""&amp;K258&amp;""&amp;L258&amp;""&amp;M258&amp;""&amp;N258&amp;""&amp;O258&amp;""&amp;P258&amp;""&amp;Q258&amp;""&amp;R258</f>
        <v>#N/A</v>
      </c>
    </row>
    <row r="259" spans="2:19" x14ac:dyDescent="0.25">
      <c r="B259" s="1" t="s">
        <v>1479</v>
      </c>
      <c r="C259" s="1" t="s">
        <v>1481</v>
      </c>
      <c r="D259" s="4" t="e">
        <f>VLOOKUP(A259,المعطيات!$A$1:$J$3500,5,0)</f>
        <v>#N/A</v>
      </c>
      <c r="E259" s="1" t="s">
        <v>1482</v>
      </c>
      <c r="F259" s="5">
        <f t="shared" si="12"/>
        <v>0</v>
      </c>
      <c r="G259" s="5" t="s">
        <v>1483</v>
      </c>
      <c r="H259" s="4" t="e">
        <f>VLOOKUP(A259,المعطيات!$A$1:$J$3500,3,0)</f>
        <v>#N/A</v>
      </c>
      <c r="I259" s="1" t="s">
        <v>1484</v>
      </c>
      <c r="J259" s="1" t="s">
        <v>1485</v>
      </c>
      <c r="K259" s="4" t="e">
        <f>VLOOKUP(A259,المعطيات!$A$1:$J$3500,6,0)</f>
        <v>#N/A</v>
      </c>
      <c r="L259" s="1" t="s">
        <v>1486</v>
      </c>
      <c r="M259" s="1" t="s">
        <v>1487</v>
      </c>
      <c r="N259" s="4" t="e">
        <f t="shared" si="13"/>
        <v>#N/A</v>
      </c>
      <c r="O259" s="1" t="s">
        <v>1488</v>
      </c>
      <c r="P259" s="4" t="e">
        <f>VLOOKUP(A259,المعطيات!$A$1:$J$3500,4,0)</f>
        <v>#N/A</v>
      </c>
      <c r="Q259" s="1" t="s">
        <v>1489</v>
      </c>
      <c r="R259" s="1" t="s">
        <v>1480</v>
      </c>
      <c r="S259" s="6" t="e">
        <f t="shared" si="14"/>
        <v>#N/A</v>
      </c>
    </row>
    <row r="260" spans="2:19" x14ac:dyDescent="0.25">
      <c r="B260" s="1" t="s">
        <v>1479</v>
      </c>
      <c r="C260" s="1" t="s">
        <v>1481</v>
      </c>
      <c r="D260" s="4" t="e">
        <f>VLOOKUP(A260,المعطيات!$A$1:$J$3500,5,0)</f>
        <v>#N/A</v>
      </c>
      <c r="E260" s="1" t="s">
        <v>1482</v>
      </c>
      <c r="F260" s="5">
        <f t="shared" si="12"/>
        <v>0</v>
      </c>
      <c r="G260" s="5" t="s">
        <v>1483</v>
      </c>
      <c r="H260" s="4" t="e">
        <f>VLOOKUP(A260,المعطيات!$A$1:$J$3500,3,0)</f>
        <v>#N/A</v>
      </c>
      <c r="I260" s="1" t="s">
        <v>1484</v>
      </c>
      <c r="J260" s="1" t="s">
        <v>1485</v>
      </c>
      <c r="K260" s="4" t="e">
        <f>VLOOKUP(A260,المعطيات!$A$1:$J$3500,6,0)</f>
        <v>#N/A</v>
      </c>
      <c r="L260" s="1" t="s">
        <v>1486</v>
      </c>
      <c r="M260" s="1" t="s">
        <v>1487</v>
      </c>
      <c r="N260" s="4" t="e">
        <f t="shared" si="13"/>
        <v>#N/A</v>
      </c>
      <c r="O260" s="1" t="s">
        <v>1488</v>
      </c>
      <c r="P260" s="4" t="e">
        <f>VLOOKUP(A260,المعطيات!$A$1:$J$3500,4,0)</f>
        <v>#N/A</v>
      </c>
      <c r="Q260" s="1" t="s">
        <v>1489</v>
      </c>
      <c r="R260" s="1" t="s">
        <v>1480</v>
      </c>
      <c r="S260" s="6" t="e">
        <f t="shared" si="14"/>
        <v>#N/A</v>
      </c>
    </row>
    <row r="261" spans="2:19" x14ac:dyDescent="0.25">
      <c r="B261" s="1" t="s">
        <v>1479</v>
      </c>
      <c r="C261" s="1" t="s">
        <v>1481</v>
      </c>
      <c r="D261" s="4" t="e">
        <f>VLOOKUP(A261,المعطيات!$A$1:$J$3500,5,0)</f>
        <v>#N/A</v>
      </c>
      <c r="E261" s="1" t="s">
        <v>1482</v>
      </c>
      <c r="F261" s="5">
        <f t="shared" si="12"/>
        <v>0</v>
      </c>
      <c r="G261" s="5" t="s">
        <v>1483</v>
      </c>
      <c r="H261" s="4" t="e">
        <f>VLOOKUP(A261,المعطيات!$A$1:$J$3500,3,0)</f>
        <v>#N/A</v>
      </c>
      <c r="I261" s="1" t="s">
        <v>1484</v>
      </c>
      <c r="J261" s="1" t="s">
        <v>1485</v>
      </c>
      <c r="K261" s="4" t="e">
        <f>VLOOKUP(A261,المعطيات!$A$1:$J$3500,6,0)</f>
        <v>#N/A</v>
      </c>
      <c r="L261" s="1" t="s">
        <v>1486</v>
      </c>
      <c r="M261" s="1" t="s">
        <v>1487</v>
      </c>
      <c r="N261" s="4" t="e">
        <f t="shared" si="13"/>
        <v>#N/A</v>
      </c>
      <c r="O261" s="1" t="s">
        <v>1488</v>
      </c>
      <c r="P261" s="4" t="e">
        <f>VLOOKUP(A261,المعطيات!$A$1:$J$3500,4,0)</f>
        <v>#N/A</v>
      </c>
      <c r="Q261" s="1" t="s">
        <v>1489</v>
      </c>
      <c r="R261" s="1" t="s">
        <v>1480</v>
      </c>
      <c r="S261" s="6" t="e">
        <f t="shared" si="14"/>
        <v>#N/A</v>
      </c>
    </row>
    <row r="262" spans="2:19" x14ac:dyDescent="0.25">
      <c r="B262" s="1" t="s">
        <v>1479</v>
      </c>
      <c r="C262" s="1" t="s">
        <v>1481</v>
      </c>
      <c r="D262" s="4" t="e">
        <f>VLOOKUP(A262,المعطيات!$A$1:$J$3500,5,0)</f>
        <v>#N/A</v>
      </c>
      <c r="E262" s="1" t="s">
        <v>1482</v>
      </c>
      <c r="F262" s="5">
        <f t="shared" si="12"/>
        <v>0</v>
      </c>
      <c r="G262" s="5" t="s">
        <v>1483</v>
      </c>
      <c r="H262" s="4" t="e">
        <f>VLOOKUP(A262,المعطيات!$A$1:$J$3500,3,0)</f>
        <v>#N/A</v>
      </c>
      <c r="I262" s="1" t="s">
        <v>1484</v>
      </c>
      <c r="J262" s="1" t="s">
        <v>1485</v>
      </c>
      <c r="K262" s="4" t="e">
        <f>VLOOKUP(A262,المعطيات!$A$1:$J$3500,6,0)</f>
        <v>#N/A</v>
      </c>
      <c r="L262" s="1" t="s">
        <v>1486</v>
      </c>
      <c r="M262" s="1" t="s">
        <v>1487</v>
      </c>
      <c r="N262" s="4" t="e">
        <f t="shared" si="13"/>
        <v>#N/A</v>
      </c>
      <c r="O262" s="1" t="s">
        <v>1488</v>
      </c>
      <c r="P262" s="4" t="e">
        <f>VLOOKUP(A262,المعطيات!$A$1:$J$3500,4,0)</f>
        <v>#N/A</v>
      </c>
      <c r="Q262" s="1" t="s">
        <v>1489</v>
      </c>
      <c r="R262" s="1" t="s">
        <v>1480</v>
      </c>
      <c r="S262" s="6" t="e">
        <f t="shared" si="14"/>
        <v>#N/A</v>
      </c>
    </row>
    <row r="263" spans="2:19" x14ac:dyDescent="0.25">
      <c r="B263" s="1" t="s">
        <v>1479</v>
      </c>
      <c r="C263" s="1" t="s">
        <v>1481</v>
      </c>
      <c r="D263" s="4" t="e">
        <f>VLOOKUP(A263,المعطيات!$A$1:$J$3500,5,0)</f>
        <v>#N/A</v>
      </c>
      <c r="E263" s="1" t="s">
        <v>1482</v>
      </c>
      <c r="F263" s="5">
        <f t="shared" si="12"/>
        <v>0</v>
      </c>
      <c r="G263" s="5" t="s">
        <v>1483</v>
      </c>
      <c r="H263" s="4" t="e">
        <f>VLOOKUP(A263,المعطيات!$A$1:$J$3500,3,0)</f>
        <v>#N/A</v>
      </c>
      <c r="I263" s="1" t="s">
        <v>1484</v>
      </c>
      <c r="J263" s="1" t="s">
        <v>1485</v>
      </c>
      <c r="K263" s="4" t="e">
        <f>VLOOKUP(A263,المعطيات!$A$1:$J$3500,6,0)</f>
        <v>#N/A</v>
      </c>
      <c r="L263" s="1" t="s">
        <v>1486</v>
      </c>
      <c r="M263" s="1" t="s">
        <v>1487</v>
      </c>
      <c r="N263" s="4" t="e">
        <f t="shared" si="13"/>
        <v>#N/A</v>
      </c>
      <c r="O263" s="1" t="s">
        <v>1488</v>
      </c>
      <c r="P263" s="4" t="e">
        <f>VLOOKUP(A263,المعطيات!$A$1:$J$3500,4,0)</f>
        <v>#N/A</v>
      </c>
      <c r="Q263" s="1" t="s">
        <v>1489</v>
      </c>
      <c r="R263" s="1" t="s">
        <v>1480</v>
      </c>
      <c r="S263" s="6" t="e">
        <f t="shared" si="14"/>
        <v>#N/A</v>
      </c>
    </row>
    <row r="264" spans="2:19" x14ac:dyDescent="0.25">
      <c r="B264" s="1" t="s">
        <v>1479</v>
      </c>
      <c r="C264" s="1" t="s">
        <v>1481</v>
      </c>
      <c r="D264" s="4" t="e">
        <f>VLOOKUP(A264,المعطيات!$A$1:$J$3500,5,0)</f>
        <v>#N/A</v>
      </c>
      <c r="E264" s="1" t="s">
        <v>1482</v>
      </c>
      <c r="F264" s="5">
        <f t="shared" si="12"/>
        <v>0</v>
      </c>
      <c r="G264" s="5" t="s">
        <v>1483</v>
      </c>
      <c r="H264" s="4" t="e">
        <f>VLOOKUP(A264,المعطيات!$A$1:$J$3500,3,0)</f>
        <v>#N/A</v>
      </c>
      <c r="I264" s="1" t="s">
        <v>1484</v>
      </c>
      <c r="J264" s="1" t="s">
        <v>1485</v>
      </c>
      <c r="K264" s="4" t="e">
        <f>VLOOKUP(A264,المعطيات!$A$1:$J$3500,6,0)</f>
        <v>#N/A</v>
      </c>
      <c r="L264" s="1" t="s">
        <v>1486</v>
      </c>
      <c r="M264" s="1" t="s">
        <v>1487</v>
      </c>
      <c r="N264" s="4" t="e">
        <f t="shared" si="13"/>
        <v>#N/A</v>
      </c>
      <c r="O264" s="1" t="s">
        <v>1488</v>
      </c>
      <c r="P264" s="4" t="e">
        <f>VLOOKUP(A264,المعطيات!$A$1:$J$3500,4,0)</f>
        <v>#N/A</v>
      </c>
      <c r="Q264" s="1" t="s">
        <v>1489</v>
      </c>
      <c r="R264" s="1" t="s">
        <v>1480</v>
      </c>
      <c r="S264" s="6" t="e">
        <f t="shared" si="14"/>
        <v>#N/A</v>
      </c>
    </row>
    <row r="265" spans="2:19" x14ac:dyDescent="0.25">
      <c r="B265" s="1" t="s">
        <v>1479</v>
      </c>
      <c r="C265" s="1" t="s">
        <v>1481</v>
      </c>
      <c r="D265" s="4" t="e">
        <f>VLOOKUP(A265,المعطيات!$A$1:$J$3500,5,0)</f>
        <v>#N/A</v>
      </c>
      <c r="E265" s="1" t="s">
        <v>1482</v>
      </c>
      <c r="F265" s="5">
        <f t="shared" si="12"/>
        <v>0</v>
      </c>
      <c r="G265" s="5" t="s">
        <v>1483</v>
      </c>
      <c r="H265" s="4" t="e">
        <f>VLOOKUP(A265,المعطيات!$A$1:$J$3500,3,0)</f>
        <v>#N/A</v>
      </c>
      <c r="I265" s="1" t="s">
        <v>1484</v>
      </c>
      <c r="J265" s="1" t="s">
        <v>1485</v>
      </c>
      <c r="K265" s="4" t="e">
        <f>VLOOKUP(A265,المعطيات!$A$1:$J$3500,6,0)</f>
        <v>#N/A</v>
      </c>
      <c r="L265" s="1" t="s">
        <v>1486</v>
      </c>
      <c r="M265" s="1" t="s">
        <v>1487</v>
      </c>
      <c r="N265" s="4" t="e">
        <f t="shared" si="13"/>
        <v>#N/A</v>
      </c>
      <c r="O265" s="1" t="s">
        <v>1488</v>
      </c>
      <c r="P265" s="4" t="e">
        <f>VLOOKUP(A265,المعطيات!$A$1:$J$3500,4,0)</f>
        <v>#N/A</v>
      </c>
      <c r="Q265" s="1" t="s">
        <v>1489</v>
      </c>
      <c r="R265" s="1" t="s">
        <v>1480</v>
      </c>
      <c r="S265" s="6" t="e">
        <f t="shared" si="14"/>
        <v>#N/A</v>
      </c>
    </row>
    <row r="266" spans="2:19" x14ac:dyDescent="0.25">
      <c r="B266" s="1" t="s">
        <v>1479</v>
      </c>
      <c r="C266" s="1" t="s">
        <v>1481</v>
      </c>
      <c r="D266" s="4" t="e">
        <f>VLOOKUP(A266,المعطيات!$A$1:$J$3500,5,0)</f>
        <v>#N/A</v>
      </c>
      <c r="E266" s="1" t="s">
        <v>1482</v>
      </c>
      <c r="F266" s="5">
        <f t="shared" si="12"/>
        <v>0</v>
      </c>
      <c r="G266" s="5" t="s">
        <v>1483</v>
      </c>
      <c r="H266" s="4" t="e">
        <f>VLOOKUP(A266,المعطيات!$A$1:$J$3500,3,0)</f>
        <v>#N/A</v>
      </c>
      <c r="I266" s="1" t="s">
        <v>1484</v>
      </c>
      <c r="J266" s="1" t="s">
        <v>1485</v>
      </c>
      <c r="K266" s="4" t="e">
        <f>VLOOKUP(A266,المعطيات!$A$1:$J$3500,6,0)</f>
        <v>#N/A</v>
      </c>
      <c r="L266" s="1" t="s">
        <v>1486</v>
      </c>
      <c r="M266" s="1" t="s">
        <v>1487</v>
      </c>
      <c r="N266" s="4" t="e">
        <f t="shared" si="13"/>
        <v>#N/A</v>
      </c>
      <c r="O266" s="1" t="s">
        <v>1488</v>
      </c>
      <c r="P266" s="4" t="e">
        <f>VLOOKUP(A266,المعطيات!$A$1:$J$3500,4,0)</f>
        <v>#N/A</v>
      </c>
      <c r="Q266" s="1" t="s">
        <v>1489</v>
      </c>
      <c r="R266" s="1" t="s">
        <v>1480</v>
      </c>
      <c r="S266" s="6" t="e">
        <f t="shared" si="14"/>
        <v>#N/A</v>
      </c>
    </row>
    <row r="267" spans="2:19" x14ac:dyDescent="0.25">
      <c r="B267" s="1" t="s">
        <v>1479</v>
      </c>
      <c r="C267" s="1" t="s">
        <v>1481</v>
      </c>
      <c r="D267" s="4" t="e">
        <f>VLOOKUP(A267,المعطيات!$A$1:$J$3500,5,0)</f>
        <v>#N/A</v>
      </c>
      <c r="E267" s="1" t="s">
        <v>1482</v>
      </c>
      <c r="F267" s="5">
        <f t="shared" si="12"/>
        <v>0</v>
      </c>
      <c r="G267" s="5" t="s">
        <v>1483</v>
      </c>
      <c r="H267" s="4" t="e">
        <f>VLOOKUP(A267,المعطيات!$A$1:$J$3500,3,0)</f>
        <v>#N/A</v>
      </c>
      <c r="I267" s="1" t="s">
        <v>1484</v>
      </c>
      <c r="J267" s="1" t="s">
        <v>1485</v>
      </c>
      <c r="K267" s="4" t="e">
        <f>VLOOKUP(A267,المعطيات!$A$1:$J$3500,6,0)</f>
        <v>#N/A</v>
      </c>
      <c r="L267" s="1" t="s">
        <v>1486</v>
      </c>
      <c r="M267" s="1" t="s">
        <v>1487</v>
      </c>
      <c r="N267" s="4" t="e">
        <f t="shared" si="13"/>
        <v>#N/A</v>
      </c>
      <c r="O267" s="1" t="s">
        <v>1488</v>
      </c>
      <c r="P267" s="4" t="e">
        <f>VLOOKUP(A267,المعطيات!$A$1:$J$3500,4,0)</f>
        <v>#N/A</v>
      </c>
      <c r="Q267" s="1" t="s">
        <v>1489</v>
      </c>
      <c r="R267" s="1" t="s">
        <v>1480</v>
      </c>
      <c r="S267" s="6" t="e">
        <f t="shared" si="14"/>
        <v>#N/A</v>
      </c>
    </row>
    <row r="268" spans="2:19" x14ac:dyDescent="0.25">
      <c r="B268" s="1" t="s">
        <v>1479</v>
      </c>
      <c r="C268" s="1" t="s">
        <v>1481</v>
      </c>
      <c r="D268" s="4" t="e">
        <f>VLOOKUP(A268,المعطيات!$A$1:$J$3500,5,0)</f>
        <v>#N/A</v>
      </c>
      <c r="E268" s="1" t="s">
        <v>1482</v>
      </c>
      <c r="F268" s="5">
        <f t="shared" si="12"/>
        <v>0</v>
      </c>
      <c r="G268" s="5" t="s">
        <v>1483</v>
      </c>
      <c r="H268" s="4" t="e">
        <f>VLOOKUP(A268,المعطيات!$A$1:$J$3500,3,0)</f>
        <v>#N/A</v>
      </c>
      <c r="I268" s="1" t="s">
        <v>1484</v>
      </c>
      <c r="J268" s="1" t="s">
        <v>1485</v>
      </c>
      <c r="K268" s="4" t="e">
        <f>VLOOKUP(A268,المعطيات!$A$1:$J$3500,6,0)</f>
        <v>#N/A</v>
      </c>
      <c r="L268" s="1" t="s">
        <v>1486</v>
      </c>
      <c r="M268" s="1" t="s">
        <v>1487</v>
      </c>
      <c r="N268" s="4" t="e">
        <f t="shared" si="13"/>
        <v>#N/A</v>
      </c>
      <c r="O268" s="1" t="s">
        <v>1488</v>
      </c>
      <c r="P268" s="4" t="e">
        <f>VLOOKUP(A268,المعطيات!$A$1:$J$3500,4,0)</f>
        <v>#N/A</v>
      </c>
      <c r="Q268" s="1" t="s">
        <v>1489</v>
      </c>
      <c r="R268" s="1" t="s">
        <v>1480</v>
      </c>
      <c r="S268" s="6" t="e">
        <f t="shared" si="14"/>
        <v>#N/A</v>
      </c>
    </row>
    <row r="269" spans="2:19" x14ac:dyDescent="0.25">
      <c r="B269" s="1" t="s">
        <v>1479</v>
      </c>
      <c r="C269" s="1" t="s">
        <v>1481</v>
      </c>
      <c r="D269" s="4" t="e">
        <f>VLOOKUP(A269,المعطيات!$A$1:$J$3500,5,0)</f>
        <v>#N/A</v>
      </c>
      <c r="E269" s="1" t="s">
        <v>1482</v>
      </c>
      <c r="F269" s="5">
        <f t="shared" si="12"/>
        <v>0</v>
      </c>
      <c r="G269" s="5" t="s">
        <v>1483</v>
      </c>
      <c r="H269" s="4" t="e">
        <f>VLOOKUP(A269,المعطيات!$A$1:$J$3500,3,0)</f>
        <v>#N/A</v>
      </c>
      <c r="I269" s="1" t="s">
        <v>1484</v>
      </c>
      <c r="J269" s="1" t="s">
        <v>1485</v>
      </c>
      <c r="K269" s="4" t="e">
        <f>VLOOKUP(A269,المعطيات!$A$1:$J$3500,6,0)</f>
        <v>#N/A</v>
      </c>
      <c r="L269" s="1" t="s">
        <v>1486</v>
      </c>
      <c r="M269" s="1" t="s">
        <v>1487</v>
      </c>
      <c r="N269" s="4" t="e">
        <f t="shared" si="13"/>
        <v>#N/A</v>
      </c>
      <c r="O269" s="1" t="s">
        <v>1488</v>
      </c>
      <c r="P269" s="4" t="e">
        <f>VLOOKUP(A269,المعطيات!$A$1:$J$3500,4,0)</f>
        <v>#N/A</v>
      </c>
      <c r="Q269" s="1" t="s">
        <v>1489</v>
      </c>
      <c r="R269" s="1" t="s">
        <v>1480</v>
      </c>
      <c r="S269" s="6" t="e">
        <f t="shared" si="14"/>
        <v>#N/A</v>
      </c>
    </row>
    <row r="270" spans="2:19" x14ac:dyDescent="0.25">
      <c r="B270" s="1" t="s">
        <v>1479</v>
      </c>
      <c r="C270" s="1" t="s">
        <v>1481</v>
      </c>
      <c r="D270" s="4" t="e">
        <f>VLOOKUP(A270,المعطيات!$A$1:$J$3500,5,0)</f>
        <v>#N/A</v>
      </c>
      <c r="E270" s="1" t="s">
        <v>1482</v>
      </c>
      <c r="F270" s="5">
        <f t="shared" si="12"/>
        <v>0</v>
      </c>
      <c r="G270" s="5" t="s">
        <v>1483</v>
      </c>
      <c r="H270" s="4" t="e">
        <f>VLOOKUP(A270,المعطيات!$A$1:$J$3500,3,0)</f>
        <v>#N/A</v>
      </c>
      <c r="I270" s="1" t="s">
        <v>1484</v>
      </c>
      <c r="J270" s="1" t="s">
        <v>1485</v>
      </c>
      <c r="K270" s="4" t="e">
        <f>VLOOKUP(A270,المعطيات!$A$1:$J$3500,6,0)</f>
        <v>#N/A</v>
      </c>
      <c r="L270" s="1" t="s">
        <v>1486</v>
      </c>
      <c r="M270" s="1" t="s">
        <v>1487</v>
      </c>
      <c r="N270" s="4" t="e">
        <f t="shared" si="13"/>
        <v>#N/A</v>
      </c>
      <c r="O270" s="1" t="s">
        <v>1488</v>
      </c>
      <c r="P270" s="4" t="e">
        <f>VLOOKUP(A270,المعطيات!$A$1:$J$3500,4,0)</f>
        <v>#N/A</v>
      </c>
      <c r="Q270" s="1" t="s">
        <v>1489</v>
      </c>
      <c r="R270" s="1" t="s">
        <v>1480</v>
      </c>
      <c r="S270" s="6" t="e">
        <f t="shared" si="14"/>
        <v>#N/A</v>
      </c>
    </row>
    <row r="271" spans="2:19" x14ac:dyDescent="0.25">
      <c r="B271" s="1" t="s">
        <v>1479</v>
      </c>
      <c r="C271" s="1" t="s">
        <v>1481</v>
      </c>
      <c r="D271" s="4" t="e">
        <f>VLOOKUP(A271,المعطيات!$A$1:$J$3500,5,0)</f>
        <v>#N/A</v>
      </c>
      <c r="E271" s="1" t="s">
        <v>1482</v>
      </c>
      <c r="F271" s="5">
        <f t="shared" si="12"/>
        <v>0</v>
      </c>
      <c r="G271" s="5" t="s">
        <v>1483</v>
      </c>
      <c r="H271" s="4" t="e">
        <f>VLOOKUP(A271,المعطيات!$A$1:$J$3500,3,0)</f>
        <v>#N/A</v>
      </c>
      <c r="I271" s="1" t="s">
        <v>1484</v>
      </c>
      <c r="J271" s="1" t="s">
        <v>1485</v>
      </c>
      <c r="K271" s="4" t="e">
        <f>VLOOKUP(A271,المعطيات!$A$1:$J$3500,6,0)</f>
        <v>#N/A</v>
      </c>
      <c r="L271" s="1" t="s">
        <v>1486</v>
      </c>
      <c r="M271" s="1" t="s">
        <v>1487</v>
      </c>
      <c r="N271" s="4" t="e">
        <f t="shared" si="13"/>
        <v>#N/A</v>
      </c>
      <c r="O271" s="1" t="s">
        <v>1488</v>
      </c>
      <c r="P271" s="4" t="e">
        <f>VLOOKUP(A271,المعطيات!$A$1:$J$3500,4,0)</f>
        <v>#N/A</v>
      </c>
      <c r="Q271" s="1" t="s">
        <v>1489</v>
      </c>
      <c r="R271" s="1" t="s">
        <v>1480</v>
      </c>
      <c r="S271" s="6" t="e">
        <f t="shared" si="14"/>
        <v>#N/A</v>
      </c>
    </row>
    <row r="272" spans="2:19" x14ac:dyDescent="0.25">
      <c r="B272" s="1" t="s">
        <v>1479</v>
      </c>
      <c r="C272" s="1" t="s">
        <v>1481</v>
      </c>
      <c r="D272" s="4" t="e">
        <f>VLOOKUP(A272,المعطيات!$A$1:$J$3500,5,0)</f>
        <v>#N/A</v>
      </c>
      <c r="E272" s="1" t="s">
        <v>1482</v>
      </c>
      <c r="F272" s="5">
        <f t="shared" si="12"/>
        <v>0</v>
      </c>
      <c r="G272" s="5" t="s">
        <v>1483</v>
      </c>
      <c r="H272" s="4" t="e">
        <f>VLOOKUP(A272,المعطيات!$A$1:$J$3500,3,0)</f>
        <v>#N/A</v>
      </c>
      <c r="I272" s="1" t="s">
        <v>1484</v>
      </c>
      <c r="J272" s="1" t="s">
        <v>1485</v>
      </c>
      <c r="K272" s="4" t="e">
        <f>VLOOKUP(A272,المعطيات!$A$1:$J$3500,6,0)</f>
        <v>#N/A</v>
      </c>
      <c r="L272" s="1" t="s">
        <v>1486</v>
      </c>
      <c r="M272" s="1" t="s">
        <v>1487</v>
      </c>
      <c r="N272" s="4" t="e">
        <f t="shared" si="13"/>
        <v>#N/A</v>
      </c>
      <c r="O272" s="1" t="s">
        <v>1488</v>
      </c>
      <c r="P272" s="4" t="e">
        <f>VLOOKUP(A272,المعطيات!$A$1:$J$3500,4,0)</f>
        <v>#N/A</v>
      </c>
      <c r="Q272" s="1" t="s">
        <v>1489</v>
      </c>
      <c r="R272" s="1" t="s">
        <v>1480</v>
      </c>
      <c r="S272" s="6" t="e">
        <f t="shared" si="14"/>
        <v>#N/A</v>
      </c>
    </row>
    <row r="273" spans="2:19" x14ac:dyDescent="0.25">
      <c r="B273" s="1" t="s">
        <v>1479</v>
      </c>
      <c r="C273" s="1" t="s">
        <v>1481</v>
      </c>
      <c r="D273" s="4" t="e">
        <f>VLOOKUP(A273,المعطيات!$A$1:$J$3500,5,0)</f>
        <v>#N/A</v>
      </c>
      <c r="E273" s="1" t="s">
        <v>1482</v>
      </c>
      <c r="F273" s="5">
        <f t="shared" si="12"/>
        <v>0</v>
      </c>
      <c r="G273" s="5" t="s">
        <v>1483</v>
      </c>
      <c r="H273" s="4" t="e">
        <f>VLOOKUP(A273,المعطيات!$A$1:$J$3500,3,0)</f>
        <v>#N/A</v>
      </c>
      <c r="I273" s="1" t="s">
        <v>1484</v>
      </c>
      <c r="J273" s="1" t="s">
        <v>1485</v>
      </c>
      <c r="K273" s="4" t="e">
        <f>VLOOKUP(A273,المعطيات!$A$1:$J$3500,6,0)</f>
        <v>#N/A</v>
      </c>
      <c r="L273" s="1" t="s">
        <v>1486</v>
      </c>
      <c r="M273" s="1" t="s">
        <v>1487</v>
      </c>
      <c r="N273" s="4" t="e">
        <f t="shared" si="13"/>
        <v>#N/A</v>
      </c>
      <c r="O273" s="1" t="s">
        <v>1488</v>
      </c>
      <c r="P273" s="4" t="e">
        <f>VLOOKUP(A273,المعطيات!$A$1:$J$3500,4,0)</f>
        <v>#N/A</v>
      </c>
      <c r="Q273" s="1" t="s">
        <v>1489</v>
      </c>
      <c r="R273" s="1" t="s">
        <v>1480</v>
      </c>
      <c r="S273" s="6" t="e">
        <f t="shared" si="14"/>
        <v>#N/A</v>
      </c>
    </row>
    <row r="274" spans="2:19" x14ac:dyDescent="0.25">
      <c r="B274" s="1" t="s">
        <v>1479</v>
      </c>
      <c r="C274" s="1" t="s">
        <v>1481</v>
      </c>
      <c r="D274" s="4" t="e">
        <f>VLOOKUP(A274,المعطيات!$A$1:$J$3500,5,0)</f>
        <v>#N/A</v>
      </c>
      <c r="E274" s="1" t="s">
        <v>1482</v>
      </c>
      <c r="F274" s="5">
        <f t="shared" si="12"/>
        <v>0</v>
      </c>
      <c r="G274" s="5" t="s">
        <v>1483</v>
      </c>
      <c r="H274" s="4" t="e">
        <f>VLOOKUP(A274,المعطيات!$A$1:$J$3500,3,0)</f>
        <v>#N/A</v>
      </c>
      <c r="I274" s="1" t="s">
        <v>1484</v>
      </c>
      <c r="J274" s="1" t="s">
        <v>1485</v>
      </c>
      <c r="K274" s="4" t="e">
        <f>VLOOKUP(A274,المعطيات!$A$1:$J$3500,6,0)</f>
        <v>#N/A</v>
      </c>
      <c r="L274" s="1" t="s">
        <v>1486</v>
      </c>
      <c r="M274" s="1" t="s">
        <v>1487</v>
      </c>
      <c r="N274" s="4" t="e">
        <f t="shared" si="13"/>
        <v>#N/A</v>
      </c>
      <c r="O274" s="1" t="s">
        <v>1488</v>
      </c>
      <c r="P274" s="4" t="e">
        <f>VLOOKUP(A274,المعطيات!$A$1:$J$3500,4,0)</f>
        <v>#N/A</v>
      </c>
      <c r="Q274" s="1" t="s">
        <v>1489</v>
      </c>
      <c r="R274" s="1" t="s">
        <v>1480</v>
      </c>
      <c r="S274" s="6" t="e">
        <f t="shared" si="14"/>
        <v>#N/A</v>
      </c>
    </row>
    <row r="275" spans="2:19" x14ac:dyDescent="0.25">
      <c r="B275" s="1" t="s">
        <v>1479</v>
      </c>
      <c r="C275" s="1" t="s">
        <v>1481</v>
      </c>
      <c r="D275" s="4" t="e">
        <f>VLOOKUP(A275,المعطيات!$A$1:$J$3500,5,0)</f>
        <v>#N/A</v>
      </c>
      <c r="E275" s="1" t="s">
        <v>1482</v>
      </c>
      <c r="F275" s="5">
        <f t="shared" si="12"/>
        <v>0</v>
      </c>
      <c r="G275" s="5" t="s">
        <v>1483</v>
      </c>
      <c r="H275" s="4" t="e">
        <f>VLOOKUP(A275,المعطيات!$A$1:$J$3500,3,0)</f>
        <v>#N/A</v>
      </c>
      <c r="I275" s="1" t="s">
        <v>1484</v>
      </c>
      <c r="J275" s="1" t="s">
        <v>1485</v>
      </c>
      <c r="K275" s="4" t="e">
        <f>VLOOKUP(A275,المعطيات!$A$1:$J$3500,6,0)</f>
        <v>#N/A</v>
      </c>
      <c r="L275" s="1" t="s">
        <v>1486</v>
      </c>
      <c r="M275" s="1" t="s">
        <v>1487</v>
      </c>
      <c r="N275" s="4" t="e">
        <f t="shared" si="13"/>
        <v>#N/A</v>
      </c>
      <c r="O275" s="1" t="s">
        <v>1488</v>
      </c>
      <c r="P275" s="4" t="e">
        <f>VLOOKUP(A275,المعطيات!$A$1:$J$3500,4,0)</f>
        <v>#N/A</v>
      </c>
      <c r="Q275" s="1" t="s">
        <v>1489</v>
      </c>
      <c r="R275" s="1" t="s">
        <v>1480</v>
      </c>
      <c r="S275" s="6" t="e">
        <f t="shared" si="14"/>
        <v>#N/A</v>
      </c>
    </row>
    <row r="276" spans="2:19" x14ac:dyDescent="0.25">
      <c r="B276" s="1" t="s">
        <v>1479</v>
      </c>
      <c r="C276" s="1" t="s">
        <v>1481</v>
      </c>
      <c r="D276" s="4" t="e">
        <f>VLOOKUP(A276,المعطيات!$A$1:$J$3500,5,0)</f>
        <v>#N/A</v>
      </c>
      <c r="E276" s="1" t="s">
        <v>1482</v>
      </c>
      <c r="F276" s="5">
        <f t="shared" si="12"/>
        <v>0</v>
      </c>
      <c r="G276" s="5" t="s">
        <v>1483</v>
      </c>
      <c r="H276" s="4" t="e">
        <f>VLOOKUP(A276,المعطيات!$A$1:$J$3500,3,0)</f>
        <v>#N/A</v>
      </c>
      <c r="I276" s="1" t="s">
        <v>1484</v>
      </c>
      <c r="J276" s="1" t="s">
        <v>1485</v>
      </c>
      <c r="K276" s="4" t="e">
        <f>VLOOKUP(A276,المعطيات!$A$1:$J$3500,6,0)</f>
        <v>#N/A</v>
      </c>
      <c r="L276" s="1" t="s">
        <v>1486</v>
      </c>
      <c r="M276" s="1" t="s">
        <v>1487</v>
      </c>
      <c r="N276" s="4" t="e">
        <f t="shared" si="13"/>
        <v>#N/A</v>
      </c>
      <c r="O276" s="1" t="s">
        <v>1488</v>
      </c>
      <c r="P276" s="4" t="e">
        <f>VLOOKUP(A276,المعطيات!$A$1:$J$3500,4,0)</f>
        <v>#N/A</v>
      </c>
      <c r="Q276" s="1" t="s">
        <v>1489</v>
      </c>
      <c r="R276" s="1" t="s">
        <v>1480</v>
      </c>
      <c r="S276" s="6" t="e">
        <f t="shared" si="14"/>
        <v>#N/A</v>
      </c>
    </row>
    <row r="277" spans="2:19" x14ac:dyDescent="0.25">
      <c r="B277" s="1" t="s">
        <v>1479</v>
      </c>
      <c r="C277" s="1" t="s">
        <v>1481</v>
      </c>
      <c r="D277" s="4" t="e">
        <f>VLOOKUP(A277,المعطيات!$A$1:$J$3500,5,0)</f>
        <v>#N/A</v>
      </c>
      <c r="E277" s="1" t="s">
        <v>1482</v>
      </c>
      <c r="F277" s="5">
        <f t="shared" si="12"/>
        <v>0</v>
      </c>
      <c r="G277" s="5" t="s">
        <v>1483</v>
      </c>
      <c r="H277" s="4" t="e">
        <f>VLOOKUP(A277,المعطيات!$A$1:$J$3500,3,0)</f>
        <v>#N/A</v>
      </c>
      <c r="I277" s="1" t="s">
        <v>1484</v>
      </c>
      <c r="J277" s="1" t="s">
        <v>1485</v>
      </c>
      <c r="K277" s="4" t="e">
        <f>VLOOKUP(A277,المعطيات!$A$1:$J$3500,6,0)</f>
        <v>#N/A</v>
      </c>
      <c r="L277" s="1" t="s">
        <v>1486</v>
      </c>
      <c r="M277" s="1" t="s">
        <v>1487</v>
      </c>
      <c r="N277" s="4" t="e">
        <f t="shared" si="13"/>
        <v>#N/A</v>
      </c>
      <c r="O277" s="1" t="s">
        <v>1488</v>
      </c>
      <c r="P277" s="4" t="e">
        <f>VLOOKUP(A277,المعطيات!$A$1:$J$3500,4,0)</f>
        <v>#N/A</v>
      </c>
      <c r="Q277" s="1" t="s">
        <v>1489</v>
      </c>
      <c r="R277" s="1" t="s">
        <v>1480</v>
      </c>
      <c r="S277" s="6" t="e">
        <f t="shared" si="14"/>
        <v>#N/A</v>
      </c>
    </row>
    <row r="278" spans="2:19" x14ac:dyDescent="0.25">
      <c r="B278" s="1" t="s">
        <v>1479</v>
      </c>
      <c r="C278" s="1" t="s">
        <v>1481</v>
      </c>
      <c r="D278" s="4" t="e">
        <f>VLOOKUP(A278,المعطيات!$A$1:$J$3500,5,0)</f>
        <v>#N/A</v>
      </c>
      <c r="E278" s="1" t="s">
        <v>1482</v>
      </c>
      <c r="F278" s="5">
        <f t="shared" si="12"/>
        <v>0</v>
      </c>
      <c r="G278" s="5" t="s">
        <v>1483</v>
      </c>
      <c r="H278" s="4" t="e">
        <f>VLOOKUP(A278,المعطيات!$A$1:$J$3500,3,0)</f>
        <v>#N/A</v>
      </c>
      <c r="I278" s="1" t="s">
        <v>1484</v>
      </c>
      <c r="J278" s="1" t="s">
        <v>1485</v>
      </c>
      <c r="K278" s="4" t="e">
        <f>VLOOKUP(A278,المعطيات!$A$1:$J$3500,6,0)</f>
        <v>#N/A</v>
      </c>
      <c r="L278" s="1" t="s">
        <v>1486</v>
      </c>
      <c r="M278" s="1" t="s">
        <v>1487</v>
      </c>
      <c r="N278" s="4" t="e">
        <f t="shared" si="13"/>
        <v>#N/A</v>
      </c>
      <c r="O278" s="1" t="s">
        <v>1488</v>
      </c>
      <c r="P278" s="4" t="e">
        <f>VLOOKUP(A278,المعطيات!$A$1:$J$3500,4,0)</f>
        <v>#N/A</v>
      </c>
      <c r="Q278" s="1" t="s">
        <v>1489</v>
      </c>
      <c r="R278" s="1" t="s">
        <v>1480</v>
      </c>
      <c r="S278" s="6" t="e">
        <f t="shared" si="14"/>
        <v>#N/A</v>
      </c>
    </row>
    <row r="279" spans="2:19" x14ac:dyDescent="0.25">
      <c r="B279" s="1" t="s">
        <v>1479</v>
      </c>
      <c r="C279" s="1" t="s">
        <v>1481</v>
      </c>
      <c r="D279" s="4" t="e">
        <f>VLOOKUP(A279,المعطيات!$A$1:$J$3500,5,0)</f>
        <v>#N/A</v>
      </c>
      <c r="E279" s="1" t="s">
        <v>1482</v>
      </c>
      <c r="F279" s="5">
        <f t="shared" si="12"/>
        <v>0</v>
      </c>
      <c r="G279" s="5" t="s">
        <v>1483</v>
      </c>
      <c r="H279" s="4" t="e">
        <f>VLOOKUP(A279,المعطيات!$A$1:$J$3500,3,0)</f>
        <v>#N/A</v>
      </c>
      <c r="I279" s="1" t="s">
        <v>1484</v>
      </c>
      <c r="J279" s="1" t="s">
        <v>1485</v>
      </c>
      <c r="K279" s="4" t="e">
        <f>VLOOKUP(A279,المعطيات!$A$1:$J$3500,6,0)</f>
        <v>#N/A</v>
      </c>
      <c r="L279" s="1" t="s">
        <v>1486</v>
      </c>
      <c r="M279" s="1" t="s">
        <v>1487</v>
      </c>
      <c r="N279" s="4" t="e">
        <f t="shared" si="13"/>
        <v>#N/A</v>
      </c>
      <c r="O279" s="1" t="s">
        <v>1488</v>
      </c>
      <c r="P279" s="4" t="e">
        <f>VLOOKUP(A279,المعطيات!$A$1:$J$3500,4,0)</f>
        <v>#N/A</v>
      </c>
      <c r="Q279" s="1" t="s">
        <v>1489</v>
      </c>
      <c r="R279" s="1" t="s">
        <v>1480</v>
      </c>
      <c r="S279" s="6" t="e">
        <f t="shared" si="14"/>
        <v>#N/A</v>
      </c>
    </row>
    <row r="280" spans="2:19" x14ac:dyDescent="0.25">
      <c r="B280" s="1" t="s">
        <v>1479</v>
      </c>
      <c r="C280" s="1" t="s">
        <v>1481</v>
      </c>
      <c r="D280" s="4" t="e">
        <f>VLOOKUP(A280,المعطيات!$A$1:$J$3500,5,0)</f>
        <v>#N/A</v>
      </c>
      <c r="E280" s="1" t="s">
        <v>1482</v>
      </c>
      <c r="F280" s="5">
        <f t="shared" si="12"/>
        <v>0</v>
      </c>
      <c r="G280" s="5" t="s">
        <v>1483</v>
      </c>
      <c r="H280" s="4" t="e">
        <f>VLOOKUP(A280,المعطيات!$A$1:$J$3500,3,0)</f>
        <v>#N/A</v>
      </c>
      <c r="I280" s="1" t="s">
        <v>1484</v>
      </c>
      <c r="J280" s="1" t="s">
        <v>1485</v>
      </c>
      <c r="K280" s="4" t="e">
        <f>VLOOKUP(A280,المعطيات!$A$1:$J$3500,6,0)</f>
        <v>#N/A</v>
      </c>
      <c r="L280" s="1" t="s">
        <v>1486</v>
      </c>
      <c r="M280" s="1" t="s">
        <v>1487</v>
      </c>
      <c r="N280" s="4" t="e">
        <f t="shared" si="13"/>
        <v>#N/A</v>
      </c>
      <c r="O280" s="1" t="s">
        <v>1488</v>
      </c>
      <c r="P280" s="4" t="e">
        <f>VLOOKUP(A280,المعطيات!$A$1:$J$3500,4,0)</f>
        <v>#N/A</v>
      </c>
      <c r="Q280" s="1" t="s">
        <v>1489</v>
      </c>
      <c r="R280" s="1" t="s">
        <v>1480</v>
      </c>
      <c r="S280" s="6" t="e">
        <f t="shared" si="14"/>
        <v>#N/A</v>
      </c>
    </row>
    <row r="281" spans="2:19" x14ac:dyDescent="0.25">
      <c r="B281" s="1" t="s">
        <v>1479</v>
      </c>
      <c r="C281" s="1" t="s">
        <v>1481</v>
      </c>
      <c r="D281" s="4" t="e">
        <f>VLOOKUP(A281,المعطيات!$A$1:$J$3500,5,0)</f>
        <v>#N/A</v>
      </c>
      <c r="E281" s="1" t="s">
        <v>1482</v>
      </c>
      <c r="F281" s="5">
        <f t="shared" si="12"/>
        <v>0</v>
      </c>
      <c r="G281" s="5" t="s">
        <v>1483</v>
      </c>
      <c r="H281" s="4" t="e">
        <f>VLOOKUP(A281,المعطيات!$A$1:$J$3500,3,0)</f>
        <v>#N/A</v>
      </c>
      <c r="I281" s="1" t="s">
        <v>1484</v>
      </c>
      <c r="J281" s="1" t="s">
        <v>1485</v>
      </c>
      <c r="K281" s="4" t="e">
        <f>VLOOKUP(A281,المعطيات!$A$1:$J$3500,6,0)</f>
        <v>#N/A</v>
      </c>
      <c r="L281" s="1" t="s">
        <v>1486</v>
      </c>
      <c r="M281" s="1" t="s">
        <v>1487</v>
      </c>
      <c r="N281" s="4" t="e">
        <f t="shared" si="13"/>
        <v>#N/A</v>
      </c>
      <c r="O281" s="1" t="s">
        <v>1488</v>
      </c>
      <c r="P281" s="4" t="e">
        <f>VLOOKUP(A281,المعطيات!$A$1:$J$3500,4,0)</f>
        <v>#N/A</v>
      </c>
      <c r="Q281" s="1" t="s">
        <v>1489</v>
      </c>
      <c r="R281" s="1" t="s">
        <v>1480</v>
      </c>
      <c r="S281" s="6" t="e">
        <f t="shared" si="14"/>
        <v>#N/A</v>
      </c>
    </row>
    <row r="282" spans="2:19" x14ac:dyDescent="0.25">
      <c r="B282" s="1" t="s">
        <v>1479</v>
      </c>
      <c r="C282" s="1" t="s">
        <v>1481</v>
      </c>
      <c r="D282" s="4" t="e">
        <f>VLOOKUP(A282,المعطيات!$A$1:$J$3500,5,0)</f>
        <v>#N/A</v>
      </c>
      <c r="E282" s="1" t="s">
        <v>1482</v>
      </c>
      <c r="F282" s="5">
        <f t="shared" si="12"/>
        <v>0</v>
      </c>
      <c r="G282" s="5" t="s">
        <v>1483</v>
      </c>
      <c r="H282" s="4" t="e">
        <f>VLOOKUP(A282,المعطيات!$A$1:$J$3500,3,0)</f>
        <v>#N/A</v>
      </c>
      <c r="I282" s="1" t="s">
        <v>1484</v>
      </c>
      <c r="J282" s="1" t="s">
        <v>1485</v>
      </c>
      <c r="K282" s="4" t="e">
        <f>VLOOKUP(A282,المعطيات!$A$1:$J$3500,6,0)</f>
        <v>#N/A</v>
      </c>
      <c r="L282" s="1" t="s">
        <v>1486</v>
      </c>
      <c r="M282" s="1" t="s">
        <v>1487</v>
      </c>
      <c r="N282" s="4" t="e">
        <f t="shared" si="13"/>
        <v>#N/A</v>
      </c>
      <c r="O282" s="1" t="s">
        <v>1488</v>
      </c>
      <c r="P282" s="4" t="e">
        <f>VLOOKUP(A282,المعطيات!$A$1:$J$3500,4,0)</f>
        <v>#N/A</v>
      </c>
      <c r="Q282" s="1" t="s">
        <v>1489</v>
      </c>
      <c r="R282" s="1" t="s">
        <v>1480</v>
      </c>
      <c r="S282" s="6" t="e">
        <f t="shared" si="14"/>
        <v>#N/A</v>
      </c>
    </row>
    <row r="283" spans="2:19" x14ac:dyDescent="0.25">
      <c r="B283" s="1" t="s">
        <v>1479</v>
      </c>
      <c r="C283" s="1" t="s">
        <v>1481</v>
      </c>
      <c r="D283" s="4" t="e">
        <f>VLOOKUP(A283,المعطيات!$A$1:$J$3500,5,0)</f>
        <v>#N/A</v>
      </c>
      <c r="E283" s="1" t="s">
        <v>1482</v>
      </c>
      <c r="F283" s="5">
        <f t="shared" si="12"/>
        <v>0</v>
      </c>
      <c r="G283" s="5" t="s">
        <v>1483</v>
      </c>
      <c r="H283" s="4" t="e">
        <f>VLOOKUP(A283,المعطيات!$A$1:$J$3500,3,0)</f>
        <v>#N/A</v>
      </c>
      <c r="I283" s="1" t="s">
        <v>1484</v>
      </c>
      <c r="J283" s="1" t="s">
        <v>1485</v>
      </c>
      <c r="K283" s="4" t="e">
        <f>VLOOKUP(A283,المعطيات!$A$1:$J$3500,6,0)</f>
        <v>#N/A</v>
      </c>
      <c r="L283" s="1" t="s">
        <v>1486</v>
      </c>
      <c r="M283" s="1" t="s">
        <v>1487</v>
      </c>
      <c r="N283" s="4" t="e">
        <f t="shared" si="13"/>
        <v>#N/A</v>
      </c>
      <c r="O283" s="1" t="s">
        <v>1488</v>
      </c>
      <c r="P283" s="4" t="e">
        <f>VLOOKUP(A283,المعطيات!$A$1:$J$3500,4,0)</f>
        <v>#N/A</v>
      </c>
      <c r="Q283" s="1" t="s">
        <v>1489</v>
      </c>
      <c r="R283" s="1" t="s">
        <v>1480</v>
      </c>
      <c r="S283" s="6" t="e">
        <f t="shared" si="14"/>
        <v>#N/A</v>
      </c>
    </row>
    <row r="284" spans="2:19" x14ac:dyDescent="0.25">
      <c r="B284" s="1" t="s">
        <v>1479</v>
      </c>
      <c r="C284" s="1" t="s">
        <v>1481</v>
      </c>
      <c r="D284" s="4" t="e">
        <f>VLOOKUP(A284,المعطيات!$A$1:$J$3500,5,0)</f>
        <v>#N/A</v>
      </c>
      <c r="E284" s="1" t="s">
        <v>1482</v>
      </c>
      <c r="F284" s="5">
        <f t="shared" si="12"/>
        <v>0</v>
      </c>
      <c r="G284" s="5" t="s">
        <v>1483</v>
      </c>
      <c r="H284" s="4" t="e">
        <f>VLOOKUP(A284,المعطيات!$A$1:$J$3500,3,0)</f>
        <v>#N/A</v>
      </c>
      <c r="I284" s="1" t="s">
        <v>1484</v>
      </c>
      <c r="J284" s="1" t="s">
        <v>1485</v>
      </c>
      <c r="K284" s="4" t="e">
        <f>VLOOKUP(A284,المعطيات!$A$1:$J$3500,6,0)</f>
        <v>#N/A</v>
      </c>
      <c r="L284" s="1" t="s">
        <v>1486</v>
      </c>
      <c r="M284" s="1" t="s">
        <v>1487</v>
      </c>
      <c r="N284" s="4" t="e">
        <f t="shared" si="13"/>
        <v>#N/A</v>
      </c>
      <c r="O284" s="1" t="s">
        <v>1488</v>
      </c>
      <c r="P284" s="4" t="e">
        <f>VLOOKUP(A284,المعطيات!$A$1:$J$3500,4,0)</f>
        <v>#N/A</v>
      </c>
      <c r="Q284" s="1" t="s">
        <v>1489</v>
      </c>
      <c r="R284" s="1" t="s">
        <v>1480</v>
      </c>
      <c r="S284" s="6" t="e">
        <f t="shared" si="14"/>
        <v>#N/A</v>
      </c>
    </row>
    <row r="285" spans="2:19" x14ac:dyDescent="0.25">
      <c r="B285" s="1" t="s">
        <v>1479</v>
      </c>
      <c r="C285" s="1" t="s">
        <v>1481</v>
      </c>
      <c r="D285" s="4" t="e">
        <f>VLOOKUP(A285,المعطيات!$A$1:$J$3500,5,0)</f>
        <v>#N/A</v>
      </c>
      <c r="E285" s="1" t="s">
        <v>1482</v>
      </c>
      <c r="F285" s="5">
        <f t="shared" si="12"/>
        <v>0</v>
      </c>
      <c r="G285" s="5" t="s">
        <v>1483</v>
      </c>
      <c r="H285" s="4" t="e">
        <f>VLOOKUP(A285,المعطيات!$A$1:$J$3500,3,0)</f>
        <v>#N/A</v>
      </c>
      <c r="I285" s="1" t="s">
        <v>1484</v>
      </c>
      <c r="J285" s="1" t="s">
        <v>1485</v>
      </c>
      <c r="K285" s="4" t="e">
        <f>VLOOKUP(A285,المعطيات!$A$1:$J$3500,6,0)</f>
        <v>#N/A</v>
      </c>
      <c r="L285" s="1" t="s">
        <v>1486</v>
      </c>
      <c r="M285" s="1" t="s">
        <v>1487</v>
      </c>
      <c r="N285" s="4" t="e">
        <f t="shared" si="13"/>
        <v>#N/A</v>
      </c>
      <c r="O285" s="1" t="s">
        <v>1488</v>
      </c>
      <c r="P285" s="4" t="e">
        <f>VLOOKUP(A285,المعطيات!$A$1:$J$3500,4,0)</f>
        <v>#N/A</v>
      </c>
      <c r="Q285" s="1" t="s">
        <v>1489</v>
      </c>
      <c r="R285" s="1" t="s">
        <v>1480</v>
      </c>
      <c r="S285" s="6" t="e">
        <f t="shared" si="14"/>
        <v>#N/A</v>
      </c>
    </row>
    <row r="286" spans="2:19" x14ac:dyDescent="0.25">
      <c r="B286" s="1" t="s">
        <v>1479</v>
      </c>
      <c r="C286" s="1" t="s">
        <v>1481</v>
      </c>
      <c r="D286" s="4" t="e">
        <f>VLOOKUP(A286,المعطيات!$A$1:$J$3500,5,0)</f>
        <v>#N/A</v>
      </c>
      <c r="E286" s="1" t="s">
        <v>1482</v>
      </c>
      <c r="F286" s="5">
        <f t="shared" si="12"/>
        <v>0</v>
      </c>
      <c r="G286" s="5" t="s">
        <v>1483</v>
      </c>
      <c r="H286" s="4" t="e">
        <f>VLOOKUP(A286,المعطيات!$A$1:$J$3500,3,0)</f>
        <v>#N/A</v>
      </c>
      <c r="I286" s="1" t="s">
        <v>1484</v>
      </c>
      <c r="J286" s="1" t="s">
        <v>1485</v>
      </c>
      <c r="K286" s="4" t="e">
        <f>VLOOKUP(A286,المعطيات!$A$1:$J$3500,6,0)</f>
        <v>#N/A</v>
      </c>
      <c r="L286" s="1" t="s">
        <v>1486</v>
      </c>
      <c r="M286" s="1" t="s">
        <v>1487</v>
      </c>
      <c r="N286" s="4" t="e">
        <f t="shared" si="13"/>
        <v>#N/A</v>
      </c>
      <c r="O286" s="1" t="s">
        <v>1488</v>
      </c>
      <c r="P286" s="4" t="e">
        <f>VLOOKUP(A286,المعطيات!$A$1:$J$3500,4,0)</f>
        <v>#N/A</v>
      </c>
      <c r="Q286" s="1" t="s">
        <v>1489</v>
      </c>
      <c r="R286" s="1" t="s">
        <v>1480</v>
      </c>
      <c r="S286" s="6" t="e">
        <f t="shared" si="14"/>
        <v>#N/A</v>
      </c>
    </row>
    <row r="287" spans="2:19" x14ac:dyDescent="0.25">
      <c r="B287" s="1" t="s">
        <v>1479</v>
      </c>
      <c r="C287" s="1" t="s">
        <v>1481</v>
      </c>
      <c r="D287" s="4" t="e">
        <f>VLOOKUP(A287,المعطيات!$A$1:$J$3500,5,0)</f>
        <v>#N/A</v>
      </c>
      <c r="E287" s="1" t="s">
        <v>1482</v>
      </c>
      <c r="F287" s="5">
        <f t="shared" si="12"/>
        <v>0</v>
      </c>
      <c r="G287" s="5" t="s">
        <v>1483</v>
      </c>
      <c r="H287" s="4" t="e">
        <f>VLOOKUP(A287,المعطيات!$A$1:$J$3500,3,0)</f>
        <v>#N/A</v>
      </c>
      <c r="I287" s="1" t="s">
        <v>1484</v>
      </c>
      <c r="J287" s="1" t="s">
        <v>1485</v>
      </c>
      <c r="K287" s="4" t="e">
        <f>VLOOKUP(A287,المعطيات!$A$1:$J$3500,6,0)</f>
        <v>#N/A</v>
      </c>
      <c r="L287" s="1" t="s">
        <v>1486</v>
      </c>
      <c r="M287" s="1" t="s">
        <v>1487</v>
      </c>
      <c r="N287" s="4" t="e">
        <f t="shared" si="13"/>
        <v>#N/A</v>
      </c>
      <c r="O287" s="1" t="s">
        <v>1488</v>
      </c>
      <c r="P287" s="4" t="e">
        <f>VLOOKUP(A287,المعطيات!$A$1:$J$3500,4,0)</f>
        <v>#N/A</v>
      </c>
      <c r="Q287" s="1" t="s">
        <v>1489</v>
      </c>
      <c r="R287" s="1" t="s">
        <v>1480</v>
      </c>
      <c r="S287" s="6" t="e">
        <f t="shared" si="14"/>
        <v>#N/A</v>
      </c>
    </row>
    <row r="288" spans="2:19" x14ac:dyDescent="0.25">
      <c r="B288" s="1" t="s">
        <v>1479</v>
      </c>
      <c r="C288" s="1" t="s">
        <v>1481</v>
      </c>
      <c r="D288" s="4" t="e">
        <f>VLOOKUP(A288,المعطيات!$A$1:$J$3500,5,0)</f>
        <v>#N/A</v>
      </c>
      <c r="E288" s="1" t="s">
        <v>1482</v>
      </c>
      <c r="F288" s="5">
        <f t="shared" si="12"/>
        <v>0</v>
      </c>
      <c r="G288" s="5" t="s">
        <v>1483</v>
      </c>
      <c r="H288" s="4" t="e">
        <f>VLOOKUP(A288,المعطيات!$A$1:$J$3500,3,0)</f>
        <v>#N/A</v>
      </c>
      <c r="I288" s="1" t="s">
        <v>1484</v>
      </c>
      <c r="J288" s="1" t="s">
        <v>1485</v>
      </c>
      <c r="K288" s="4" t="e">
        <f>VLOOKUP(A288,المعطيات!$A$1:$J$3500,6,0)</f>
        <v>#N/A</v>
      </c>
      <c r="L288" s="1" t="s">
        <v>1486</v>
      </c>
      <c r="M288" s="1" t="s">
        <v>1487</v>
      </c>
      <c r="N288" s="4" t="e">
        <f t="shared" si="13"/>
        <v>#N/A</v>
      </c>
      <c r="O288" s="1" t="s">
        <v>1488</v>
      </c>
      <c r="P288" s="4" t="e">
        <f>VLOOKUP(A288,المعطيات!$A$1:$J$3500,4,0)</f>
        <v>#N/A</v>
      </c>
      <c r="Q288" s="1" t="s">
        <v>1489</v>
      </c>
      <c r="R288" s="1" t="s">
        <v>1480</v>
      </c>
      <c r="S288" s="6" t="e">
        <f t="shared" si="14"/>
        <v>#N/A</v>
      </c>
    </row>
    <row r="289" spans="2:19" x14ac:dyDescent="0.25">
      <c r="B289" s="1" t="s">
        <v>1479</v>
      </c>
      <c r="C289" s="1" t="s">
        <v>1481</v>
      </c>
      <c r="D289" s="4" t="e">
        <f>VLOOKUP(A289,المعطيات!$A$1:$J$3500,5,0)</f>
        <v>#N/A</v>
      </c>
      <c r="E289" s="1" t="s">
        <v>1482</v>
      </c>
      <c r="F289" s="5">
        <f t="shared" si="12"/>
        <v>0</v>
      </c>
      <c r="G289" s="5" t="s">
        <v>1483</v>
      </c>
      <c r="H289" s="4" t="e">
        <f>VLOOKUP(A289,المعطيات!$A$1:$J$3500,3,0)</f>
        <v>#N/A</v>
      </c>
      <c r="I289" s="1" t="s">
        <v>1484</v>
      </c>
      <c r="J289" s="1" t="s">
        <v>1485</v>
      </c>
      <c r="K289" s="4" t="e">
        <f>VLOOKUP(A289,المعطيات!$A$1:$J$3500,6,0)</f>
        <v>#N/A</v>
      </c>
      <c r="L289" s="1" t="s">
        <v>1486</v>
      </c>
      <c r="M289" s="1" t="s">
        <v>1487</v>
      </c>
      <c r="N289" s="4" t="e">
        <f t="shared" si="13"/>
        <v>#N/A</v>
      </c>
      <c r="O289" s="1" t="s">
        <v>1488</v>
      </c>
      <c r="P289" s="4" t="e">
        <f>VLOOKUP(A289,المعطيات!$A$1:$J$3500,4,0)</f>
        <v>#N/A</v>
      </c>
      <c r="Q289" s="1" t="s">
        <v>1489</v>
      </c>
      <c r="R289" s="1" t="s">
        <v>1480</v>
      </c>
      <c r="S289" s="6" t="e">
        <f t="shared" si="14"/>
        <v>#N/A</v>
      </c>
    </row>
    <row r="290" spans="2:19" x14ac:dyDescent="0.25">
      <c r="B290" s="1" t="s">
        <v>1479</v>
      </c>
      <c r="C290" s="1" t="s">
        <v>1481</v>
      </c>
      <c r="D290" s="4" t="e">
        <f>VLOOKUP(A290,المعطيات!$A$1:$J$3500,5,0)</f>
        <v>#N/A</v>
      </c>
      <c r="E290" s="1" t="s">
        <v>1482</v>
      </c>
      <c r="F290" s="5">
        <f t="shared" si="12"/>
        <v>0</v>
      </c>
      <c r="G290" s="5" t="s">
        <v>1483</v>
      </c>
      <c r="H290" s="4" t="e">
        <f>VLOOKUP(A290,المعطيات!$A$1:$J$3500,3,0)</f>
        <v>#N/A</v>
      </c>
      <c r="I290" s="1" t="s">
        <v>1484</v>
      </c>
      <c r="J290" s="1" t="s">
        <v>1485</v>
      </c>
      <c r="K290" s="4" t="e">
        <f>VLOOKUP(A290,المعطيات!$A$1:$J$3500,6,0)</f>
        <v>#N/A</v>
      </c>
      <c r="L290" s="1" t="s">
        <v>1486</v>
      </c>
      <c r="M290" s="1" t="s">
        <v>1487</v>
      </c>
      <c r="N290" s="4" t="e">
        <f t="shared" si="13"/>
        <v>#N/A</v>
      </c>
      <c r="O290" s="1" t="s">
        <v>1488</v>
      </c>
      <c r="P290" s="4" t="e">
        <f>VLOOKUP(A290,المعطيات!$A$1:$J$3500,4,0)</f>
        <v>#N/A</v>
      </c>
      <c r="Q290" s="1" t="s">
        <v>1489</v>
      </c>
      <c r="R290" s="1" t="s">
        <v>1480</v>
      </c>
      <c r="S290" s="6" t="e">
        <f t="shared" si="14"/>
        <v>#N/A</v>
      </c>
    </row>
    <row r="291" spans="2:19" x14ac:dyDescent="0.25">
      <c r="B291" s="1" t="s">
        <v>1479</v>
      </c>
      <c r="C291" s="1" t="s">
        <v>1481</v>
      </c>
      <c r="D291" s="4" t="e">
        <f>VLOOKUP(A291,المعطيات!$A$1:$J$3500,5,0)</f>
        <v>#N/A</v>
      </c>
      <c r="E291" s="1" t="s">
        <v>1482</v>
      </c>
      <c r="F291" s="5">
        <f t="shared" si="12"/>
        <v>0</v>
      </c>
      <c r="G291" s="5" t="s">
        <v>1483</v>
      </c>
      <c r="H291" s="4" t="e">
        <f>VLOOKUP(A291,المعطيات!$A$1:$J$3500,3,0)</f>
        <v>#N/A</v>
      </c>
      <c r="I291" s="1" t="s">
        <v>1484</v>
      </c>
      <c r="J291" s="1" t="s">
        <v>1485</v>
      </c>
      <c r="K291" s="4" t="e">
        <f>VLOOKUP(A291,المعطيات!$A$1:$J$3500,6,0)</f>
        <v>#N/A</v>
      </c>
      <c r="L291" s="1" t="s">
        <v>1486</v>
      </c>
      <c r="M291" s="1" t="s">
        <v>1487</v>
      </c>
      <c r="N291" s="4" t="e">
        <f t="shared" si="13"/>
        <v>#N/A</v>
      </c>
      <c r="O291" s="1" t="s">
        <v>1488</v>
      </c>
      <c r="P291" s="4" t="e">
        <f>VLOOKUP(A291,المعطيات!$A$1:$J$3500,4,0)</f>
        <v>#N/A</v>
      </c>
      <c r="Q291" s="1" t="s">
        <v>1489</v>
      </c>
      <c r="R291" s="1" t="s">
        <v>1480</v>
      </c>
      <c r="S291" s="6" t="e">
        <f t="shared" si="14"/>
        <v>#N/A</v>
      </c>
    </row>
    <row r="292" spans="2:19" x14ac:dyDescent="0.25">
      <c r="B292" s="1" t="s">
        <v>1479</v>
      </c>
      <c r="C292" s="1" t="s">
        <v>1481</v>
      </c>
      <c r="D292" s="4" t="e">
        <f>VLOOKUP(A292,المعطيات!$A$1:$J$3500,5,0)</f>
        <v>#N/A</v>
      </c>
      <c r="E292" s="1" t="s">
        <v>1482</v>
      </c>
      <c r="F292" s="5">
        <f t="shared" si="12"/>
        <v>0</v>
      </c>
      <c r="G292" s="5" t="s">
        <v>1483</v>
      </c>
      <c r="H292" s="4" t="e">
        <f>VLOOKUP(A292,المعطيات!$A$1:$J$3500,3,0)</f>
        <v>#N/A</v>
      </c>
      <c r="I292" s="1" t="s">
        <v>1484</v>
      </c>
      <c r="J292" s="1" t="s">
        <v>1485</v>
      </c>
      <c r="K292" s="4" t="e">
        <f>VLOOKUP(A292,المعطيات!$A$1:$J$3500,6,0)</f>
        <v>#N/A</v>
      </c>
      <c r="L292" s="1" t="s">
        <v>1486</v>
      </c>
      <c r="M292" s="1" t="s">
        <v>1487</v>
      </c>
      <c r="N292" s="4" t="e">
        <f t="shared" si="13"/>
        <v>#N/A</v>
      </c>
      <c r="O292" s="1" t="s">
        <v>1488</v>
      </c>
      <c r="P292" s="4" t="e">
        <f>VLOOKUP(A292,المعطيات!$A$1:$J$3500,4,0)</f>
        <v>#N/A</v>
      </c>
      <c r="Q292" s="1" t="s">
        <v>1489</v>
      </c>
      <c r="R292" s="1" t="s">
        <v>1480</v>
      </c>
      <c r="S292" s="6" t="e">
        <f t="shared" si="14"/>
        <v>#N/A</v>
      </c>
    </row>
    <row r="293" spans="2:19" x14ac:dyDescent="0.25">
      <c r="B293" s="1" t="s">
        <v>1479</v>
      </c>
      <c r="C293" s="1" t="s">
        <v>1481</v>
      </c>
      <c r="D293" s="4" t="e">
        <f>VLOOKUP(A293,المعطيات!$A$1:$J$3500,5,0)</f>
        <v>#N/A</v>
      </c>
      <c r="E293" s="1" t="s">
        <v>1482</v>
      </c>
      <c r="F293" s="5">
        <f t="shared" si="12"/>
        <v>0</v>
      </c>
      <c r="G293" s="5" t="s">
        <v>1483</v>
      </c>
      <c r="H293" s="4" t="e">
        <f>VLOOKUP(A293,المعطيات!$A$1:$J$3500,3,0)</f>
        <v>#N/A</v>
      </c>
      <c r="I293" s="1" t="s">
        <v>1484</v>
      </c>
      <c r="J293" s="1" t="s">
        <v>1485</v>
      </c>
      <c r="K293" s="4" t="e">
        <f>VLOOKUP(A293,المعطيات!$A$1:$J$3500,6,0)</f>
        <v>#N/A</v>
      </c>
      <c r="L293" s="1" t="s">
        <v>1486</v>
      </c>
      <c r="M293" s="1" t="s">
        <v>1487</v>
      </c>
      <c r="N293" s="4" t="e">
        <f t="shared" si="13"/>
        <v>#N/A</v>
      </c>
      <c r="O293" s="1" t="s">
        <v>1488</v>
      </c>
      <c r="P293" s="4" t="e">
        <f>VLOOKUP(A293,المعطيات!$A$1:$J$3500,4,0)</f>
        <v>#N/A</v>
      </c>
      <c r="Q293" s="1" t="s">
        <v>1489</v>
      </c>
      <c r="R293" s="1" t="s">
        <v>1480</v>
      </c>
      <c r="S293" s="6" t="e">
        <f t="shared" si="14"/>
        <v>#N/A</v>
      </c>
    </row>
    <row r="294" spans="2:19" x14ac:dyDescent="0.25">
      <c r="B294" s="1" t="s">
        <v>1479</v>
      </c>
      <c r="C294" s="1" t="s">
        <v>1481</v>
      </c>
      <c r="D294" s="4" t="e">
        <f>VLOOKUP(A294,المعطيات!$A$1:$J$3500,5,0)</f>
        <v>#N/A</v>
      </c>
      <c r="E294" s="1" t="s">
        <v>1482</v>
      </c>
      <c r="F294" s="5">
        <f t="shared" si="12"/>
        <v>0</v>
      </c>
      <c r="G294" s="5" t="s">
        <v>1483</v>
      </c>
      <c r="H294" s="4" t="e">
        <f>VLOOKUP(A294,المعطيات!$A$1:$J$3500,3,0)</f>
        <v>#N/A</v>
      </c>
      <c r="I294" s="1" t="s">
        <v>1484</v>
      </c>
      <c r="J294" s="1" t="s">
        <v>1485</v>
      </c>
      <c r="K294" s="4" t="e">
        <f>VLOOKUP(A294,المعطيات!$A$1:$J$3500,6,0)</f>
        <v>#N/A</v>
      </c>
      <c r="L294" s="1" t="s">
        <v>1486</v>
      </c>
      <c r="M294" s="1" t="s">
        <v>1487</v>
      </c>
      <c r="N294" s="4" t="e">
        <f t="shared" si="13"/>
        <v>#N/A</v>
      </c>
      <c r="O294" s="1" t="s">
        <v>1488</v>
      </c>
      <c r="P294" s="4" t="e">
        <f>VLOOKUP(A294,المعطيات!$A$1:$J$3500,4,0)</f>
        <v>#N/A</v>
      </c>
      <c r="Q294" s="1" t="s">
        <v>1489</v>
      </c>
      <c r="R294" s="1" t="s">
        <v>1480</v>
      </c>
      <c r="S294" s="6" t="e">
        <f t="shared" si="14"/>
        <v>#N/A</v>
      </c>
    </row>
    <row r="295" spans="2:19" x14ac:dyDescent="0.25">
      <c r="B295" s="1" t="s">
        <v>1479</v>
      </c>
      <c r="C295" s="1" t="s">
        <v>1481</v>
      </c>
      <c r="D295" s="4" t="e">
        <f>VLOOKUP(A295,المعطيات!$A$1:$J$3500,5,0)</f>
        <v>#N/A</v>
      </c>
      <c r="E295" s="1" t="s">
        <v>1482</v>
      </c>
      <c r="F295" s="5">
        <f t="shared" si="12"/>
        <v>0</v>
      </c>
      <c r="G295" s="5" t="s">
        <v>1483</v>
      </c>
      <c r="H295" s="4" t="e">
        <f>VLOOKUP(A295,المعطيات!$A$1:$J$3500,3,0)</f>
        <v>#N/A</v>
      </c>
      <c r="I295" s="1" t="s">
        <v>1484</v>
      </c>
      <c r="J295" s="1" t="s">
        <v>1485</v>
      </c>
      <c r="K295" s="4" t="e">
        <f>VLOOKUP(A295,المعطيات!$A$1:$J$3500,6,0)</f>
        <v>#N/A</v>
      </c>
      <c r="L295" s="1" t="s">
        <v>1486</v>
      </c>
      <c r="M295" s="1" t="s">
        <v>1487</v>
      </c>
      <c r="N295" s="4" t="e">
        <f t="shared" si="13"/>
        <v>#N/A</v>
      </c>
      <c r="O295" s="1" t="s">
        <v>1488</v>
      </c>
      <c r="P295" s="4" t="e">
        <f>VLOOKUP(A295,المعطيات!$A$1:$J$3500,4,0)</f>
        <v>#N/A</v>
      </c>
      <c r="Q295" s="1" t="s">
        <v>1489</v>
      </c>
      <c r="R295" s="1" t="s">
        <v>1480</v>
      </c>
      <c r="S295" s="6" t="e">
        <f t="shared" si="14"/>
        <v>#N/A</v>
      </c>
    </row>
    <row r="296" spans="2:19" x14ac:dyDescent="0.25">
      <c r="B296" s="1" t="s">
        <v>1479</v>
      </c>
      <c r="C296" s="1" t="s">
        <v>1481</v>
      </c>
      <c r="D296" s="4" t="e">
        <f>VLOOKUP(A296,المعطيات!$A$1:$J$3500,5,0)</f>
        <v>#N/A</v>
      </c>
      <c r="E296" s="1" t="s">
        <v>1482</v>
      </c>
      <c r="F296" s="5">
        <f t="shared" si="12"/>
        <v>0</v>
      </c>
      <c r="G296" s="5" t="s">
        <v>1483</v>
      </c>
      <c r="H296" s="4" t="e">
        <f>VLOOKUP(A296,المعطيات!$A$1:$J$3500,3,0)</f>
        <v>#N/A</v>
      </c>
      <c r="I296" s="1" t="s">
        <v>1484</v>
      </c>
      <c r="J296" s="1" t="s">
        <v>1485</v>
      </c>
      <c r="K296" s="4" t="e">
        <f>VLOOKUP(A296,المعطيات!$A$1:$J$3500,6,0)</f>
        <v>#N/A</v>
      </c>
      <c r="L296" s="1" t="s">
        <v>1486</v>
      </c>
      <c r="M296" s="1" t="s">
        <v>1487</v>
      </c>
      <c r="N296" s="4" t="e">
        <f t="shared" si="13"/>
        <v>#N/A</v>
      </c>
      <c r="O296" s="1" t="s">
        <v>1488</v>
      </c>
      <c r="P296" s="4" t="e">
        <f>VLOOKUP(A296,المعطيات!$A$1:$J$3500,4,0)</f>
        <v>#N/A</v>
      </c>
      <c r="Q296" s="1" t="s">
        <v>1489</v>
      </c>
      <c r="R296" s="1" t="s">
        <v>1480</v>
      </c>
      <c r="S296" s="6" t="e">
        <f t="shared" si="14"/>
        <v>#N/A</v>
      </c>
    </row>
    <row r="297" spans="2:19" x14ac:dyDescent="0.25">
      <c r="B297" s="1" t="s">
        <v>1479</v>
      </c>
      <c r="C297" s="1" t="s">
        <v>1481</v>
      </c>
      <c r="D297" s="4" t="e">
        <f>VLOOKUP(A297,المعطيات!$A$1:$J$3500,5,0)</f>
        <v>#N/A</v>
      </c>
      <c r="E297" s="1" t="s">
        <v>1482</v>
      </c>
      <c r="F297" s="5">
        <f t="shared" si="12"/>
        <v>0</v>
      </c>
      <c r="G297" s="5" t="s">
        <v>1483</v>
      </c>
      <c r="H297" s="4" t="e">
        <f>VLOOKUP(A297,المعطيات!$A$1:$J$3500,3,0)</f>
        <v>#N/A</v>
      </c>
      <c r="I297" s="1" t="s">
        <v>1484</v>
      </c>
      <c r="J297" s="1" t="s">
        <v>1485</v>
      </c>
      <c r="K297" s="4" t="e">
        <f>VLOOKUP(A297,المعطيات!$A$1:$J$3500,6,0)</f>
        <v>#N/A</v>
      </c>
      <c r="L297" s="1" t="s">
        <v>1486</v>
      </c>
      <c r="M297" s="1" t="s">
        <v>1487</v>
      </c>
      <c r="N297" s="4" t="e">
        <f t="shared" si="13"/>
        <v>#N/A</v>
      </c>
      <c r="O297" s="1" t="s">
        <v>1488</v>
      </c>
      <c r="P297" s="4" t="e">
        <f>VLOOKUP(A297,المعطيات!$A$1:$J$3500,4,0)</f>
        <v>#N/A</v>
      </c>
      <c r="Q297" s="1" t="s">
        <v>1489</v>
      </c>
      <c r="R297" s="1" t="s">
        <v>1480</v>
      </c>
      <c r="S297" s="6" t="e">
        <f t="shared" si="14"/>
        <v>#N/A</v>
      </c>
    </row>
    <row r="298" spans="2:19" x14ac:dyDescent="0.25">
      <c r="B298" s="1" t="s">
        <v>1479</v>
      </c>
      <c r="C298" s="1" t="s">
        <v>1481</v>
      </c>
      <c r="D298" s="4" t="e">
        <f>VLOOKUP(A298,المعطيات!$A$1:$J$3500,5,0)</f>
        <v>#N/A</v>
      </c>
      <c r="E298" s="1" t="s">
        <v>1482</v>
      </c>
      <c r="F298" s="5">
        <f t="shared" si="12"/>
        <v>0</v>
      </c>
      <c r="G298" s="5" t="s">
        <v>1483</v>
      </c>
      <c r="H298" s="4" t="e">
        <f>VLOOKUP(A298,المعطيات!$A$1:$J$3500,3,0)</f>
        <v>#N/A</v>
      </c>
      <c r="I298" s="1" t="s">
        <v>1484</v>
      </c>
      <c r="J298" s="1" t="s">
        <v>1485</v>
      </c>
      <c r="K298" s="4" t="e">
        <f>VLOOKUP(A298,المعطيات!$A$1:$J$3500,6,0)</f>
        <v>#N/A</v>
      </c>
      <c r="L298" s="1" t="s">
        <v>1486</v>
      </c>
      <c r="M298" s="1" t="s">
        <v>1487</v>
      </c>
      <c r="N298" s="4" t="e">
        <f t="shared" si="13"/>
        <v>#N/A</v>
      </c>
      <c r="O298" s="1" t="s">
        <v>1488</v>
      </c>
      <c r="P298" s="4" t="e">
        <f>VLOOKUP(A298,المعطيات!$A$1:$J$3500,4,0)</f>
        <v>#N/A</v>
      </c>
      <c r="Q298" s="1" t="s">
        <v>1489</v>
      </c>
      <c r="R298" s="1" t="s">
        <v>1480</v>
      </c>
      <c r="S298" s="6" t="e">
        <f t="shared" si="14"/>
        <v>#N/A</v>
      </c>
    </row>
    <row r="299" spans="2:19" x14ac:dyDescent="0.25">
      <c r="B299" s="1" t="s">
        <v>1479</v>
      </c>
      <c r="C299" s="1" t="s">
        <v>1481</v>
      </c>
      <c r="D299" s="4" t="e">
        <f>VLOOKUP(A299,المعطيات!$A$1:$J$3500,5,0)</f>
        <v>#N/A</v>
      </c>
      <c r="E299" s="1" t="s">
        <v>1482</v>
      </c>
      <c r="F299" s="5">
        <f t="shared" si="12"/>
        <v>0</v>
      </c>
      <c r="G299" s="5" t="s">
        <v>1483</v>
      </c>
      <c r="H299" s="4" t="e">
        <f>VLOOKUP(A299,المعطيات!$A$1:$J$3500,3,0)</f>
        <v>#N/A</v>
      </c>
      <c r="I299" s="1" t="s">
        <v>1484</v>
      </c>
      <c r="J299" s="1" t="s">
        <v>1485</v>
      </c>
      <c r="K299" s="4" t="e">
        <f>VLOOKUP(A299,المعطيات!$A$1:$J$3500,6,0)</f>
        <v>#N/A</v>
      </c>
      <c r="L299" s="1" t="s">
        <v>1486</v>
      </c>
      <c r="M299" s="1" t="s">
        <v>1487</v>
      </c>
      <c r="N299" s="4" t="e">
        <f t="shared" si="13"/>
        <v>#N/A</v>
      </c>
      <c r="O299" s="1" t="s">
        <v>1488</v>
      </c>
      <c r="P299" s="4" t="e">
        <f>VLOOKUP(A299,المعطيات!$A$1:$J$3500,4,0)</f>
        <v>#N/A</v>
      </c>
      <c r="Q299" s="1" t="s">
        <v>1489</v>
      </c>
      <c r="R299" s="1" t="s">
        <v>1480</v>
      </c>
      <c r="S299" s="6" t="e">
        <f t="shared" si="14"/>
        <v>#N/A</v>
      </c>
    </row>
    <row r="300" spans="2:19" x14ac:dyDescent="0.25">
      <c r="B300" s="1" t="s">
        <v>1479</v>
      </c>
      <c r="C300" s="1" t="s">
        <v>1481</v>
      </c>
      <c r="D300" s="4" t="e">
        <f>VLOOKUP(A300,المعطيات!$A$1:$J$3500,5,0)</f>
        <v>#N/A</v>
      </c>
      <c r="E300" s="1" t="s">
        <v>1482</v>
      </c>
      <c r="F300" s="5">
        <f t="shared" si="12"/>
        <v>0</v>
      </c>
      <c r="G300" s="5" t="s">
        <v>1483</v>
      </c>
      <c r="H300" s="4" t="e">
        <f>VLOOKUP(A300,المعطيات!$A$1:$J$3500,3,0)</f>
        <v>#N/A</v>
      </c>
      <c r="I300" s="1" t="s">
        <v>1484</v>
      </c>
      <c r="J300" s="1" t="s">
        <v>1485</v>
      </c>
      <c r="K300" s="4" t="e">
        <f>VLOOKUP(A300,المعطيات!$A$1:$J$3500,6,0)</f>
        <v>#N/A</v>
      </c>
      <c r="L300" s="1" t="s">
        <v>1486</v>
      </c>
      <c r="M300" s="1" t="s">
        <v>1487</v>
      </c>
      <c r="N300" s="4" t="e">
        <f t="shared" si="13"/>
        <v>#N/A</v>
      </c>
      <c r="O300" s="1" t="s">
        <v>1488</v>
      </c>
      <c r="P300" s="4" t="e">
        <f>VLOOKUP(A300,المعطيات!$A$1:$J$3500,4,0)</f>
        <v>#N/A</v>
      </c>
      <c r="Q300" s="1" t="s">
        <v>1489</v>
      </c>
      <c r="R300" s="1" t="s">
        <v>1480</v>
      </c>
      <c r="S300" s="6" t="e">
        <f t="shared" si="14"/>
        <v>#N/A</v>
      </c>
    </row>
    <row r="301" spans="2:19" x14ac:dyDescent="0.25">
      <c r="B301" s="1" t="s">
        <v>1479</v>
      </c>
      <c r="C301" s="1" t="s">
        <v>1481</v>
      </c>
      <c r="D301" s="4" t="e">
        <f>VLOOKUP(A301,المعطيات!$A$1:$J$3500,5,0)</f>
        <v>#N/A</v>
      </c>
      <c r="E301" s="1" t="s">
        <v>1482</v>
      </c>
      <c r="F301" s="5">
        <f t="shared" si="12"/>
        <v>0</v>
      </c>
      <c r="G301" s="5" t="s">
        <v>1483</v>
      </c>
      <c r="H301" s="4" t="e">
        <f>VLOOKUP(A301,المعطيات!$A$1:$J$3500,3,0)</f>
        <v>#N/A</v>
      </c>
      <c r="I301" s="1" t="s">
        <v>1484</v>
      </c>
      <c r="J301" s="1" t="s">
        <v>1485</v>
      </c>
      <c r="K301" s="4" t="e">
        <f>VLOOKUP(A301,المعطيات!$A$1:$J$3500,6,0)</f>
        <v>#N/A</v>
      </c>
      <c r="L301" s="1" t="s">
        <v>1486</v>
      </c>
      <c r="M301" s="1" t="s">
        <v>1487</v>
      </c>
      <c r="N301" s="4" t="e">
        <f t="shared" si="13"/>
        <v>#N/A</v>
      </c>
      <c r="O301" s="1" t="s">
        <v>1488</v>
      </c>
      <c r="P301" s="4" t="e">
        <f>VLOOKUP(A301,المعطيات!$A$1:$J$3500,4,0)</f>
        <v>#N/A</v>
      </c>
      <c r="Q301" s="1" t="s">
        <v>1489</v>
      </c>
      <c r="R301" s="1" t="s">
        <v>1480</v>
      </c>
      <c r="S301" s="6" t="e">
        <f t="shared" si="14"/>
        <v>#N/A</v>
      </c>
    </row>
    <row r="302" spans="2:19" x14ac:dyDescent="0.25">
      <c r="B302" s="1" t="s">
        <v>1479</v>
      </c>
      <c r="C302" s="1" t="s">
        <v>1481</v>
      </c>
      <c r="D302" s="4" t="e">
        <f>VLOOKUP(A302,المعطيات!$A$1:$J$3500,5,0)</f>
        <v>#N/A</v>
      </c>
      <c r="E302" s="1" t="s">
        <v>1482</v>
      </c>
      <c r="F302" s="5">
        <f t="shared" si="12"/>
        <v>0</v>
      </c>
      <c r="G302" s="5" t="s">
        <v>1483</v>
      </c>
      <c r="H302" s="4" t="e">
        <f>VLOOKUP(A302,المعطيات!$A$1:$J$3500,3,0)</f>
        <v>#N/A</v>
      </c>
      <c r="I302" s="1" t="s">
        <v>1484</v>
      </c>
      <c r="J302" s="1" t="s">
        <v>1485</v>
      </c>
      <c r="K302" s="4" t="e">
        <f>VLOOKUP(A302,المعطيات!$A$1:$J$3500,6,0)</f>
        <v>#N/A</v>
      </c>
      <c r="L302" s="1" t="s">
        <v>1486</v>
      </c>
      <c r="M302" s="1" t="s">
        <v>1487</v>
      </c>
      <c r="N302" s="4" t="e">
        <f t="shared" si="13"/>
        <v>#N/A</v>
      </c>
      <c r="O302" s="1" t="s">
        <v>1488</v>
      </c>
      <c r="P302" s="4" t="e">
        <f>VLOOKUP(A302,المعطيات!$A$1:$J$3500,4,0)</f>
        <v>#N/A</v>
      </c>
      <c r="Q302" s="1" t="s">
        <v>1489</v>
      </c>
      <c r="R302" s="1" t="s">
        <v>1480</v>
      </c>
      <c r="S302" s="6" t="e">
        <f t="shared" si="14"/>
        <v>#N/A</v>
      </c>
    </row>
    <row r="303" spans="2:19" x14ac:dyDescent="0.25">
      <c r="B303" s="1" t="s">
        <v>1479</v>
      </c>
      <c r="C303" s="1" t="s">
        <v>1481</v>
      </c>
      <c r="D303" s="4" t="e">
        <f>VLOOKUP(A303,المعطيات!$A$1:$J$3500,5,0)</f>
        <v>#N/A</v>
      </c>
      <c r="E303" s="1" t="s">
        <v>1482</v>
      </c>
      <c r="F303" s="5">
        <f t="shared" si="12"/>
        <v>0</v>
      </c>
      <c r="G303" s="5" t="s">
        <v>1483</v>
      </c>
      <c r="H303" s="4" t="e">
        <f>VLOOKUP(A303,المعطيات!$A$1:$J$3500,3,0)</f>
        <v>#N/A</v>
      </c>
      <c r="I303" s="1" t="s">
        <v>1484</v>
      </c>
      <c r="J303" s="1" t="s">
        <v>1485</v>
      </c>
      <c r="K303" s="4" t="e">
        <f>VLOOKUP(A303,المعطيات!$A$1:$J$3500,6,0)</f>
        <v>#N/A</v>
      </c>
      <c r="L303" s="1" t="s">
        <v>1486</v>
      </c>
      <c r="M303" s="1" t="s">
        <v>1487</v>
      </c>
      <c r="N303" s="4" t="e">
        <f t="shared" si="13"/>
        <v>#N/A</v>
      </c>
      <c r="O303" s="1" t="s">
        <v>1488</v>
      </c>
      <c r="P303" s="4" t="e">
        <f>VLOOKUP(A303,المعطيات!$A$1:$J$3500,4,0)</f>
        <v>#N/A</v>
      </c>
      <c r="Q303" s="1" t="s">
        <v>1489</v>
      </c>
      <c r="R303" s="1" t="s">
        <v>1480</v>
      </c>
      <c r="S303" s="6" t="e">
        <f t="shared" si="14"/>
        <v>#N/A</v>
      </c>
    </row>
    <row r="304" spans="2:19" x14ac:dyDescent="0.25">
      <c r="B304" s="1" t="s">
        <v>1479</v>
      </c>
      <c r="C304" s="1" t="s">
        <v>1481</v>
      </c>
      <c r="D304" s="4" t="e">
        <f>VLOOKUP(A304,المعطيات!$A$1:$J$3500,5,0)</f>
        <v>#N/A</v>
      </c>
      <c r="E304" s="1" t="s">
        <v>1482</v>
      </c>
      <c r="F304" s="5">
        <f t="shared" si="12"/>
        <v>0</v>
      </c>
      <c r="G304" s="5" t="s">
        <v>1483</v>
      </c>
      <c r="H304" s="4" t="e">
        <f>VLOOKUP(A304,المعطيات!$A$1:$J$3500,3,0)</f>
        <v>#N/A</v>
      </c>
      <c r="I304" s="1" t="s">
        <v>1484</v>
      </c>
      <c r="J304" s="1" t="s">
        <v>1485</v>
      </c>
      <c r="K304" s="4" t="e">
        <f>VLOOKUP(A304,المعطيات!$A$1:$J$3500,6,0)</f>
        <v>#N/A</v>
      </c>
      <c r="L304" s="1" t="s">
        <v>1486</v>
      </c>
      <c r="M304" s="1" t="s">
        <v>1487</v>
      </c>
      <c r="N304" s="4" t="e">
        <f t="shared" si="13"/>
        <v>#N/A</v>
      </c>
      <c r="O304" s="1" t="s">
        <v>1488</v>
      </c>
      <c r="P304" s="4" t="e">
        <f>VLOOKUP(A304,المعطيات!$A$1:$J$3500,4,0)</f>
        <v>#N/A</v>
      </c>
      <c r="Q304" s="1" t="s">
        <v>1489</v>
      </c>
      <c r="R304" s="1" t="s">
        <v>1480</v>
      </c>
      <c r="S304" s="6" t="e">
        <f t="shared" si="14"/>
        <v>#N/A</v>
      </c>
    </row>
    <row r="305" spans="2:19" x14ac:dyDescent="0.25">
      <c r="B305" s="1" t="s">
        <v>1479</v>
      </c>
      <c r="C305" s="1" t="s">
        <v>1481</v>
      </c>
      <c r="D305" s="4" t="e">
        <f>VLOOKUP(A305,المعطيات!$A$1:$J$3500,5,0)</f>
        <v>#N/A</v>
      </c>
      <c r="E305" s="1" t="s">
        <v>1482</v>
      </c>
      <c r="F305" s="5">
        <f t="shared" si="12"/>
        <v>0</v>
      </c>
      <c r="G305" s="5" t="s">
        <v>1483</v>
      </c>
      <c r="H305" s="4" t="e">
        <f>VLOOKUP(A305,المعطيات!$A$1:$J$3500,3,0)</f>
        <v>#N/A</v>
      </c>
      <c r="I305" s="1" t="s">
        <v>1484</v>
      </c>
      <c r="J305" s="1" t="s">
        <v>1485</v>
      </c>
      <c r="K305" s="4" t="e">
        <f>VLOOKUP(A305,المعطيات!$A$1:$J$3500,6,0)</f>
        <v>#N/A</v>
      </c>
      <c r="L305" s="1" t="s">
        <v>1486</v>
      </c>
      <c r="M305" s="1" t="s">
        <v>1487</v>
      </c>
      <c r="N305" s="4" t="e">
        <f t="shared" si="13"/>
        <v>#N/A</v>
      </c>
      <c r="O305" s="1" t="s">
        <v>1488</v>
      </c>
      <c r="P305" s="4" t="e">
        <f>VLOOKUP(A305,المعطيات!$A$1:$J$3500,4,0)</f>
        <v>#N/A</v>
      </c>
      <c r="Q305" s="1" t="s">
        <v>1489</v>
      </c>
      <c r="R305" s="1" t="s">
        <v>1480</v>
      </c>
      <c r="S305" s="6" t="e">
        <f t="shared" si="14"/>
        <v>#N/A</v>
      </c>
    </row>
    <row r="306" spans="2:19" x14ac:dyDescent="0.25">
      <c r="B306" s="1" t="s">
        <v>1479</v>
      </c>
      <c r="C306" s="1" t="s">
        <v>1481</v>
      </c>
      <c r="D306" s="4" t="e">
        <f>VLOOKUP(A306,المعطيات!$A$1:$J$3500,5,0)</f>
        <v>#N/A</v>
      </c>
      <c r="E306" s="1" t="s">
        <v>1482</v>
      </c>
      <c r="F306" s="5">
        <f t="shared" si="12"/>
        <v>0</v>
      </c>
      <c r="G306" s="5" t="s">
        <v>1483</v>
      </c>
      <c r="H306" s="4" t="e">
        <f>VLOOKUP(A306,المعطيات!$A$1:$J$3500,3,0)</f>
        <v>#N/A</v>
      </c>
      <c r="I306" s="1" t="s">
        <v>1484</v>
      </c>
      <c r="J306" s="1" t="s">
        <v>1485</v>
      </c>
      <c r="K306" s="4" t="e">
        <f>VLOOKUP(A306,المعطيات!$A$1:$J$3500,6,0)</f>
        <v>#N/A</v>
      </c>
      <c r="L306" s="1" t="s">
        <v>1486</v>
      </c>
      <c r="M306" s="1" t="s">
        <v>1487</v>
      </c>
      <c r="N306" s="4" t="e">
        <f t="shared" si="13"/>
        <v>#N/A</v>
      </c>
      <c r="O306" s="1" t="s">
        <v>1488</v>
      </c>
      <c r="P306" s="4" t="e">
        <f>VLOOKUP(A306,المعطيات!$A$1:$J$3500,4,0)</f>
        <v>#N/A</v>
      </c>
      <c r="Q306" s="1" t="s">
        <v>1489</v>
      </c>
      <c r="R306" s="1" t="s">
        <v>1480</v>
      </c>
      <c r="S306" s="6" t="e">
        <f t="shared" si="14"/>
        <v>#N/A</v>
      </c>
    </row>
    <row r="307" spans="2:19" x14ac:dyDescent="0.25">
      <c r="B307" s="1" t="s">
        <v>1479</v>
      </c>
      <c r="C307" s="1" t="s">
        <v>1481</v>
      </c>
      <c r="D307" s="4" t="e">
        <f>VLOOKUP(A307,المعطيات!$A$1:$J$3500,5,0)</f>
        <v>#N/A</v>
      </c>
      <c r="E307" s="1" t="s">
        <v>1482</v>
      </c>
      <c r="F307" s="5">
        <f t="shared" si="12"/>
        <v>0</v>
      </c>
      <c r="G307" s="5" t="s">
        <v>1483</v>
      </c>
      <c r="H307" s="4" t="e">
        <f>VLOOKUP(A307,المعطيات!$A$1:$J$3500,3,0)</f>
        <v>#N/A</v>
      </c>
      <c r="I307" s="1" t="s">
        <v>1484</v>
      </c>
      <c r="J307" s="1" t="s">
        <v>1485</v>
      </c>
      <c r="K307" s="4" t="e">
        <f>VLOOKUP(A307,المعطيات!$A$1:$J$3500,6,0)</f>
        <v>#N/A</v>
      </c>
      <c r="L307" s="1" t="s">
        <v>1486</v>
      </c>
      <c r="M307" s="1" t="s">
        <v>1487</v>
      </c>
      <c r="N307" s="4" t="e">
        <f t="shared" si="13"/>
        <v>#N/A</v>
      </c>
      <c r="O307" s="1" t="s">
        <v>1488</v>
      </c>
      <c r="P307" s="4" t="e">
        <f>VLOOKUP(A307,المعطيات!$A$1:$J$3500,4,0)</f>
        <v>#N/A</v>
      </c>
      <c r="Q307" s="1" t="s">
        <v>1489</v>
      </c>
      <c r="R307" s="1" t="s">
        <v>1480</v>
      </c>
      <c r="S307" s="6" t="e">
        <f t="shared" si="14"/>
        <v>#N/A</v>
      </c>
    </row>
    <row r="308" spans="2:19" x14ac:dyDescent="0.25">
      <c r="B308" s="1" t="s">
        <v>1479</v>
      </c>
      <c r="C308" s="1" t="s">
        <v>1481</v>
      </c>
      <c r="D308" s="4" t="e">
        <f>VLOOKUP(A308,المعطيات!$A$1:$J$3500,5,0)</f>
        <v>#N/A</v>
      </c>
      <c r="E308" s="1" t="s">
        <v>1482</v>
      </c>
      <c r="F308" s="5">
        <f t="shared" si="12"/>
        <v>0</v>
      </c>
      <c r="G308" s="5" t="s">
        <v>1483</v>
      </c>
      <c r="H308" s="4" t="e">
        <f>VLOOKUP(A308,المعطيات!$A$1:$J$3500,3,0)</f>
        <v>#N/A</v>
      </c>
      <c r="I308" s="1" t="s">
        <v>1484</v>
      </c>
      <c r="J308" s="1" t="s">
        <v>1485</v>
      </c>
      <c r="K308" s="4" t="e">
        <f>VLOOKUP(A308,المعطيات!$A$1:$J$3500,6,0)</f>
        <v>#N/A</v>
      </c>
      <c r="L308" s="1" t="s">
        <v>1486</v>
      </c>
      <c r="M308" s="1" t="s">
        <v>1487</v>
      </c>
      <c r="N308" s="4" t="e">
        <f t="shared" si="13"/>
        <v>#N/A</v>
      </c>
      <c r="O308" s="1" t="s">
        <v>1488</v>
      </c>
      <c r="P308" s="4" t="e">
        <f>VLOOKUP(A308,المعطيات!$A$1:$J$3500,4,0)</f>
        <v>#N/A</v>
      </c>
      <c r="Q308" s="1" t="s">
        <v>1489</v>
      </c>
      <c r="R308" s="1" t="s">
        <v>1480</v>
      </c>
      <c r="S308" s="6" t="e">
        <f t="shared" si="14"/>
        <v>#N/A</v>
      </c>
    </row>
    <row r="309" spans="2:19" x14ac:dyDescent="0.25">
      <c r="B309" s="1" t="s">
        <v>1479</v>
      </c>
      <c r="C309" s="1" t="s">
        <v>1481</v>
      </c>
      <c r="D309" s="4" t="e">
        <f>VLOOKUP(A309,المعطيات!$A$1:$J$3500,5,0)</f>
        <v>#N/A</v>
      </c>
      <c r="E309" s="1" t="s">
        <v>1482</v>
      </c>
      <c r="F309" s="5">
        <f t="shared" si="12"/>
        <v>0</v>
      </c>
      <c r="G309" s="5" t="s">
        <v>1483</v>
      </c>
      <c r="H309" s="4" t="e">
        <f>VLOOKUP(A309,المعطيات!$A$1:$J$3500,3,0)</f>
        <v>#N/A</v>
      </c>
      <c r="I309" s="1" t="s">
        <v>1484</v>
      </c>
      <c r="J309" s="1" t="s">
        <v>1485</v>
      </c>
      <c r="K309" s="4" t="e">
        <f>VLOOKUP(A309,المعطيات!$A$1:$J$3500,6,0)</f>
        <v>#N/A</v>
      </c>
      <c r="L309" s="1" t="s">
        <v>1486</v>
      </c>
      <c r="M309" s="1" t="s">
        <v>1487</v>
      </c>
      <c r="N309" s="4" t="e">
        <f t="shared" si="13"/>
        <v>#N/A</v>
      </c>
      <c r="O309" s="1" t="s">
        <v>1488</v>
      </c>
      <c r="P309" s="4" t="e">
        <f>VLOOKUP(A309,المعطيات!$A$1:$J$3500,4,0)</f>
        <v>#N/A</v>
      </c>
      <c r="Q309" s="1" t="s">
        <v>1489</v>
      </c>
      <c r="R309" s="1" t="s">
        <v>1480</v>
      </c>
      <c r="S309" s="6" t="e">
        <f t="shared" si="14"/>
        <v>#N/A</v>
      </c>
    </row>
    <row r="310" spans="2:19" x14ac:dyDescent="0.25">
      <c r="B310" s="1" t="s">
        <v>1479</v>
      </c>
      <c r="C310" s="1" t="s">
        <v>1481</v>
      </c>
      <c r="D310" s="4" t="e">
        <f>VLOOKUP(A310,المعطيات!$A$1:$J$3500,5,0)</f>
        <v>#N/A</v>
      </c>
      <c r="E310" s="1" t="s">
        <v>1482</v>
      </c>
      <c r="F310" s="5">
        <f t="shared" si="12"/>
        <v>0</v>
      </c>
      <c r="G310" s="5" t="s">
        <v>1483</v>
      </c>
      <c r="H310" s="4" t="e">
        <f>VLOOKUP(A310,المعطيات!$A$1:$J$3500,3,0)</f>
        <v>#N/A</v>
      </c>
      <c r="I310" s="1" t="s">
        <v>1484</v>
      </c>
      <c r="J310" s="1" t="s">
        <v>1485</v>
      </c>
      <c r="K310" s="4" t="e">
        <f>VLOOKUP(A310,المعطيات!$A$1:$J$3500,6,0)</f>
        <v>#N/A</v>
      </c>
      <c r="L310" s="1" t="s">
        <v>1486</v>
      </c>
      <c r="M310" s="1" t="s">
        <v>1487</v>
      </c>
      <c r="N310" s="4" t="e">
        <f t="shared" si="13"/>
        <v>#N/A</v>
      </c>
      <c r="O310" s="1" t="s">
        <v>1488</v>
      </c>
      <c r="P310" s="4" t="e">
        <f>VLOOKUP(A310,المعطيات!$A$1:$J$3500,4,0)</f>
        <v>#N/A</v>
      </c>
      <c r="Q310" s="1" t="s">
        <v>1489</v>
      </c>
      <c r="R310" s="1" t="s">
        <v>1480</v>
      </c>
      <c r="S310" s="6" t="e">
        <f t="shared" si="14"/>
        <v>#N/A</v>
      </c>
    </row>
    <row r="311" spans="2:19" x14ac:dyDescent="0.25">
      <c r="B311" s="1" t="s">
        <v>1479</v>
      </c>
      <c r="C311" s="1" t="s">
        <v>1481</v>
      </c>
      <c r="D311" s="4" t="e">
        <f>VLOOKUP(A311,المعطيات!$A$1:$J$3500,5,0)</f>
        <v>#N/A</v>
      </c>
      <c r="E311" s="1" t="s">
        <v>1482</v>
      </c>
      <c r="F311" s="5">
        <f t="shared" si="12"/>
        <v>0</v>
      </c>
      <c r="G311" s="5" t="s">
        <v>1483</v>
      </c>
      <c r="H311" s="4" t="e">
        <f>VLOOKUP(A311,المعطيات!$A$1:$J$3500,3,0)</f>
        <v>#N/A</v>
      </c>
      <c r="I311" s="1" t="s">
        <v>1484</v>
      </c>
      <c r="J311" s="1" t="s">
        <v>1485</v>
      </c>
      <c r="K311" s="4" t="e">
        <f>VLOOKUP(A311,المعطيات!$A$1:$J$3500,6,0)</f>
        <v>#N/A</v>
      </c>
      <c r="L311" s="1" t="s">
        <v>1486</v>
      </c>
      <c r="M311" s="1" t="s">
        <v>1487</v>
      </c>
      <c r="N311" s="4" t="e">
        <f t="shared" si="13"/>
        <v>#N/A</v>
      </c>
      <c r="O311" s="1" t="s">
        <v>1488</v>
      </c>
      <c r="P311" s="4" t="e">
        <f>VLOOKUP(A311,المعطيات!$A$1:$J$3500,4,0)</f>
        <v>#N/A</v>
      </c>
      <c r="Q311" s="1" t="s">
        <v>1489</v>
      </c>
      <c r="R311" s="1" t="s">
        <v>1480</v>
      </c>
      <c r="S311" s="6" t="e">
        <f t="shared" si="14"/>
        <v>#N/A</v>
      </c>
    </row>
    <row r="312" spans="2:19" x14ac:dyDescent="0.25">
      <c r="B312" s="1" t="s">
        <v>1479</v>
      </c>
      <c r="C312" s="1" t="s">
        <v>1481</v>
      </c>
      <c r="D312" s="4" t="e">
        <f>VLOOKUP(A312,المعطيات!$A$1:$J$3500,5,0)</f>
        <v>#N/A</v>
      </c>
      <c r="E312" s="1" t="s">
        <v>1482</v>
      </c>
      <c r="F312" s="5">
        <f t="shared" si="12"/>
        <v>0</v>
      </c>
      <c r="G312" s="5" t="s">
        <v>1483</v>
      </c>
      <c r="H312" s="4" t="e">
        <f>VLOOKUP(A312,المعطيات!$A$1:$J$3500,3,0)</f>
        <v>#N/A</v>
      </c>
      <c r="I312" s="1" t="s">
        <v>1484</v>
      </c>
      <c r="J312" s="1" t="s">
        <v>1485</v>
      </c>
      <c r="K312" s="4" t="e">
        <f>VLOOKUP(A312,المعطيات!$A$1:$J$3500,6,0)</f>
        <v>#N/A</v>
      </c>
      <c r="L312" s="1" t="s">
        <v>1486</v>
      </c>
      <c r="M312" s="1" t="s">
        <v>1487</v>
      </c>
      <c r="N312" s="4" t="e">
        <f t="shared" si="13"/>
        <v>#N/A</v>
      </c>
      <c r="O312" s="1" t="s">
        <v>1488</v>
      </c>
      <c r="P312" s="4" t="e">
        <f>VLOOKUP(A312,المعطيات!$A$1:$J$3500,4,0)</f>
        <v>#N/A</v>
      </c>
      <c r="Q312" s="1" t="s">
        <v>1489</v>
      </c>
      <c r="R312" s="1" t="s">
        <v>1480</v>
      </c>
      <c r="S312" s="6" t="e">
        <f t="shared" si="14"/>
        <v>#N/A</v>
      </c>
    </row>
    <row r="313" spans="2:19" x14ac:dyDescent="0.25">
      <c r="B313" s="1" t="s">
        <v>1479</v>
      </c>
      <c r="C313" s="1" t="s">
        <v>1481</v>
      </c>
      <c r="D313" s="4" t="e">
        <f>VLOOKUP(A313,المعطيات!$A$1:$J$3500,5,0)</f>
        <v>#N/A</v>
      </c>
      <c r="E313" s="1" t="s">
        <v>1482</v>
      </c>
      <c r="F313" s="5">
        <f t="shared" si="12"/>
        <v>0</v>
      </c>
      <c r="G313" s="5" t="s">
        <v>1483</v>
      </c>
      <c r="H313" s="4" t="e">
        <f>VLOOKUP(A313,المعطيات!$A$1:$J$3500,3,0)</f>
        <v>#N/A</v>
      </c>
      <c r="I313" s="1" t="s">
        <v>1484</v>
      </c>
      <c r="J313" s="1" t="s">
        <v>1485</v>
      </c>
      <c r="K313" s="4" t="e">
        <f>VLOOKUP(A313,المعطيات!$A$1:$J$3500,6,0)</f>
        <v>#N/A</v>
      </c>
      <c r="L313" s="1" t="s">
        <v>1486</v>
      </c>
      <c r="M313" s="1" t="s">
        <v>1487</v>
      </c>
      <c r="N313" s="4" t="e">
        <f t="shared" si="13"/>
        <v>#N/A</v>
      </c>
      <c r="O313" s="1" t="s">
        <v>1488</v>
      </c>
      <c r="P313" s="4" t="e">
        <f>VLOOKUP(A313,المعطيات!$A$1:$J$3500,4,0)</f>
        <v>#N/A</v>
      </c>
      <c r="Q313" s="1" t="s">
        <v>1489</v>
      </c>
      <c r="R313" s="1" t="s">
        <v>1480</v>
      </c>
      <c r="S313" s="6" t="e">
        <f t="shared" si="14"/>
        <v>#N/A</v>
      </c>
    </row>
    <row r="314" spans="2:19" x14ac:dyDescent="0.25">
      <c r="B314" s="1" t="s">
        <v>1479</v>
      </c>
      <c r="C314" s="1" t="s">
        <v>1481</v>
      </c>
      <c r="D314" s="4" t="e">
        <f>VLOOKUP(A314,المعطيات!$A$1:$J$3500,5,0)</f>
        <v>#N/A</v>
      </c>
      <c r="E314" s="1" t="s">
        <v>1482</v>
      </c>
      <c r="F314" s="5">
        <f t="shared" si="12"/>
        <v>0</v>
      </c>
      <c r="G314" s="5" t="s">
        <v>1483</v>
      </c>
      <c r="H314" s="4" t="e">
        <f>VLOOKUP(A314,المعطيات!$A$1:$J$3500,3,0)</f>
        <v>#N/A</v>
      </c>
      <c r="I314" s="1" t="s">
        <v>1484</v>
      </c>
      <c r="J314" s="1" t="s">
        <v>1485</v>
      </c>
      <c r="K314" s="4" t="e">
        <f>VLOOKUP(A314,المعطيات!$A$1:$J$3500,6,0)</f>
        <v>#N/A</v>
      </c>
      <c r="L314" s="1" t="s">
        <v>1486</v>
      </c>
      <c r="M314" s="1" t="s">
        <v>1487</v>
      </c>
      <c r="N314" s="4" t="e">
        <f t="shared" si="13"/>
        <v>#N/A</v>
      </c>
      <c r="O314" s="1" t="s">
        <v>1488</v>
      </c>
      <c r="P314" s="4" t="e">
        <f>VLOOKUP(A314,المعطيات!$A$1:$J$3500,4,0)</f>
        <v>#N/A</v>
      </c>
      <c r="Q314" s="1" t="s">
        <v>1489</v>
      </c>
      <c r="R314" s="1" t="s">
        <v>1480</v>
      </c>
      <c r="S314" s="6" t="e">
        <f t="shared" si="14"/>
        <v>#N/A</v>
      </c>
    </row>
    <row r="315" spans="2:19" x14ac:dyDescent="0.25">
      <c r="B315" s="1" t="s">
        <v>1479</v>
      </c>
      <c r="C315" s="1" t="s">
        <v>1481</v>
      </c>
      <c r="D315" s="4" t="e">
        <f>VLOOKUP(A315,المعطيات!$A$1:$J$3500,5,0)</f>
        <v>#N/A</v>
      </c>
      <c r="E315" s="1" t="s">
        <v>1482</v>
      </c>
      <c r="F315" s="5">
        <f t="shared" si="12"/>
        <v>0</v>
      </c>
      <c r="G315" s="5" t="s">
        <v>1483</v>
      </c>
      <c r="H315" s="4" t="e">
        <f>VLOOKUP(A315,المعطيات!$A$1:$J$3500,3,0)</f>
        <v>#N/A</v>
      </c>
      <c r="I315" s="1" t="s">
        <v>1484</v>
      </c>
      <c r="J315" s="1" t="s">
        <v>1485</v>
      </c>
      <c r="K315" s="4" t="e">
        <f>VLOOKUP(A315,المعطيات!$A$1:$J$3500,6,0)</f>
        <v>#N/A</v>
      </c>
      <c r="L315" s="1" t="s">
        <v>1486</v>
      </c>
      <c r="M315" s="1" t="s">
        <v>1487</v>
      </c>
      <c r="N315" s="4" t="e">
        <f t="shared" si="13"/>
        <v>#N/A</v>
      </c>
      <c r="O315" s="1" t="s">
        <v>1488</v>
      </c>
      <c r="P315" s="4" t="e">
        <f>VLOOKUP(A315,المعطيات!$A$1:$J$3500,4,0)</f>
        <v>#N/A</v>
      </c>
      <c r="Q315" s="1" t="s">
        <v>1489</v>
      </c>
      <c r="R315" s="1" t="s">
        <v>1480</v>
      </c>
      <c r="S315" s="6" t="e">
        <f t="shared" si="14"/>
        <v>#N/A</v>
      </c>
    </row>
    <row r="316" spans="2:19" x14ac:dyDescent="0.25">
      <c r="B316" s="1" t="s">
        <v>1479</v>
      </c>
      <c r="C316" s="1" t="s">
        <v>1481</v>
      </c>
      <c r="D316" s="4" t="e">
        <f>VLOOKUP(A316,المعطيات!$A$1:$J$3500,5,0)</f>
        <v>#N/A</v>
      </c>
      <c r="E316" s="1" t="s">
        <v>1482</v>
      </c>
      <c r="F316" s="5">
        <f t="shared" si="12"/>
        <v>0</v>
      </c>
      <c r="G316" s="5" t="s">
        <v>1483</v>
      </c>
      <c r="H316" s="4" t="e">
        <f>VLOOKUP(A316,المعطيات!$A$1:$J$3500,3,0)</f>
        <v>#N/A</v>
      </c>
      <c r="I316" s="1" t="s">
        <v>1484</v>
      </c>
      <c r="J316" s="1" t="s">
        <v>1485</v>
      </c>
      <c r="K316" s="4" t="e">
        <f>VLOOKUP(A316,المعطيات!$A$1:$J$3500,6,0)</f>
        <v>#N/A</v>
      </c>
      <c r="L316" s="1" t="s">
        <v>1486</v>
      </c>
      <c r="M316" s="1" t="s">
        <v>1487</v>
      </c>
      <c r="N316" s="4" t="e">
        <f t="shared" si="13"/>
        <v>#N/A</v>
      </c>
      <c r="O316" s="1" t="s">
        <v>1488</v>
      </c>
      <c r="P316" s="4" t="e">
        <f>VLOOKUP(A316,المعطيات!$A$1:$J$3500,4,0)</f>
        <v>#N/A</v>
      </c>
      <c r="Q316" s="1" t="s">
        <v>1489</v>
      </c>
      <c r="R316" s="1" t="s">
        <v>1480</v>
      </c>
      <c r="S316" s="6" t="e">
        <f t="shared" si="14"/>
        <v>#N/A</v>
      </c>
    </row>
    <row r="317" spans="2:19" x14ac:dyDescent="0.25">
      <c r="B317" s="1" t="s">
        <v>1479</v>
      </c>
      <c r="C317" s="1" t="s">
        <v>1481</v>
      </c>
      <c r="D317" s="4" t="e">
        <f>VLOOKUP(A317,المعطيات!$A$1:$J$3500,5,0)</f>
        <v>#N/A</v>
      </c>
      <c r="E317" s="1" t="s">
        <v>1482</v>
      </c>
      <c r="F317" s="5">
        <f t="shared" si="12"/>
        <v>0</v>
      </c>
      <c r="G317" s="5" t="s">
        <v>1483</v>
      </c>
      <c r="H317" s="4" t="e">
        <f>VLOOKUP(A317,المعطيات!$A$1:$J$3500,3,0)</f>
        <v>#N/A</v>
      </c>
      <c r="I317" s="1" t="s">
        <v>1484</v>
      </c>
      <c r="J317" s="1" t="s">
        <v>1485</v>
      </c>
      <c r="K317" s="4" t="e">
        <f>VLOOKUP(A317,المعطيات!$A$1:$J$3500,6,0)</f>
        <v>#N/A</v>
      </c>
      <c r="L317" s="1" t="s">
        <v>1486</v>
      </c>
      <c r="M317" s="1" t="s">
        <v>1487</v>
      </c>
      <c r="N317" s="4" t="e">
        <f t="shared" si="13"/>
        <v>#N/A</v>
      </c>
      <c r="O317" s="1" t="s">
        <v>1488</v>
      </c>
      <c r="P317" s="4" t="e">
        <f>VLOOKUP(A317,المعطيات!$A$1:$J$3500,4,0)</f>
        <v>#N/A</v>
      </c>
      <c r="Q317" s="1" t="s">
        <v>1489</v>
      </c>
      <c r="R317" s="1" t="s">
        <v>1480</v>
      </c>
      <c r="S317" s="6" t="e">
        <f t="shared" si="14"/>
        <v>#N/A</v>
      </c>
    </row>
    <row r="318" spans="2:19" x14ac:dyDescent="0.25">
      <c r="B318" s="1" t="s">
        <v>1479</v>
      </c>
      <c r="C318" s="1" t="s">
        <v>1481</v>
      </c>
      <c r="D318" s="4" t="e">
        <f>VLOOKUP(A318,المعطيات!$A$1:$J$3500,5,0)</f>
        <v>#N/A</v>
      </c>
      <c r="E318" s="1" t="s">
        <v>1482</v>
      </c>
      <c r="F318" s="5">
        <f t="shared" si="12"/>
        <v>0</v>
      </c>
      <c r="G318" s="5" t="s">
        <v>1483</v>
      </c>
      <c r="H318" s="4" t="e">
        <f>VLOOKUP(A318,المعطيات!$A$1:$J$3500,3,0)</f>
        <v>#N/A</v>
      </c>
      <c r="I318" s="1" t="s">
        <v>1484</v>
      </c>
      <c r="J318" s="1" t="s">
        <v>1485</v>
      </c>
      <c r="K318" s="4" t="e">
        <f>VLOOKUP(A318,المعطيات!$A$1:$J$3500,6,0)</f>
        <v>#N/A</v>
      </c>
      <c r="L318" s="1" t="s">
        <v>1486</v>
      </c>
      <c r="M318" s="1" t="s">
        <v>1487</v>
      </c>
      <c r="N318" s="4" t="e">
        <f t="shared" si="13"/>
        <v>#N/A</v>
      </c>
      <c r="O318" s="1" t="s">
        <v>1488</v>
      </c>
      <c r="P318" s="4" t="e">
        <f>VLOOKUP(A318,المعطيات!$A$1:$J$3500,4,0)</f>
        <v>#N/A</v>
      </c>
      <c r="Q318" s="1" t="s">
        <v>1489</v>
      </c>
      <c r="R318" s="1" t="s">
        <v>1480</v>
      </c>
      <c r="S318" s="6" t="e">
        <f t="shared" si="14"/>
        <v>#N/A</v>
      </c>
    </row>
    <row r="319" spans="2:19" x14ac:dyDescent="0.25">
      <c r="B319" s="1" t="s">
        <v>1479</v>
      </c>
      <c r="C319" s="1" t="s">
        <v>1481</v>
      </c>
      <c r="D319" s="4" t="e">
        <f>VLOOKUP(A319,المعطيات!$A$1:$J$3500,5,0)</f>
        <v>#N/A</v>
      </c>
      <c r="E319" s="1" t="s">
        <v>1482</v>
      </c>
      <c r="F319" s="5">
        <f t="shared" si="12"/>
        <v>0</v>
      </c>
      <c r="G319" s="5" t="s">
        <v>1483</v>
      </c>
      <c r="H319" s="4" t="e">
        <f>VLOOKUP(A319,المعطيات!$A$1:$J$3500,3,0)</f>
        <v>#N/A</v>
      </c>
      <c r="I319" s="1" t="s">
        <v>1484</v>
      </c>
      <c r="J319" s="1" t="s">
        <v>1485</v>
      </c>
      <c r="K319" s="4" t="e">
        <f>VLOOKUP(A319,المعطيات!$A$1:$J$3500,6,0)</f>
        <v>#N/A</v>
      </c>
      <c r="L319" s="1" t="s">
        <v>1486</v>
      </c>
      <c r="M319" s="1" t="s">
        <v>1487</v>
      </c>
      <c r="N319" s="4" t="e">
        <f t="shared" si="13"/>
        <v>#N/A</v>
      </c>
      <c r="O319" s="1" t="s">
        <v>1488</v>
      </c>
      <c r="P319" s="4" t="e">
        <f>VLOOKUP(A319,المعطيات!$A$1:$J$3500,4,0)</f>
        <v>#N/A</v>
      </c>
      <c r="Q319" s="1" t="s">
        <v>1489</v>
      </c>
      <c r="R319" s="1" t="s">
        <v>1480</v>
      </c>
      <c r="S319" s="6" t="e">
        <f t="shared" si="14"/>
        <v>#N/A</v>
      </c>
    </row>
    <row r="320" spans="2:19" x14ac:dyDescent="0.25">
      <c r="B320" s="1" t="s">
        <v>1479</v>
      </c>
      <c r="C320" s="1" t="s">
        <v>1481</v>
      </c>
      <c r="D320" s="4" t="e">
        <f>VLOOKUP(A320,المعطيات!$A$1:$J$3500,5,0)</f>
        <v>#N/A</v>
      </c>
      <c r="E320" s="1" t="s">
        <v>1482</v>
      </c>
      <c r="F320" s="5">
        <f t="shared" si="12"/>
        <v>0</v>
      </c>
      <c r="G320" s="5" t="s">
        <v>1483</v>
      </c>
      <c r="H320" s="4" t="e">
        <f>VLOOKUP(A320,المعطيات!$A$1:$J$3500,3,0)</f>
        <v>#N/A</v>
      </c>
      <c r="I320" s="1" t="s">
        <v>1484</v>
      </c>
      <c r="J320" s="1" t="s">
        <v>1485</v>
      </c>
      <c r="K320" s="4" t="e">
        <f>VLOOKUP(A320,المعطيات!$A$1:$J$3500,6,0)</f>
        <v>#N/A</v>
      </c>
      <c r="L320" s="1" t="s">
        <v>1486</v>
      </c>
      <c r="M320" s="1" t="s">
        <v>1487</v>
      </c>
      <c r="N320" s="4" t="e">
        <f t="shared" si="13"/>
        <v>#N/A</v>
      </c>
      <c r="O320" s="1" t="s">
        <v>1488</v>
      </c>
      <c r="P320" s="4" t="e">
        <f>VLOOKUP(A320,المعطيات!$A$1:$J$3500,4,0)</f>
        <v>#N/A</v>
      </c>
      <c r="Q320" s="1" t="s">
        <v>1489</v>
      </c>
      <c r="R320" s="1" t="s">
        <v>1480</v>
      </c>
      <c r="S320" s="6" t="e">
        <f t="shared" si="14"/>
        <v>#N/A</v>
      </c>
    </row>
    <row r="321" spans="2:19" x14ac:dyDescent="0.25">
      <c r="B321" s="1" t="s">
        <v>1479</v>
      </c>
      <c r="C321" s="1" t="s">
        <v>1481</v>
      </c>
      <c r="D321" s="4" t="e">
        <f>VLOOKUP(A321,المعطيات!$A$1:$J$3500,5,0)</f>
        <v>#N/A</v>
      </c>
      <c r="E321" s="1" t="s">
        <v>1482</v>
      </c>
      <c r="F321" s="5">
        <f t="shared" si="12"/>
        <v>0</v>
      </c>
      <c r="G321" s="5" t="s">
        <v>1483</v>
      </c>
      <c r="H321" s="4" t="e">
        <f>VLOOKUP(A321,المعطيات!$A$1:$J$3500,3,0)</f>
        <v>#N/A</v>
      </c>
      <c r="I321" s="1" t="s">
        <v>1484</v>
      </c>
      <c r="J321" s="1" t="s">
        <v>1485</v>
      </c>
      <c r="K321" s="4" t="e">
        <f>VLOOKUP(A321,المعطيات!$A$1:$J$3500,6,0)</f>
        <v>#N/A</v>
      </c>
      <c r="L321" s="1" t="s">
        <v>1486</v>
      </c>
      <c r="M321" s="1" t="s">
        <v>1487</v>
      </c>
      <c r="N321" s="4" t="e">
        <f t="shared" si="13"/>
        <v>#N/A</v>
      </c>
      <c r="O321" s="1" t="s">
        <v>1488</v>
      </c>
      <c r="P321" s="4" t="e">
        <f>VLOOKUP(A321,المعطيات!$A$1:$J$3500,4,0)</f>
        <v>#N/A</v>
      </c>
      <c r="Q321" s="1" t="s">
        <v>1489</v>
      </c>
      <c r="R321" s="1" t="s">
        <v>1480</v>
      </c>
      <c r="S321" s="6" t="e">
        <f t="shared" si="14"/>
        <v>#N/A</v>
      </c>
    </row>
    <row r="322" spans="2:19" x14ac:dyDescent="0.25">
      <c r="B322" s="1" t="s">
        <v>1479</v>
      </c>
      <c r="C322" s="1" t="s">
        <v>1481</v>
      </c>
      <c r="D322" s="4" t="e">
        <f>VLOOKUP(A322,المعطيات!$A$1:$J$3500,5,0)</f>
        <v>#N/A</v>
      </c>
      <c r="E322" s="1" t="s">
        <v>1482</v>
      </c>
      <c r="F322" s="5">
        <f t="shared" ref="F322:F385" si="15">A322</f>
        <v>0</v>
      </c>
      <c r="G322" s="5" t="s">
        <v>1483</v>
      </c>
      <c r="H322" s="4" t="e">
        <f>VLOOKUP(A322,المعطيات!$A$1:$J$3500,3,0)</f>
        <v>#N/A</v>
      </c>
      <c r="I322" s="1" t="s">
        <v>1484</v>
      </c>
      <c r="J322" s="1" t="s">
        <v>1485</v>
      </c>
      <c r="K322" s="4" t="e">
        <f>VLOOKUP(A322,المعطيات!$A$1:$J$3500,6,0)</f>
        <v>#N/A</v>
      </c>
      <c r="L322" s="1" t="s">
        <v>1486</v>
      </c>
      <c r="M322" s="1" t="s">
        <v>1487</v>
      </c>
      <c r="N322" s="4" t="e">
        <f t="shared" ref="N322:N385" si="16">D322</f>
        <v>#N/A</v>
      </c>
      <c r="O322" s="1" t="s">
        <v>1488</v>
      </c>
      <c r="P322" s="4" t="e">
        <f>VLOOKUP(A322,المعطيات!$A$1:$J$3500,4,0)</f>
        <v>#N/A</v>
      </c>
      <c r="Q322" s="1" t="s">
        <v>1489</v>
      </c>
      <c r="R322" s="1" t="s">
        <v>1480</v>
      </c>
      <c r="S322" s="6" t="e">
        <f t="shared" ref="S322:S385" si="17">B322&amp;""&amp;C322&amp;""&amp;D322&amp;""&amp;E322&amp;""&amp;F322&amp;""&amp;G322&amp;""&amp;H322&amp;""&amp;I322&amp;""&amp;J322&amp;""&amp;K322&amp;""&amp;L322&amp;""&amp;M322&amp;""&amp;N322&amp;""&amp;O322&amp;""&amp;P322&amp;""&amp;Q322&amp;""&amp;R322</f>
        <v>#N/A</v>
      </c>
    </row>
    <row r="323" spans="2:19" x14ac:dyDescent="0.25">
      <c r="B323" s="1" t="s">
        <v>1479</v>
      </c>
      <c r="C323" s="1" t="s">
        <v>1481</v>
      </c>
      <c r="D323" s="4" t="e">
        <f>VLOOKUP(A323,المعطيات!$A$1:$J$3500,5,0)</f>
        <v>#N/A</v>
      </c>
      <c r="E323" s="1" t="s">
        <v>1482</v>
      </c>
      <c r="F323" s="5">
        <f t="shared" si="15"/>
        <v>0</v>
      </c>
      <c r="G323" s="5" t="s">
        <v>1483</v>
      </c>
      <c r="H323" s="4" t="e">
        <f>VLOOKUP(A323,المعطيات!$A$1:$J$3500,3,0)</f>
        <v>#N/A</v>
      </c>
      <c r="I323" s="1" t="s">
        <v>1484</v>
      </c>
      <c r="J323" s="1" t="s">
        <v>1485</v>
      </c>
      <c r="K323" s="4" t="e">
        <f>VLOOKUP(A323,المعطيات!$A$1:$J$3500,6,0)</f>
        <v>#N/A</v>
      </c>
      <c r="L323" s="1" t="s">
        <v>1486</v>
      </c>
      <c r="M323" s="1" t="s">
        <v>1487</v>
      </c>
      <c r="N323" s="4" t="e">
        <f t="shared" si="16"/>
        <v>#N/A</v>
      </c>
      <c r="O323" s="1" t="s">
        <v>1488</v>
      </c>
      <c r="P323" s="4" t="e">
        <f>VLOOKUP(A323,المعطيات!$A$1:$J$3500,4,0)</f>
        <v>#N/A</v>
      </c>
      <c r="Q323" s="1" t="s">
        <v>1489</v>
      </c>
      <c r="R323" s="1" t="s">
        <v>1480</v>
      </c>
      <c r="S323" s="6" t="e">
        <f t="shared" si="17"/>
        <v>#N/A</v>
      </c>
    </row>
    <row r="324" spans="2:19" x14ac:dyDescent="0.25">
      <c r="B324" s="1" t="s">
        <v>1479</v>
      </c>
      <c r="C324" s="1" t="s">
        <v>1481</v>
      </c>
      <c r="D324" s="4" t="e">
        <f>VLOOKUP(A324,المعطيات!$A$1:$J$3500,5,0)</f>
        <v>#N/A</v>
      </c>
      <c r="E324" s="1" t="s">
        <v>1482</v>
      </c>
      <c r="F324" s="5">
        <f t="shared" si="15"/>
        <v>0</v>
      </c>
      <c r="G324" s="5" t="s">
        <v>1483</v>
      </c>
      <c r="H324" s="4" t="e">
        <f>VLOOKUP(A324,المعطيات!$A$1:$J$3500,3,0)</f>
        <v>#N/A</v>
      </c>
      <c r="I324" s="1" t="s">
        <v>1484</v>
      </c>
      <c r="J324" s="1" t="s">
        <v>1485</v>
      </c>
      <c r="K324" s="4" t="e">
        <f>VLOOKUP(A324,المعطيات!$A$1:$J$3500,6,0)</f>
        <v>#N/A</v>
      </c>
      <c r="L324" s="1" t="s">
        <v>1486</v>
      </c>
      <c r="M324" s="1" t="s">
        <v>1487</v>
      </c>
      <c r="N324" s="4" t="e">
        <f t="shared" si="16"/>
        <v>#N/A</v>
      </c>
      <c r="O324" s="1" t="s">
        <v>1488</v>
      </c>
      <c r="P324" s="4" t="e">
        <f>VLOOKUP(A324,المعطيات!$A$1:$J$3500,4,0)</f>
        <v>#N/A</v>
      </c>
      <c r="Q324" s="1" t="s">
        <v>1489</v>
      </c>
      <c r="R324" s="1" t="s">
        <v>1480</v>
      </c>
      <c r="S324" s="6" t="e">
        <f t="shared" si="17"/>
        <v>#N/A</v>
      </c>
    </row>
    <row r="325" spans="2:19" x14ac:dyDescent="0.25">
      <c r="B325" s="1" t="s">
        <v>1479</v>
      </c>
      <c r="C325" s="1" t="s">
        <v>1481</v>
      </c>
      <c r="D325" s="4" t="e">
        <f>VLOOKUP(A325,المعطيات!$A$1:$J$3500,5,0)</f>
        <v>#N/A</v>
      </c>
      <c r="E325" s="1" t="s">
        <v>1482</v>
      </c>
      <c r="F325" s="5">
        <f t="shared" si="15"/>
        <v>0</v>
      </c>
      <c r="G325" s="5" t="s">
        <v>1483</v>
      </c>
      <c r="H325" s="4" t="e">
        <f>VLOOKUP(A325,المعطيات!$A$1:$J$3500,3,0)</f>
        <v>#N/A</v>
      </c>
      <c r="I325" s="1" t="s">
        <v>1484</v>
      </c>
      <c r="J325" s="1" t="s">
        <v>1485</v>
      </c>
      <c r="K325" s="4" t="e">
        <f>VLOOKUP(A325,المعطيات!$A$1:$J$3500,6,0)</f>
        <v>#N/A</v>
      </c>
      <c r="L325" s="1" t="s">
        <v>1486</v>
      </c>
      <c r="M325" s="1" t="s">
        <v>1487</v>
      </c>
      <c r="N325" s="4" t="e">
        <f t="shared" si="16"/>
        <v>#N/A</v>
      </c>
      <c r="O325" s="1" t="s">
        <v>1488</v>
      </c>
      <c r="P325" s="4" t="e">
        <f>VLOOKUP(A325,المعطيات!$A$1:$J$3500,4,0)</f>
        <v>#N/A</v>
      </c>
      <c r="Q325" s="1" t="s">
        <v>1489</v>
      </c>
      <c r="R325" s="1" t="s">
        <v>1480</v>
      </c>
      <c r="S325" s="6" t="e">
        <f t="shared" si="17"/>
        <v>#N/A</v>
      </c>
    </row>
    <row r="326" spans="2:19" x14ac:dyDescent="0.25">
      <c r="B326" s="1" t="s">
        <v>1479</v>
      </c>
      <c r="C326" s="1" t="s">
        <v>1481</v>
      </c>
      <c r="D326" s="4" t="e">
        <f>VLOOKUP(A326,المعطيات!$A$1:$J$3500,5,0)</f>
        <v>#N/A</v>
      </c>
      <c r="E326" s="1" t="s">
        <v>1482</v>
      </c>
      <c r="F326" s="5">
        <f t="shared" si="15"/>
        <v>0</v>
      </c>
      <c r="G326" s="5" t="s">
        <v>1483</v>
      </c>
      <c r="H326" s="4" t="e">
        <f>VLOOKUP(A326,المعطيات!$A$1:$J$3500,3,0)</f>
        <v>#N/A</v>
      </c>
      <c r="I326" s="1" t="s">
        <v>1484</v>
      </c>
      <c r="J326" s="1" t="s">
        <v>1485</v>
      </c>
      <c r="K326" s="4" t="e">
        <f>VLOOKUP(A326,المعطيات!$A$1:$J$3500,6,0)</f>
        <v>#N/A</v>
      </c>
      <c r="L326" s="1" t="s">
        <v>1486</v>
      </c>
      <c r="M326" s="1" t="s">
        <v>1487</v>
      </c>
      <c r="N326" s="4" t="e">
        <f t="shared" si="16"/>
        <v>#N/A</v>
      </c>
      <c r="O326" s="1" t="s">
        <v>1488</v>
      </c>
      <c r="P326" s="4" t="e">
        <f>VLOOKUP(A326,المعطيات!$A$1:$J$3500,4,0)</f>
        <v>#N/A</v>
      </c>
      <c r="Q326" s="1" t="s">
        <v>1489</v>
      </c>
      <c r="R326" s="1" t="s">
        <v>1480</v>
      </c>
      <c r="S326" s="6" t="e">
        <f t="shared" si="17"/>
        <v>#N/A</v>
      </c>
    </row>
    <row r="327" spans="2:19" x14ac:dyDescent="0.25">
      <c r="B327" s="1" t="s">
        <v>1479</v>
      </c>
      <c r="C327" s="1" t="s">
        <v>1481</v>
      </c>
      <c r="D327" s="4" t="e">
        <f>VLOOKUP(A327,المعطيات!$A$1:$J$3500,5,0)</f>
        <v>#N/A</v>
      </c>
      <c r="E327" s="1" t="s">
        <v>1482</v>
      </c>
      <c r="F327" s="5">
        <f t="shared" si="15"/>
        <v>0</v>
      </c>
      <c r="G327" s="5" t="s">
        <v>1483</v>
      </c>
      <c r="H327" s="4" t="e">
        <f>VLOOKUP(A327,المعطيات!$A$1:$J$3500,3,0)</f>
        <v>#N/A</v>
      </c>
      <c r="I327" s="1" t="s">
        <v>1484</v>
      </c>
      <c r="J327" s="1" t="s">
        <v>1485</v>
      </c>
      <c r="K327" s="4" t="e">
        <f>VLOOKUP(A327,المعطيات!$A$1:$J$3500,6,0)</f>
        <v>#N/A</v>
      </c>
      <c r="L327" s="1" t="s">
        <v>1486</v>
      </c>
      <c r="M327" s="1" t="s">
        <v>1487</v>
      </c>
      <c r="N327" s="4" t="e">
        <f t="shared" si="16"/>
        <v>#N/A</v>
      </c>
      <c r="O327" s="1" t="s">
        <v>1488</v>
      </c>
      <c r="P327" s="4" t="e">
        <f>VLOOKUP(A327,المعطيات!$A$1:$J$3500,4,0)</f>
        <v>#N/A</v>
      </c>
      <c r="Q327" s="1" t="s">
        <v>1489</v>
      </c>
      <c r="R327" s="1" t="s">
        <v>1480</v>
      </c>
      <c r="S327" s="6" t="e">
        <f t="shared" si="17"/>
        <v>#N/A</v>
      </c>
    </row>
    <row r="328" spans="2:19" x14ac:dyDescent="0.25">
      <c r="B328" s="1" t="s">
        <v>1479</v>
      </c>
      <c r="C328" s="1" t="s">
        <v>1481</v>
      </c>
      <c r="D328" s="4" t="e">
        <f>VLOOKUP(A328,المعطيات!$A$1:$J$3500,5,0)</f>
        <v>#N/A</v>
      </c>
      <c r="E328" s="1" t="s">
        <v>1482</v>
      </c>
      <c r="F328" s="5">
        <f t="shared" si="15"/>
        <v>0</v>
      </c>
      <c r="G328" s="5" t="s">
        <v>1483</v>
      </c>
      <c r="H328" s="4" t="e">
        <f>VLOOKUP(A328,المعطيات!$A$1:$J$3500,3,0)</f>
        <v>#N/A</v>
      </c>
      <c r="I328" s="1" t="s">
        <v>1484</v>
      </c>
      <c r="J328" s="1" t="s">
        <v>1485</v>
      </c>
      <c r="K328" s="4" t="e">
        <f>VLOOKUP(A328,المعطيات!$A$1:$J$3500,6,0)</f>
        <v>#N/A</v>
      </c>
      <c r="L328" s="1" t="s">
        <v>1486</v>
      </c>
      <c r="M328" s="1" t="s">
        <v>1487</v>
      </c>
      <c r="N328" s="4" t="e">
        <f t="shared" si="16"/>
        <v>#N/A</v>
      </c>
      <c r="O328" s="1" t="s">
        <v>1488</v>
      </c>
      <c r="P328" s="4" t="e">
        <f>VLOOKUP(A328,المعطيات!$A$1:$J$3500,4,0)</f>
        <v>#N/A</v>
      </c>
      <c r="Q328" s="1" t="s">
        <v>1489</v>
      </c>
      <c r="R328" s="1" t="s">
        <v>1480</v>
      </c>
      <c r="S328" s="6" t="e">
        <f t="shared" si="17"/>
        <v>#N/A</v>
      </c>
    </row>
    <row r="329" spans="2:19" x14ac:dyDescent="0.25">
      <c r="B329" s="1" t="s">
        <v>1479</v>
      </c>
      <c r="C329" s="1" t="s">
        <v>1481</v>
      </c>
      <c r="D329" s="4" t="e">
        <f>VLOOKUP(A329,المعطيات!$A$1:$J$3500,5,0)</f>
        <v>#N/A</v>
      </c>
      <c r="E329" s="1" t="s">
        <v>1482</v>
      </c>
      <c r="F329" s="5">
        <f t="shared" si="15"/>
        <v>0</v>
      </c>
      <c r="G329" s="5" t="s">
        <v>1483</v>
      </c>
      <c r="H329" s="4" t="e">
        <f>VLOOKUP(A329,المعطيات!$A$1:$J$3500,3,0)</f>
        <v>#N/A</v>
      </c>
      <c r="I329" s="1" t="s">
        <v>1484</v>
      </c>
      <c r="J329" s="1" t="s">
        <v>1485</v>
      </c>
      <c r="K329" s="4" t="e">
        <f>VLOOKUP(A329,المعطيات!$A$1:$J$3500,6,0)</f>
        <v>#N/A</v>
      </c>
      <c r="L329" s="1" t="s">
        <v>1486</v>
      </c>
      <c r="M329" s="1" t="s">
        <v>1487</v>
      </c>
      <c r="N329" s="4" t="e">
        <f t="shared" si="16"/>
        <v>#N/A</v>
      </c>
      <c r="O329" s="1" t="s">
        <v>1488</v>
      </c>
      <c r="P329" s="4" t="e">
        <f>VLOOKUP(A329,المعطيات!$A$1:$J$3500,4,0)</f>
        <v>#N/A</v>
      </c>
      <c r="Q329" s="1" t="s">
        <v>1489</v>
      </c>
      <c r="R329" s="1" t="s">
        <v>1480</v>
      </c>
      <c r="S329" s="6" t="e">
        <f t="shared" si="17"/>
        <v>#N/A</v>
      </c>
    </row>
    <row r="330" spans="2:19" x14ac:dyDescent="0.25">
      <c r="B330" s="1" t="s">
        <v>1479</v>
      </c>
      <c r="C330" s="1" t="s">
        <v>1481</v>
      </c>
      <c r="D330" s="4" t="e">
        <f>VLOOKUP(A330,المعطيات!$A$1:$J$3500,5,0)</f>
        <v>#N/A</v>
      </c>
      <c r="E330" s="1" t="s">
        <v>1482</v>
      </c>
      <c r="F330" s="5">
        <f t="shared" si="15"/>
        <v>0</v>
      </c>
      <c r="G330" s="5" t="s">
        <v>1483</v>
      </c>
      <c r="H330" s="4" t="e">
        <f>VLOOKUP(A330,المعطيات!$A$1:$J$3500,3,0)</f>
        <v>#N/A</v>
      </c>
      <c r="I330" s="1" t="s">
        <v>1484</v>
      </c>
      <c r="J330" s="1" t="s">
        <v>1485</v>
      </c>
      <c r="K330" s="4" t="e">
        <f>VLOOKUP(A330,المعطيات!$A$1:$J$3500,6,0)</f>
        <v>#N/A</v>
      </c>
      <c r="L330" s="1" t="s">
        <v>1486</v>
      </c>
      <c r="M330" s="1" t="s">
        <v>1487</v>
      </c>
      <c r="N330" s="4" t="e">
        <f t="shared" si="16"/>
        <v>#N/A</v>
      </c>
      <c r="O330" s="1" t="s">
        <v>1488</v>
      </c>
      <c r="P330" s="4" t="e">
        <f>VLOOKUP(A330,المعطيات!$A$1:$J$3500,4,0)</f>
        <v>#N/A</v>
      </c>
      <c r="Q330" s="1" t="s">
        <v>1489</v>
      </c>
      <c r="R330" s="1" t="s">
        <v>1480</v>
      </c>
      <c r="S330" s="6" t="e">
        <f t="shared" si="17"/>
        <v>#N/A</v>
      </c>
    </row>
    <row r="331" spans="2:19" x14ac:dyDescent="0.25">
      <c r="B331" s="1" t="s">
        <v>1479</v>
      </c>
      <c r="C331" s="1" t="s">
        <v>1481</v>
      </c>
      <c r="D331" s="4" t="e">
        <f>VLOOKUP(A331,المعطيات!$A$1:$J$3500,5,0)</f>
        <v>#N/A</v>
      </c>
      <c r="E331" s="1" t="s">
        <v>1482</v>
      </c>
      <c r="F331" s="5">
        <f t="shared" si="15"/>
        <v>0</v>
      </c>
      <c r="G331" s="5" t="s">
        <v>1483</v>
      </c>
      <c r="H331" s="4" t="e">
        <f>VLOOKUP(A331,المعطيات!$A$1:$J$3500,3,0)</f>
        <v>#N/A</v>
      </c>
      <c r="I331" s="1" t="s">
        <v>1484</v>
      </c>
      <c r="J331" s="1" t="s">
        <v>1485</v>
      </c>
      <c r="K331" s="4" t="e">
        <f>VLOOKUP(A331,المعطيات!$A$1:$J$3500,6,0)</f>
        <v>#N/A</v>
      </c>
      <c r="L331" s="1" t="s">
        <v>1486</v>
      </c>
      <c r="M331" s="1" t="s">
        <v>1487</v>
      </c>
      <c r="N331" s="4" t="e">
        <f t="shared" si="16"/>
        <v>#N/A</v>
      </c>
      <c r="O331" s="1" t="s">
        <v>1488</v>
      </c>
      <c r="P331" s="4" t="e">
        <f>VLOOKUP(A331,المعطيات!$A$1:$J$3500,4,0)</f>
        <v>#N/A</v>
      </c>
      <c r="Q331" s="1" t="s">
        <v>1489</v>
      </c>
      <c r="R331" s="1" t="s">
        <v>1480</v>
      </c>
      <c r="S331" s="6" t="e">
        <f t="shared" si="17"/>
        <v>#N/A</v>
      </c>
    </row>
    <row r="332" spans="2:19" x14ac:dyDescent="0.25">
      <c r="B332" s="1" t="s">
        <v>1479</v>
      </c>
      <c r="C332" s="1" t="s">
        <v>1481</v>
      </c>
      <c r="D332" s="4" t="e">
        <f>VLOOKUP(A332,المعطيات!$A$1:$J$3500,5,0)</f>
        <v>#N/A</v>
      </c>
      <c r="E332" s="1" t="s">
        <v>1482</v>
      </c>
      <c r="F332" s="5">
        <f t="shared" si="15"/>
        <v>0</v>
      </c>
      <c r="G332" s="5" t="s">
        <v>1483</v>
      </c>
      <c r="H332" s="4" t="e">
        <f>VLOOKUP(A332,المعطيات!$A$1:$J$3500,3,0)</f>
        <v>#N/A</v>
      </c>
      <c r="I332" s="1" t="s">
        <v>1484</v>
      </c>
      <c r="J332" s="1" t="s">
        <v>1485</v>
      </c>
      <c r="K332" s="4" t="e">
        <f>VLOOKUP(A332,المعطيات!$A$1:$J$3500,6,0)</f>
        <v>#N/A</v>
      </c>
      <c r="L332" s="1" t="s">
        <v>1486</v>
      </c>
      <c r="M332" s="1" t="s">
        <v>1487</v>
      </c>
      <c r="N332" s="4" t="e">
        <f t="shared" si="16"/>
        <v>#N/A</v>
      </c>
      <c r="O332" s="1" t="s">
        <v>1488</v>
      </c>
      <c r="P332" s="4" t="e">
        <f>VLOOKUP(A332,المعطيات!$A$1:$J$3500,4,0)</f>
        <v>#N/A</v>
      </c>
      <c r="Q332" s="1" t="s">
        <v>1489</v>
      </c>
      <c r="R332" s="1" t="s">
        <v>1480</v>
      </c>
      <c r="S332" s="6" t="e">
        <f t="shared" si="17"/>
        <v>#N/A</v>
      </c>
    </row>
    <row r="333" spans="2:19" x14ac:dyDescent="0.25">
      <c r="B333" s="1" t="s">
        <v>1479</v>
      </c>
      <c r="C333" s="1" t="s">
        <v>1481</v>
      </c>
      <c r="D333" s="4" t="e">
        <f>VLOOKUP(A333,المعطيات!$A$1:$J$3500,5,0)</f>
        <v>#N/A</v>
      </c>
      <c r="E333" s="1" t="s">
        <v>1482</v>
      </c>
      <c r="F333" s="5">
        <f t="shared" si="15"/>
        <v>0</v>
      </c>
      <c r="G333" s="5" t="s">
        <v>1483</v>
      </c>
      <c r="H333" s="4" t="e">
        <f>VLOOKUP(A333,المعطيات!$A$1:$J$3500,3,0)</f>
        <v>#N/A</v>
      </c>
      <c r="I333" s="1" t="s">
        <v>1484</v>
      </c>
      <c r="J333" s="1" t="s">
        <v>1485</v>
      </c>
      <c r="K333" s="4" t="e">
        <f>VLOOKUP(A333,المعطيات!$A$1:$J$3500,6,0)</f>
        <v>#N/A</v>
      </c>
      <c r="L333" s="1" t="s">
        <v>1486</v>
      </c>
      <c r="M333" s="1" t="s">
        <v>1487</v>
      </c>
      <c r="N333" s="4" t="e">
        <f t="shared" si="16"/>
        <v>#N/A</v>
      </c>
      <c r="O333" s="1" t="s">
        <v>1488</v>
      </c>
      <c r="P333" s="4" t="e">
        <f>VLOOKUP(A333,المعطيات!$A$1:$J$3500,4,0)</f>
        <v>#N/A</v>
      </c>
      <c r="Q333" s="1" t="s">
        <v>1489</v>
      </c>
      <c r="R333" s="1" t="s">
        <v>1480</v>
      </c>
      <c r="S333" s="6" t="e">
        <f t="shared" si="17"/>
        <v>#N/A</v>
      </c>
    </row>
    <row r="334" spans="2:19" x14ac:dyDescent="0.25">
      <c r="B334" s="1" t="s">
        <v>1479</v>
      </c>
      <c r="C334" s="1" t="s">
        <v>1481</v>
      </c>
      <c r="D334" s="4" t="e">
        <f>VLOOKUP(A334,المعطيات!$A$1:$J$3500,5,0)</f>
        <v>#N/A</v>
      </c>
      <c r="E334" s="1" t="s">
        <v>1482</v>
      </c>
      <c r="F334" s="5">
        <f t="shared" si="15"/>
        <v>0</v>
      </c>
      <c r="G334" s="5" t="s">
        <v>1483</v>
      </c>
      <c r="H334" s="4" t="e">
        <f>VLOOKUP(A334,المعطيات!$A$1:$J$3500,3,0)</f>
        <v>#N/A</v>
      </c>
      <c r="I334" s="1" t="s">
        <v>1484</v>
      </c>
      <c r="J334" s="1" t="s">
        <v>1485</v>
      </c>
      <c r="K334" s="4" t="e">
        <f>VLOOKUP(A334,المعطيات!$A$1:$J$3500,6,0)</f>
        <v>#N/A</v>
      </c>
      <c r="L334" s="1" t="s">
        <v>1486</v>
      </c>
      <c r="M334" s="1" t="s">
        <v>1487</v>
      </c>
      <c r="N334" s="4" t="e">
        <f t="shared" si="16"/>
        <v>#N/A</v>
      </c>
      <c r="O334" s="1" t="s">
        <v>1488</v>
      </c>
      <c r="P334" s="4" t="e">
        <f>VLOOKUP(A334,المعطيات!$A$1:$J$3500,4,0)</f>
        <v>#N/A</v>
      </c>
      <c r="Q334" s="1" t="s">
        <v>1489</v>
      </c>
      <c r="R334" s="1" t="s">
        <v>1480</v>
      </c>
      <c r="S334" s="6" t="e">
        <f t="shared" si="17"/>
        <v>#N/A</v>
      </c>
    </row>
    <row r="335" spans="2:19" x14ac:dyDescent="0.25">
      <c r="B335" s="1" t="s">
        <v>1479</v>
      </c>
      <c r="C335" s="1" t="s">
        <v>1481</v>
      </c>
      <c r="D335" s="4" t="e">
        <f>VLOOKUP(A335,المعطيات!$A$1:$J$3500,5,0)</f>
        <v>#N/A</v>
      </c>
      <c r="E335" s="1" t="s">
        <v>1482</v>
      </c>
      <c r="F335" s="5">
        <f t="shared" si="15"/>
        <v>0</v>
      </c>
      <c r="G335" s="5" t="s">
        <v>1483</v>
      </c>
      <c r="H335" s="4" t="e">
        <f>VLOOKUP(A335,المعطيات!$A$1:$J$3500,3,0)</f>
        <v>#N/A</v>
      </c>
      <c r="I335" s="1" t="s">
        <v>1484</v>
      </c>
      <c r="J335" s="1" t="s">
        <v>1485</v>
      </c>
      <c r="K335" s="4" t="e">
        <f>VLOOKUP(A335,المعطيات!$A$1:$J$3500,6,0)</f>
        <v>#N/A</v>
      </c>
      <c r="L335" s="1" t="s">
        <v>1486</v>
      </c>
      <c r="M335" s="1" t="s">
        <v>1487</v>
      </c>
      <c r="N335" s="4" t="e">
        <f t="shared" si="16"/>
        <v>#N/A</v>
      </c>
      <c r="O335" s="1" t="s">
        <v>1488</v>
      </c>
      <c r="P335" s="4" t="e">
        <f>VLOOKUP(A335,المعطيات!$A$1:$J$3500,4,0)</f>
        <v>#N/A</v>
      </c>
      <c r="Q335" s="1" t="s">
        <v>1489</v>
      </c>
      <c r="R335" s="1" t="s">
        <v>1480</v>
      </c>
      <c r="S335" s="6" t="e">
        <f t="shared" si="17"/>
        <v>#N/A</v>
      </c>
    </row>
    <row r="336" spans="2:19" x14ac:dyDescent="0.25">
      <c r="B336" s="1" t="s">
        <v>1479</v>
      </c>
      <c r="C336" s="1" t="s">
        <v>1481</v>
      </c>
      <c r="D336" s="4" t="e">
        <f>VLOOKUP(A336,المعطيات!$A$1:$J$3500,5,0)</f>
        <v>#N/A</v>
      </c>
      <c r="E336" s="1" t="s">
        <v>1482</v>
      </c>
      <c r="F336" s="5">
        <f t="shared" si="15"/>
        <v>0</v>
      </c>
      <c r="G336" s="5" t="s">
        <v>1483</v>
      </c>
      <c r="H336" s="4" t="e">
        <f>VLOOKUP(A336,المعطيات!$A$1:$J$3500,3,0)</f>
        <v>#N/A</v>
      </c>
      <c r="I336" s="1" t="s">
        <v>1484</v>
      </c>
      <c r="J336" s="1" t="s">
        <v>1485</v>
      </c>
      <c r="K336" s="4" t="e">
        <f>VLOOKUP(A336,المعطيات!$A$1:$J$3500,6,0)</f>
        <v>#N/A</v>
      </c>
      <c r="L336" s="1" t="s">
        <v>1486</v>
      </c>
      <c r="M336" s="1" t="s">
        <v>1487</v>
      </c>
      <c r="N336" s="4" t="e">
        <f t="shared" si="16"/>
        <v>#N/A</v>
      </c>
      <c r="O336" s="1" t="s">
        <v>1488</v>
      </c>
      <c r="P336" s="4" t="e">
        <f>VLOOKUP(A336,المعطيات!$A$1:$J$3500,4,0)</f>
        <v>#N/A</v>
      </c>
      <c r="Q336" s="1" t="s">
        <v>1489</v>
      </c>
      <c r="R336" s="1" t="s">
        <v>1480</v>
      </c>
      <c r="S336" s="6" t="e">
        <f t="shared" si="17"/>
        <v>#N/A</v>
      </c>
    </row>
    <row r="337" spans="2:19" x14ac:dyDescent="0.25">
      <c r="B337" s="1" t="s">
        <v>1479</v>
      </c>
      <c r="C337" s="1" t="s">
        <v>1481</v>
      </c>
      <c r="D337" s="4" t="e">
        <f>VLOOKUP(A337,المعطيات!$A$1:$J$3500,5,0)</f>
        <v>#N/A</v>
      </c>
      <c r="E337" s="1" t="s">
        <v>1482</v>
      </c>
      <c r="F337" s="5">
        <f t="shared" si="15"/>
        <v>0</v>
      </c>
      <c r="G337" s="5" t="s">
        <v>1483</v>
      </c>
      <c r="H337" s="4" t="e">
        <f>VLOOKUP(A337,المعطيات!$A$1:$J$3500,3,0)</f>
        <v>#N/A</v>
      </c>
      <c r="I337" s="1" t="s">
        <v>1484</v>
      </c>
      <c r="J337" s="1" t="s">
        <v>1485</v>
      </c>
      <c r="K337" s="4" t="e">
        <f>VLOOKUP(A337,المعطيات!$A$1:$J$3500,6,0)</f>
        <v>#N/A</v>
      </c>
      <c r="L337" s="1" t="s">
        <v>1486</v>
      </c>
      <c r="M337" s="1" t="s">
        <v>1487</v>
      </c>
      <c r="N337" s="4" t="e">
        <f t="shared" si="16"/>
        <v>#N/A</v>
      </c>
      <c r="O337" s="1" t="s">
        <v>1488</v>
      </c>
      <c r="P337" s="4" t="e">
        <f>VLOOKUP(A337,المعطيات!$A$1:$J$3500,4,0)</f>
        <v>#N/A</v>
      </c>
      <c r="Q337" s="1" t="s">
        <v>1489</v>
      </c>
      <c r="R337" s="1" t="s">
        <v>1480</v>
      </c>
      <c r="S337" s="6" t="e">
        <f t="shared" si="17"/>
        <v>#N/A</v>
      </c>
    </row>
    <row r="338" spans="2:19" x14ac:dyDescent="0.25">
      <c r="B338" s="1" t="s">
        <v>1479</v>
      </c>
      <c r="C338" s="1" t="s">
        <v>1481</v>
      </c>
      <c r="D338" s="4" t="e">
        <f>VLOOKUP(A338,المعطيات!$A$1:$J$3500,5,0)</f>
        <v>#N/A</v>
      </c>
      <c r="E338" s="1" t="s">
        <v>1482</v>
      </c>
      <c r="F338" s="5">
        <f t="shared" si="15"/>
        <v>0</v>
      </c>
      <c r="G338" s="5" t="s">
        <v>1483</v>
      </c>
      <c r="H338" s="4" t="e">
        <f>VLOOKUP(A338,المعطيات!$A$1:$J$3500,3,0)</f>
        <v>#N/A</v>
      </c>
      <c r="I338" s="1" t="s">
        <v>1484</v>
      </c>
      <c r="J338" s="1" t="s">
        <v>1485</v>
      </c>
      <c r="K338" s="4" t="e">
        <f>VLOOKUP(A338,المعطيات!$A$1:$J$3500,6,0)</f>
        <v>#N/A</v>
      </c>
      <c r="L338" s="1" t="s">
        <v>1486</v>
      </c>
      <c r="M338" s="1" t="s">
        <v>1487</v>
      </c>
      <c r="N338" s="4" t="e">
        <f t="shared" si="16"/>
        <v>#N/A</v>
      </c>
      <c r="O338" s="1" t="s">
        <v>1488</v>
      </c>
      <c r="P338" s="4" t="e">
        <f>VLOOKUP(A338,المعطيات!$A$1:$J$3500,4,0)</f>
        <v>#N/A</v>
      </c>
      <c r="Q338" s="1" t="s">
        <v>1489</v>
      </c>
      <c r="R338" s="1" t="s">
        <v>1480</v>
      </c>
      <c r="S338" s="6" t="e">
        <f t="shared" si="17"/>
        <v>#N/A</v>
      </c>
    </row>
    <row r="339" spans="2:19" x14ac:dyDescent="0.25">
      <c r="B339" s="1" t="s">
        <v>1479</v>
      </c>
      <c r="C339" s="1" t="s">
        <v>1481</v>
      </c>
      <c r="D339" s="4" t="e">
        <f>VLOOKUP(A339,المعطيات!$A$1:$J$3500,5,0)</f>
        <v>#N/A</v>
      </c>
      <c r="E339" s="1" t="s">
        <v>1482</v>
      </c>
      <c r="F339" s="5">
        <f t="shared" si="15"/>
        <v>0</v>
      </c>
      <c r="G339" s="5" t="s">
        <v>1483</v>
      </c>
      <c r="H339" s="4" t="e">
        <f>VLOOKUP(A339,المعطيات!$A$1:$J$3500,3,0)</f>
        <v>#N/A</v>
      </c>
      <c r="I339" s="1" t="s">
        <v>1484</v>
      </c>
      <c r="J339" s="1" t="s">
        <v>1485</v>
      </c>
      <c r="K339" s="4" t="e">
        <f>VLOOKUP(A339,المعطيات!$A$1:$J$3500,6,0)</f>
        <v>#N/A</v>
      </c>
      <c r="L339" s="1" t="s">
        <v>1486</v>
      </c>
      <c r="M339" s="1" t="s">
        <v>1487</v>
      </c>
      <c r="N339" s="4" t="e">
        <f t="shared" si="16"/>
        <v>#N/A</v>
      </c>
      <c r="O339" s="1" t="s">
        <v>1488</v>
      </c>
      <c r="P339" s="4" t="e">
        <f>VLOOKUP(A339,المعطيات!$A$1:$J$3500,4,0)</f>
        <v>#N/A</v>
      </c>
      <c r="Q339" s="1" t="s">
        <v>1489</v>
      </c>
      <c r="R339" s="1" t="s">
        <v>1480</v>
      </c>
      <c r="S339" s="6" t="e">
        <f t="shared" si="17"/>
        <v>#N/A</v>
      </c>
    </row>
    <row r="340" spans="2:19" x14ac:dyDescent="0.25">
      <c r="B340" s="1" t="s">
        <v>1479</v>
      </c>
      <c r="C340" s="1" t="s">
        <v>1481</v>
      </c>
      <c r="D340" s="4" t="e">
        <f>VLOOKUP(A340,المعطيات!$A$1:$J$3500,5,0)</f>
        <v>#N/A</v>
      </c>
      <c r="E340" s="1" t="s">
        <v>1482</v>
      </c>
      <c r="F340" s="5">
        <f t="shared" si="15"/>
        <v>0</v>
      </c>
      <c r="G340" s="5" t="s">
        <v>1483</v>
      </c>
      <c r="H340" s="4" t="e">
        <f>VLOOKUP(A340,المعطيات!$A$1:$J$3500,3,0)</f>
        <v>#N/A</v>
      </c>
      <c r="I340" s="1" t="s">
        <v>1484</v>
      </c>
      <c r="J340" s="1" t="s">
        <v>1485</v>
      </c>
      <c r="K340" s="4" t="e">
        <f>VLOOKUP(A340,المعطيات!$A$1:$J$3500,6,0)</f>
        <v>#N/A</v>
      </c>
      <c r="L340" s="1" t="s">
        <v>1486</v>
      </c>
      <c r="M340" s="1" t="s">
        <v>1487</v>
      </c>
      <c r="N340" s="4" t="e">
        <f t="shared" si="16"/>
        <v>#N/A</v>
      </c>
      <c r="O340" s="1" t="s">
        <v>1488</v>
      </c>
      <c r="P340" s="4" t="e">
        <f>VLOOKUP(A340,المعطيات!$A$1:$J$3500,4,0)</f>
        <v>#N/A</v>
      </c>
      <c r="Q340" s="1" t="s">
        <v>1489</v>
      </c>
      <c r="R340" s="1" t="s">
        <v>1480</v>
      </c>
      <c r="S340" s="6" t="e">
        <f t="shared" si="17"/>
        <v>#N/A</v>
      </c>
    </row>
    <row r="341" spans="2:19" x14ac:dyDescent="0.25">
      <c r="B341" s="1" t="s">
        <v>1479</v>
      </c>
      <c r="C341" s="1" t="s">
        <v>1481</v>
      </c>
      <c r="D341" s="4" t="e">
        <f>VLOOKUP(A341,المعطيات!$A$1:$J$3500,5,0)</f>
        <v>#N/A</v>
      </c>
      <c r="E341" s="1" t="s">
        <v>1482</v>
      </c>
      <c r="F341" s="5">
        <f t="shared" si="15"/>
        <v>0</v>
      </c>
      <c r="G341" s="5" t="s">
        <v>1483</v>
      </c>
      <c r="H341" s="4" t="e">
        <f>VLOOKUP(A341,المعطيات!$A$1:$J$3500,3,0)</f>
        <v>#N/A</v>
      </c>
      <c r="I341" s="1" t="s">
        <v>1484</v>
      </c>
      <c r="J341" s="1" t="s">
        <v>1485</v>
      </c>
      <c r="K341" s="4" t="e">
        <f>VLOOKUP(A341,المعطيات!$A$1:$J$3500,6,0)</f>
        <v>#N/A</v>
      </c>
      <c r="L341" s="1" t="s">
        <v>1486</v>
      </c>
      <c r="M341" s="1" t="s">
        <v>1487</v>
      </c>
      <c r="N341" s="4" t="e">
        <f t="shared" si="16"/>
        <v>#N/A</v>
      </c>
      <c r="O341" s="1" t="s">
        <v>1488</v>
      </c>
      <c r="P341" s="4" t="e">
        <f>VLOOKUP(A341,المعطيات!$A$1:$J$3500,4,0)</f>
        <v>#N/A</v>
      </c>
      <c r="Q341" s="1" t="s">
        <v>1489</v>
      </c>
      <c r="R341" s="1" t="s">
        <v>1480</v>
      </c>
      <c r="S341" s="6" t="e">
        <f t="shared" si="17"/>
        <v>#N/A</v>
      </c>
    </row>
    <row r="342" spans="2:19" x14ac:dyDescent="0.25">
      <c r="B342" s="1" t="s">
        <v>1479</v>
      </c>
      <c r="C342" s="1" t="s">
        <v>1481</v>
      </c>
      <c r="D342" s="4" t="e">
        <f>VLOOKUP(A342,المعطيات!$A$1:$J$3500,5,0)</f>
        <v>#N/A</v>
      </c>
      <c r="E342" s="1" t="s">
        <v>1482</v>
      </c>
      <c r="F342" s="5">
        <f t="shared" si="15"/>
        <v>0</v>
      </c>
      <c r="G342" s="5" t="s">
        <v>1483</v>
      </c>
      <c r="H342" s="4" t="e">
        <f>VLOOKUP(A342,المعطيات!$A$1:$J$3500,3,0)</f>
        <v>#N/A</v>
      </c>
      <c r="I342" s="1" t="s">
        <v>1484</v>
      </c>
      <c r="J342" s="1" t="s">
        <v>1485</v>
      </c>
      <c r="K342" s="4" t="e">
        <f>VLOOKUP(A342,المعطيات!$A$1:$J$3500,6,0)</f>
        <v>#N/A</v>
      </c>
      <c r="L342" s="1" t="s">
        <v>1486</v>
      </c>
      <c r="M342" s="1" t="s">
        <v>1487</v>
      </c>
      <c r="N342" s="4" t="e">
        <f t="shared" si="16"/>
        <v>#N/A</v>
      </c>
      <c r="O342" s="1" t="s">
        <v>1488</v>
      </c>
      <c r="P342" s="4" t="e">
        <f>VLOOKUP(A342,المعطيات!$A$1:$J$3500,4,0)</f>
        <v>#N/A</v>
      </c>
      <c r="Q342" s="1" t="s">
        <v>1489</v>
      </c>
      <c r="R342" s="1" t="s">
        <v>1480</v>
      </c>
      <c r="S342" s="6" t="e">
        <f t="shared" si="17"/>
        <v>#N/A</v>
      </c>
    </row>
    <row r="343" spans="2:19" x14ac:dyDescent="0.25">
      <c r="B343" s="1" t="s">
        <v>1479</v>
      </c>
      <c r="C343" s="1" t="s">
        <v>1481</v>
      </c>
      <c r="D343" s="4" t="e">
        <f>VLOOKUP(A343,المعطيات!$A$1:$J$3500,5,0)</f>
        <v>#N/A</v>
      </c>
      <c r="E343" s="1" t="s">
        <v>1482</v>
      </c>
      <c r="F343" s="5">
        <f t="shared" si="15"/>
        <v>0</v>
      </c>
      <c r="G343" s="5" t="s">
        <v>1483</v>
      </c>
      <c r="H343" s="4" t="e">
        <f>VLOOKUP(A343,المعطيات!$A$1:$J$3500,3,0)</f>
        <v>#N/A</v>
      </c>
      <c r="I343" s="1" t="s">
        <v>1484</v>
      </c>
      <c r="J343" s="1" t="s">
        <v>1485</v>
      </c>
      <c r="K343" s="4" t="e">
        <f>VLOOKUP(A343,المعطيات!$A$1:$J$3500,6,0)</f>
        <v>#N/A</v>
      </c>
      <c r="L343" s="1" t="s">
        <v>1486</v>
      </c>
      <c r="M343" s="1" t="s">
        <v>1487</v>
      </c>
      <c r="N343" s="4" t="e">
        <f t="shared" si="16"/>
        <v>#N/A</v>
      </c>
      <c r="O343" s="1" t="s">
        <v>1488</v>
      </c>
      <c r="P343" s="4" t="e">
        <f>VLOOKUP(A343,المعطيات!$A$1:$J$3500,4,0)</f>
        <v>#N/A</v>
      </c>
      <c r="Q343" s="1" t="s">
        <v>1489</v>
      </c>
      <c r="R343" s="1" t="s">
        <v>1480</v>
      </c>
      <c r="S343" s="6" t="e">
        <f t="shared" si="17"/>
        <v>#N/A</v>
      </c>
    </row>
    <row r="344" spans="2:19" x14ac:dyDescent="0.25">
      <c r="B344" s="1" t="s">
        <v>1479</v>
      </c>
      <c r="C344" s="1" t="s">
        <v>1481</v>
      </c>
      <c r="D344" s="4" t="e">
        <f>VLOOKUP(A344,المعطيات!$A$1:$J$3500,5,0)</f>
        <v>#N/A</v>
      </c>
      <c r="E344" s="1" t="s">
        <v>1482</v>
      </c>
      <c r="F344" s="5">
        <f t="shared" si="15"/>
        <v>0</v>
      </c>
      <c r="G344" s="5" t="s">
        <v>1483</v>
      </c>
      <c r="H344" s="4" t="e">
        <f>VLOOKUP(A344,المعطيات!$A$1:$J$3500,3,0)</f>
        <v>#N/A</v>
      </c>
      <c r="I344" s="1" t="s">
        <v>1484</v>
      </c>
      <c r="J344" s="1" t="s">
        <v>1485</v>
      </c>
      <c r="K344" s="4" t="e">
        <f>VLOOKUP(A344,المعطيات!$A$1:$J$3500,6,0)</f>
        <v>#N/A</v>
      </c>
      <c r="L344" s="1" t="s">
        <v>1486</v>
      </c>
      <c r="M344" s="1" t="s">
        <v>1487</v>
      </c>
      <c r="N344" s="4" t="e">
        <f t="shared" si="16"/>
        <v>#N/A</v>
      </c>
      <c r="O344" s="1" t="s">
        <v>1488</v>
      </c>
      <c r="P344" s="4" t="e">
        <f>VLOOKUP(A344,المعطيات!$A$1:$J$3500,4,0)</f>
        <v>#N/A</v>
      </c>
      <c r="Q344" s="1" t="s">
        <v>1489</v>
      </c>
      <c r="R344" s="1" t="s">
        <v>1480</v>
      </c>
      <c r="S344" s="6" t="e">
        <f t="shared" si="17"/>
        <v>#N/A</v>
      </c>
    </row>
    <row r="345" spans="2:19" x14ac:dyDescent="0.25">
      <c r="B345" s="1" t="s">
        <v>1479</v>
      </c>
      <c r="C345" s="1" t="s">
        <v>1481</v>
      </c>
      <c r="D345" s="4" t="e">
        <f>VLOOKUP(A345,المعطيات!$A$1:$J$3500,5,0)</f>
        <v>#N/A</v>
      </c>
      <c r="E345" s="1" t="s">
        <v>1482</v>
      </c>
      <c r="F345" s="5">
        <f t="shared" si="15"/>
        <v>0</v>
      </c>
      <c r="G345" s="5" t="s">
        <v>1483</v>
      </c>
      <c r="H345" s="4" t="e">
        <f>VLOOKUP(A345,المعطيات!$A$1:$J$3500,3,0)</f>
        <v>#N/A</v>
      </c>
      <c r="I345" s="1" t="s">
        <v>1484</v>
      </c>
      <c r="J345" s="1" t="s">
        <v>1485</v>
      </c>
      <c r="K345" s="4" t="e">
        <f>VLOOKUP(A345,المعطيات!$A$1:$J$3500,6,0)</f>
        <v>#N/A</v>
      </c>
      <c r="L345" s="1" t="s">
        <v>1486</v>
      </c>
      <c r="M345" s="1" t="s">
        <v>1487</v>
      </c>
      <c r="N345" s="4" t="e">
        <f t="shared" si="16"/>
        <v>#N/A</v>
      </c>
      <c r="O345" s="1" t="s">
        <v>1488</v>
      </c>
      <c r="P345" s="4" t="e">
        <f>VLOOKUP(A345,المعطيات!$A$1:$J$3500,4,0)</f>
        <v>#N/A</v>
      </c>
      <c r="Q345" s="1" t="s">
        <v>1489</v>
      </c>
      <c r="R345" s="1" t="s">
        <v>1480</v>
      </c>
      <c r="S345" s="6" t="e">
        <f t="shared" si="17"/>
        <v>#N/A</v>
      </c>
    </row>
    <row r="346" spans="2:19" x14ac:dyDescent="0.25">
      <c r="B346" s="1" t="s">
        <v>1479</v>
      </c>
      <c r="C346" s="1" t="s">
        <v>1481</v>
      </c>
      <c r="D346" s="4" t="e">
        <f>VLOOKUP(A346,المعطيات!$A$1:$J$3500,5,0)</f>
        <v>#N/A</v>
      </c>
      <c r="E346" s="1" t="s">
        <v>1482</v>
      </c>
      <c r="F346" s="5">
        <f t="shared" si="15"/>
        <v>0</v>
      </c>
      <c r="G346" s="5" t="s">
        <v>1483</v>
      </c>
      <c r="H346" s="4" t="e">
        <f>VLOOKUP(A346,المعطيات!$A$1:$J$3500,3,0)</f>
        <v>#N/A</v>
      </c>
      <c r="I346" s="1" t="s">
        <v>1484</v>
      </c>
      <c r="J346" s="1" t="s">
        <v>1485</v>
      </c>
      <c r="K346" s="4" t="e">
        <f>VLOOKUP(A346,المعطيات!$A$1:$J$3500,6,0)</f>
        <v>#N/A</v>
      </c>
      <c r="L346" s="1" t="s">
        <v>1486</v>
      </c>
      <c r="M346" s="1" t="s">
        <v>1487</v>
      </c>
      <c r="N346" s="4" t="e">
        <f t="shared" si="16"/>
        <v>#N/A</v>
      </c>
      <c r="O346" s="1" t="s">
        <v>1488</v>
      </c>
      <c r="P346" s="4" t="e">
        <f>VLOOKUP(A346,المعطيات!$A$1:$J$3500,4,0)</f>
        <v>#N/A</v>
      </c>
      <c r="Q346" s="1" t="s">
        <v>1489</v>
      </c>
      <c r="R346" s="1" t="s">
        <v>1480</v>
      </c>
      <c r="S346" s="6" t="e">
        <f t="shared" si="17"/>
        <v>#N/A</v>
      </c>
    </row>
    <row r="347" spans="2:19" x14ac:dyDescent="0.25">
      <c r="B347" s="1" t="s">
        <v>1479</v>
      </c>
      <c r="C347" s="1" t="s">
        <v>1481</v>
      </c>
      <c r="D347" s="4" t="e">
        <f>VLOOKUP(A347,المعطيات!$A$1:$J$3500,5,0)</f>
        <v>#N/A</v>
      </c>
      <c r="E347" s="1" t="s">
        <v>1482</v>
      </c>
      <c r="F347" s="5">
        <f t="shared" si="15"/>
        <v>0</v>
      </c>
      <c r="G347" s="5" t="s">
        <v>1483</v>
      </c>
      <c r="H347" s="4" t="e">
        <f>VLOOKUP(A347,المعطيات!$A$1:$J$3500,3,0)</f>
        <v>#N/A</v>
      </c>
      <c r="I347" s="1" t="s">
        <v>1484</v>
      </c>
      <c r="J347" s="1" t="s">
        <v>1485</v>
      </c>
      <c r="K347" s="4" t="e">
        <f>VLOOKUP(A347,المعطيات!$A$1:$J$3500,6,0)</f>
        <v>#N/A</v>
      </c>
      <c r="L347" s="1" t="s">
        <v>1486</v>
      </c>
      <c r="M347" s="1" t="s">
        <v>1487</v>
      </c>
      <c r="N347" s="4" t="e">
        <f t="shared" si="16"/>
        <v>#N/A</v>
      </c>
      <c r="O347" s="1" t="s">
        <v>1488</v>
      </c>
      <c r="P347" s="4" t="e">
        <f>VLOOKUP(A347,المعطيات!$A$1:$J$3500,4,0)</f>
        <v>#N/A</v>
      </c>
      <c r="Q347" s="1" t="s">
        <v>1489</v>
      </c>
      <c r="R347" s="1" t="s">
        <v>1480</v>
      </c>
      <c r="S347" s="6" t="e">
        <f t="shared" si="17"/>
        <v>#N/A</v>
      </c>
    </row>
    <row r="348" spans="2:19" x14ac:dyDescent="0.25">
      <c r="B348" s="1" t="s">
        <v>1479</v>
      </c>
      <c r="C348" s="1" t="s">
        <v>1481</v>
      </c>
      <c r="D348" s="4" t="e">
        <f>VLOOKUP(A348,المعطيات!$A$1:$J$3500,5,0)</f>
        <v>#N/A</v>
      </c>
      <c r="E348" s="1" t="s">
        <v>1482</v>
      </c>
      <c r="F348" s="5">
        <f t="shared" si="15"/>
        <v>0</v>
      </c>
      <c r="G348" s="5" t="s">
        <v>1483</v>
      </c>
      <c r="H348" s="4" t="e">
        <f>VLOOKUP(A348,المعطيات!$A$1:$J$3500,3,0)</f>
        <v>#N/A</v>
      </c>
      <c r="I348" s="1" t="s">
        <v>1484</v>
      </c>
      <c r="J348" s="1" t="s">
        <v>1485</v>
      </c>
      <c r="K348" s="4" t="e">
        <f>VLOOKUP(A348,المعطيات!$A$1:$J$3500,6,0)</f>
        <v>#N/A</v>
      </c>
      <c r="L348" s="1" t="s">
        <v>1486</v>
      </c>
      <c r="M348" s="1" t="s">
        <v>1487</v>
      </c>
      <c r="N348" s="4" t="e">
        <f t="shared" si="16"/>
        <v>#N/A</v>
      </c>
      <c r="O348" s="1" t="s">
        <v>1488</v>
      </c>
      <c r="P348" s="4" t="e">
        <f>VLOOKUP(A348,المعطيات!$A$1:$J$3500,4,0)</f>
        <v>#N/A</v>
      </c>
      <c r="Q348" s="1" t="s">
        <v>1489</v>
      </c>
      <c r="R348" s="1" t="s">
        <v>1480</v>
      </c>
      <c r="S348" s="6" t="e">
        <f t="shared" si="17"/>
        <v>#N/A</v>
      </c>
    </row>
    <row r="349" spans="2:19" x14ac:dyDescent="0.25">
      <c r="B349" s="1" t="s">
        <v>1479</v>
      </c>
      <c r="C349" s="1" t="s">
        <v>1481</v>
      </c>
      <c r="D349" s="4" t="e">
        <f>VLOOKUP(A349,المعطيات!$A$1:$J$3500,5,0)</f>
        <v>#N/A</v>
      </c>
      <c r="E349" s="1" t="s">
        <v>1482</v>
      </c>
      <c r="F349" s="5">
        <f t="shared" si="15"/>
        <v>0</v>
      </c>
      <c r="G349" s="5" t="s">
        <v>1483</v>
      </c>
      <c r="H349" s="4" t="e">
        <f>VLOOKUP(A349,المعطيات!$A$1:$J$3500,3,0)</f>
        <v>#N/A</v>
      </c>
      <c r="I349" s="1" t="s">
        <v>1484</v>
      </c>
      <c r="J349" s="1" t="s">
        <v>1485</v>
      </c>
      <c r="K349" s="4" t="e">
        <f>VLOOKUP(A349,المعطيات!$A$1:$J$3500,6,0)</f>
        <v>#N/A</v>
      </c>
      <c r="L349" s="1" t="s">
        <v>1486</v>
      </c>
      <c r="M349" s="1" t="s">
        <v>1487</v>
      </c>
      <c r="N349" s="4" t="e">
        <f t="shared" si="16"/>
        <v>#N/A</v>
      </c>
      <c r="O349" s="1" t="s">
        <v>1488</v>
      </c>
      <c r="P349" s="4" t="e">
        <f>VLOOKUP(A349,المعطيات!$A$1:$J$3500,4,0)</f>
        <v>#N/A</v>
      </c>
      <c r="Q349" s="1" t="s">
        <v>1489</v>
      </c>
      <c r="R349" s="1" t="s">
        <v>1480</v>
      </c>
      <c r="S349" s="6" t="e">
        <f t="shared" si="17"/>
        <v>#N/A</v>
      </c>
    </row>
    <row r="350" spans="2:19" x14ac:dyDescent="0.25">
      <c r="B350" s="1" t="s">
        <v>1479</v>
      </c>
      <c r="C350" s="1" t="s">
        <v>1481</v>
      </c>
      <c r="D350" s="4" t="e">
        <f>VLOOKUP(A350,المعطيات!$A$1:$J$3500,5,0)</f>
        <v>#N/A</v>
      </c>
      <c r="E350" s="1" t="s">
        <v>1482</v>
      </c>
      <c r="F350" s="5">
        <f t="shared" si="15"/>
        <v>0</v>
      </c>
      <c r="G350" s="5" t="s">
        <v>1483</v>
      </c>
      <c r="H350" s="4" t="e">
        <f>VLOOKUP(A350,المعطيات!$A$1:$J$3500,3,0)</f>
        <v>#N/A</v>
      </c>
      <c r="I350" s="1" t="s">
        <v>1484</v>
      </c>
      <c r="J350" s="1" t="s">
        <v>1485</v>
      </c>
      <c r="K350" s="4" t="e">
        <f>VLOOKUP(A350,المعطيات!$A$1:$J$3500,6,0)</f>
        <v>#N/A</v>
      </c>
      <c r="L350" s="1" t="s">
        <v>1486</v>
      </c>
      <c r="M350" s="1" t="s">
        <v>1487</v>
      </c>
      <c r="N350" s="4" t="e">
        <f t="shared" si="16"/>
        <v>#N/A</v>
      </c>
      <c r="O350" s="1" t="s">
        <v>1488</v>
      </c>
      <c r="P350" s="4" t="e">
        <f>VLOOKUP(A350,المعطيات!$A$1:$J$3500,4,0)</f>
        <v>#N/A</v>
      </c>
      <c r="Q350" s="1" t="s">
        <v>1489</v>
      </c>
      <c r="R350" s="1" t="s">
        <v>1480</v>
      </c>
      <c r="S350" s="6" t="e">
        <f t="shared" si="17"/>
        <v>#N/A</v>
      </c>
    </row>
    <row r="351" spans="2:19" x14ac:dyDescent="0.25">
      <c r="B351" s="1" t="s">
        <v>1479</v>
      </c>
      <c r="C351" s="1" t="s">
        <v>1481</v>
      </c>
      <c r="D351" s="4" t="e">
        <f>VLOOKUP(A351,المعطيات!$A$1:$J$3500,5,0)</f>
        <v>#N/A</v>
      </c>
      <c r="E351" s="1" t="s">
        <v>1482</v>
      </c>
      <c r="F351" s="5">
        <f t="shared" si="15"/>
        <v>0</v>
      </c>
      <c r="G351" s="5" t="s">
        <v>1483</v>
      </c>
      <c r="H351" s="4" t="e">
        <f>VLOOKUP(A351,المعطيات!$A$1:$J$3500,3,0)</f>
        <v>#N/A</v>
      </c>
      <c r="I351" s="1" t="s">
        <v>1484</v>
      </c>
      <c r="J351" s="1" t="s">
        <v>1485</v>
      </c>
      <c r="K351" s="4" t="e">
        <f>VLOOKUP(A351,المعطيات!$A$1:$J$3500,6,0)</f>
        <v>#N/A</v>
      </c>
      <c r="L351" s="1" t="s">
        <v>1486</v>
      </c>
      <c r="M351" s="1" t="s">
        <v>1487</v>
      </c>
      <c r="N351" s="4" t="e">
        <f t="shared" si="16"/>
        <v>#N/A</v>
      </c>
      <c r="O351" s="1" t="s">
        <v>1488</v>
      </c>
      <c r="P351" s="4" t="e">
        <f>VLOOKUP(A351,المعطيات!$A$1:$J$3500,4,0)</f>
        <v>#N/A</v>
      </c>
      <c r="Q351" s="1" t="s">
        <v>1489</v>
      </c>
      <c r="R351" s="1" t="s">
        <v>1480</v>
      </c>
      <c r="S351" s="6" t="e">
        <f t="shared" si="17"/>
        <v>#N/A</v>
      </c>
    </row>
    <row r="352" spans="2:19" x14ac:dyDescent="0.25">
      <c r="B352" s="1" t="s">
        <v>1479</v>
      </c>
      <c r="C352" s="1" t="s">
        <v>1481</v>
      </c>
      <c r="D352" s="4" t="e">
        <f>VLOOKUP(A352,المعطيات!$A$1:$J$3500,5,0)</f>
        <v>#N/A</v>
      </c>
      <c r="E352" s="1" t="s">
        <v>1482</v>
      </c>
      <c r="F352" s="5">
        <f t="shared" si="15"/>
        <v>0</v>
      </c>
      <c r="G352" s="5" t="s">
        <v>1483</v>
      </c>
      <c r="H352" s="4" t="e">
        <f>VLOOKUP(A352,المعطيات!$A$1:$J$3500,3,0)</f>
        <v>#N/A</v>
      </c>
      <c r="I352" s="1" t="s">
        <v>1484</v>
      </c>
      <c r="J352" s="1" t="s">
        <v>1485</v>
      </c>
      <c r="K352" s="4" t="e">
        <f>VLOOKUP(A352,المعطيات!$A$1:$J$3500,6,0)</f>
        <v>#N/A</v>
      </c>
      <c r="L352" s="1" t="s">
        <v>1486</v>
      </c>
      <c r="M352" s="1" t="s">
        <v>1487</v>
      </c>
      <c r="N352" s="4" t="e">
        <f t="shared" si="16"/>
        <v>#N/A</v>
      </c>
      <c r="O352" s="1" t="s">
        <v>1488</v>
      </c>
      <c r="P352" s="4" t="e">
        <f>VLOOKUP(A352,المعطيات!$A$1:$J$3500,4,0)</f>
        <v>#N/A</v>
      </c>
      <c r="Q352" s="1" t="s">
        <v>1489</v>
      </c>
      <c r="R352" s="1" t="s">
        <v>1480</v>
      </c>
      <c r="S352" s="6" t="e">
        <f t="shared" si="17"/>
        <v>#N/A</v>
      </c>
    </row>
    <row r="353" spans="2:19" x14ac:dyDescent="0.25">
      <c r="B353" s="1" t="s">
        <v>1479</v>
      </c>
      <c r="C353" s="1" t="s">
        <v>1481</v>
      </c>
      <c r="D353" s="4" t="e">
        <f>VLOOKUP(A353,المعطيات!$A$1:$J$3500,5,0)</f>
        <v>#N/A</v>
      </c>
      <c r="E353" s="1" t="s">
        <v>1482</v>
      </c>
      <c r="F353" s="5">
        <f t="shared" si="15"/>
        <v>0</v>
      </c>
      <c r="G353" s="5" t="s">
        <v>1483</v>
      </c>
      <c r="H353" s="4" t="e">
        <f>VLOOKUP(A353,المعطيات!$A$1:$J$3500,3,0)</f>
        <v>#N/A</v>
      </c>
      <c r="I353" s="1" t="s">
        <v>1484</v>
      </c>
      <c r="J353" s="1" t="s">
        <v>1485</v>
      </c>
      <c r="K353" s="4" t="e">
        <f>VLOOKUP(A353,المعطيات!$A$1:$J$3500,6,0)</f>
        <v>#N/A</v>
      </c>
      <c r="L353" s="1" t="s">
        <v>1486</v>
      </c>
      <c r="M353" s="1" t="s">
        <v>1487</v>
      </c>
      <c r="N353" s="4" t="e">
        <f t="shared" si="16"/>
        <v>#N/A</v>
      </c>
      <c r="O353" s="1" t="s">
        <v>1488</v>
      </c>
      <c r="P353" s="4" t="e">
        <f>VLOOKUP(A353,المعطيات!$A$1:$J$3500,4,0)</f>
        <v>#N/A</v>
      </c>
      <c r="Q353" s="1" t="s">
        <v>1489</v>
      </c>
      <c r="R353" s="1" t="s">
        <v>1480</v>
      </c>
      <c r="S353" s="6" t="e">
        <f t="shared" si="17"/>
        <v>#N/A</v>
      </c>
    </row>
    <row r="354" spans="2:19" x14ac:dyDescent="0.25">
      <c r="B354" s="1" t="s">
        <v>1479</v>
      </c>
      <c r="C354" s="1" t="s">
        <v>1481</v>
      </c>
      <c r="D354" s="4" t="e">
        <f>VLOOKUP(A354,المعطيات!$A$1:$J$3500,5,0)</f>
        <v>#N/A</v>
      </c>
      <c r="E354" s="1" t="s">
        <v>1482</v>
      </c>
      <c r="F354" s="5">
        <f t="shared" si="15"/>
        <v>0</v>
      </c>
      <c r="G354" s="5" t="s">
        <v>1483</v>
      </c>
      <c r="H354" s="4" t="e">
        <f>VLOOKUP(A354,المعطيات!$A$1:$J$3500,3,0)</f>
        <v>#N/A</v>
      </c>
      <c r="I354" s="1" t="s">
        <v>1484</v>
      </c>
      <c r="J354" s="1" t="s">
        <v>1485</v>
      </c>
      <c r="K354" s="4" t="e">
        <f>VLOOKUP(A354,المعطيات!$A$1:$J$3500,6,0)</f>
        <v>#N/A</v>
      </c>
      <c r="L354" s="1" t="s">
        <v>1486</v>
      </c>
      <c r="M354" s="1" t="s">
        <v>1487</v>
      </c>
      <c r="N354" s="4" t="e">
        <f t="shared" si="16"/>
        <v>#N/A</v>
      </c>
      <c r="O354" s="1" t="s">
        <v>1488</v>
      </c>
      <c r="P354" s="4" t="e">
        <f>VLOOKUP(A354,المعطيات!$A$1:$J$3500,4,0)</f>
        <v>#N/A</v>
      </c>
      <c r="Q354" s="1" t="s">
        <v>1489</v>
      </c>
      <c r="R354" s="1" t="s">
        <v>1480</v>
      </c>
      <c r="S354" s="6" t="e">
        <f t="shared" si="17"/>
        <v>#N/A</v>
      </c>
    </row>
    <row r="355" spans="2:19" x14ac:dyDescent="0.25">
      <c r="B355" s="1" t="s">
        <v>1479</v>
      </c>
      <c r="C355" s="1" t="s">
        <v>1481</v>
      </c>
      <c r="D355" s="4" t="e">
        <f>VLOOKUP(A355,المعطيات!$A$1:$J$3500,5,0)</f>
        <v>#N/A</v>
      </c>
      <c r="E355" s="1" t="s">
        <v>1482</v>
      </c>
      <c r="F355" s="5">
        <f t="shared" si="15"/>
        <v>0</v>
      </c>
      <c r="G355" s="5" t="s">
        <v>1483</v>
      </c>
      <c r="H355" s="4" t="e">
        <f>VLOOKUP(A355,المعطيات!$A$1:$J$3500,3,0)</f>
        <v>#N/A</v>
      </c>
      <c r="I355" s="1" t="s">
        <v>1484</v>
      </c>
      <c r="J355" s="1" t="s">
        <v>1485</v>
      </c>
      <c r="K355" s="4" t="e">
        <f>VLOOKUP(A355,المعطيات!$A$1:$J$3500,6,0)</f>
        <v>#N/A</v>
      </c>
      <c r="L355" s="1" t="s">
        <v>1486</v>
      </c>
      <c r="M355" s="1" t="s">
        <v>1487</v>
      </c>
      <c r="N355" s="4" t="e">
        <f t="shared" si="16"/>
        <v>#N/A</v>
      </c>
      <c r="O355" s="1" t="s">
        <v>1488</v>
      </c>
      <c r="P355" s="4" t="e">
        <f>VLOOKUP(A355,المعطيات!$A$1:$J$3500,4,0)</f>
        <v>#N/A</v>
      </c>
      <c r="Q355" s="1" t="s">
        <v>1489</v>
      </c>
      <c r="R355" s="1" t="s">
        <v>1480</v>
      </c>
      <c r="S355" s="6" t="e">
        <f t="shared" si="17"/>
        <v>#N/A</v>
      </c>
    </row>
    <row r="356" spans="2:19" x14ac:dyDescent="0.25">
      <c r="B356" s="1" t="s">
        <v>1479</v>
      </c>
      <c r="C356" s="1" t="s">
        <v>1481</v>
      </c>
      <c r="D356" s="4" t="e">
        <f>VLOOKUP(A356,المعطيات!$A$1:$J$3500,5,0)</f>
        <v>#N/A</v>
      </c>
      <c r="E356" s="1" t="s">
        <v>1482</v>
      </c>
      <c r="F356" s="5">
        <f t="shared" si="15"/>
        <v>0</v>
      </c>
      <c r="G356" s="5" t="s">
        <v>1483</v>
      </c>
      <c r="H356" s="4" t="e">
        <f>VLOOKUP(A356,المعطيات!$A$1:$J$3500,3,0)</f>
        <v>#N/A</v>
      </c>
      <c r="I356" s="1" t="s">
        <v>1484</v>
      </c>
      <c r="J356" s="1" t="s">
        <v>1485</v>
      </c>
      <c r="K356" s="4" t="e">
        <f>VLOOKUP(A356,المعطيات!$A$1:$J$3500,6,0)</f>
        <v>#N/A</v>
      </c>
      <c r="L356" s="1" t="s">
        <v>1486</v>
      </c>
      <c r="M356" s="1" t="s">
        <v>1487</v>
      </c>
      <c r="N356" s="4" t="e">
        <f t="shared" si="16"/>
        <v>#N/A</v>
      </c>
      <c r="O356" s="1" t="s">
        <v>1488</v>
      </c>
      <c r="P356" s="4" t="e">
        <f>VLOOKUP(A356,المعطيات!$A$1:$J$3500,4,0)</f>
        <v>#N/A</v>
      </c>
      <c r="Q356" s="1" t="s">
        <v>1489</v>
      </c>
      <c r="R356" s="1" t="s">
        <v>1480</v>
      </c>
      <c r="S356" s="6" t="e">
        <f t="shared" si="17"/>
        <v>#N/A</v>
      </c>
    </row>
    <row r="357" spans="2:19" x14ac:dyDescent="0.25">
      <c r="B357" s="1" t="s">
        <v>1479</v>
      </c>
      <c r="C357" s="1" t="s">
        <v>1481</v>
      </c>
      <c r="D357" s="4" t="e">
        <f>VLOOKUP(A357,المعطيات!$A$1:$J$3500,5,0)</f>
        <v>#N/A</v>
      </c>
      <c r="E357" s="1" t="s">
        <v>1482</v>
      </c>
      <c r="F357" s="5">
        <f t="shared" si="15"/>
        <v>0</v>
      </c>
      <c r="G357" s="5" t="s">
        <v>1483</v>
      </c>
      <c r="H357" s="4" t="e">
        <f>VLOOKUP(A357,المعطيات!$A$1:$J$3500,3,0)</f>
        <v>#N/A</v>
      </c>
      <c r="I357" s="1" t="s">
        <v>1484</v>
      </c>
      <c r="J357" s="1" t="s">
        <v>1485</v>
      </c>
      <c r="K357" s="4" t="e">
        <f>VLOOKUP(A357,المعطيات!$A$1:$J$3500,6,0)</f>
        <v>#N/A</v>
      </c>
      <c r="L357" s="1" t="s">
        <v>1486</v>
      </c>
      <c r="M357" s="1" t="s">
        <v>1487</v>
      </c>
      <c r="N357" s="4" t="e">
        <f t="shared" si="16"/>
        <v>#N/A</v>
      </c>
      <c r="O357" s="1" t="s">
        <v>1488</v>
      </c>
      <c r="P357" s="4" t="e">
        <f>VLOOKUP(A357,المعطيات!$A$1:$J$3500,4,0)</f>
        <v>#N/A</v>
      </c>
      <c r="Q357" s="1" t="s">
        <v>1489</v>
      </c>
      <c r="R357" s="1" t="s">
        <v>1480</v>
      </c>
      <c r="S357" s="6" t="e">
        <f t="shared" si="17"/>
        <v>#N/A</v>
      </c>
    </row>
    <row r="358" spans="2:19" x14ac:dyDescent="0.25">
      <c r="B358" s="1" t="s">
        <v>1479</v>
      </c>
      <c r="C358" s="1" t="s">
        <v>1481</v>
      </c>
      <c r="D358" s="4" t="e">
        <f>VLOOKUP(A358,المعطيات!$A$1:$J$3500,5,0)</f>
        <v>#N/A</v>
      </c>
      <c r="E358" s="1" t="s">
        <v>1482</v>
      </c>
      <c r="F358" s="5">
        <f t="shared" si="15"/>
        <v>0</v>
      </c>
      <c r="G358" s="5" t="s">
        <v>1483</v>
      </c>
      <c r="H358" s="4" t="e">
        <f>VLOOKUP(A358,المعطيات!$A$1:$J$3500,3,0)</f>
        <v>#N/A</v>
      </c>
      <c r="I358" s="1" t="s">
        <v>1484</v>
      </c>
      <c r="J358" s="1" t="s">
        <v>1485</v>
      </c>
      <c r="K358" s="4" t="e">
        <f>VLOOKUP(A358,المعطيات!$A$1:$J$3500,6,0)</f>
        <v>#N/A</v>
      </c>
      <c r="L358" s="1" t="s">
        <v>1486</v>
      </c>
      <c r="M358" s="1" t="s">
        <v>1487</v>
      </c>
      <c r="N358" s="4" t="e">
        <f t="shared" si="16"/>
        <v>#N/A</v>
      </c>
      <c r="O358" s="1" t="s">
        <v>1488</v>
      </c>
      <c r="P358" s="4" t="e">
        <f>VLOOKUP(A358,المعطيات!$A$1:$J$3500,4,0)</f>
        <v>#N/A</v>
      </c>
      <c r="Q358" s="1" t="s">
        <v>1489</v>
      </c>
      <c r="R358" s="1" t="s">
        <v>1480</v>
      </c>
      <c r="S358" s="6" t="e">
        <f t="shared" si="17"/>
        <v>#N/A</v>
      </c>
    </row>
    <row r="359" spans="2:19" x14ac:dyDescent="0.25">
      <c r="B359" s="1" t="s">
        <v>1479</v>
      </c>
      <c r="C359" s="1" t="s">
        <v>1481</v>
      </c>
      <c r="D359" s="4" t="e">
        <f>VLOOKUP(A359,المعطيات!$A$1:$J$3500,5,0)</f>
        <v>#N/A</v>
      </c>
      <c r="E359" s="1" t="s">
        <v>1482</v>
      </c>
      <c r="F359" s="5">
        <f t="shared" si="15"/>
        <v>0</v>
      </c>
      <c r="G359" s="5" t="s">
        <v>1483</v>
      </c>
      <c r="H359" s="4" t="e">
        <f>VLOOKUP(A359,المعطيات!$A$1:$J$3500,3,0)</f>
        <v>#N/A</v>
      </c>
      <c r="I359" s="1" t="s">
        <v>1484</v>
      </c>
      <c r="J359" s="1" t="s">
        <v>1485</v>
      </c>
      <c r="K359" s="4" t="e">
        <f>VLOOKUP(A359,المعطيات!$A$1:$J$3500,6,0)</f>
        <v>#N/A</v>
      </c>
      <c r="L359" s="1" t="s">
        <v>1486</v>
      </c>
      <c r="M359" s="1" t="s">
        <v>1487</v>
      </c>
      <c r="N359" s="4" t="e">
        <f t="shared" si="16"/>
        <v>#N/A</v>
      </c>
      <c r="O359" s="1" t="s">
        <v>1488</v>
      </c>
      <c r="P359" s="4" t="e">
        <f>VLOOKUP(A359,المعطيات!$A$1:$J$3500,4,0)</f>
        <v>#N/A</v>
      </c>
      <c r="Q359" s="1" t="s">
        <v>1489</v>
      </c>
      <c r="R359" s="1" t="s">
        <v>1480</v>
      </c>
      <c r="S359" s="6" t="e">
        <f t="shared" si="17"/>
        <v>#N/A</v>
      </c>
    </row>
    <row r="360" spans="2:19" x14ac:dyDescent="0.25">
      <c r="B360" s="1" t="s">
        <v>1479</v>
      </c>
      <c r="C360" s="1" t="s">
        <v>1481</v>
      </c>
      <c r="D360" s="4" t="e">
        <f>VLOOKUP(A360,المعطيات!$A$1:$J$3500,5,0)</f>
        <v>#N/A</v>
      </c>
      <c r="E360" s="1" t="s">
        <v>1482</v>
      </c>
      <c r="F360" s="5">
        <f t="shared" si="15"/>
        <v>0</v>
      </c>
      <c r="G360" s="5" t="s">
        <v>1483</v>
      </c>
      <c r="H360" s="4" t="e">
        <f>VLOOKUP(A360,المعطيات!$A$1:$J$3500,3,0)</f>
        <v>#N/A</v>
      </c>
      <c r="I360" s="1" t="s">
        <v>1484</v>
      </c>
      <c r="J360" s="1" t="s">
        <v>1485</v>
      </c>
      <c r="K360" s="4" t="e">
        <f>VLOOKUP(A360,المعطيات!$A$1:$J$3500,6,0)</f>
        <v>#N/A</v>
      </c>
      <c r="L360" s="1" t="s">
        <v>1486</v>
      </c>
      <c r="M360" s="1" t="s">
        <v>1487</v>
      </c>
      <c r="N360" s="4" t="e">
        <f t="shared" si="16"/>
        <v>#N/A</v>
      </c>
      <c r="O360" s="1" t="s">
        <v>1488</v>
      </c>
      <c r="P360" s="4" t="e">
        <f>VLOOKUP(A360,المعطيات!$A$1:$J$3500,4,0)</f>
        <v>#N/A</v>
      </c>
      <c r="Q360" s="1" t="s">
        <v>1489</v>
      </c>
      <c r="R360" s="1" t="s">
        <v>1480</v>
      </c>
      <c r="S360" s="6" t="e">
        <f t="shared" si="17"/>
        <v>#N/A</v>
      </c>
    </row>
    <row r="361" spans="2:19" x14ac:dyDescent="0.25">
      <c r="B361" s="1" t="s">
        <v>1479</v>
      </c>
      <c r="C361" s="1" t="s">
        <v>1481</v>
      </c>
      <c r="D361" s="4" t="e">
        <f>VLOOKUP(A361,المعطيات!$A$1:$J$3500,5,0)</f>
        <v>#N/A</v>
      </c>
      <c r="E361" s="1" t="s">
        <v>1482</v>
      </c>
      <c r="F361" s="5">
        <f t="shared" si="15"/>
        <v>0</v>
      </c>
      <c r="G361" s="5" t="s">
        <v>1483</v>
      </c>
      <c r="H361" s="4" t="e">
        <f>VLOOKUP(A361,المعطيات!$A$1:$J$3500,3,0)</f>
        <v>#N/A</v>
      </c>
      <c r="I361" s="1" t="s">
        <v>1484</v>
      </c>
      <c r="J361" s="1" t="s">
        <v>1485</v>
      </c>
      <c r="K361" s="4" t="e">
        <f>VLOOKUP(A361,المعطيات!$A$1:$J$3500,6,0)</f>
        <v>#N/A</v>
      </c>
      <c r="L361" s="1" t="s">
        <v>1486</v>
      </c>
      <c r="M361" s="1" t="s">
        <v>1487</v>
      </c>
      <c r="N361" s="4" t="e">
        <f t="shared" si="16"/>
        <v>#N/A</v>
      </c>
      <c r="O361" s="1" t="s">
        <v>1488</v>
      </c>
      <c r="P361" s="4" t="e">
        <f>VLOOKUP(A361,المعطيات!$A$1:$J$3500,4,0)</f>
        <v>#N/A</v>
      </c>
      <c r="Q361" s="1" t="s">
        <v>1489</v>
      </c>
      <c r="R361" s="1" t="s">
        <v>1480</v>
      </c>
      <c r="S361" s="6" t="e">
        <f t="shared" si="17"/>
        <v>#N/A</v>
      </c>
    </row>
    <row r="362" spans="2:19" x14ac:dyDescent="0.25">
      <c r="B362" s="1" t="s">
        <v>1479</v>
      </c>
      <c r="C362" s="1" t="s">
        <v>1481</v>
      </c>
      <c r="D362" s="4" t="e">
        <f>VLOOKUP(A362,المعطيات!$A$1:$J$3500,5,0)</f>
        <v>#N/A</v>
      </c>
      <c r="E362" s="1" t="s">
        <v>1482</v>
      </c>
      <c r="F362" s="5">
        <f t="shared" si="15"/>
        <v>0</v>
      </c>
      <c r="G362" s="5" t="s">
        <v>1483</v>
      </c>
      <c r="H362" s="4" t="e">
        <f>VLOOKUP(A362,المعطيات!$A$1:$J$3500,3,0)</f>
        <v>#N/A</v>
      </c>
      <c r="I362" s="1" t="s">
        <v>1484</v>
      </c>
      <c r="J362" s="1" t="s">
        <v>1485</v>
      </c>
      <c r="K362" s="4" t="e">
        <f>VLOOKUP(A362,المعطيات!$A$1:$J$3500,6,0)</f>
        <v>#N/A</v>
      </c>
      <c r="L362" s="1" t="s">
        <v>1486</v>
      </c>
      <c r="M362" s="1" t="s">
        <v>1487</v>
      </c>
      <c r="N362" s="4" t="e">
        <f t="shared" si="16"/>
        <v>#N/A</v>
      </c>
      <c r="O362" s="1" t="s">
        <v>1488</v>
      </c>
      <c r="P362" s="4" t="e">
        <f>VLOOKUP(A362,المعطيات!$A$1:$J$3500,4,0)</f>
        <v>#N/A</v>
      </c>
      <c r="Q362" s="1" t="s">
        <v>1489</v>
      </c>
      <c r="R362" s="1" t="s">
        <v>1480</v>
      </c>
      <c r="S362" s="6" t="e">
        <f t="shared" si="17"/>
        <v>#N/A</v>
      </c>
    </row>
    <row r="363" spans="2:19" x14ac:dyDescent="0.25">
      <c r="B363" s="1" t="s">
        <v>1479</v>
      </c>
      <c r="C363" s="1" t="s">
        <v>1481</v>
      </c>
      <c r="D363" s="4" t="e">
        <f>VLOOKUP(A363,المعطيات!$A$1:$J$3500,5,0)</f>
        <v>#N/A</v>
      </c>
      <c r="E363" s="1" t="s">
        <v>1482</v>
      </c>
      <c r="F363" s="5">
        <f t="shared" si="15"/>
        <v>0</v>
      </c>
      <c r="G363" s="5" t="s">
        <v>1483</v>
      </c>
      <c r="H363" s="4" t="e">
        <f>VLOOKUP(A363,المعطيات!$A$1:$J$3500,3,0)</f>
        <v>#N/A</v>
      </c>
      <c r="I363" s="1" t="s">
        <v>1484</v>
      </c>
      <c r="J363" s="1" t="s">
        <v>1485</v>
      </c>
      <c r="K363" s="4" t="e">
        <f>VLOOKUP(A363,المعطيات!$A$1:$J$3500,6,0)</f>
        <v>#N/A</v>
      </c>
      <c r="L363" s="1" t="s">
        <v>1486</v>
      </c>
      <c r="M363" s="1" t="s">
        <v>1487</v>
      </c>
      <c r="N363" s="4" t="e">
        <f t="shared" si="16"/>
        <v>#N/A</v>
      </c>
      <c r="O363" s="1" t="s">
        <v>1488</v>
      </c>
      <c r="P363" s="4" t="e">
        <f>VLOOKUP(A363,المعطيات!$A$1:$J$3500,4,0)</f>
        <v>#N/A</v>
      </c>
      <c r="Q363" s="1" t="s">
        <v>1489</v>
      </c>
      <c r="R363" s="1" t="s">
        <v>1480</v>
      </c>
      <c r="S363" s="6" t="e">
        <f t="shared" si="17"/>
        <v>#N/A</v>
      </c>
    </row>
    <row r="364" spans="2:19" x14ac:dyDescent="0.25">
      <c r="B364" s="1" t="s">
        <v>1479</v>
      </c>
      <c r="C364" s="1" t="s">
        <v>1481</v>
      </c>
      <c r="D364" s="4" t="e">
        <f>VLOOKUP(A364,المعطيات!$A$1:$J$3500,5,0)</f>
        <v>#N/A</v>
      </c>
      <c r="E364" s="1" t="s">
        <v>1482</v>
      </c>
      <c r="F364" s="5">
        <f t="shared" si="15"/>
        <v>0</v>
      </c>
      <c r="G364" s="5" t="s">
        <v>1483</v>
      </c>
      <c r="H364" s="4" t="e">
        <f>VLOOKUP(A364,المعطيات!$A$1:$J$3500,3,0)</f>
        <v>#N/A</v>
      </c>
      <c r="I364" s="1" t="s">
        <v>1484</v>
      </c>
      <c r="J364" s="1" t="s">
        <v>1485</v>
      </c>
      <c r="K364" s="4" t="e">
        <f>VLOOKUP(A364,المعطيات!$A$1:$J$3500,6,0)</f>
        <v>#N/A</v>
      </c>
      <c r="L364" s="1" t="s">
        <v>1486</v>
      </c>
      <c r="M364" s="1" t="s">
        <v>1487</v>
      </c>
      <c r="N364" s="4" t="e">
        <f t="shared" si="16"/>
        <v>#N/A</v>
      </c>
      <c r="O364" s="1" t="s">
        <v>1488</v>
      </c>
      <c r="P364" s="4" t="e">
        <f>VLOOKUP(A364,المعطيات!$A$1:$J$3500,4,0)</f>
        <v>#N/A</v>
      </c>
      <c r="Q364" s="1" t="s">
        <v>1489</v>
      </c>
      <c r="R364" s="1" t="s">
        <v>1480</v>
      </c>
      <c r="S364" s="6" t="e">
        <f t="shared" si="17"/>
        <v>#N/A</v>
      </c>
    </row>
    <row r="365" spans="2:19" x14ac:dyDescent="0.25">
      <c r="B365" s="1" t="s">
        <v>1479</v>
      </c>
      <c r="C365" s="1" t="s">
        <v>1481</v>
      </c>
      <c r="D365" s="4" t="e">
        <f>VLOOKUP(A365,المعطيات!$A$1:$J$3500,5,0)</f>
        <v>#N/A</v>
      </c>
      <c r="E365" s="1" t="s">
        <v>1482</v>
      </c>
      <c r="F365" s="5">
        <f t="shared" si="15"/>
        <v>0</v>
      </c>
      <c r="G365" s="5" t="s">
        <v>1483</v>
      </c>
      <c r="H365" s="4" t="e">
        <f>VLOOKUP(A365,المعطيات!$A$1:$J$3500,3,0)</f>
        <v>#N/A</v>
      </c>
      <c r="I365" s="1" t="s">
        <v>1484</v>
      </c>
      <c r="J365" s="1" t="s">
        <v>1485</v>
      </c>
      <c r="K365" s="4" t="e">
        <f>VLOOKUP(A365,المعطيات!$A$1:$J$3500,6,0)</f>
        <v>#N/A</v>
      </c>
      <c r="L365" s="1" t="s">
        <v>1486</v>
      </c>
      <c r="M365" s="1" t="s">
        <v>1487</v>
      </c>
      <c r="N365" s="4" t="e">
        <f t="shared" si="16"/>
        <v>#N/A</v>
      </c>
      <c r="O365" s="1" t="s">
        <v>1488</v>
      </c>
      <c r="P365" s="4" t="e">
        <f>VLOOKUP(A365,المعطيات!$A$1:$J$3500,4,0)</f>
        <v>#N/A</v>
      </c>
      <c r="Q365" s="1" t="s">
        <v>1489</v>
      </c>
      <c r="R365" s="1" t="s">
        <v>1480</v>
      </c>
      <c r="S365" s="6" t="e">
        <f t="shared" si="17"/>
        <v>#N/A</v>
      </c>
    </row>
    <row r="366" spans="2:19" x14ac:dyDescent="0.25">
      <c r="B366" s="1" t="s">
        <v>1479</v>
      </c>
      <c r="C366" s="1" t="s">
        <v>1481</v>
      </c>
      <c r="D366" s="4" t="e">
        <f>VLOOKUP(A366,المعطيات!$A$1:$J$3500,5,0)</f>
        <v>#N/A</v>
      </c>
      <c r="E366" s="1" t="s">
        <v>1482</v>
      </c>
      <c r="F366" s="5">
        <f t="shared" si="15"/>
        <v>0</v>
      </c>
      <c r="G366" s="5" t="s">
        <v>1483</v>
      </c>
      <c r="H366" s="4" t="e">
        <f>VLOOKUP(A366,المعطيات!$A$1:$J$3500,3,0)</f>
        <v>#N/A</v>
      </c>
      <c r="I366" s="1" t="s">
        <v>1484</v>
      </c>
      <c r="J366" s="1" t="s">
        <v>1485</v>
      </c>
      <c r="K366" s="4" t="e">
        <f>VLOOKUP(A366,المعطيات!$A$1:$J$3500,6,0)</f>
        <v>#N/A</v>
      </c>
      <c r="L366" s="1" t="s">
        <v>1486</v>
      </c>
      <c r="M366" s="1" t="s">
        <v>1487</v>
      </c>
      <c r="N366" s="4" t="e">
        <f t="shared" si="16"/>
        <v>#N/A</v>
      </c>
      <c r="O366" s="1" t="s">
        <v>1488</v>
      </c>
      <c r="P366" s="4" t="e">
        <f>VLOOKUP(A366,المعطيات!$A$1:$J$3500,4,0)</f>
        <v>#N/A</v>
      </c>
      <c r="Q366" s="1" t="s">
        <v>1489</v>
      </c>
      <c r="R366" s="1" t="s">
        <v>1480</v>
      </c>
      <c r="S366" s="6" t="e">
        <f t="shared" si="17"/>
        <v>#N/A</v>
      </c>
    </row>
    <row r="367" spans="2:19" x14ac:dyDescent="0.25">
      <c r="B367" s="1" t="s">
        <v>1479</v>
      </c>
      <c r="C367" s="1" t="s">
        <v>1481</v>
      </c>
      <c r="D367" s="4" t="e">
        <f>VLOOKUP(A367,المعطيات!$A$1:$J$3500,5,0)</f>
        <v>#N/A</v>
      </c>
      <c r="E367" s="1" t="s">
        <v>1482</v>
      </c>
      <c r="F367" s="5">
        <f t="shared" si="15"/>
        <v>0</v>
      </c>
      <c r="G367" s="5" t="s">
        <v>1483</v>
      </c>
      <c r="H367" s="4" t="e">
        <f>VLOOKUP(A367,المعطيات!$A$1:$J$3500,3,0)</f>
        <v>#N/A</v>
      </c>
      <c r="I367" s="1" t="s">
        <v>1484</v>
      </c>
      <c r="J367" s="1" t="s">
        <v>1485</v>
      </c>
      <c r="K367" s="4" t="e">
        <f>VLOOKUP(A367,المعطيات!$A$1:$J$3500,6,0)</f>
        <v>#N/A</v>
      </c>
      <c r="L367" s="1" t="s">
        <v>1486</v>
      </c>
      <c r="M367" s="1" t="s">
        <v>1487</v>
      </c>
      <c r="N367" s="4" t="e">
        <f t="shared" si="16"/>
        <v>#N/A</v>
      </c>
      <c r="O367" s="1" t="s">
        <v>1488</v>
      </c>
      <c r="P367" s="4" t="e">
        <f>VLOOKUP(A367,المعطيات!$A$1:$J$3500,4,0)</f>
        <v>#N/A</v>
      </c>
      <c r="Q367" s="1" t="s">
        <v>1489</v>
      </c>
      <c r="R367" s="1" t="s">
        <v>1480</v>
      </c>
      <c r="S367" s="6" t="e">
        <f t="shared" si="17"/>
        <v>#N/A</v>
      </c>
    </row>
    <row r="368" spans="2:19" x14ac:dyDescent="0.25">
      <c r="B368" s="1" t="s">
        <v>1479</v>
      </c>
      <c r="C368" s="1" t="s">
        <v>1481</v>
      </c>
      <c r="D368" s="4" t="e">
        <f>VLOOKUP(A368,المعطيات!$A$1:$J$3500,5,0)</f>
        <v>#N/A</v>
      </c>
      <c r="E368" s="1" t="s">
        <v>1482</v>
      </c>
      <c r="F368" s="5">
        <f t="shared" si="15"/>
        <v>0</v>
      </c>
      <c r="G368" s="5" t="s">
        <v>1483</v>
      </c>
      <c r="H368" s="4" t="e">
        <f>VLOOKUP(A368,المعطيات!$A$1:$J$3500,3,0)</f>
        <v>#N/A</v>
      </c>
      <c r="I368" s="1" t="s">
        <v>1484</v>
      </c>
      <c r="J368" s="1" t="s">
        <v>1485</v>
      </c>
      <c r="K368" s="4" t="e">
        <f>VLOOKUP(A368,المعطيات!$A$1:$J$3500,6,0)</f>
        <v>#N/A</v>
      </c>
      <c r="L368" s="1" t="s">
        <v>1486</v>
      </c>
      <c r="M368" s="1" t="s">
        <v>1487</v>
      </c>
      <c r="N368" s="4" t="e">
        <f t="shared" si="16"/>
        <v>#N/A</v>
      </c>
      <c r="O368" s="1" t="s">
        <v>1488</v>
      </c>
      <c r="P368" s="4" t="e">
        <f>VLOOKUP(A368,المعطيات!$A$1:$J$3500,4,0)</f>
        <v>#N/A</v>
      </c>
      <c r="Q368" s="1" t="s">
        <v>1489</v>
      </c>
      <c r="R368" s="1" t="s">
        <v>1480</v>
      </c>
      <c r="S368" s="6" t="e">
        <f t="shared" si="17"/>
        <v>#N/A</v>
      </c>
    </row>
    <row r="369" spans="2:19" x14ac:dyDescent="0.25">
      <c r="B369" s="1" t="s">
        <v>1479</v>
      </c>
      <c r="C369" s="1" t="s">
        <v>1481</v>
      </c>
      <c r="D369" s="4" t="e">
        <f>VLOOKUP(A369,المعطيات!$A$1:$J$3500,5,0)</f>
        <v>#N/A</v>
      </c>
      <c r="E369" s="1" t="s">
        <v>1482</v>
      </c>
      <c r="F369" s="5">
        <f t="shared" si="15"/>
        <v>0</v>
      </c>
      <c r="G369" s="5" t="s">
        <v>1483</v>
      </c>
      <c r="H369" s="4" t="e">
        <f>VLOOKUP(A369,المعطيات!$A$1:$J$3500,3,0)</f>
        <v>#N/A</v>
      </c>
      <c r="I369" s="1" t="s">
        <v>1484</v>
      </c>
      <c r="J369" s="1" t="s">
        <v>1485</v>
      </c>
      <c r="K369" s="4" t="e">
        <f>VLOOKUP(A369,المعطيات!$A$1:$J$3500,6,0)</f>
        <v>#N/A</v>
      </c>
      <c r="L369" s="1" t="s">
        <v>1486</v>
      </c>
      <c r="M369" s="1" t="s">
        <v>1487</v>
      </c>
      <c r="N369" s="4" t="e">
        <f t="shared" si="16"/>
        <v>#N/A</v>
      </c>
      <c r="O369" s="1" t="s">
        <v>1488</v>
      </c>
      <c r="P369" s="4" t="e">
        <f>VLOOKUP(A369,المعطيات!$A$1:$J$3500,4,0)</f>
        <v>#N/A</v>
      </c>
      <c r="Q369" s="1" t="s">
        <v>1489</v>
      </c>
      <c r="R369" s="1" t="s">
        <v>1480</v>
      </c>
      <c r="S369" s="6" t="e">
        <f t="shared" si="17"/>
        <v>#N/A</v>
      </c>
    </row>
    <row r="370" spans="2:19" x14ac:dyDescent="0.25">
      <c r="B370" s="1" t="s">
        <v>1479</v>
      </c>
      <c r="C370" s="1" t="s">
        <v>1481</v>
      </c>
      <c r="D370" s="4" t="e">
        <f>VLOOKUP(A370,المعطيات!$A$1:$J$3500,5,0)</f>
        <v>#N/A</v>
      </c>
      <c r="E370" s="1" t="s">
        <v>1482</v>
      </c>
      <c r="F370" s="5">
        <f t="shared" si="15"/>
        <v>0</v>
      </c>
      <c r="G370" s="5" t="s">
        <v>1483</v>
      </c>
      <c r="H370" s="4" t="e">
        <f>VLOOKUP(A370,المعطيات!$A$1:$J$3500,3,0)</f>
        <v>#N/A</v>
      </c>
      <c r="I370" s="1" t="s">
        <v>1484</v>
      </c>
      <c r="J370" s="1" t="s">
        <v>1485</v>
      </c>
      <c r="K370" s="4" t="e">
        <f>VLOOKUP(A370,المعطيات!$A$1:$J$3500,6,0)</f>
        <v>#N/A</v>
      </c>
      <c r="L370" s="1" t="s">
        <v>1486</v>
      </c>
      <c r="M370" s="1" t="s">
        <v>1487</v>
      </c>
      <c r="N370" s="4" t="e">
        <f t="shared" si="16"/>
        <v>#N/A</v>
      </c>
      <c r="O370" s="1" t="s">
        <v>1488</v>
      </c>
      <c r="P370" s="4" t="e">
        <f>VLOOKUP(A370,المعطيات!$A$1:$J$3500,4,0)</f>
        <v>#N/A</v>
      </c>
      <c r="Q370" s="1" t="s">
        <v>1489</v>
      </c>
      <c r="R370" s="1" t="s">
        <v>1480</v>
      </c>
      <c r="S370" s="6" t="e">
        <f t="shared" si="17"/>
        <v>#N/A</v>
      </c>
    </row>
    <row r="371" spans="2:19" x14ac:dyDescent="0.25">
      <c r="B371" s="1" t="s">
        <v>1479</v>
      </c>
      <c r="C371" s="1" t="s">
        <v>1481</v>
      </c>
      <c r="D371" s="4" t="e">
        <f>VLOOKUP(A371,المعطيات!$A$1:$J$3500,5,0)</f>
        <v>#N/A</v>
      </c>
      <c r="E371" s="1" t="s">
        <v>1482</v>
      </c>
      <c r="F371" s="5">
        <f t="shared" si="15"/>
        <v>0</v>
      </c>
      <c r="G371" s="5" t="s">
        <v>1483</v>
      </c>
      <c r="H371" s="4" t="e">
        <f>VLOOKUP(A371,المعطيات!$A$1:$J$3500,3,0)</f>
        <v>#N/A</v>
      </c>
      <c r="I371" s="1" t="s">
        <v>1484</v>
      </c>
      <c r="J371" s="1" t="s">
        <v>1485</v>
      </c>
      <c r="K371" s="4" t="e">
        <f>VLOOKUP(A371,المعطيات!$A$1:$J$3500,6,0)</f>
        <v>#N/A</v>
      </c>
      <c r="L371" s="1" t="s">
        <v>1486</v>
      </c>
      <c r="M371" s="1" t="s">
        <v>1487</v>
      </c>
      <c r="N371" s="4" t="e">
        <f t="shared" si="16"/>
        <v>#N/A</v>
      </c>
      <c r="O371" s="1" t="s">
        <v>1488</v>
      </c>
      <c r="P371" s="4" t="e">
        <f>VLOOKUP(A371,المعطيات!$A$1:$J$3500,4,0)</f>
        <v>#N/A</v>
      </c>
      <c r="Q371" s="1" t="s">
        <v>1489</v>
      </c>
      <c r="R371" s="1" t="s">
        <v>1480</v>
      </c>
      <c r="S371" s="6" t="e">
        <f t="shared" si="17"/>
        <v>#N/A</v>
      </c>
    </row>
    <row r="372" spans="2:19" x14ac:dyDescent="0.25">
      <c r="B372" s="1" t="s">
        <v>1479</v>
      </c>
      <c r="C372" s="1" t="s">
        <v>1481</v>
      </c>
      <c r="D372" s="4" t="e">
        <f>VLOOKUP(A372,المعطيات!$A$1:$J$3500,5,0)</f>
        <v>#N/A</v>
      </c>
      <c r="E372" s="1" t="s">
        <v>1482</v>
      </c>
      <c r="F372" s="5">
        <f t="shared" si="15"/>
        <v>0</v>
      </c>
      <c r="G372" s="5" t="s">
        <v>1483</v>
      </c>
      <c r="H372" s="4" t="e">
        <f>VLOOKUP(A372,المعطيات!$A$1:$J$3500,3,0)</f>
        <v>#N/A</v>
      </c>
      <c r="I372" s="1" t="s">
        <v>1484</v>
      </c>
      <c r="J372" s="1" t="s">
        <v>1485</v>
      </c>
      <c r="K372" s="4" t="e">
        <f>VLOOKUP(A372,المعطيات!$A$1:$J$3500,6,0)</f>
        <v>#N/A</v>
      </c>
      <c r="L372" s="1" t="s">
        <v>1486</v>
      </c>
      <c r="M372" s="1" t="s">
        <v>1487</v>
      </c>
      <c r="N372" s="4" t="e">
        <f t="shared" si="16"/>
        <v>#N/A</v>
      </c>
      <c r="O372" s="1" t="s">
        <v>1488</v>
      </c>
      <c r="P372" s="4" t="e">
        <f>VLOOKUP(A372,المعطيات!$A$1:$J$3500,4,0)</f>
        <v>#N/A</v>
      </c>
      <c r="Q372" s="1" t="s">
        <v>1489</v>
      </c>
      <c r="R372" s="1" t="s">
        <v>1480</v>
      </c>
      <c r="S372" s="6" t="e">
        <f t="shared" si="17"/>
        <v>#N/A</v>
      </c>
    </row>
    <row r="373" spans="2:19" x14ac:dyDescent="0.25">
      <c r="B373" s="1" t="s">
        <v>1479</v>
      </c>
      <c r="C373" s="1" t="s">
        <v>1481</v>
      </c>
      <c r="D373" s="4" t="e">
        <f>VLOOKUP(A373,المعطيات!$A$1:$J$3500,5,0)</f>
        <v>#N/A</v>
      </c>
      <c r="E373" s="1" t="s">
        <v>1482</v>
      </c>
      <c r="F373" s="5">
        <f t="shared" si="15"/>
        <v>0</v>
      </c>
      <c r="G373" s="5" t="s">
        <v>1483</v>
      </c>
      <c r="H373" s="4" t="e">
        <f>VLOOKUP(A373,المعطيات!$A$1:$J$3500,3,0)</f>
        <v>#N/A</v>
      </c>
      <c r="I373" s="1" t="s">
        <v>1484</v>
      </c>
      <c r="J373" s="1" t="s">
        <v>1485</v>
      </c>
      <c r="K373" s="4" t="e">
        <f>VLOOKUP(A373,المعطيات!$A$1:$J$3500,6,0)</f>
        <v>#N/A</v>
      </c>
      <c r="L373" s="1" t="s">
        <v>1486</v>
      </c>
      <c r="M373" s="1" t="s">
        <v>1487</v>
      </c>
      <c r="N373" s="4" t="e">
        <f t="shared" si="16"/>
        <v>#N/A</v>
      </c>
      <c r="O373" s="1" t="s">
        <v>1488</v>
      </c>
      <c r="P373" s="4" t="e">
        <f>VLOOKUP(A373,المعطيات!$A$1:$J$3500,4,0)</f>
        <v>#N/A</v>
      </c>
      <c r="Q373" s="1" t="s">
        <v>1489</v>
      </c>
      <c r="R373" s="1" t="s">
        <v>1480</v>
      </c>
      <c r="S373" s="6" t="e">
        <f t="shared" si="17"/>
        <v>#N/A</v>
      </c>
    </row>
    <row r="374" spans="2:19" x14ac:dyDescent="0.25">
      <c r="B374" s="1" t="s">
        <v>1479</v>
      </c>
      <c r="C374" s="1" t="s">
        <v>1481</v>
      </c>
      <c r="D374" s="4" t="e">
        <f>VLOOKUP(A374,المعطيات!$A$1:$J$3500,5,0)</f>
        <v>#N/A</v>
      </c>
      <c r="E374" s="1" t="s">
        <v>1482</v>
      </c>
      <c r="F374" s="5">
        <f t="shared" si="15"/>
        <v>0</v>
      </c>
      <c r="G374" s="5" t="s">
        <v>1483</v>
      </c>
      <c r="H374" s="4" t="e">
        <f>VLOOKUP(A374,المعطيات!$A$1:$J$3500,3,0)</f>
        <v>#N/A</v>
      </c>
      <c r="I374" s="1" t="s">
        <v>1484</v>
      </c>
      <c r="J374" s="1" t="s">
        <v>1485</v>
      </c>
      <c r="K374" s="4" t="e">
        <f>VLOOKUP(A374,المعطيات!$A$1:$J$3500,6,0)</f>
        <v>#N/A</v>
      </c>
      <c r="L374" s="1" t="s">
        <v>1486</v>
      </c>
      <c r="M374" s="1" t="s">
        <v>1487</v>
      </c>
      <c r="N374" s="4" t="e">
        <f t="shared" si="16"/>
        <v>#N/A</v>
      </c>
      <c r="O374" s="1" t="s">
        <v>1488</v>
      </c>
      <c r="P374" s="4" t="e">
        <f>VLOOKUP(A374,المعطيات!$A$1:$J$3500,4,0)</f>
        <v>#N/A</v>
      </c>
      <c r="Q374" s="1" t="s">
        <v>1489</v>
      </c>
      <c r="R374" s="1" t="s">
        <v>1480</v>
      </c>
      <c r="S374" s="6" t="e">
        <f t="shared" si="17"/>
        <v>#N/A</v>
      </c>
    </row>
    <row r="375" spans="2:19" x14ac:dyDescent="0.25">
      <c r="B375" s="1" t="s">
        <v>1479</v>
      </c>
      <c r="C375" s="1" t="s">
        <v>1481</v>
      </c>
      <c r="D375" s="4" t="e">
        <f>VLOOKUP(A375,المعطيات!$A$1:$J$3500,5,0)</f>
        <v>#N/A</v>
      </c>
      <c r="E375" s="1" t="s">
        <v>1482</v>
      </c>
      <c r="F375" s="5">
        <f t="shared" si="15"/>
        <v>0</v>
      </c>
      <c r="G375" s="5" t="s">
        <v>1483</v>
      </c>
      <c r="H375" s="4" t="e">
        <f>VLOOKUP(A375,المعطيات!$A$1:$J$3500,3,0)</f>
        <v>#N/A</v>
      </c>
      <c r="I375" s="1" t="s">
        <v>1484</v>
      </c>
      <c r="J375" s="1" t="s">
        <v>1485</v>
      </c>
      <c r="K375" s="4" t="e">
        <f>VLOOKUP(A375,المعطيات!$A$1:$J$3500,6,0)</f>
        <v>#N/A</v>
      </c>
      <c r="L375" s="1" t="s">
        <v>1486</v>
      </c>
      <c r="M375" s="1" t="s">
        <v>1487</v>
      </c>
      <c r="N375" s="4" t="e">
        <f t="shared" si="16"/>
        <v>#N/A</v>
      </c>
      <c r="O375" s="1" t="s">
        <v>1488</v>
      </c>
      <c r="P375" s="4" t="e">
        <f>VLOOKUP(A375,المعطيات!$A$1:$J$3500,4,0)</f>
        <v>#N/A</v>
      </c>
      <c r="Q375" s="1" t="s">
        <v>1489</v>
      </c>
      <c r="R375" s="1" t="s">
        <v>1480</v>
      </c>
      <c r="S375" s="6" t="e">
        <f t="shared" si="17"/>
        <v>#N/A</v>
      </c>
    </row>
    <row r="376" spans="2:19" x14ac:dyDescent="0.25">
      <c r="B376" s="1" t="s">
        <v>1479</v>
      </c>
      <c r="C376" s="1" t="s">
        <v>1481</v>
      </c>
      <c r="D376" s="4" t="e">
        <f>VLOOKUP(A376,المعطيات!$A$1:$J$3500,5,0)</f>
        <v>#N/A</v>
      </c>
      <c r="E376" s="1" t="s">
        <v>1482</v>
      </c>
      <c r="F376" s="5">
        <f t="shared" si="15"/>
        <v>0</v>
      </c>
      <c r="G376" s="5" t="s">
        <v>1483</v>
      </c>
      <c r="H376" s="4" t="e">
        <f>VLOOKUP(A376,المعطيات!$A$1:$J$3500,3,0)</f>
        <v>#N/A</v>
      </c>
      <c r="I376" s="1" t="s">
        <v>1484</v>
      </c>
      <c r="J376" s="1" t="s">
        <v>1485</v>
      </c>
      <c r="K376" s="4" t="e">
        <f>VLOOKUP(A376,المعطيات!$A$1:$J$3500,6,0)</f>
        <v>#N/A</v>
      </c>
      <c r="L376" s="1" t="s">
        <v>1486</v>
      </c>
      <c r="M376" s="1" t="s">
        <v>1487</v>
      </c>
      <c r="N376" s="4" t="e">
        <f t="shared" si="16"/>
        <v>#N/A</v>
      </c>
      <c r="O376" s="1" t="s">
        <v>1488</v>
      </c>
      <c r="P376" s="4" t="e">
        <f>VLOOKUP(A376,المعطيات!$A$1:$J$3500,4,0)</f>
        <v>#N/A</v>
      </c>
      <c r="Q376" s="1" t="s">
        <v>1489</v>
      </c>
      <c r="R376" s="1" t="s">
        <v>1480</v>
      </c>
      <c r="S376" s="6" t="e">
        <f t="shared" si="17"/>
        <v>#N/A</v>
      </c>
    </row>
    <row r="377" spans="2:19" x14ac:dyDescent="0.25">
      <c r="B377" s="1" t="s">
        <v>1479</v>
      </c>
      <c r="C377" s="1" t="s">
        <v>1481</v>
      </c>
      <c r="D377" s="4" t="e">
        <f>VLOOKUP(A377,المعطيات!$A$1:$J$3500,5,0)</f>
        <v>#N/A</v>
      </c>
      <c r="E377" s="1" t="s">
        <v>1482</v>
      </c>
      <c r="F377" s="5">
        <f t="shared" si="15"/>
        <v>0</v>
      </c>
      <c r="G377" s="5" t="s">
        <v>1483</v>
      </c>
      <c r="H377" s="4" t="e">
        <f>VLOOKUP(A377,المعطيات!$A$1:$J$3500,3,0)</f>
        <v>#N/A</v>
      </c>
      <c r="I377" s="1" t="s">
        <v>1484</v>
      </c>
      <c r="J377" s="1" t="s">
        <v>1485</v>
      </c>
      <c r="K377" s="4" t="e">
        <f>VLOOKUP(A377,المعطيات!$A$1:$J$3500,6,0)</f>
        <v>#N/A</v>
      </c>
      <c r="L377" s="1" t="s">
        <v>1486</v>
      </c>
      <c r="M377" s="1" t="s">
        <v>1487</v>
      </c>
      <c r="N377" s="4" t="e">
        <f t="shared" si="16"/>
        <v>#N/A</v>
      </c>
      <c r="O377" s="1" t="s">
        <v>1488</v>
      </c>
      <c r="P377" s="4" t="e">
        <f>VLOOKUP(A377,المعطيات!$A$1:$J$3500,4,0)</f>
        <v>#N/A</v>
      </c>
      <c r="Q377" s="1" t="s">
        <v>1489</v>
      </c>
      <c r="R377" s="1" t="s">
        <v>1480</v>
      </c>
      <c r="S377" s="6" t="e">
        <f t="shared" si="17"/>
        <v>#N/A</v>
      </c>
    </row>
    <row r="378" spans="2:19" x14ac:dyDescent="0.25">
      <c r="B378" s="1" t="s">
        <v>1479</v>
      </c>
      <c r="C378" s="1" t="s">
        <v>1481</v>
      </c>
      <c r="D378" s="4" t="e">
        <f>VLOOKUP(A378,المعطيات!$A$1:$J$3500,5,0)</f>
        <v>#N/A</v>
      </c>
      <c r="E378" s="1" t="s">
        <v>1482</v>
      </c>
      <c r="F378" s="5">
        <f t="shared" si="15"/>
        <v>0</v>
      </c>
      <c r="G378" s="5" t="s">
        <v>1483</v>
      </c>
      <c r="H378" s="4" t="e">
        <f>VLOOKUP(A378,المعطيات!$A$1:$J$3500,3,0)</f>
        <v>#N/A</v>
      </c>
      <c r="I378" s="1" t="s">
        <v>1484</v>
      </c>
      <c r="J378" s="1" t="s">
        <v>1485</v>
      </c>
      <c r="K378" s="4" t="e">
        <f>VLOOKUP(A378,المعطيات!$A$1:$J$3500,6,0)</f>
        <v>#N/A</v>
      </c>
      <c r="L378" s="1" t="s">
        <v>1486</v>
      </c>
      <c r="M378" s="1" t="s">
        <v>1487</v>
      </c>
      <c r="N378" s="4" t="e">
        <f t="shared" si="16"/>
        <v>#N/A</v>
      </c>
      <c r="O378" s="1" t="s">
        <v>1488</v>
      </c>
      <c r="P378" s="4" t="e">
        <f>VLOOKUP(A378,المعطيات!$A$1:$J$3500,4,0)</f>
        <v>#N/A</v>
      </c>
      <c r="Q378" s="1" t="s">
        <v>1489</v>
      </c>
      <c r="R378" s="1" t="s">
        <v>1480</v>
      </c>
      <c r="S378" s="6" t="e">
        <f t="shared" si="17"/>
        <v>#N/A</v>
      </c>
    </row>
    <row r="379" spans="2:19" x14ac:dyDescent="0.25">
      <c r="B379" s="1" t="s">
        <v>1479</v>
      </c>
      <c r="C379" s="1" t="s">
        <v>1481</v>
      </c>
      <c r="D379" s="4" t="e">
        <f>VLOOKUP(A379,المعطيات!$A$1:$J$3500,5,0)</f>
        <v>#N/A</v>
      </c>
      <c r="E379" s="1" t="s">
        <v>1482</v>
      </c>
      <c r="F379" s="5">
        <f t="shared" si="15"/>
        <v>0</v>
      </c>
      <c r="G379" s="5" t="s">
        <v>1483</v>
      </c>
      <c r="H379" s="4" t="e">
        <f>VLOOKUP(A379,المعطيات!$A$1:$J$3500,3,0)</f>
        <v>#N/A</v>
      </c>
      <c r="I379" s="1" t="s">
        <v>1484</v>
      </c>
      <c r="J379" s="1" t="s">
        <v>1485</v>
      </c>
      <c r="K379" s="4" t="e">
        <f>VLOOKUP(A379,المعطيات!$A$1:$J$3500,6,0)</f>
        <v>#N/A</v>
      </c>
      <c r="L379" s="1" t="s">
        <v>1486</v>
      </c>
      <c r="M379" s="1" t="s">
        <v>1487</v>
      </c>
      <c r="N379" s="4" t="e">
        <f t="shared" si="16"/>
        <v>#N/A</v>
      </c>
      <c r="O379" s="1" t="s">
        <v>1488</v>
      </c>
      <c r="P379" s="4" t="e">
        <f>VLOOKUP(A379,المعطيات!$A$1:$J$3500,4,0)</f>
        <v>#N/A</v>
      </c>
      <c r="Q379" s="1" t="s">
        <v>1489</v>
      </c>
      <c r="R379" s="1" t="s">
        <v>1480</v>
      </c>
      <c r="S379" s="6" t="e">
        <f t="shared" si="17"/>
        <v>#N/A</v>
      </c>
    </row>
    <row r="380" spans="2:19" x14ac:dyDescent="0.25">
      <c r="B380" s="1" t="s">
        <v>1479</v>
      </c>
      <c r="C380" s="1" t="s">
        <v>1481</v>
      </c>
      <c r="D380" s="4" t="e">
        <f>VLOOKUP(A380,المعطيات!$A$1:$J$3500,5,0)</f>
        <v>#N/A</v>
      </c>
      <c r="E380" s="1" t="s">
        <v>1482</v>
      </c>
      <c r="F380" s="5">
        <f t="shared" si="15"/>
        <v>0</v>
      </c>
      <c r="G380" s="5" t="s">
        <v>1483</v>
      </c>
      <c r="H380" s="4" t="e">
        <f>VLOOKUP(A380,المعطيات!$A$1:$J$3500,3,0)</f>
        <v>#N/A</v>
      </c>
      <c r="I380" s="1" t="s">
        <v>1484</v>
      </c>
      <c r="J380" s="1" t="s">
        <v>1485</v>
      </c>
      <c r="K380" s="4" t="e">
        <f>VLOOKUP(A380,المعطيات!$A$1:$J$3500,6,0)</f>
        <v>#N/A</v>
      </c>
      <c r="L380" s="1" t="s">
        <v>1486</v>
      </c>
      <c r="M380" s="1" t="s">
        <v>1487</v>
      </c>
      <c r="N380" s="4" t="e">
        <f t="shared" si="16"/>
        <v>#N/A</v>
      </c>
      <c r="O380" s="1" t="s">
        <v>1488</v>
      </c>
      <c r="P380" s="4" t="e">
        <f>VLOOKUP(A380,المعطيات!$A$1:$J$3500,4,0)</f>
        <v>#N/A</v>
      </c>
      <c r="Q380" s="1" t="s">
        <v>1489</v>
      </c>
      <c r="R380" s="1" t="s">
        <v>1480</v>
      </c>
      <c r="S380" s="6" t="e">
        <f t="shared" si="17"/>
        <v>#N/A</v>
      </c>
    </row>
    <row r="381" spans="2:19" x14ac:dyDescent="0.25">
      <c r="B381" s="1" t="s">
        <v>1479</v>
      </c>
      <c r="C381" s="1" t="s">
        <v>1481</v>
      </c>
      <c r="D381" s="4" t="e">
        <f>VLOOKUP(A381,المعطيات!$A$1:$J$3500,5,0)</f>
        <v>#N/A</v>
      </c>
      <c r="E381" s="1" t="s">
        <v>1482</v>
      </c>
      <c r="F381" s="5">
        <f t="shared" si="15"/>
        <v>0</v>
      </c>
      <c r="G381" s="5" t="s">
        <v>1483</v>
      </c>
      <c r="H381" s="4" t="e">
        <f>VLOOKUP(A381,المعطيات!$A$1:$J$3500,3,0)</f>
        <v>#N/A</v>
      </c>
      <c r="I381" s="1" t="s">
        <v>1484</v>
      </c>
      <c r="J381" s="1" t="s">
        <v>1485</v>
      </c>
      <c r="K381" s="4" t="e">
        <f>VLOOKUP(A381,المعطيات!$A$1:$J$3500,6,0)</f>
        <v>#N/A</v>
      </c>
      <c r="L381" s="1" t="s">
        <v>1486</v>
      </c>
      <c r="M381" s="1" t="s">
        <v>1487</v>
      </c>
      <c r="N381" s="4" t="e">
        <f t="shared" si="16"/>
        <v>#N/A</v>
      </c>
      <c r="O381" s="1" t="s">
        <v>1488</v>
      </c>
      <c r="P381" s="4" t="e">
        <f>VLOOKUP(A381,المعطيات!$A$1:$J$3500,4,0)</f>
        <v>#N/A</v>
      </c>
      <c r="Q381" s="1" t="s">
        <v>1489</v>
      </c>
      <c r="R381" s="1" t="s">
        <v>1480</v>
      </c>
      <c r="S381" s="6" t="e">
        <f t="shared" si="17"/>
        <v>#N/A</v>
      </c>
    </row>
    <row r="382" spans="2:19" x14ac:dyDescent="0.25">
      <c r="B382" s="1" t="s">
        <v>1479</v>
      </c>
      <c r="C382" s="1" t="s">
        <v>1481</v>
      </c>
      <c r="D382" s="4" t="e">
        <f>VLOOKUP(A382,المعطيات!$A$1:$J$3500,5,0)</f>
        <v>#N/A</v>
      </c>
      <c r="E382" s="1" t="s">
        <v>1482</v>
      </c>
      <c r="F382" s="5">
        <f t="shared" si="15"/>
        <v>0</v>
      </c>
      <c r="G382" s="5" t="s">
        <v>1483</v>
      </c>
      <c r="H382" s="4" t="e">
        <f>VLOOKUP(A382,المعطيات!$A$1:$J$3500,3,0)</f>
        <v>#N/A</v>
      </c>
      <c r="I382" s="1" t="s">
        <v>1484</v>
      </c>
      <c r="J382" s="1" t="s">
        <v>1485</v>
      </c>
      <c r="K382" s="4" t="e">
        <f>VLOOKUP(A382,المعطيات!$A$1:$J$3500,6,0)</f>
        <v>#N/A</v>
      </c>
      <c r="L382" s="1" t="s">
        <v>1486</v>
      </c>
      <c r="M382" s="1" t="s">
        <v>1487</v>
      </c>
      <c r="N382" s="4" t="e">
        <f t="shared" si="16"/>
        <v>#N/A</v>
      </c>
      <c r="O382" s="1" t="s">
        <v>1488</v>
      </c>
      <c r="P382" s="4" t="e">
        <f>VLOOKUP(A382,المعطيات!$A$1:$J$3500,4,0)</f>
        <v>#N/A</v>
      </c>
      <c r="Q382" s="1" t="s">
        <v>1489</v>
      </c>
      <c r="R382" s="1" t="s">
        <v>1480</v>
      </c>
      <c r="S382" s="6" t="e">
        <f t="shared" si="17"/>
        <v>#N/A</v>
      </c>
    </row>
    <row r="383" spans="2:19" x14ac:dyDescent="0.25">
      <c r="B383" s="1" t="s">
        <v>1479</v>
      </c>
      <c r="C383" s="1" t="s">
        <v>1481</v>
      </c>
      <c r="D383" s="4" t="e">
        <f>VLOOKUP(A383,المعطيات!$A$1:$J$3500,5,0)</f>
        <v>#N/A</v>
      </c>
      <c r="E383" s="1" t="s">
        <v>1482</v>
      </c>
      <c r="F383" s="5">
        <f t="shared" si="15"/>
        <v>0</v>
      </c>
      <c r="G383" s="5" t="s">
        <v>1483</v>
      </c>
      <c r="H383" s="4" t="e">
        <f>VLOOKUP(A383,المعطيات!$A$1:$J$3500,3,0)</f>
        <v>#N/A</v>
      </c>
      <c r="I383" s="1" t="s">
        <v>1484</v>
      </c>
      <c r="J383" s="1" t="s">
        <v>1485</v>
      </c>
      <c r="K383" s="4" t="e">
        <f>VLOOKUP(A383,المعطيات!$A$1:$J$3500,6,0)</f>
        <v>#N/A</v>
      </c>
      <c r="L383" s="1" t="s">
        <v>1486</v>
      </c>
      <c r="M383" s="1" t="s">
        <v>1487</v>
      </c>
      <c r="N383" s="4" t="e">
        <f t="shared" si="16"/>
        <v>#N/A</v>
      </c>
      <c r="O383" s="1" t="s">
        <v>1488</v>
      </c>
      <c r="P383" s="4" t="e">
        <f>VLOOKUP(A383,المعطيات!$A$1:$J$3500,4,0)</f>
        <v>#N/A</v>
      </c>
      <c r="Q383" s="1" t="s">
        <v>1489</v>
      </c>
      <c r="R383" s="1" t="s">
        <v>1480</v>
      </c>
      <c r="S383" s="6" t="e">
        <f t="shared" si="17"/>
        <v>#N/A</v>
      </c>
    </row>
    <row r="384" spans="2:19" x14ac:dyDescent="0.25">
      <c r="B384" s="1" t="s">
        <v>1479</v>
      </c>
      <c r="C384" s="1" t="s">
        <v>1481</v>
      </c>
      <c r="D384" s="4" t="e">
        <f>VLOOKUP(A384,المعطيات!$A$1:$J$3500,5,0)</f>
        <v>#N/A</v>
      </c>
      <c r="E384" s="1" t="s">
        <v>1482</v>
      </c>
      <c r="F384" s="5">
        <f t="shared" si="15"/>
        <v>0</v>
      </c>
      <c r="G384" s="5" t="s">
        <v>1483</v>
      </c>
      <c r="H384" s="4" t="e">
        <f>VLOOKUP(A384,المعطيات!$A$1:$J$3500,3,0)</f>
        <v>#N/A</v>
      </c>
      <c r="I384" s="1" t="s">
        <v>1484</v>
      </c>
      <c r="J384" s="1" t="s">
        <v>1485</v>
      </c>
      <c r="K384" s="4" t="e">
        <f>VLOOKUP(A384,المعطيات!$A$1:$J$3500,6,0)</f>
        <v>#N/A</v>
      </c>
      <c r="L384" s="1" t="s">
        <v>1486</v>
      </c>
      <c r="M384" s="1" t="s">
        <v>1487</v>
      </c>
      <c r="N384" s="4" t="e">
        <f t="shared" si="16"/>
        <v>#N/A</v>
      </c>
      <c r="O384" s="1" t="s">
        <v>1488</v>
      </c>
      <c r="P384" s="4" t="e">
        <f>VLOOKUP(A384,المعطيات!$A$1:$J$3500,4,0)</f>
        <v>#N/A</v>
      </c>
      <c r="Q384" s="1" t="s">
        <v>1489</v>
      </c>
      <c r="R384" s="1" t="s">
        <v>1480</v>
      </c>
      <c r="S384" s="6" t="e">
        <f t="shared" si="17"/>
        <v>#N/A</v>
      </c>
    </row>
    <row r="385" spans="2:19" x14ac:dyDescent="0.25">
      <c r="B385" s="1" t="s">
        <v>1479</v>
      </c>
      <c r="C385" s="1" t="s">
        <v>1481</v>
      </c>
      <c r="D385" s="4" t="e">
        <f>VLOOKUP(A385,المعطيات!$A$1:$J$3500,5,0)</f>
        <v>#N/A</v>
      </c>
      <c r="E385" s="1" t="s">
        <v>1482</v>
      </c>
      <c r="F385" s="5">
        <f t="shared" si="15"/>
        <v>0</v>
      </c>
      <c r="G385" s="5" t="s">
        <v>1483</v>
      </c>
      <c r="H385" s="4" t="e">
        <f>VLOOKUP(A385,المعطيات!$A$1:$J$3500,3,0)</f>
        <v>#N/A</v>
      </c>
      <c r="I385" s="1" t="s">
        <v>1484</v>
      </c>
      <c r="J385" s="1" t="s">
        <v>1485</v>
      </c>
      <c r="K385" s="4" t="e">
        <f>VLOOKUP(A385,المعطيات!$A$1:$J$3500,6,0)</f>
        <v>#N/A</v>
      </c>
      <c r="L385" s="1" t="s">
        <v>1486</v>
      </c>
      <c r="M385" s="1" t="s">
        <v>1487</v>
      </c>
      <c r="N385" s="4" t="e">
        <f t="shared" si="16"/>
        <v>#N/A</v>
      </c>
      <c r="O385" s="1" t="s">
        <v>1488</v>
      </c>
      <c r="P385" s="4" t="e">
        <f>VLOOKUP(A385,المعطيات!$A$1:$J$3500,4,0)</f>
        <v>#N/A</v>
      </c>
      <c r="Q385" s="1" t="s">
        <v>1489</v>
      </c>
      <c r="R385" s="1" t="s">
        <v>1480</v>
      </c>
      <c r="S385" s="6" t="e">
        <f t="shared" si="17"/>
        <v>#N/A</v>
      </c>
    </row>
    <row r="386" spans="2:19" x14ac:dyDescent="0.25">
      <c r="B386" s="1" t="s">
        <v>1479</v>
      </c>
      <c r="C386" s="1" t="s">
        <v>1481</v>
      </c>
      <c r="D386" s="4" t="e">
        <f>VLOOKUP(A386,المعطيات!$A$1:$J$3500,5,0)</f>
        <v>#N/A</v>
      </c>
      <c r="E386" s="1" t="s">
        <v>1482</v>
      </c>
      <c r="F386" s="5">
        <f t="shared" ref="F386:F449" si="18">A386</f>
        <v>0</v>
      </c>
      <c r="G386" s="5" t="s">
        <v>1483</v>
      </c>
      <c r="H386" s="4" t="e">
        <f>VLOOKUP(A386,المعطيات!$A$1:$J$3500,3,0)</f>
        <v>#N/A</v>
      </c>
      <c r="I386" s="1" t="s">
        <v>1484</v>
      </c>
      <c r="J386" s="1" t="s">
        <v>1485</v>
      </c>
      <c r="K386" s="4" t="e">
        <f>VLOOKUP(A386,المعطيات!$A$1:$J$3500,6,0)</f>
        <v>#N/A</v>
      </c>
      <c r="L386" s="1" t="s">
        <v>1486</v>
      </c>
      <c r="M386" s="1" t="s">
        <v>1487</v>
      </c>
      <c r="N386" s="4" t="e">
        <f t="shared" ref="N386:N449" si="19">D386</f>
        <v>#N/A</v>
      </c>
      <c r="O386" s="1" t="s">
        <v>1488</v>
      </c>
      <c r="P386" s="4" t="e">
        <f>VLOOKUP(A386,المعطيات!$A$1:$J$3500,4,0)</f>
        <v>#N/A</v>
      </c>
      <c r="Q386" s="1" t="s">
        <v>1489</v>
      </c>
      <c r="R386" s="1" t="s">
        <v>1480</v>
      </c>
      <c r="S386" s="6" t="e">
        <f t="shared" ref="S386:S449" si="20">B386&amp;""&amp;C386&amp;""&amp;D386&amp;""&amp;E386&amp;""&amp;F386&amp;""&amp;G386&amp;""&amp;H386&amp;""&amp;I386&amp;""&amp;J386&amp;""&amp;K386&amp;""&amp;L386&amp;""&amp;M386&amp;""&amp;N386&amp;""&amp;O386&amp;""&amp;P386&amp;""&amp;Q386&amp;""&amp;R386</f>
        <v>#N/A</v>
      </c>
    </row>
    <row r="387" spans="2:19" x14ac:dyDescent="0.25">
      <c r="B387" s="1" t="s">
        <v>1479</v>
      </c>
      <c r="C387" s="1" t="s">
        <v>1481</v>
      </c>
      <c r="D387" s="4" t="e">
        <f>VLOOKUP(A387,المعطيات!$A$1:$J$3500,5,0)</f>
        <v>#N/A</v>
      </c>
      <c r="E387" s="1" t="s">
        <v>1482</v>
      </c>
      <c r="F387" s="5">
        <f t="shared" si="18"/>
        <v>0</v>
      </c>
      <c r="G387" s="5" t="s">
        <v>1483</v>
      </c>
      <c r="H387" s="4" t="e">
        <f>VLOOKUP(A387,المعطيات!$A$1:$J$3500,3,0)</f>
        <v>#N/A</v>
      </c>
      <c r="I387" s="1" t="s">
        <v>1484</v>
      </c>
      <c r="J387" s="1" t="s">
        <v>1485</v>
      </c>
      <c r="K387" s="4" t="e">
        <f>VLOOKUP(A387,المعطيات!$A$1:$J$3500,6,0)</f>
        <v>#N/A</v>
      </c>
      <c r="L387" s="1" t="s">
        <v>1486</v>
      </c>
      <c r="M387" s="1" t="s">
        <v>1487</v>
      </c>
      <c r="N387" s="4" t="e">
        <f t="shared" si="19"/>
        <v>#N/A</v>
      </c>
      <c r="O387" s="1" t="s">
        <v>1488</v>
      </c>
      <c r="P387" s="4" t="e">
        <f>VLOOKUP(A387,المعطيات!$A$1:$J$3500,4,0)</f>
        <v>#N/A</v>
      </c>
      <c r="Q387" s="1" t="s">
        <v>1489</v>
      </c>
      <c r="R387" s="1" t="s">
        <v>1480</v>
      </c>
      <c r="S387" s="6" t="e">
        <f t="shared" si="20"/>
        <v>#N/A</v>
      </c>
    </row>
    <row r="388" spans="2:19" x14ac:dyDescent="0.25">
      <c r="B388" s="1" t="s">
        <v>1479</v>
      </c>
      <c r="C388" s="1" t="s">
        <v>1481</v>
      </c>
      <c r="D388" s="4" t="e">
        <f>VLOOKUP(A388,المعطيات!$A$1:$J$3500,5,0)</f>
        <v>#N/A</v>
      </c>
      <c r="E388" s="1" t="s">
        <v>1482</v>
      </c>
      <c r="F388" s="5">
        <f t="shared" si="18"/>
        <v>0</v>
      </c>
      <c r="G388" s="5" t="s">
        <v>1483</v>
      </c>
      <c r="H388" s="4" t="e">
        <f>VLOOKUP(A388,المعطيات!$A$1:$J$3500,3,0)</f>
        <v>#N/A</v>
      </c>
      <c r="I388" s="1" t="s">
        <v>1484</v>
      </c>
      <c r="J388" s="1" t="s">
        <v>1485</v>
      </c>
      <c r="K388" s="4" t="e">
        <f>VLOOKUP(A388,المعطيات!$A$1:$J$3500,6,0)</f>
        <v>#N/A</v>
      </c>
      <c r="L388" s="1" t="s">
        <v>1486</v>
      </c>
      <c r="M388" s="1" t="s">
        <v>1487</v>
      </c>
      <c r="N388" s="4" t="e">
        <f t="shared" si="19"/>
        <v>#N/A</v>
      </c>
      <c r="O388" s="1" t="s">
        <v>1488</v>
      </c>
      <c r="P388" s="4" t="e">
        <f>VLOOKUP(A388,المعطيات!$A$1:$J$3500,4,0)</f>
        <v>#N/A</v>
      </c>
      <c r="Q388" s="1" t="s">
        <v>1489</v>
      </c>
      <c r="R388" s="1" t="s">
        <v>1480</v>
      </c>
      <c r="S388" s="6" t="e">
        <f t="shared" si="20"/>
        <v>#N/A</v>
      </c>
    </row>
    <row r="389" spans="2:19" x14ac:dyDescent="0.25">
      <c r="B389" s="1" t="s">
        <v>1479</v>
      </c>
      <c r="C389" s="1" t="s">
        <v>1481</v>
      </c>
      <c r="D389" s="4" t="e">
        <f>VLOOKUP(A389,المعطيات!$A$1:$J$3500,5,0)</f>
        <v>#N/A</v>
      </c>
      <c r="E389" s="1" t="s">
        <v>1482</v>
      </c>
      <c r="F389" s="5">
        <f t="shared" si="18"/>
        <v>0</v>
      </c>
      <c r="G389" s="5" t="s">
        <v>1483</v>
      </c>
      <c r="H389" s="4" t="e">
        <f>VLOOKUP(A389,المعطيات!$A$1:$J$3500,3,0)</f>
        <v>#N/A</v>
      </c>
      <c r="I389" s="1" t="s">
        <v>1484</v>
      </c>
      <c r="J389" s="1" t="s">
        <v>1485</v>
      </c>
      <c r="K389" s="4" t="e">
        <f>VLOOKUP(A389,المعطيات!$A$1:$J$3500,6,0)</f>
        <v>#N/A</v>
      </c>
      <c r="L389" s="1" t="s">
        <v>1486</v>
      </c>
      <c r="M389" s="1" t="s">
        <v>1487</v>
      </c>
      <c r="N389" s="4" t="e">
        <f t="shared" si="19"/>
        <v>#N/A</v>
      </c>
      <c r="O389" s="1" t="s">
        <v>1488</v>
      </c>
      <c r="P389" s="4" t="e">
        <f>VLOOKUP(A389,المعطيات!$A$1:$J$3500,4,0)</f>
        <v>#N/A</v>
      </c>
      <c r="Q389" s="1" t="s">
        <v>1489</v>
      </c>
      <c r="R389" s="1" t="s">
        <v>1480</v>
      </c>
      <c r="S389" s="6" t="e">
        <f t="shared" si="20"/>
        <v>#N/A</v>
      </c>
    </row>
    <row r="390" spans="2:19" x14ac:dyDescent="0.25">
      <c r="B390" s="1" t="s">
        <v>1479</v>
      </c>
      <c r="C390" s="1" t="s">
        <v>1481</v>
      </c>
      <c r="D390" s="4" t="e">
        <f>VLOOKUP(A390,المعطيات!$A$1:$J$3500,5,0)</f>
        <v>#N/A</v>
      </c>
      <c r="E390" s="1" t="s">
        <v>1482</v>
      </c>
      <c r="F390" s="5">
        <f t="shared" si="18"/>
        <v>0</v>
      </c>
      <c r="G390" s="5" t="s">
        <v>1483</v>
      </c>
      <c r="H390" s="4" t="e">
        <f>VLOOKUP(A390,المعطيات!$A$1:$J$3500,3,0)</f>
        <v>#N/A</v>
      </c>
      <c r="I390" s="1" t="s">
        <v>1484</v>
      </c>
      <c r="J390" s="1" t="s">
        <v>1485</v>
      </c>
      <c r="K390" s="4" t="e">
        <f>VLOOKUP(A390,المعطيات!$A$1:$J$3500,6,0)</f>
        <v>#N/A</v>
      </c>
      <c r="L390" s="1" t="s">
        <v>1486</v>
      </c>
      <c r="M390" s="1" t="s">
        <v>1487</v>
      </c>
      <c r="N390" s="4" t="e">
        <f t="shared" si="19"/>
        <v>#N/A</v>
      </c>
      <c r="O390" s="1" t="s">
        <v>1488</v>
      </c>
      <c r="P390" s="4" t="e">
        <f>VLOOKUP(A390,المعطيات!$A$1:$J$3500,4,0)</f>
        <v>#N/A</v>
      </c>
      <c r="Q390" s="1" t="s">
        <v>1489</v>
      </c>
      <c r="R390" s="1" t="s">
        <v>1480</v>
      </c>
      <c r="S390" s="6" t="e">
        <f t="shared" si="20"/>
        <v>#N/A</v>
      </c>
    </row>
    <row r="391" spans="2:19" x14ac:dyDescent="0.25">
      <c r="B391" s="1" t="s">
        <v>1479</v>
      </c>
      <c r="C391" s="1" t="s">
        <v>1481</v>
      </c>
      <c r="D391" s="4" t="e">
        <f>VLOOKUP(A391,المعطيات!$A$1:$J$3500,5,0)</f>
        <v>#N/A</v>
      </c>
      <c r="E391" s="1" t="s">
        <v>1482</v>
      </c>
      <c r="F391" s="5">
        <f t="shared" si="18"/>
        <v>0</v>
      </c>
      <c r="G391" s="5" t="s">
        <v>1483</v>
      </c>
      <c r="H391" s="4" t="e">
        <f>VLOOKUP(A391,المعطيات!$A$1:$J$3500,3,0)</f>
        <v>#N/A</v>
      </c>
      <c r="I391" s="1" t="s">
        <v>1484</v>
      </c>
      <c r="J391" s="1" t="s">
        <v>1485</v>
      </c>
      <c r="K391" s="4" t="e">
        <f>VLOOKUP(A391,المعطيات!$A$1:$J$3500,6,0)</f>
        <v>#N/A</v>
      </c>
      <c r="L391" s="1" t="s">
        <v>1486</v>
      </c>
      <c r="M391" s="1" t="s">
        <v>1487</v>
      </c>
      <c r="N391" s="4" t="e">
        <f t="shared" si="19"/>
        <v>#N/A</v>
      </c>
      <c r="O391" s="1" t="s">
        <v>1488</v>
      </c>
      <c r="P391" s="4" t="e">
        <f>VLOOKUP(A391,المعطيات!$A$1:$J$3500,4,0)</f>
        <v>#N/A</v>
      </c>
      <c r="Q391" s="1" t="s">
        <v>1489</v>
      </c>
      <c r="R391" s="1" t="s">
        <v>1480</v>
      </c>
      <c r="S391" s="6" t="e">
        <f t="shared" si="20"/>
        <v>#N/A</v>
      </c>
    </row>
    <row r="392" spans="2:19" x14ac:dyDescent="0.25">
      <c r="B392" s="1" t="s">
        <v>1479</v>
      </c>
      <c r="C392" s="1" t="s">
        <v>1481</v>
      </c>
      <c r="D392" s="4" t="e">
        <f>VLOOKUP(A392,المعطيات!$A$1:$J$3500,5,0)</f>
        <v>#N/A</v>
      </c>
      <c r="E392" s="1" t="s">
        <v>1482</v>
      </c>
      <c r="F392" s="5">
        <f t="shared" si="18"/>
        <v>0</v>
      </c>
      <c r="G392" s="5" t="s">
        <v>1483</v>
      </c>
      <c r="H392" s="4" t="e">
        <f>VLOOKUP(A392,المعطيات!$A$1:$J$3500,3,0)</f>
        <v>#N/A</v>
      </c>
      <c r="I392" s="1" t="s">
        <v>1484</v>
      </c>
      <c r="J392" s="1" t="s">
        <v>1485</v>
      </c>
      <c r="K392" s="4" t="e">
        <f>VLOOKUP(A392,المعطيات!$A$1:$J$3500,6,0)</f>
        <v>#N/A</v>
      </c>
      <c r="L392" s="1" t="s">
        <v>1486</v>
      </c>
      <c r="M392" s="1" t="s">
        <v>1487</v>
      </c>
      <c r="N392" s="4" t="e">
        <f t="shared" si="19"/>
        <v>#N/A</v>
      </c>
      <c r="O392" s="1" t="s">
        <v>1488</v>
      </c>
      <c r="P392" s="4" t="e">
        <f>VLOOKUP(A392,المعطيات!$A$1:$J$3500,4,0)</f>
        <v>#N/A</v>
      </c>
      <c r="Q392" s="1" t="s">
        <v>1489</v>
      </c>
      <c r="R392" s="1" t="s">
        <v>1480</v>
      </c>
      <c r="S392" s="6" t="e">
        <f t="shared" si="20"/>
        <v>#N/A</v>
      </c>
    </row>
    <row r="393" spans="2:19" x14ac:dyDescent="0.25">
      <c r="B393" s="1" t="s">
        <v>1479</v>
      </c>
      <c r="C393" s="1" t="s">
        <v>1481</v>
      </c>
      <c r="D393" s="4" t="e">
        <f>VLOOKUP(A393,المعطيات!$A$1:$J$3500,5,0)</f>
        <v>#N/A</v>
      </c>
      <c r="E393" s="1" t="s">
        <v>1482</v>
      </c>
      <c r="F393" s="5">
        <f t="shared" si="18"/>
        <v>0</v>
      </c>
      <c r="G393" s="5" t="s">
        <v>1483</v>
      </c>
      <c r="H393" s="4" t="e">
        <f>VLOOKUP(A393,المعطيات!$A$1:$J$3500,3,0)</f>
        <v>#N/A</v>
      </c>
      <c r="I393" s="1" t="s">
        <v>1484</v>
      </c>
      <c r="J393" s="1" t="s">
        <v>1485</v>
      </c>
      <c r="K393" s="4" t="e">
        <f>VLOOKUP(A393,المعطيات!$A$1:$J$3500,6,0)</f>
        <v>#N/A</v>
      </c>
      <c r="L393" s="1" t="s">
        <v>1486</v>
      </c>
      <c r="M393" s="1" t="s">
        <v>1487</v>
      </c>
      <c r="N393" s="4" t="e">
        <f t="shared" si="19"/>
        <v>#N/A</v>
      </c>
      <c r="O393" s="1" t="s">
        <v>1488</v>
      </c>
      <c r="P393" s="4" t="e">
        <f>VLOOKUP(A393,المعطيات!$A$1:$J$3500,4,0)</f>
        <v>#N/A</v>
      </c>
      <c r="Q393" s="1" t="s">
        <v>1489</v>
      </c>
      <c r="R393" s="1" t="s">
        <v>1480</v>
      </c>
      <c r="S393" s="6" t="e">
        <f t="shared" si="20"/>
        <v>#N/A</v>
      </c>
    </row>
    <row r="394" spans="2:19" x14ac:dyDescent="0.25">
      <c r="B394" s="1" t="s">
        <v>1479</v>
      </c>
      <c r="C394" s="1" t="s">
        <v>1481</v>
      </c>
      <c r="D394" s="4" t="e">
        <f>VLOOKUP(A394,المعطيات!$A$1:$J$3500,5,0)</f>
        <v>#N/A</v>
      </c>
      <c r="E394" s="1" t="s">
        <v>1482</v>
      </c>
      <c r="F394" s="5">
        <f t="shared" si="18"/>
        <v>0</v>
      </c>
      <c r="G394" s="5" t="s">
        <v>1483</v>
      </c>
      <c r="H394" s="4" t="e">
        <f>VLOOKUP(A394,المعطيات!$A$1:$J$3500,3,0)</f>
        <v>#N/A</v>
      </c>
      <c r="I394" s="1" t="s">
        <v>1484</v>
      </c>
      <c r="J394" s="1" t="s">
        <v>1485</v>
      </c>
      <c r="K394" s="4" t="e">
        <f>VLOOKUP(A394,المعطيات!$A$1:$J$3500,6,0)</f>
        <v>#N/A</v>
      </c>
      <c r="L394" s="1" t="s">
        <v>1486</v>
      </c>
      <c r="M394" s="1" t="s">
        <v>1487</v>
      </c>
      <c r="N394" s="4" t="e">
        <f t="shared" si="19"/>
        <v>#N/A</v>
      </c>
      <c r="O394" s="1" t="s">
        <v>1488</v>
      </c>
      <c r="P394" s="4" t="e">
        <f>VLOOKUP(A394,المعطيات!$A$1:$J$3500,4,0)</f>
        <v>#N/A</v>
      </c>
      <c r="Q394" s="1" t="s">
        <v>1489</v>
      </c>
      <c r="R394" s="1" t="s">
        <v>1480</v>
      </c>
      <c r="S394" s="6" t="e">
        <f t="shared" si="20"/>
        <v>#N/A</v>
      </c>
    </row>
    <row r="395" spans="2:19" x14ac:dyDescent="0.25">
      <c r="B395" s="1" t="s">
        <v>1479</v>
      </c>
      <c r="C395" s="1" t="s">
        <v>1481</v>
      </c>
      <c r="D395" s="4" t="e">
        <f>VLOOKUP(A395,المعطيات!$A$1:$J$3500,5,0)</f>
        <v>#N/A</v>
      </c>
      <c r="E395" s="1" t="s">
        <v>1482</v>
      </c>
      <c r="F395" s="5">
        <f t="shared" si="18"/>
        <v>0</v>
      </c>
      <c r="G395" s="5" t="s">
        <v>1483</v>
      </c>
      <c r="H395" s="4" t="e">
        <f>VLOOKUP(A395,المعطيات!$A$1:$J$3500,3,0)</f>
        <v>#N/A</v>
      </c>
      <c r="I395" s="1" t="s">
        <v>1484</v>
      </c>
      <c r="J395" s="1" t="s">
        <v>1485</v>
      </c>
      <c r="K395" s="4" t="e">
        <f>VLOOKUP(A395,المعطيات!$A$1:$J$3500,6,0)</f>
        <v>#N/A</v>
      </c>
      <c r="L395" s="1" t="s">
        <v>1486</v>
      </c>
      <c r="M395" s="1" t="s">
        <v>1487</v>
      </c>
      <c r="N395" s="4" t="e">
        <f t="shared" si="19"/>
        <v>#N/A</v>
      </c>
      <c r="O395" s="1" t="s">
        <v>1488</v>
      </c>
      <c r="P395" s="4" t="e">
        <f>VLOOKUP(A395,المعطيات!$A$1:$J$3500,4,0)</f>
        <v>#N/A</v>
      </c>
      <c r="Q395" s="1" t="s">
        <v>1489</v>
      </c>
      <c r="R395" s="1" t="s">
        <v>1480</v>
      </c>
      <c r="S395" s="6" t="e">
        <f t="shared" si="20"/>
        <v>#N/A</v>
      </c>
    </row>
    <row r="396" spans="2:19" x14ac:dyDescent="0.25">
      <c r="B396" s="1" t="s">
        <v>1479</v>
      </c>
      <c r="C396" s="1" t="s">
        <v>1481</v>
      </c>
      <c r="D396" s="4" t="e">
        <f>VLOOKUP(A396,المعطيات!$A$1:$J$3500,5,0)</f>
        <v>#N/A</v>
      </c>
      <c r="E396" s="1" t="s">
        <v>1482</v>
      </c>
      <c r="F396" s="5">
        <f t="shared" si="18"/>
        <v>0</v>
      </c>
      <c r="G396" s="5" t="s">
        <v>1483</v>
      </c>
      <c r="H396" s="4" t="e">
        <f>VLOOKUP(A396,المعطيات!$A$1:$J$3500,3,0)</f>
        <v>#N/A</v>
      </c>
      <c r="I396" s="1" t="s">
        <v>1484</v>
      </c>
      <c r="J396" s="1" t="s">
        <v>1485</v>
      </c>
      <c r="K396" s="4" t="e">
        <f>VLOOKUP(A396,المعطيات!$A$1:$J$3500,6,0)</f>
        <v>#N/A</v>
      </c>
      <c r="L396" s="1" t="s">
        <v>1486</v>
      </c>
      <c r="M396" s="1" t="s">
        <v>1487</v>
      </c>
      <c r="N396" s="4" t="e">
        <f t="shared" si="19"/>
        <v>#N/A</v>
      </c>
      <c r="O396" s="1" t="s">
        <v>1488</v>
      </c>
      <c r="P396" s="4" t="e">
        <f>VLOOKUP(A396,المعطيات!$A$1:$J$3500,4,0)</f>
        <v>#N/A</v>
      </c>
      <c r="Q396" s="1" t="s">
        <v>1489</v>
      </c>
      <c r="R396" s="1" t="s">
        <v>1480</v>
      </c>
      <c r="S396" s="6" t="e">
        <f t="shared" si="20"/>
        <v>#N/A</v>
      </c>
    </row>
    <row r="397" spans="2:19" x14ac:dyDescent="0.25">
      <c r="B397" s="1" t="s">
        <v>1479</v>
      </c>
      <c r="C397" s="1" t="s">
        <v>1481</v>
      </c>
      <c r="D397" s="4" t="e">
        <f>VLOOKUP(A397,المعطيات!$A$1:$J$3500,5,0)</f>
        <v>#N/A</v>
      </c>
      <c r="E397" s="1" t="s">
        <v>1482</v>
      </c>
      <c r="F397" s="5">
        <f t="shared" si="18"/>
        <v>0</v>
      </c>
      <c r="G397" s="5" t="s">
        <v>1483</v>
      </c>
      <c r="H397" s="4" t="e">
        <f>VLOOKUP(A397,المعطيات!$A$1:$J$3500,3,0)</f>
        <v>#N/A</v>
      </c>
      <c r="I397" s="1" t="s">
        <v>1484</v>
      </c>
      <c r="J397" s="1" t="s">
        <v>1485</v>
      </c>
      <c r="K397" s="4" t="e">
        <f>VLOOKUP(A397,المعطيات!$A$1:$J$3500,6,0)</f>
        <v>#N/A</v>
      </c>
      <c r="L397" s="1" t="s">
        <v>1486</v>
      </c>
      <c r="M397" s="1" t="s">
        <v>1487</v>
      </c>
      <c r="N397" s="4" t="e">
        <f t="shared" si="19"/>
        <v>#N/A</v>
      </c>
      <c r="O397" s="1" t="s">
        <v>1488</v>
      </c>
      <c r="P397" s="4" t="e">
        <f>VLOOKUP(A397,المعطيات!$A$1:$J$3500,4,0)</f>
        <v>#N/A</v>
      </c>
      <c r="Q397" s="1" t="s">
        <v>1489</v>
      </c>
      <c r="R397" s="1" t="s">
        <v>1480</v>
      </c>
      <c r="S397" s="6" t="e">
        <f t="shared" si="20"/>
        <v>#N/A</v>
      </c>
    </row>
    <row r="398" spans="2:19" x14ac:dyDescent="0.25">
      <c r="B398" s="1" t="s">
        <v>1479</v>
      </c>
      <c r="C398" s="1" t="s">
        <v>1481</v>
      </c>
      <c r="D398" s="4" t="e">
        <f>VLOOKUP(A398,المعطيات!$A$1:$J$3500,5,0)</f>
        <v>#N/A</v>
      </c>
      <c r="E398" s="1" t="s">
        <v>1482</v>
      </c>
      <c r="F398" s="5">
        <f t="shared" si="18"/>
        <v>0</v>
      </c>
      <c r="G398" s="5" t="s">
        <v>1483</v>
      </c>
      <c r="H398" s="4" t="e">
        <f>VLOOKUP(A398,المعطيات!$A$1:$J$3500,3,0)</f>
        <v>#N/A</v>
      </c>
      <c r="I398" s="1" t="s">
        <v>1484</v>
      </c>
      <c r="J398" s="1" t="s">
        <v>1485</v>
      </c>
      <c r="K398" s="4" t="e">
        <f>VLOOKUP(A398,المعطيات!$A$1:$J$3500,6,0)</f>
        <v>#N/A</v>
      </c>
      <c r="L398" s="1" t="s">
        <v>1486</v>
      </c>
      <c r="M398" s="1" t="s">
        <v>1487</v>
      </c>
      <c r="N398" s="4" t="e">
        <f t="shared" si="19"/>
        <v>#N/A</v>
      </c>
      <c r="O398" s="1" t="s">
        <v>1488</v>
      </c>
      <c r="P398" s="4" t="e">
        <f>VLOOKUP(A398,المعطيات!$A$1:$J$3500,4,0)</f>
        <v>#N/A</v>
      </c>
      <c r="Q398" s="1" t="s">
        <v>1489</v>
      </c>
      <c r="R398" s="1" t="s">
        <v>1480</v>
      </c>
      <c r="S398" s="6" t="e">
        <f t="shared" si="20"/>
        <v>#N/A</v>
      </c>
    </row>
    <row r="399" spans="2:19" x14ac:dyDescent="0.25">
      <c r="B399" s="1" t="s">
        <v>1479</v>
      </c>
      <c r="C399" s="1" t="s">
        <v>1481</v>
      </c>
      <c r="D399" s="4" t="e">
        <f>VLOOKUP(A399,المعطيات!$A$1:$J$3500,5,0)</f>
        <v>#N/A</v>
      </c>
      <c r="E399" s="1" t="s">
        <v>1482</v>
      </c>
      <c r="F399" s="5">
        <f t="shared" si="18"/>
        <v>0</v>
      </c>
      <c r="G399" s="5" t="s">
        <v>1483</v>
      </c>
      <c r="H399" s="4" t="e">
        <f>VLOOKUP(A399,المعطيات!$A$1:$J$3500,3,0)</f>
        <v>#N/A</v>
      </c>
      <c r="I399" s="1" t="s">
        <v>1484</v>
      </c>
      <c r="J399" s="1" t="s">
        <v>1485</v>
      </c>
      <c r="K399" s="4" t="e">
        <f>VLOOKUP(A399,المعطيات!$A$1:$J$3500,6,0)</f>
        <v>#N/A</v>
      </c>
      <c r="L399" s="1" t="s">
        <v>1486</v>
      </c>
      <c r="M399" s="1" t="s">
        <v>1487</v>
      </c>
      <c r="N399" s="4" t="e">
        <f t="shared" si="19"/>
        <v>#N/A</v>
      </c>
      <c r="O399" s="1" t="s">
        <v>1488</v>
      </c>
      <c r="P399" s="4" t="e">
        <f>VLOOKUP(A399,المعطيات!$A$1:$J$3500,4,0)</f>
        <v>#N/A</v>
      </c>
      <c r="Q399" s="1" t="s">
        <v>1489</v>
      </c>
      <c r="R399" s="1" t="s">
        <v>1480</v>
      </c>
      <c r="S399" s="6" t="e">
        <f t="shared" si="20"/>
        <v>#N/A</v>
      </c>
    </row>
    <row r="400" spans="2:19" x14ac:dyDescent="0.25">
      <c r="B400" s="1" t="s">
        <v>1479</v>
      </c>
      <c r="C400" s="1" t="s">
        <v>1481</v>
      </c>
      <c r="D400" s="4" t="e">
        <f>VLOOKUP(A400,المعطيات!$A$1:$J$3500,5,0)</f>
        <v>#N/A</v>
      </c>
      <c r="E400" s="1" t="s">
        <v>1482</v>
      </c>
      <c r="F400" s="5">
        <f t="shared" si="18"/>
        <v>0</v>
      </c>
      <c r="G400" s="5" t="s">
        <v>1483</v>
      </c>
      <c r="H400" s="4" t="e">
        <f>VLOOKUP(A400,المعطيات!$A$1:$J$3500,3,0)</f>
        <v>#N/A</v>
      </c>
      <c r="I400" s="1" t="s">
        <v>1484</v>
      </c>
      <c r="J400" s="1" t="s">
        <v>1485</v>
      </c>
      <c r="K400" s="4" t="e">
        <f>VLOOKUP(A400,المعطيات!$A$1:$J$3500,6,0)</f>
        <v>#N/A</v>
      </c>
      <c r="L400" s="1" t="s">
        <v>1486</v>
      </c>
      <c r="M400" s="1" t="s">
        <v>1487</v>
      </c>
      <c r="N400" s="4" t="e">
        <f t="shared" si="19"/>
        <v>#N/A</v>
      </c>
      <c r="O400" s="1" t="s">
        <v>1488</v>
      </c>
      <c r="P400" s="4" t="e">
        <f>VLOOKUP(A400,المعطيات!$A$1:$J$3500,4,0)</f>
        <v>#N/A</v>
      </c>
      <c r="Q400" s="1" t="s">
        <v>1489</v>
      </c>
      <c r="R400" s="1" t="s">
        <v>1480</v>
      </c>
      <c r="S400" s="6" t="e">
        <f t="shared" si="20"/>
        <v>#N/A</v>
      </c>
    </row>
    <row r="401" spans="2:19" x14ac:dyDescent="0.25">
      <c r="B401" s="1" t="s">
        <v>1479</v>
      </c>
      <c r="C401" s="1" t="s">
        <v>1481</v>
      </c>
      <c r="D401" s="4" t="e">
        <f>VLOOKUP(A401,المعطيات!$A$1:$J$3500,5,0)</f>
        <v>#N/A</v>
      </c>
      <c r="E401" s="1" t="s">
        <v>1482</v>
      </c>
      <c r="F401" s="5">
        <f t="shared" si="18"/>
        <v>0</v>
      </c>
      <c r="G401" s="5" t="s">
        <v>1483</v>
      </c>
      <c r="H401" s="4" t="e">
        <f>VLOOKUP(A401,المعطيات!$A$1:$J$3500,3,0)</f>
        <v>#N/A</v>
      </c>
      <c r="I401" s="1" t="s">
        <v>1484</v>
      </c>
      <c r="J401" s="1" t="s">
        <v>1485</v>
      </c>
      <c r="K401" s="4" t="e">
        <f>VLOOKUP(A401,المعطيات!$A$1:$J$3500,6,0)</f>
        <v>#N/A</v>
      </c>
      <c r="L401" s="1" t="s">
        <v>1486</v>
      </c>
      <c r="M401" s="1" t="s">
        <v>1487</v>
      </c>
      <c r="N401" s="4" t="e">
        <f t="shared" si="19"/>
        <v>#N/A</v>
      </c>
      <c r="O401" s="1" t="s">
        <v>1488</v>
      </c>
      <c r="P401" s="4" t="e">
        <f>VLOOKUP(A401,المعطيات!$A$1:$J$3500,4,0)</f>
        <v>#N/A</v>
      </c>
      <c r="Q401" s="1" t="s">
        <v>1489</v>
      </c>
      <c r="R401" s="1" t="s">
        <v>1480</v>
      </c>
      <c r="S401" s="6" t="e">
        <f t="shared" si="20"/>
        <v>#N/A</v>
      </c>
    </row>
    <row r="402" spans="2:19" x14ac:dyDescent="0.25">
      <c r="B402" s="1" t="s">
        <v>1479</v>
      </c>
      <c r="C402" s="1" t="s">
        <v>1481</v>
      </c>
      <c r="D402" s="4" t="e">
        <f>VLOOKUP(A402,المعطيات!$A$1:$J$3500,5,0)</f>
        <v>#N/A</v>
      </c>
      <c r="E402" s="1" t="s">
        <v>1482</v>
      </c>
      <c r="F402" s="5">
        <f t="shared" si="18"/>
        <v>0</v>
      </c>
      <c r="G402" s="5" t="s">
        <v>1483</v>
      </c>
      <c r="H402" s="4" t="e">
        <f>VLOOKUP(A402,المعطيات!$A$1:$J$3500,3,0)</f>
        <v>#N/A</v>
      </c>
      <c r="I402" s="1" t="s">
        <v>1484</v>
      </c>
      <c r="J402" s="1" t="s">
        <v>1485</v>
      </c>
      <c r="K402" s="4" t="e">
        <f>VLOOKUP(A402,المعطيات!$A$1:$J$3500,6,0)</f>
        <v>#N/A</v>
      </c>
      <c r="L402" s="1" t="s">
        <v>1486</v>
      </c>
      <c r="M402" s="1" t="s">
        <v>1487</v>
      </c>
      <c r="N402" s="4" t="e">
        <f t="shared" si="19"/>
        <v>#N/A</v>
      </c>
      <c r="O402" s="1" t="s">
        <v>1488</v>
      </c>
      <c r="P402" s="4" t="e">
        <f>VLOOKUP(A402,المعطيات!$A$1:$J$3500,4,0)</f>
        <v>#N/A</v>
      </c>
      <c r="Q402" s="1" t="s">
        <v>1489</v>
      </c>
      <c r="R402" s="1" t="s">
        <v>1480</v>
      </c>
      <c r="S402" s="6" t="e">
        <f t="shared" si="20"/>
        <v>#N/A</v>
      </c>
    </row>
    <row r="403" spans="2:19" x14ac:dyDescent="0.25">
      <c r="B403" s="1" t="s">
        <v>1479</v>
      </c>
      <c r="C403" s="1" t="s">
        <v>1481</v>
      </c>
      <c r="D403" s="4" t="e">
        <f>VLOOKUP(A403,المعطيات!$A$1:$J$3500,5,0)</f>
        <v>#N/A</v>
      </c>
      <c r="E403" s="1" t="s">
        <v>1482</v>
      </c>
      <c r="F403" s="5">
        <f t="shared" si="18"/>
        <v>0</v>
      </c>
      <c r="G403" s="5" t="s">
        <v>1483</v>
      </c>
      <c r="H403" s="4" t="e">
        <f>VLOOKUP(A403,المعطيات!$A$1:$J$3500,3,0)</f>
        <v>#N/A</v>
      </c>
      <c r="I403" s="1" t="s">
        <v>1484</v>
      </c>
      <c r="J403" s="1" t="s">
        <v>1485</v>
      </c>
      <c r="K403" s="4" t="e">
        <f>VLOOKUP(A403,المعطيات!$A$1:$J$3500,6,0)</f>
        <v>#N/A</v>
      </c>
      <c r="L403" s="1" t="s">
        <v>1486</v>
      </c>
      <c r="M403" s="1" t="s">
        <v>1487</v>
      </c>
      <c r="N403" s="4" t="e">
        <f t="shared" si="19"/>
        <v>#N/A</v>
      </c>
      <c r="O403" s="1" t="s">
        <v>1488</v>
      </c>
      <c r="P403" s="4" t="e">
        <f>VLOOKUP(A403,المعطيات!$A$1:$J$3500,4,0)</f>
        <v>#N/A</v>
      </c>
      <c r="Q403" s="1" t="s">
        <v>1489</v>
      </c>
      <c r="R403" s="1" t="s">
        <v>1480</v>
      </c>
      <c r="S403" s="6" t="e">
        <f t="shared" si="20"/>
        <v>#N/A</v>
      </c>
    </row>
    <row r="404" spans="2:19" x14ac:dyDescent="0.25">
      <c r="B404" s="1" t="s">
        <v>1479</v>
      </c>
      <c r="C404" s="1" t="s">
        <v>1481</v>
      </c>
      <c r="D404" s="4" t="e">
        <f>VLOOKUP(A404,المعطيات!$A$1:$J$3500,5,0)</f>
        <v>#N/A</v>
      </c>
      <c r="E404" s="1" t="s">
        <v>1482</v>
      </c>
      <c r="F404" s="5">
        <f t="shared" si="18"/>
        <v>0</v>
      </c>
      <c r="G404" s="5" t="s">
        <v>1483</v>
      </c>
      <c r="H404" s="4" t="e">
        <f>VLOOKUP(A404,المعطيات!$A$1:$J$3500,3,0)</f>
        <v>#N/A</v>
      </c>
      <c r="I404" s="1" t="s">
        <v>1484</v>
      </c>
      <c r="J404" s="1" t="s">
        <v>1485</v>
      </c>
      <c r="K404" s="4" t="e">
        <f>VLOOKUP(A404,المعطيات!$A$1:$J$3500,6,0)</f>
        <v>#N/A</v>
      </c>
      <c r="L404" s="1" t="s">
        <v>1486</v>
      </c>
      <c r="M404" s="1" t="s">
        <v>1487</v>
      </c>
      <c r="N404" s="4" t="e">
        <f t="shared" si="19"/>
        <v>#N/A</v>
      </c>
      <c r="O404" s="1" t="s">
        <v>1488</v>
      </c>
      <c r="P404" s="4" t="e">
        <f>VLOOKUP(A404,المعطيات!$A$1:$J$3500,4,0)</f>
        <v>#N/A</v>
      </c>
      <c r="Q404" s="1" t="s">
        <v>1489</v>
      </c>
      <c r="R404" s="1" t="s">
        <v>1480</v>
      </c>
      <c r="S404" s="6" t="e">
        <f t="shared" si="20"/>
        <v>#N/A</v>
      </c>
    </row>
    <row r="405" spans="2:19" x14ac:dyDescent="0.25">
      <c r="B405" s="1" t="s">
        <v>1479</v>
      </c>
      <c r="C405" s="1" t="s">
        <v>1481</v>
      </c>
      <c r="D405" s="4" t="e">
        <f>VLOOKUP(A405,المعطيات!$A$1:$J$3500,5,0)</f>
        <v>#N/A</v>
      </c>
      <c r="E405" s="1" t="s">
        <v>1482</v>
      </c>
      <c r="F405" s="5">
        <f t="shared" si="18"/>
        <v>0</v>
      </c>
      <c r="G405" s="5" t="s">
        <v>1483</v>
      </c>
      <c r="H405" s="4" t="e">
        <f>VLOOKUP(A405,المعطيات!$A$1:$J$3500,3,0)</f>
        <v>#N/A</v>
      </c>
      <c r="I405" s="1" t="s">
        <v>1484</v>
      </c>
      <c r="J405" s="1" t="s">
        <v>1485</v>
      </c>
      <c r="K405" s="4" t="e">
        <f>VLOOKUP(A405,المعطيات!$A$1:$J$3500,6,0)</f>
        <v>#N/A</v>
      </c>
      <c r="L405" s="1" t="s">
        <v>1486</v>
      </c>
      <c r="M405" s="1" t="s">
        <v>1487</v>
      </c>
      <c r="N405" s="4" t="e">
        <f t="shared" si="19"/>
        <v>#N/A</v>
      </c>
      <c r="O405" s="1" t="s">
        <v>1488</v>
      </c>
      <c r="P405" s="4" t="e">
        <f>VLOOKUP(A405,المعطيات!$A$1:$J$3500,4,0)</f>
        <v>#N/A</v>
      </c>
      <c r="Q405" s="1" t="s">
        <v>1489</v>
      </c>
      <c r="R405" s="1" t="s">
        <v>1480</v>
      </c>
      <c r="S405" s="6" t="e">
        <f t="shared" si="20"/>
        <v>#N/A</v>
      </c>
    </row>
    <row r="406" spans="2:19" x14ac:dyDescent="0.25">
      <c r="B406" s="1" t="s">
        <v>1479</v>
      </c>
      <c r="C406" s="1" t="s">
        <v>1481</v>
      </c>
      <c r="D406" s="4" t="e">
        <f>VLOOKUP(A406,المعطيات!$A$1:$J$3500,5,0)</f>
        <v>#N/A</v>
      </c>
      <c r="E406" s="1" t="s">
        <v>1482</v>
      </c>
      <c r="F406" s="5">
        <f t="shared" si="18"/>
        <v>0</v>
      </c>
      <c r="G406" s="5" t="s">
        <v>1483</v>
      </c>
      <c r="H406" s="4" t="e">
        <f>VLOOKUP(A406,المعطيات!$A$1:$J$3500,3,0)</f>
        <v>#N/A</v>
      </c>
      <c r="I406" s="1" t="s">
        <v>1484</v>
      </c>
      <c r="J406" s="1" t="s">
        <v>1485</v>
      </c>
      <c r="K406" s="4" t="e">
        <f>VLOOKUP(A406,المعطيات!$A$1:$J$3500,6,0)</f>
        <v>#N/A</v>
      </c>
      <c r="L406" s="1" t="s">
        <v>1486</v>
      </c>
      <c r="M406" s="1" t="s">
        <v>1487</v>
      </c>
      <c r="N406" s="4" t="e">
        <f t="shared" si="19"/>
        <v>#N/A</v>
      </c>
      <c r="O406" s="1" t="s">
        <v>1488</v>
      </c>
      <c r="P406" s="4" t="e">
        <f>VLOOKUP(A406,المعطيات!$A$1:$J$3500,4,0)</f>
        <v>#N/A</v>
      </c>
      <c r="Q406" s="1" t="s">
        <v>1489</v>
      </c>
      <c r="R406" s="1" t="s">
        <v>1480</v>
      </c>
      <c r="S406" s="6" t="e">
        <f t="shared" si="20"/>
        <v>#N/A</v>
      </c>
    </row>
    <row r="407" spans="2:19" x14ac:dyDescent="0.25">
      <c r="B407" s="1" t="s">
        <v>1479</v>
      </c>
      <c r="C407" s="1" t="s">
        <v>1481</v>
      </c>
      <c r="D407" s="4" t="e">
        <f>VLOOKUP(A407,المعطيات!$A$1:$J$3500,5,0)</f>
        <v>#N/A</v>
      </c>
      <c r="E407" s="1" t="s">
        <v>1482</v>
      </c>
      <c r="F407" s="5">
        <f t="shared" si="18"/>
        <v>0</v>
      </c>
      <c r="G407" s="5" t="s">
        <v>1483</v>
      </c>
      <c r="H407" s="4" t="e">
        <f>VLOOKUP(A407,المعطيات!$A$1:$J$3500,3,0)</f>
        <v>#N/A</v>
      </c>
      <c r="I407" s="1" t="s">
        <v>1484</v>
      </c>
      <c r="J407" s="1" t="s">
        <v>1485</v>
      </c>
      <c r="K407" s="4" t="e">
        <f>VLOOKUP(A407,المعطيات!$A$1:$J$3500,6,0)</f>
        <v>#N/A</v>
      </c>
      <c r="L407" s="1" t="s">
        <v>1486</v>
      </c>
      <c r="M407" s="1" t="s">
        <v>1487</v>
      </c>
      <c r="N407" s="4" t="e">
        <f t="shared" si="19"/>
        <v>#N/A</v>
      </c>
      <c r="O407" s="1" t="s">
        <v>1488</v>
      </c>
      <c r="P407" s="4" t="e">
        <f>VLOOKUP(A407,المعطيات!$A$1:$J$3500,4,0)</f>
        <v>#N/A</v>
      </c>
      <c r="Q407" s="1" t="s">
        <v>1489</v>
      </c>
      <c r="R407" s="1" t="s">
        <v>1480</v>
      </c>
      <c r="S407" s="6" t="e">
        <f t="shared" si="20"/>
        <v>#N/A</v>
      </c>
    </row>
    <row r="408" spans="2:19" x14ac:dyDescent="0.25">
      <c r="B408" s="1" t="s">
        <v>1479</v>
      </c>
      <c r="C408" s="1" t="s">
        <v>1481</v>
      </c>
      <c r="D408" s="4" t="e">
        <f>VLOOKUP(A408,المعطيات!$A$1:$J$3500,5,0)</f>
        <v>#N/A</v>
      </c>
      <c r="E408" s="1" t="s">
        <v>1482</v>
      </c>
      <c r="F408" s="5">
        <f t="shared" si="18"/>
        <v>0</v>
      </c>
      <c r="G408" s="5" t="s">
        <v>1483</v>
      </c>
      <c r="H408" s="4" t="e">
        <f>VLOOKUP(A408,المعطيات!$A$1:$J$3500,3,0)</f>
        <v>#N/A</v>
      </c>
      <c r="I408" s="1" t="s">
        <v>1484</v>
      </c>
      <c r="J408" s="1" t="s">
        <v>1485</v>
      </c>
      <c r="K408" s="4" t="e">
        <f>VLOOKUP(A408,المعطيات!$A$1:$J$3500,6,0)</f>
        <v>#N/A</v>
      </c>
      <c r="L408" s="1" t="s">
        <v>1486</v>
      </c>
      <c r="M408" s="1" t="s">
        <v>1487</v>
      </c>
      <c r="N408" s="4" t="e">
        <f t="shared" si="19"/>
        <v>#N/A</v>
      </c>
      <c r="O408" s="1" t="s">
        <v>1488</v>
      </c>
      <c r="P408" s="4" t="e">
        <f>VLOOKUP(A408,المعطيات!$A$1:$J$3500,4,0)</f>
        <v>#N/A</v>
      </c>
      <c r="Q408" s="1" t="s">
        <v>1489</v>
      </c>
      <c r="R408" s="1" t="s">
        <v>1480</v>
      </c>
      <c r="S408" s="6" t="e">
        <f t="shared" si="20"/>
        <v>#N/A</v>
      </c>
    </row>
    <row r="409" spans="2:19" x14ac:dyDescent="0.25">
      <c r="B409" s="1" t="s">
        <v>1479</v>
      </c>
      <c r="C409" s="1" t="s">
        <v>1481</v>
      </c>
      <c r="D409" s="4" t="e">
        <f>VLOOKUP(A409,المعطيات!$A$1:$J$3500,5,0)</f>
        <v>#N/A</v>
      </c>
      <c r="E409" s="1" t="s">
        <v>1482</v>
      </c>
      <c r="F409" s="5">
        <f t="shared" si="18"/>
        <v>0</v>
      </c>
      <c r="G409" s="5" t="s">
        <v>1483</v>
      </c>
      <c r="H409" s="4" t="e">
        <f>VLOOKUP(A409,المعطيات!$A$1:$J$3500,3,0)</f>
        <v>#N/A</v>
      </c>
      <c r="I409" s="1" t="s">
        <v>1484</v>
      </c>
      <c r="J409" s="1" t="s">
        <v>1485</v>
      </c>
      <c r="K409" s="4" t="e">
        <f>VLOOKUP(A409,المعطيات!$A$1:$J$3500,6,0)</f>
        <v>#N/A</v>
      </c>
      <c r="L409" s="1" t="s">
        <v>1486</v>
      </c>
      <c r="M409" s="1" t="s">
        <v>1487</v>
      </c>
      <c r="N409" s="4" t="e">
        <f t="shared" si="19"/>
        <v>#N/A</v>
      </c>
      <c r="O409" s="1" t="s">
        <v>1488</v>
      </c>
      <c r="P409" s="4" t="e">
        <f>VLOOKUP(A409,المعطيات!$A$1:$J$3500,4,0)</f>
        <v>#N/A</v>
      </c>
      <c r="Q409" s="1" t="s">
        <v>1489</v>
      </c>
      <c r="R409" s="1" t="s">
        <v>1480</v>
      </c>
      <c r="S409" s="6" t="e">
        <f t="shared" si="20"/>
        <v>#N/A</v>
      </c>
    </row>
    <row r="410" spans="2:19" x14ac:dyDescent="0.25">
      <c r="B410" s="1" t="s">
        <v>1479</v>
      </c>
      <c r="C410" s="1" t="s">
        <v>1481</v>
      </c>
      <c r="D410" s="4" t="e">
        <f>VLOOKUP(A410,المعطيات!$A$1:$J$3500,5,0)</f>
        <v>#N/A</v>
      </c>
      <c r="E410" s="1" t="s">
        <v>1482</v>
      </c>
      <c r="F410" s="5">
        <f t="shared" si="18"/>
        <v>0</v>
      </c>
      <c r="G410" s="5" t="s">
        <v>1483</v>
      </c>
      <c r="H410" s="4" t="e">
        <f>VLOOKUP(A410,المعطيات!$A$1:$J$3500,3,0)</f>
        <v>#N/A</v>
      </c>
      <c r="I410" s="1" t="s">
        <v>1484</v>
      </c>
      <c r="J410" s="1" t="s">
        <v>1485</v>
      </c>
      <c r="K410" s="4" t="e">
        <f>VLOOKUP(A410,المعطيات!$A$1:$J$3500,6,0)</f>
        <v>#N/A</v>
      </c>
      <c r="L410" s="1" t="s">
        <v>1486</v>
      </c>
      <c r="M410" s="1" t="s">
        <v>1487</v>
      </c>
      <c r="N410" s="4" t="e">
        <f t="shared" si="19"/>
        <v>#N/A</v>
      </c>
      <c r="O410" s="1" t="s">
        <v>1488</v>
      </c>
      <c r="P410" s="4" t="e">
        <f>VLOOKUP(A410,المعطيات!$A$1:$J$3500,4,0)</f>
        <v>#N/A</v>
      </c>
      <c r="Q410" s="1" t="s">
        <v>1489</v>
      </c>
      <c r="R410" s="1" t="s">
        <v>1480</v>
      </c>
      <c r="S410" s="6" t="e">
        <f t="shared" si="20"/>
        <v>#N/A</v>
      </c>
    </row>
    <row r="411" spans="2:19" x14ac:dyDescent="0.25">
      <c r="B411" s="1" t="s">
        <v>1479</v>
      </c>
      <c r="C411" s="1" t="s">
        <v>1481</v>
      </c>
      <c r="D411" s="4" t="e">
        <f>VLOOKUP(A411,المعطيات!$A$1:$J$3500,5,0)</f>
        <v>#N/A</v>
      </c>
      <c r="E411" s="1" t="s">
        <v>1482</v>
      </c>
      <c r="F411" s="5">
        <f t="shared" si="18"/>
        <v>0</v>
      </c>
      <c r="G411" s="5" t="s">
        <v>1483</v>
      </c>
      <c r="H411" s="4" t="e">
        <f>VLOOKUP(A411,المعطيات!$A$1:$J$3500,3,0)</f>
        <v>#N/A</v>
      </c>
      <c r="I411" s="1" t="s">
        <v>1484</v>
      </c>
      <c r="J411" s="1" t="s">
        <v>1485</v>
      </c>
      <c r="K411" s="4" t="e">
        <f>VLOOKUP(A411,المعطيات!$A$1:$J$3500,6,0)</f>
        <v>#N/A</v>
      </c>
      <c r="L411" s="1" t="s">
        <v>1486</v>
      </c>
      <c r="M411" s="1" t="s">
        <v>1487</v>
      </c>
      <c r="N411" s="4" t="e">
        <f t="shared" si="19"/>
        <v>#N/A</v>
      </c>
      <c r="O411" s="1" t="s">
        <v>1488</v>
      </c>
      <c r="P411" s="4" t="e">
        <f>VLOOKUP(A411,المعطيات!$A$1:$J$3500,4,0)</f>
        <v>#N/A</v>
      </c>
      <c r="Q411" s="1" t="s">
        <v>1489</v>
      </c>
      <c r="R411" s="1" t="s">
        <v>1480</v>
      </c>
      <c r="S411" s="6" t="e">
        <f t="shared" si="20"/>
        <v>#N/A</v>
      </c>
    </row>
    <row r="412" spans="2:19" x14ac:dyDescent="0.25">
      <c r="B412" s="1" t="s">
        <v>1479</v>
      </c>
      <c r="C412" s="1" t="s">
        <v>1481</v>
      </c>
      <c r="D412" s="4" t="e">
        <f>VLOOKUP(A412,المعطيات!$A$1:$J$3500,5,0)</f>
        <v>#N/A</v>
      </c>
      <c r="E412" s="1" t="s">
        <v>1482</v>
      </c>
      <c r="F412" s="5">
        <f t="shared" si="18"/>
        <v>0</v>
      </c>
      <c r="G412" s="5" t="s">
        <v>1483</v>
      </c>
      <c r="H412" s="4" t="e">
        <f>VLOOKUP(A412,المعطيات!$A$1:$J$3500,3,0)</f>
        <v>#N/A</v>
      </c>
      <c r="I412" s="1" t="s">
        <v>1484</v>
      </c>
      <c r="J412" s="1" t="s">
        <v>1485</v>
      </c>
      <c r="K412" s="4" t="e">
        <f>VLOOKUP(A412,المعطيات!$A$1:$J$3500,6,0)</f>
        <v>#N/A</v>
      </c>
      <c r="L412" s="1" t="s">
        <v>1486</v>
      </c>
      <c r="M412" s="1" t="s">
        <v>1487</v>
      </c>
      <c r="N412" s="4" t="e">
        <f t="shared" si="19"/>
        <v>#N/A</v>
      </c>
      <c r="O412" s="1" t="s">
        <v>1488</v>
      </c>
      <c r="P412" s="4" t="e">
        <f>VLOOKUP(A412,المعطيات!$A$1:$J$3500,4,0)</f>
        <v>#N/A</v>
      </c>
      <c r="Q412" s="1" t="s">
        <v>1489</v>
      </c>
      <c r="R412" s="1" t="s">
        <v>1480</v>
      </c>
      <c r="S412" s="6" t="e">
        <f t="shared" si="20"/>
        <v>#N/A</v>
      </c>
    </row>
    <row r="413" spans="2:19" x14ac:dyDescent="0.25">
      <c r="B413" s="1" t="s">
        <v>1479</v>
      </c>
      <c r="C413" s="1" t="s">
        <v>1481</v>
      </c>
      <c r="D413" s="4" t="e">
        <f>VLOOKUP(A413,المعطيات!$A$1:$J$3500,5,0)</f>
        <v>#N/A</v>
      </c>
      <c r="E413" s="1" t="s">
        <v>1482</v>
      </c>
      <c r="F413" s="5">
        <f t="shared" si="18"/>
        <v>0</v>
      </c>
      <c r="G413" s="5" t="s">
        <v>1483</v>
      </c>
      <c r="H413" s="4" t="e">
        <f>VLOOKUP(A413,المعطيات!$A$1:$J$3500,3,0)</f>
        <v>#N/A</v>
      </c>
      <c r="I413" s="1" t="s">
        <v>1484</v>
      </c>
      <c r="J413" s="1" t="s">
        <v>1485</v>
      </c>
      <c r="K413" s="4" t="e">
        <f>VLOOKUP(A413,المعطيات!$A$1:$J$3500,6,0)</f>
        <v>#N/A</v>
      </c>
      <c r="L413" s="1" t="s">
        <v>1486</v>
      </c>
      <c r="M413" s="1" t="s">
        <v>1487</v>
      </c>
      <c r="N413" s="4" t="e">
        <f t="shared" si="19"/>
        <v>#N/A</v>
      </c>
      <c r="O413" s="1" t="s">
        <v>1488</v>
      </c>
      <c r="P413" s="4" t="e">
        <f>VLOOKUP(A413,المعطيات!$A$1:$J$3500,4,0)</f>
        <v>#N/A</v>
      </c>
      <c r="Q413" s="1" t="s">
        <v>1489</v>
      </c>
      <c r="R413" s="1" t="s">
        <v>1480</v>
      </c>
      <c r="S413" s="6" t="e">
        <f t="shared" si="20"/>
        <v>#N/A</v>
      </c>
    </row>
    <row r="414" spans="2:19" x14ac:dyDescent="0.25">
      <c r="B414" s="1" t="s">
        <v>1479</v>
      </c>
      <c r="C414" s="1" t="s">
        <v>1481</v>
      </c>
      <c r="D414" s="4" t="e">
        <f>VLOOKUP(A414,المعطيات!$A$1:$J$3500,5,0)</f>
        <v>#N/A</v>
      </c>
      <c r="E414" s="1" t="s">
        <v>1482</v>
      </c>
      <c r="F414" s="5">
        <f t="shared" si="18"/>
        <v>0</v>
      </c>
      <c r="G414" s="5" t="s">
        <v>1483</v>
      </c>
      <c r="H414" s="4" t="e">
        <f>VLOOKUP(A414,المعطيات!$A$1:$J$3500,3,0)</f>
        <v>#N/A</v>
      </c>
      <c r="I414" s="1" t="s">
        <v>1484</v>
      </c>
      <c r="J414" s="1" t="s">
        <v>1485</v>
      </c>
      <c r="K414" s="4" t="e">
        <f>VLOOKUP(A414,المعطيات!$A$1:$J$3500,6,0)</f>
        <v>#N/A</v>
      </c>
      <c r="L414" s="1" t="s">
        <v>1486</v>
      </c>
      <c r="M414" s="1" t="s">
        <v>1487</v>
      </c>
      <c r="N414" s="4" t="e">
        <f t="shared" si="19"/>
        <v>#N/A</v>
      </c>
      <c r="O414" s="1" t="s">
        <v>1488</v>
      </c>
      <c r="P414" s="4" t="e">
        <f>VLOOKUP(A414,المعطيات!$A$1:$J$3500,4,0)</f>
        <v>#N/A</v>
      </c>
      <c r="Q414" s="1" t="s">
        <v>1489</v>
      </c>
      <c r="R414" s="1" t="s">
        <v>1480</v>
      </c>
      <c r="S414" s="6" t="e">
        <f t="shared" si="20"/>
        <v>#N/A</v>
      </c>
    </row>
    <row r="415" spans="2:19" x14ac:dyDescent="0.25">
      <c r="B415" s="1" t="s">
        <v>1479</v>
      </c>
      <c r="C415" s="1" t="s">
        <v>1481</v>
      </c>
      <c r="D415" s="4" t="e">
        <f>VLOOKUP(A415,المعطيات!$A$1:$J$3500,5,0)</f>
        <v>#N/A</v>
      </c>
      <c r="E415" s="1" t="s">
        <v>1482</v>
      </c>
      <c r="F415" s="5">
        <f t="shared" si="18"/>
        <v>0</v>
      </c>
      <c r="G415" s="5" t="s">
        <v>1483</v>
      </c>
      <c r="H415" s="4" t="e">
        <f>VLOOKUP(A415,المعطيات!$A$1:$J$3500,3,0)</f>
        <v>#N/A</v>
      </c>
      <c r="I415" s="1" t="s">
        <v>1484</v>
      </c>
      <c r="J415" s="1" t="s">
        <v>1485</v>
      </c>
      <c r="K415" s="4" t="e">
        <f>VLOOKUP(A415,المعطيات!$A$1:$J$3500,6,0)</f>
        <v>#N/A</v>
      </c>
      <c r="L415" s="1" t="s">
        <v>1486</v>
      </c>
      <c r="M415" s="1" t="s">
        <v>1487</v>
      </c>
      <c r="N415" s="4" t="e">
        <f t="shared" si="19"/>
        <v>#N/A</v>
      </c>
      <c r="O415" s="1" t="s">
        <v>1488</v>
      </c>
      <c r="P415" s="4" t="e">
        <f>VLOOKUP(A415,المعطيات!$A$1:$J$3500,4,0)</f>
        <v>#N/A</v>
      </c>
      <c r="Q415" s="1" t="s">
        <v>1489</v>
      </c>
      <c r="R415" s="1" t="s">
        <v>1480</v>
      </c>
      <c r="S415" s="6" t="e">
        <f t="shared" si="20"/>
        <v>#N/A</v>
      </c>
    </row>
    <row r="416" spans="2:19" x14ac:dyDescent="0.25">
      <c r="B416" s="1" t="s">
        <v>1479</v>
      </c>
      <c r="C416" s="1" t="s">
        <v>1481</v>
      </c>
      <c r="D416" s="4" t="e">
        <f>VLOOKUP(A416,المعطيات!$A$1:$J$3500,5,0)</f>
        <v>#N/A</v>
      </c>
      <c r="E416" s="1" t="s">
        <v>1482</v>
      </c>
      <c r="F416" s="5">
        <f t="shared" si="18"/>
        <v>0</v>
      </c>
      <c r="G416" s="5" t="s">
        <v>1483</v>
      </c>
      <c r="H416" s="4" t="e">
        <f>VLOOKUP(A416,المعطيات!$A$1:$J$3500,3,0)</f>
        <v>#N/A</v>
      </c>
      <c r="I416" s="1" t="s">
        <v>1484</v>
      </c>
      <c r="J416" s="1" t="s">
        <v>1485</v>
      </c>
      <c r="K416" s="4" t="e">
        <f>VLOOKUP(A416,المعطيات!$A$1:$J$3500,6,0)</f>
        <v>#N/A</v>
      </c>
      <c r="L416" s="1" t="s">
        <v>1486</v>
      </c>
      <c r="M416" s="1" t="s">
        <v>1487</v>
      </c>
      <c r="N416" s="4" t="e">
        <f t="shared" si="19"/>
        <v>#N/A</v>
      </c>
      <c r="O416" s="1" t="s">
        <v>1488</v>
      </c>
      <c r="P416" s="4" t="e">
        <f>VLOOKUP(A416,المعطيات!$A$1:$J$3500,4,0)</f>
        <v>#N/A</v>
      </c>
      <c r="Q416" s="1" t="s">
        <v>1489</v>
      </c>
      <c r="R416" s="1" t="s">
        <v>1480</v>
      </c>
      <c r="S416" s="6" t="e">
        <f t="shared" si="20"/>
        <v>#N/A</v>
      </c>
    </row>
    <row r="417" spans="2:19" x14ac:dyDescent="0.25">
      <c r="B417" s="1" t="s">
        <v>1479</v>
      </c>
      <c r="C417" s="1" t="s">
        <v>1481</v>
      </c>
      <c r="D417" s="4" t="e">
        <f>VLOOKUP(A417,المعطيات!$A$1:$J$3500,5,0)</f>
        <v>#N/A</v>
      </c>
      <c r="E417" s="1" t="s">
        <v>1482</v>
      </c>
      <c r="F417" s="5">
        <f t="shared" si="18"/>
        <v>0</v>
      </c>
      <c r="G417" s="5" t="s">
        <v>1483</v>
      </c>
      <c r="H417" s="4" t="e">
        <f>VLOOKUP(A417,المعطيات!$A$1:$J$3500,3,0)</f>
        <v>#N/A</v>
      </c>
      <c r="I417" s="1" t="s">
        <v>1484</v>
      </c>
      <c r="J417" s="1" t="s">
        <v>1485</v>
      </c>
      <c r="K417" s="4" t="e">
        <f>VLOOKUP(A417,المعطيات!$A$1:$J$3500,6,0)</f>
        <v>#N/A</v>
      </c>
      <c r="L417" s="1" t="s">
        <v>1486</v>
      </c>
      <c r="M417" s="1" t="s">
        <v>1487</v>
      </c>
      <c r="N417" s="4" t="e">
        <f t="shared" si="19"/>
        <v>#N/A</v>
      </c>
      <c r="O417" s="1" t="s">
        <v>1488</v>
      </c>
      <c r="P417" s="4" t="e">
        <f>VLOOKUP(A417,المعطيات!$A$1:$J$3500,4,0)</f>
        <v>#N/A</v>
      </c>
      <c r="Q417" s="1" t="s">
        <v>1489</v>
      </c>
      <c r="R417" s="1" t="s">
        <v>1480</v>
      </c>
      <c r="S417" s="6" t="e">
        <f t="shared" si="20"/>
        <v>#N/A</v>
      </c>
    </row>
    <row r="418" spans="2:19" x14ac:dyDescent="0.25">
      <c r="B418" s="1" t="s">
        <v>1479</v>
      </c>
      <c r="C418" s="1" t="s">
        <v>1481</v>
      </c>
      <c r="D418" s="4" t="e">
        <f>VLOOKUP(A418,المعطيات!$A$1:$J$3500,5,0)</f>
        <v>#N/A</v>
      </c>
      <c r="E418" s="1" t="s">
        <v>1482</v>
      </c>
      <c r="F418" s="5">
        <f t="shared" si="18"/>
        <v>0</v>
      </c>
      <c r="G418" s="5" t="s">
        <v>1483</v>
      </c>
      <c r="H418" s="4" t="e">
        <f>VLOOKUP(A418,المعطيات!$A$1:$J$3500,3,0)</f>
        <v>#N/A</v>
      </c>
      <c r="I418" s="1" t="s">
        <v>1484</v>
      </c>
      <c r="J418" s="1" t="s">
        <v>1485</v>
      </c>
      <c r="K418" s="4" t="e">
        <f>VLOOKUP(A418,المعطيات!$A$1:$J$3500,6,0)</f>
        <v>#N/A</v>
      </c>
      <c r="L418" s="1" t="s">
        <v>1486</v>
      </c>
      <c r="M418" s="1" t="s">
        <v>1487</v>
      </c>
      <c r="N418" s="4" t="e">
        <f t="shared" si="19"/>
        <v>#N/A</v>
      </c>
      <c r="O418" s="1" t="s">
        <v>1488</v>
      </c>
      <c r="P418" s="4" t="e">
        <f>VLOOKUP(A418,المعطيات!$A$1:$J$3500,4,0)</f>
        <v>#N/A</v>
      </c>
      <c r="Q418" s="1" t="s">
        <v>1489</v>
      </c>
      <c r="R418" s="1" t="s">
        <v>1480</v>
      </c>
      <c r="S418" s="6" t="e">
        <f t="shared" si="20"/>
        <v>#N/A</v>
      </c>
    </row>
    <row r="419" spans="2:19" x14ac:dyDescent="0.25">
      <c r="B419" s="1" t="s">
        <v>1479</v>
      </c>
      <c r="C419" s="1" t="s">
        <v>1481</v>
      </c>
      <c r="D419" s="4" t="e">
        <f>VLOOKUP(A419,المعطيات!$A$1:$J$3500,5,0)</f>
        <v>#N/A</v>
      </c>
      <c r="E419" s="1" t="s">
        <v>1482</v>
      </c>
      <c r="F419" s="5">
        <f t="shared" si="18"/>
        <v>0</v>
      </c>
      <c r="G419" s="5" t="s">
        <v>1483</v>
      </c>
      <c r="H419" s="4" t="e">
        <f>VLOOKUP(A419,المعطيات!$A$1:$J$3500,3,0)</f>
        <v>#N/A</v>
      </c>
      <c r="I419" s="1" t="s">
        <v>1484</v>
      </c>
      <c r="J419" s="1" t="s">
        <v>1485</v>
      </c>
      <c r="K419" s="4" t="e">
        <f>VLOOKUP(A419,المعطيات!$A$1:$J$3500,6,0)</f>
        <v>#N/A</v>
      </c>
      <c r="L419" s="1" t="s">
        <v>1486</v>
      </c>
      <c r="M419" s="1" t="s">
        <v>1487</v>
      </c>
      <c r="N419" s="4" t="e">
        <f t="shared" si="19"/>
        <v>#N/A</v>
      </c>
      <c r="O419" s="1" t="s">
        <v>1488</v>
      </c>
      <c r="P419" s="4" t="e">
        <f>VLOOKUP(A419,المعطيات!$A$1:$J$3500,4,0)</f>
        <v>#N/A</v>
      </c>
      <c r="Q419" s="1" t="s">
        <v>1489</v>
      </c>
      <c r="R419" s="1" t="s">
        <v>1480</v>
      </c>
      <c r="S419" s="6" t="e">
        <f t="shared" si="20"/>
        <v>#N/A</v>
      </c>
    </row>
    <row r="420" spans="2:19" x14ac:dyDescent="0.25">
      <c r="B420" s="1" t="s">
        <v>1479</v>
      </c>
      <c r="C420" s="1" t="s">
        <v>1481</v>
      </c>
      <c r="D420" s="4" t="e">
        <f>VLOOKUP(A420,المعطيات!$A$1:$J$3500,5,0)</f>
        <v>#N/A</v>
      </c>
      <c r="E420" s="1" t="s">
        <v>1482</v>
      </c>
      <c r="F420" s="5">
        <f t="shared" si="18"/>
        <v>0</v>
      </c>
      <c r="G420" s="5" t="s">
        <v>1483</v>
      </c>
      <c r="H420" s="4" t="e">
        <f>VLOOKUP(A420,المعطيات!$A$1:$J$3500,3,0)</f>
        <v>#N/A</v>
      </c>
      <c r="I420" s="1" t="s">
        <v>1484</v>
      </c>
      <c r="J420" s="1" t="s">
        <v>1485</v>
      </c>
      <c r="K420" s="4" t="e">
        <f>VLOOKUP(A420,المعطيات!$A$1:$J$3500,6,0)</f>
        <v>#N/A</v>
      </c>
      <c r="L420" s="1" t="s">
        <v>1486</v>
      </c>
      <c r="M420" s="1" t="s">
        <v>1487</v>
      </c>
      <c r="N420" s="4" t="e">
        <f t="shared" si="19"/>
        <v>#N/A</v>
      </c>
      <c r="O420" s="1" t="s">
        <v>1488</v>
      </c>
      <c r="P420" s="4" t="e">
        <f>VLOOKUP(A420,المعطيات!$A$1:$J$3500,4,0)</f>
        <v>#N/A</v>
      </c>
      <c r="Q420" s="1" t="s">
        <v>1489</v>
      </c>
      <c r="R420" s="1" t="s">
        <v>1480</v>
      </c>
      <c r="S420" s="6" t="e">
        <f t="shared" si="20"/>
        <v>#N/A</v>
      </c>
    </row>
    <row r="421" spans="2:19" x14ac:dyDescent="0.25">
      <c r="B421" s="1" t="s">
        <v>1479</v>
      </c>
      <c r="C421" s="1" t="s">
        <v>1481</v>
      </c>
      <c r="D421" s="4" t="e">
        <f>VLOOKUP(A421,المعطيات!$A$1:$J$3500,5,0)</f>
        <v>#N/A</v>
      </c>
      <c r="E421" s="1" t="s">
        <v>1482</v>
      </c>
      <c r="F421" s="5">
        <f t="shared" si="18"/>
        <v>0</v>
      </c>
      <c r="G421" s="5" t="s">
        <v>1483</v>
      </c>
      <c r="H421" s="4" t="e">
        <f>VLOOKUP(A421,المعطيات!$A$1:$J$3500,3,0)</f>
        <v>#N/A</v>
      </c>
      <c r="I421" s="1" t="s">
        <v>1484</v>
      </c>
      <c r="J421" s="1" t="s">
        <v>1485</v>
      </c>
      <c r="K421" s="4" t="e">
        <f>VLOOKUP(A421,المعطيات!$A$1:$J$3500,6,0)</f>
        <v>#N/A</v>
      </c>
      <c r="L421" s="1" t="s">
        <v>1486</v>
      </c>
      <c r="M421" s="1" t="s">
        <v>1487</v>
      </c>
      <c r="N421" s="4" t="e">
        <f t="shared" si="19"/>
        <v>#N/A</v>
      </c>
      <c r="O421" s="1" t="s">
        <v>1488</v>
      </c>
      <c r="P421" s="4" t="e">
        <f>VLOOKUP(A421,المعطيات!$A$1:$J$3500,4,0)</f>
        <v>#N/A</v>
      </c>
      <c r="Q421" s="1" t="s">
        <v>1489</v>
      </c>
      <c r="R421" s="1" t="s">
        <v>1480</v>
      </c>
      <c r="S421" s="6" t="e">
        <f t="shared" si="20"/>
        <v>#N/A</v>
      </c>
    </row>
    <row r="422" spans="2:19" x14ac:dyDescent="0.25">
      <c r="B422" s="1" t="s">
        <v>1479</v>
      </c>
      <c r="C422" s="1" t="s">
        <v>1481</v>
      </c>
      <c r="D422" s="4" t="e">
        <f>VLOOKUP(A422,المعطيات!$A$1:$J$3500,5,0)</f>
        <v>#N/A</v>
      </c>
      <c r="E422" s="1" t="s">
        <v>1482</v>
      </c>
      <c r="F422" s="5">
        <f t="shared" si="18"/>
        <v>0</v>
      </c>
      <c r="G422" s="5" t="s">
        <v>1483</v>
      </c>
      <c r="H422" s="4" t="e">
        <f>VLOOKUP(A422,المعطيات!$A$1:$J$3500,3,0)</f>
        <v>#N/A</v>
      </c>
      <c r="I422" s="1" t="s">
        <v>1484</v>
      </c>
      <c r="J422" s="1" t="s">
        <v>1485</v>
      </c>
      <c r="K422" s="4" t="e">
        <f>VLOOKUP(A422,المعطيات!$A$1:$J$3500,6,0)</f>
        <v>#N/A</v>
      </c>
      <c r="L422" s="1" t="s">
        <v>1486</v>
      </c>
      <c r="M422" s="1" t="s">
        <v>1487</v>
      </c>
      <c r="N422" s="4" t="e">
        <f t="shared" si="19"/>
        <v>#N/A</v>
      </c>
      <c r="O422" s="1" t="s">
        <v>1488</v>
      </c>
      <c r="P422" s="4" t="e">
        <f>VLOOKUP(A422,المعطيات!$A$1:$J$3500,4,0)</f>
        <v>#N/A</v>
      </c>
      <c r="Q422" s="1" t="s">
        <v>1489</v>
      </c>
      <c r="R422" s="1" t="s">
        <v>1480</v>
      </c>
      <c r="S422" s="6" t="e">
        <f t="shared" si="20"/>
        <v>#N/A</v>
      </c>
    </row>
    <row r="423" spans="2:19" x14ac:dyDescent="0.25">
      <c r="B423" s="1" t="s">
        <v>1479</v>
      </c>
      <c r="C423" s="1" t="s">
        <v>1481</v>
      </c>
      <c r="D423" s="4" t="e">
        <f>VLOOKUP(A423,المعطيات!$A$1:$J$3500,5,0)</f>
        <v>#N/A</v>
      </c>
      <c r="E423" s="1" t="s">
        <v>1482</v>
      </c>
      <c r="F423" s="5">
        <f t="shared" si="18"/>
        <v>0</v>
      </c>
      <c r="G423" s="5" t="s">
        <v>1483</v>
      </c>
      <c r="H423" s="4" t="e">
        <f>VLOOKUP(A423,المعطيات!$A$1:$J$3500,3,0)</f>
        <v>#N/A</v>
      </c>
      <c r="I423" s="1" t="s">
        <v>1484</v>
      </c>
      <c r="J423" s="1" t="s">
        <v>1485</v>
      </c>
      <c r="K423" s="4" t="e">
        <f>VLOOKUP(A423,المعطيات!$A$1:$J$3500,6,0)</f>
        <v>#N/A</v>
      </c>
      <c r="L423" s="1" t="s">
        <v>1486</v>
      </c>
      <c r="M423" s="1" t="s">
        <v>1487</v>
      </c>
      <c r="N423" s="4" t="e">
        <f t="shared" si="19"/>
        <v>#N/A</v>
      </c>
      <c r="O423" s="1" t="s">
        <v>1488</v>
      </c>
      <c r="P423" s="4" t="e">
        <f>VLOOKUP(A423,المعطيات!$A$1:$J$3500,4,0)</f>
        <v>#N/A</v>
      </c>
      <c r="Q423" s="1" t="s">
        <v>1489</v>
      </c>
      <c r="R423" s="1" t="s">
        <v>1480</v>
      </c>
      <c r="S423" s="6" t="e">
        <f t="shared" si="20"/>
        <v>#N/A</v>
      </c>
    </row>
    <row r="424" spans="2:19" x14ac:dyDescent="0.25">
      <c r="B424" s="1" t="s">
        <v>1479</v>
      </c>
      <c r="C424" s="1" t="s">
        <v>1481</v>
      </c>
      <c r="D424" s="4" t="e">
        <f>VLOOKUP(A424,المعطيات!$A$1:$J$3500,5,0)</f>
        <v>#N/A</v>
      </c>
      <c r="E424" s="1" t="s">
        <v>1482</v>
      </c>
      <c r="F424" s="5">
        <f t="shared" si="18"/>
        <v>0</v>
      </c>
      <c r="G424" s="5" t="s">
        <v>1483</v>
      </c>
      <c r="H424" s="4" t="e">
        <f>VLOOKUP(A424,المعطيات!$A$1:$J$3500,3,0)</f>
        <v>#N/A</v>
      </c>
      <c r="I424" s="1" t="s">
        <v>1484</v>
      </c>
      <c r="J424" s="1" t="s">
        <v>1485</v>
      </c>
      <c r="K424" s="4" t="e">
        <f>VLOOKUP(A424,المعطيات!$A$1:$J$3500,6,0)</f>
        <v>#N/A</v>
      </c>
      <c r="L424" s="1" t="s">
        <v>1486</v>
      </c>
      <c r="M424" s="1" t="s">
        <v>1487</v>
      </c>
      <c r="N424" s="4" t="e">
        <f t="shared" si="19"/>
        <v>#N/A</v>
      </c>
      <c r="O424" s="1" t="s">
        <v>1488</v>
      </c>
      <c r="P424" s="4" t="e">
        <f>VLOOKUP(A424,المعطيات!$A$1:$J$3500,4,0)</f>
        <v>#N/A</v>
      </c>
      <c r="Q424" s="1" t="s">
        <v>1489</v>
      </c>
      <c r="R424" s="1" t="s">
        <v>1480</v>
      </c>
      <c r="S424" s="6" t="e">
        <f t="shared" si="20"/>
        <v>#N/A</v>
      </c>
    </row>
    <row r="425" spans="2:19" x14ac:dyDescent="0.25">
      <c r="B425" s="1" t="s">
        <v>1479</v>
      </c>
      <c r="C425" s="1" t="s">
        <v>1481</v>
      </c>
      <c r="D425" s="4" t="e">
        <f>VLOOKUP(A425,المعطيات!$A$1:$J$3500,5,0)</f>
        <v>#N/A</v>
      </c>
      <c r="E425" s="1" t="s">
        <v>1482</v>
      </c>
      <c r="F425" s="5">
        <f t="shared" si="18"/>
        <v>0</v>
      </c>
      <c r="G425" s="5" t="s">
        <v>1483</v>
      </c>
      <c r="H425" s="4" t="e">
        <f>VLOOKUP(A425,المعطيات!$A$1:$J$3500,3,0)</f>
        <v>#N/A</v>
      </c>
      <c r="I425" s="1" t="s">
        <v>1484</v>
      </c>
      <c r="J425" s="1" t="s">
        <v>1485</v>
      </c>
      <c r="K425" s="4" t="e">
        <f>VLOOKUP(A425,المعطيات!$A$1:$J$3500,6,0)</f>
        <v>#N/A</v>
      </c>
      <c r="L425" s="1" t="s">
        <v>1486</v>
      </c>
      <c r="M425" s="1" t="s">
        <v>1487</v>
      </c>
      <c r="N425" s="4" t="e">
        <f t="shared" si="19"/>
        <v>#N/A</v>
      </c>
      <c r="O425" s="1" t="s">
        <v>1488</v>
      </c>
      <c r="P425" s="4" t="e">
        <f>VLOOKUP(A425,المعطيات!$A$1:$J$3500,4,0)</f>
        <v>#N/A</v>
      </c>
      <c r="Q425" s="1" t="s">
        <v>1489</v>
      </c>
      <c r="R425" s="1" t="s">
        <v>1480</v>
      </c>
      <c r="S425" s="6" t="e">
        <f t="shared" si="20"/>
        <v>#N/A</v>
      </c>
    </row>
    <row r="426" spans="2:19" x14ac:dyDescent="0.25">
      <c r="B426" s="1" t="s">
        <v>1479</v>
      </c>
      <c r="C426" s="1" t="s">
        <v>1481</v>
      </c>
      <c r="D426" s="4" t="e">
        <f>VLOOKUP(A426,المعطيات!$A$1:$J$3500,5,0)</f>
        <v>#N/A</v>
      </c>
      <c r="E426" s="1" t="s">
        <v>1482</v>
      </c>
      <c r="F426" s="5">
        <f t="shared" si="18"/>
        <v>0</v>
      </c>
      <c r="G426" s="5" t="s">
        <v>1483</v>
      </c>
      <c r="H426" s="4" t="e">
        <f>VLOOKUP(A426,المعطيات!$A$1:$J$3500,3,0)</f>
        <v>#N/A</v>
      </c>
      <c r="I426" s="1" t="s">
        <v>1484</v>
      </c>
      <c r="J426" s="1" t="s">
        <v>1485</v>
      </c>
      <c r="K426" s="4" t="e">
        <f>VLOOKUP(A426,المعطيات!$A$1:$J$3500,6,0)</f>
        <v>#N/A</v>
      </c>
      <c r="L426" s="1" t="s">
        <v>1486</v>
      </c>
      <c r="M426" s="1" t="s">
        <v>1487</v>
      </c>
      <c r="N426" s="4" t="e">
        <f t="shared" si="19"/>
        <v>#N/A</v>
      </c>
      <c r="O426" s="1" t="s">
        <v>1488</v>
      </c>
      <c r="P426" s="4" t="e">
        <f>VLOOKUP(A426,المعطيات!$A$1:$J$3500,4,0)</f>
        <v>#N/A</v>
      </c>
      <c r="Q426" s="1" t="s">
        <v>1489</v>
      </c>
      <c r="R426" s="1" t="s">
        <v>1480</v>
      </c>
      <c r="S426" s="6" t="e">
        <f t="shared" si="20"/>
        <v>#N/A</v>
      </c>
    </row>
    <row r="427" spans="2:19" x14ac:dyDescent="0.25">
      <c r="B427" s="1" t="s">
        <v>1479</v>
      </c>
      <c r="C427" s="1" t="s">
        <v>1481</v>
      </c>
      <c r="D427" s="4" t="e">
        <f>VLOOKUP(A427,المعطيات!$A$1:$J$3500,5,0)</f>
        <v>#N/A</v>
      </c>
      <c r="E427" s="1" t="s">
        <v>1482</v>
      </c>
      <c r="F427" s="5">
        <f t="shared" si="18"/>
        <v>0</v>
      </c>
      <c r="G427" s="5" t="s">
        <v>1483</v>
      </c>
      <c r="H427" s="4" t="e">
        <f>VLOOKUP(A427,المعطيات!$A$1:$J$3500,3,0)</f>
        <v>#N/A</v>
      </c>
      <c r="I427" s="1" t="s">
        <v>1484</v>
      </c>
      <c r="J427" s="1" t="s">
        <v>1485</v>
      </c>
      <c r="K427" s="4" t="e">
        <f>VLOOKUP(A427,المعطيات!$A$1:$J$3500,6,0)</f>
        <v>#N/A</v>
      </c>
      <c r="L427" s="1" t="s">
        <v>1486</v>
      </c>
      <c r="M427" s="1" t="s">
        <v>1487</v>
      </c>
      <c r="N427" s="4" t="e">
        <f t="shared" si="19"/>
        <v>#N/A</v>
      </c>
      <c r="O427" s="1" t="s">
        <v>1488</v>
      </c>
      <c r="P427" s="4" t="e">
        <f>VLOOKUP(A427,المعطيات!$A$1:$J$3500,4,0)</f>
        <v>#N/A</v>
      </c>
      <c r="Q427" s="1" t="s">
        <v>1489</v>
      </c>
      <c r="R427" s="1" t="s">
        <v>1480</v>
      </c>
      <c r="S427" s="6" t="e">
        <f t="shared" si="20"/>
        <v>#N/A</v>
      </c>
    </row>
    <row r="428" spans="2:19" x14ac:dyDescent="0.25">
      <c r="B428" s="1" t="s">
        <v>1479</v>
      </c>
      <c r="C428" s="1" t="s">
        <v>1481</v>
      </c>
      <c r="D428" s="4" t="e">
        <f>VLOOKUP(A428,المعطيات!$A$1:$J$3500,5,0)</f>
        <v>#N/A</v>
      </c>
      <c r="E428" s="1" t="s">
        <v>1482</v>
      </c>
      <c r="F428" s="5">
        <f t="shared" si="18"/>
        <v>0</v>
      </c>
      <c r="G428" s="5" t="s">
        <v>1483</v>
      </c>
      <c r="H428" s="4" t="e">
        <f>VLOOKUP(A428,المعطيات!$A$1:$J$3500,3,0)</f>
        <v>#N/A</v>
      </c>
      <c r="I428" s="1" t="s">
        <v>1484</v>
      </c>
      <c r="J428" s="1" t="s">
        <v>1485</v>
      </c>
      <c r="K428" s="4" t="e">
        <f>VLOOKUP(A428,المعطيات!$A$1:$J$3500,6,0)</f>
        <v>#N/A</v>
      </c>
      <c r="L428" s="1" t="s">
        <v>1486</v>
      </c>
      <c r="M428" s="1" t="s">
        <v>1487</v>
      </c>
      <c r="N428" s="4" t="e">
        <f t="shared" si="19"/>
        <v>#N/A</v>
      </c>
      <c r="O428" s="1" t="s">
        <v>1488</v>
      </c>
      <c r="P428" s="4" t="e">
        <f>VLOOKUP(A428,المعطيات!$A$1:$J$3500,4,0)</f>
        <v>#N/A</v>
      </c>
      <c r="Q428" s="1" t="s">
        <v>1489</v>
      </c>
      <c r="R428" s="1" t="s">
        <v>1480</v>
      </c>
      <c r="S428" s="6" t="e">
        <f t="shared" si="20"/>
        <v>#N/A</v>
      </c>
    </row>
    <row r="429" spans="2:19" x14ac:dyDescent="0.25">
      <c r="B429" s="1" t="s">
        <v>1479</v>
      </c>
      <c r="C429" s="1" t="s">
        <v>1481</v>
      </c>
      <c r="D429" s="4" t="e">
        <f>VLOOKUP(A429,المعطيات!$A$1:$J$3500,5,0)</f>
        <v>#N/A</v>
      </c>
      <c r="E429" s="1" t="s">
        <v>1482</v>
      </c>
      <c r="F429" s="5">
        <f t="shared" si="18"/>
        <v>0</v>
      </c>
      <c r="G429" s="5" t="s">
        <v>1483</v>
      </c>
      <c r="H429" s="4" t="e">
        <f>VLOOKUP(A429,المعطيات!$A$1:$J$3500,3,0)</f>
        <v>#N/A</v>
      </c>
      <c r="I429" s="1" t="s">
        <v>1484</v>
      </c>
      <c r="J429" s="1" t="s">
        <v>1485</v>
      </c>
      <c r="K429" s="4" t="e">
        <f>VLOOKUP(A429,المعطيات!$A$1:$J$3500,6,0)</f>
        <v>#N/A</v>
      </c>
      <c r="L429" s="1" t="s">
        <v>1486</v>
      </c>
      <c r="M429" s="1" t="s">
        <v>1487</v>
      </c>
      <c r="N429" s="4" t="e">
        <f t="shared" si="19"/>
        <v>#N/A</v>
      </c>
      <c r="O429" s="1" t="s">
        <v>1488</v>
      </c>
      <c r="P429" s="4" t="e">
        <f>VLOOKUP(A429,المعطيات!$A$1:$J$3500,4,0)</f>
        <v>#N/A</v>
      </c>
      <c r="Q429" s="1" t="s">
        <v>1489</v>
      </c>
      <c r="R429" s="1" t="s">
        <v>1480</v>
      </c>
      <c r="S429" s="6" t="e">
        <f t="shared" si="20"/>
        <v>#N/A</v>
      </c>
    </row>
    <row r="430" spans="2:19" x14ac:dyDescent="0.25">
      <c r="B430" s="1" t="s">
        <v>1479</v>
      </c>
      <c r="C430" s="1" t="s">
        <v>1481</v>
      </c>
      <c r="D430" s="4" t="e">
        <f>VLOOKUP(A430,المعطيات!$A$1:$J$3500,5,0)</f>
        <v>#N/A</v>
      </c>
      <c r="E430" s="1" t="s">
        <v>1482</v>
      </c>
      <c r="F430" s="5">
        <f t="shared" si="18"/>
        <v>0</v>
      </c>
      <c r="G430" s="5" t="s">
        <v>1483</v>
      </c>
      <c r="H430" s="4" t="e">
        <f>VLOOKUP(A430,المعطيات!$A$1:$J$3500,3,0)</f>
        <v>#N/A</v>
      </c>
      <c r="I430" s="1" t="s">
        <v>1484</v>
      </c>
      <c r="J430" s="1" t="s">
        <v>1485</v>
      </c>
      <c r="K430" s="4" t="e">
        <f>VLOOKUP(A430,المعطيات!$A$1:$J$3500,6,0)</f>
        <v>#N/A</v>
      </c>
      <c r="L430" s="1" t="s">
        <v>1486</v>
      </c>
      <c r="M430" s="1" t="s">
        <v>1487</v>
      </c>
      <c r="N430" s="4" t="e">
        <f t="shared" si="19"/>
        <v>#N/A</v>
      </c>
      <c r="O430" s="1" t="s">
        <v>1488</v>
      </c>
      <c r="P430" s="4" t="e">
        <f>VLOOKUP(A430,المعطيات!$A$1:$J$3500,4,0)</f>
        <v>#N/A</v>
      </c>
      <c r="Q430" s="1" t="s">
        <v>1489</v>
      </c>
      <c r="R430" s="1" t="s">
        <v>1480</v>
      </c>
      <c r="S430" s="6" t="e">
        <f t="shared" si="20"/>
        <v>#N/A</v>
      </c>
    </row>
    <row r="431" spans="2:19" x14ac:dyDescent="0.25">
      <c r="B431" s="1" t="s">
        <v>1479</v>
      </c>
      <c r="C431" s="1" t="s">
        <v>1481</v>
      </c>
      <c r="D431" s="4" t="e">
        <f>VLOOKUP(A431,المعطيات!$A$1:$J$3500,5,0)</f>
        <v>#N/A</v>
      </c>
      <c r="E431" s="1" t="s">
        <v>1482</v>
      </c>
      <c r="F431" s="5">
        <f t="shared" si="18"/>
        <v>0</v>
      </c>
      <c r="G431" s="5" t="s">
        <v>1483</v>
      </c>
      <c r="H431" s="4" t="e">
        <f>VLOOKUP(A431,المعطيات!$A$1:$J$3500,3,0)</f>
        <v>#N/A</v>
      </c>
      <c r="I431" s="1" t="s">
        <v>1484</v>
      </c>
      <c r="J431" s="1" t="s">
        <v>1485</v>
      </c>
      <c r="K431" s="4" t="e">
        <f>VLOOKUP(A431,المعطيات!$A$1:$J$3500,6,0)</f>
        <v>#N/A</v>
      </c>
      <c r="L431" s="1" t="s">
        <v>1486</v>
      </c>
      <c r="M431" s="1" t="s">
        <v>1487</v>
      </c>
      <c r="N431" s="4" t="e">
        <f t="shared" si="19"/>
        <v>#N/A</v>
      </c>
      <c r="O431" s="1" t="s">
        <v>1488</v>
      </c>
      <c r="P431" s="4" t="e">
        <f>VLOOKUP(A431,المعطيات!$A$1:$J$3500,4,0)</f>
        <v>#N/A</v>
      </c>
      <c r="Q431" s="1" t="s">
        <v>1489</v>
      </c>
      <c r="R431" s="1" t="s">
        <v>1480</v>
      </c>
      <c r="S431" s="6" t="e">
        <f t="shared" si="20"/>
        <v>#N/A</v>
      </c>
    </row>
    <row r="432" spans="2:19" x14ac:dyDescent="0.25">
      <c r="B432" s="1" t="s">
        <v>1479</v>
      </c>
      <c r="C432" s="1" t="s">
        <v>1481</v>
      </c>
      <c r="D432" s="4" t="e">
        <f>VLOOKUP(A432,المعطيات!$A$1:$J$3500,5,0)</f>
        <v>#N/A</v>
      </c>
      <c r="E432" s="1" t="s">
        <v>1482</v>
      </c>
      <c r="F432" s="5">
        <f t="shared" si="18"/>
        <v>0</v>
      </c>
      <c r="G432" s="5" t="s">
        <v>1483</v>
      </c>
      <c r="H432" s="4" t="e">
        <f>VLOOKUP(A432,المعطيات!$A$1:$J$3500,3,0)</f>
        <v>#N/A</v>
      </c>
      <c r="I432" s="1" t="s">
        <v>1484</v>
      </c>
      <c r="J432" s="1" t="s">
        <v>1485</v>
      </c>
      <c r="K432" s="4" t="e">
        <f>VLOOKUP(A432,المعطيات!$A$1:$J$3500,6,0)</f>
        <v>#N/A</v>
      </c>
      <c r="L432" s="1" t="s">
        <v>1486</v>
      </c>
      <c r="M432" s="1" t="s">
        <v>1487</v>
      </c>
      <c r="N432" s="4" t="e">
        <f t="shared" si="19"/>
        <v>#N/A</v>
      </c>
      <c r="O432" s="1" t="s">
        <v>1488</v>
      </c>
      <c r="P432" s="4" t="e">
        <f>VLOOKUP(A432,المعطيات!$A$1:$J$3500,4,0)</f>
        <v>#N/A</v>
      </c>
      <c r="Q432" s="1" t="s">
        <v>1489</v>
      </c>
      <c r="R432" s="1" t="s">
        <v>1480</v>
      </c>
      <c r="S432" s="6" t="e">
        <f t="shared" si="20"/>
        <v>#N/A</v>
      </c>
    </row>
    <row r="433" spans="2:19" x14ac:dyDescent="0.25">
      <c r="B433" s="1" t="s">
        <v>1479</v>
      </c>
      <c r="C433" s="1" t="s">
        <v>1481</v>
      </c>
      <c r="D433" s="4" t="e">
        <f>VLOOKUP(A433,المعطيات!$A$1:$J$3500,5,0)</f>
        <v>#N/A</v>
      </c>
      <c r="E433" s="1" t="s">
        <v>1482</v>
      </c>
      <c r="F433" s="5">
        <f t="shared" si="18"/>
        <v>0</v>
      </c>
      <c r="G433" s="5" t="s">
        <v>1483</v>
      </c>
      <c r="H433" s="4" t="e">
        <f>VLOOKUP(A433,المعطيات!$A$1:$J$3500,3,0)</f>
        <v>#N/A</v>
      </c>
      <c r="I433" s="1" t="s">
        <v>1484</v>
      </c>
      <c r="J433" s="1" t="s">
        <v>1485</v>
      </c>
      <c r="K433" s="4" t="e">
        <f>VLOOKUP(A433,المعطيات!$A$1:$J$3500,6,0)</f>
        <v>#N/A</v>
      </c>
      <c r="L433" s="1" t="s">
        <v>1486</v>
      </c>
      <c r="M433" s="1" t="s">
        <v>1487</v>
      </c>
      <c r="N433" s="4" t="e">
        <f t="shared" si="19"/>
        <v>#N/A</v>
      </c>
      <c r="O433" s="1" t="s">
        <v>1488</v>
      </c>
      <c r="P433" s="4" t="e">
        <f>VLOOKUP(A433,المعطيات!$A$1:$J$3500,4,0)</f>
        <v>#N/A</v>
      </c>
      <c r="Q433" s="1" t="s">
        <v>1489</v>
      </c>
      <c r="R433" s="1" t="s">
        <v>1480</v>
      </c>
      <c r="S433" s="6" t="e">
        <f t="shared" si="20"/>
        <v>#N/A</v>
      </c>
    </row>
    <row r="434" spans="2:19" x14ac:dyDescent="0.25">
      <c r="B434" s="1" t="s">
        <v>1479</v>
      </c>
      <c r="C434" s="1" t="s">
        <v>1481</v>
      </c>
      <c r="D434" s="4" t="e">
        <f>VLOOKUP(A434,المعطيات!$A$1:$J$3500,5,0)</f>
        <v>#N/A</v>
      </c>
      <c r="E434" s="1" t="s">
        <v>1482</v>
      </c>
      <c r="F434" s="5">
        <f t="shared" si="18"/>
        <v>0</v>
      </c>
      <c r="G434" s="5" t="s">
        <v>1483</v>
      </c>
      <c r="H434" s="4" t="e">
        <f>VLOOKUP(A434,المعطيات!$A$1:$J$3500,3,0)</f>
        <v>#N/A</v>
      </c>
      <c r="I434" s="1" t="s">
        <v>1484</v>
      </c>
      <c r="J434" s="1" t="s">
        <v>1485</v>
      </c>
      <c r="K434" s="4" t="e">
        <f>VLOOKUP(A434,المعطيات!$A$1:$J$3500,6,0)</f>
        <v>#N/A</v>
      </c>
      <c r="L434" s="1" t="s">
        <v>1486</v>
      </c>
      <c r="M434" s="1" t="s">
        <v>1487</v>
      </c>
      <c r="N434" s="4" t="e">
        <f t="shared" si="19"/>
        <v>#N/A</v>
      </c>
      <c r="O434" s="1" t="s">
        <v>1488</v>
      </c>
      <c r="P434" s="4" t="e">
        <f>VLOOKUP(A434,المعطيات!$A$1:$J$3500,4,0)</f>
        <v>#N/A</v>
      </c>
      <c r="Q434" s="1" t="s">
        <v>1489</v>
      </c>
      <c r="R434" s="1" t="s">
        <v>1480</v>
      </c>
      <c r="S434" s="6" t="e">
        <f t="shared" si="20"/>
        <v>#N/A</v>
      </c>
    </row>
    <row r="435" spans="2:19" x14ac:dyDescent="0.25">
      <c r="B435" s="1" t="s">
        <v>1479</v>
      </c>
      <c r="C435" s="1" t="s">
        <v>1481</v>
      </c>
      <c r="D435" s="4" t="e">
        <f>VLOOKUP(A435,المعطيات!$A$1:$J$3500,5,0)</f>
        <v>#N/A</v>
      </c>
      <c r="E435" s="1" t="s">
        <v>1482</v>
      </c>
      <c r="F435" s="5">
        <f t="shared" si="18"/>
        <v>0</v>
      </c>
      <c r="G435" s="5" t="s">
        <v>1483</v>
      </c>
      <c r="H435" s="4" t="e">
        <f>VLOOKUP(A435,المعطيات!$A$1:$J$3500,3,0)</f>
        <v>#N/A</v>
      </c>
      <c r="I435" s="1" t="s">
        <v>1484</v>
      </c>
      <c r="J435" s="1" t="s">
        <v>1485</v>
      </c>
      <c r="K435" s="4" t="e">
        <f>VLOOKUP(A435,المعطيات!$A$1:$J$3500,6,0)</f>
        <v>#N/A</v>
      </c>
      <c r="L435" s="1" t="s">
        <v>1486</v>
      </c>
      <c r="M435" s="1" t="s">
        <v>1487</v>
      </c>
      <c r="N435" s="4" t="e">
        <f t="shared" si="19"/>
        <v>#N/A</v>
      </c>
      <c r="O435" s="1" t="s">
        <v>1488</v>
      </c>
      <c r="P435" s="4" t="e">
        <f>VLOOKUP(A435,المعطيات!$A$1:$J$3500,4,0)</f>
        <v>#N/A</v>
      </c>
      <c r="Q435" s="1" t="s">
        <v>1489</v>
      </c>
      <c r="R435" s="1" t="s">
        <v>1480</v>
      </c>
      <c r="S435" s="6" t="e">
        <f t="shared" si="20"/>
        <v>#N/A</v>
      </c>
    </row>
    <row r="436" spans="2:19" x14ac:dyDescent="0.25">
      <c r="B436" s="1" t="s">
        <v>1479</v>
      </c>
      <c r="C436" s="1" t="s">
        <v>1481</v>
      </c>
      <c r="D436" s="4" t="e">
        <f>VLOOKUP(A436,المعطيات!$A$1:$J$3500,5,0)</f>
        <v>#N/A</v>
      </c>
      <c r="E436" s="1" t="s">
        <v>1482</v>
      </c>
      <c r="F436" s="5">
        <f t="shared" si="18"/>
        <v>0</v>
      </c>
      <c r="G436" s="5" t="s">
        <v>1483</v>
      </c>
      <c r="H436" s="4" t="e">
        <f>VLOOKUP(A436,المعطيات!$A$1:$J$3500,3,0)</f>
        <v>#N/A</v>
      </c>
      <c r="I436" s="1" t="s">
        <v>1484</v>
      </c>
      <c r="J436" s="1" t="s">
        <v>1485</v>
      </c>
      <c r="K436" s="4" t="e">
        <f>VLOOKUP(A436,المعطيات!$A$1:$J$3500,6,0)</f>
        <v>#N/A</v>
      </c>
      <c r="L436" s="1" t="s">
        <v>1486</v>
      </c>
      <c r="M436" s="1" t="s">
        <v>1487</v>
      </c>
      <c r="N436" s="4" t="e">
        <f t="shared" si="19"/>
        <v>#N/A</v>
      </c>
      <c r="O436" s="1" t="s">
        <v>1488</v>
      </c>
      <c r="P436" s="4" t="e">
        <f>VLOOKUP(A436,المعطيات!$A$1:$J$3500,4,0)</f>
        <v>#N/A</v>
      </c>
      <c r="Q436" s="1" t="s">
        <v>1489</v>
      </c>
      <c r="R436" s="1" t="s">
        <v>1480</v>
      </c>
      <c r="S436" s="6" t="e">
        <f t="shared" si="20"/>
        <v>#N/A</v>
      </c>
    </row>
    <row r="437" spans="2:19" x14ac:dyDescent="0.25">
      <c r="B437" s="1" t="s">
        <v>1479</v>
      </c>
      <c r="C437" s="1" t="s">
        <v>1481</v>
      </c>
      <c r="D437" s="4" t="e">
        <f>VLOOKUP(A437,المعطيات!$A$1:$J$3500,5,0)</f>
        <v>#N/A</v>
      </c>
      <c r="E437" s="1" t="s">
        <v>1482</v>
      </c>
      <c r="F437" s="5">
        <f t="shared" si="18"/>
        <v>0</v>
      </c>
      <c r="G437" s="5" t="s">
        <v>1483</v>
      </c>
      <c r="H437" s="4" t="e">
        <f>VLOOKUP(A437,المعطيات!$A$1:$J$3500,3,0)</f>
        <v>#N/A</v>
      </c>
      <c r="I437" s="1" t="s">
        <v>1484</v>
      </c>
      <c r="J437" s="1" t="s">
        <v>1485</v>
      </c>
      <c r="K437" s="4" t="e">
        <f>VLOOKUP(A437,المعطيات!$A$1:$J$3500,6,0)</f>
        <v>#N/A</v>
      </c>
      <c r="L437" s="1" t="s">
        <v>1486</v>
      </c>
      <c r="M437" s="1" t="s">
        <v>1487</v>
      </c>
      <c r="N437" s="4" t="e">
        <f t="shared" si="19"/>
        <v>#N/A</v>
      </c>
      <c r="O437" s="1" t="s">
        <v>1488</v>
      </c>
      <c r="P437" s="4" t="e">
        <f>VLOOKUP(A437,المعطيات!$A$1:$J$3500,4,0)</f>
        <v>#N/A</v>
      </c>
      <c r="Q437" s="1" t="s">
        <v>1489</v>
      </c>
      <c r="R437" s="1" t="s">
        <v>1480</v>
      </c>
      <c r="S437" s="6" t="e">
        <f t="shared" si="20"/>
        <v>#N/A</v>
      </c>
    </row>
    <row r="438" spans="2:19" x14ac:dyDescent="0.25">
      <c r="B438" s="1" t="s">
        <v>1479</v>
      </c>
      <c r="C438" s="1" t="s">
        <v>1481</v>
      </c>
      <c r="D438" s="4" t="e">
        <f>VLOOKUP(A438,المعطيات!$A$1:$J$3500,5,0)</f>
        <v>#N/A</v>
      </c>
      <c r="E438" s="1" t="s">
        <v>1482</v>
      </c>
      <c r="F438" s="5">
        <f t="shared" si="18"/>
        <v>0</v>
      </c>
      <c r="G438" s="5" t="s">
        <v>1483</v>
      </c>
      <c r="H438" s="4" t="e">
        <f>VLOOKUP(A438,المعطيات!$A$1:$J$3500,3,0)</f>
        <v>#N/A</v>
      </c>
      <c r="I438" s="1" t="s">
        <v>1484</v>
      </c>
      <c r="J438" s="1" t="s">
        <v>1485</v>
      </c>
      <c r="K438" s="4" t="e">
        <f>VLOOKUP(A438,المعطيات!$A$1:$J$3500,6,0)</f>
        <v>#N/A</v>
      </c>
      <c r="L438" s="1" t="s">
        <v>1486</v>
      </c>
      <c r="M438" s="1" t="s">
        <v>1487</v>
      </c>
      <c r="N438" s="4" t="e">
        <f t="shared" si="19"/>
        <v>#N/A</v>
      </c>
      <c r="O438" s="1" t="s">
        <v>1488</v>
      </c>
      <c r="P438" s="4" t="e">
        <f>VLOOKUP(A438,المعطيات!$A$1:$J$3500,4,0)</f>
        <v>#N/A</v>
      </c>
      <c r="Q438" s="1" t="s">
        <v>1489</v>
      </c>
      <c r="R438" s="1" t="s">
        <v>1480</v>
      </c>
      <c r="S438" s="6" t="e">
        <f t="shared" si="20"/>
        <v>#N/A</v>
      </c>
    </row>
    <row r="439" spans="2:19" x14ac:dyDescent="0.25">
      <c r="B439" s="1" t="s">
        <v>1479</v>
      </c>
      <c r="C439" s="1" t="s">
        <v>1481</v>
      </c>
      <c r="D439" s="4" t="e">
        <f>VLOOKUP(A439,المعطيات!$A$1:$J$3500,5,0)</f>
        <v>#N/A</v>
      </c>
      <c r="E439" s="1" t="s">
        <v>1482</v>
      </c>
      <c r="F439" s="5">
        <f t="shared" si="18"/>
        <v>0</v>
      </c>
      <c r="G439" s="5" t="s">
        <v>1483</v>
      </c>
      <c r="H439" s="4" t="e">
        <f>VLOOKUP(A439,المعطيات!$A$1:$J$3500,3,0)</f>
        <v>#N/A</v>
      </c>
      <c r="I439" s="1" t="s">
        <v>1484</v>
      </c>
      <c r="J439" s="1" t="s">
        <v>1485</v>
      </c>
      <c r="K439" s="4" t="e">
        <f>VLOOKUP(A439,المعطيات!$A$1:$J$3500,6,0)</f>
        <v>#N/A</v>
      </c>
      <c r="L439" s="1" t="s">
        <v>1486</v>
      </c>
      <c r="M439" s="1" t="s">
        <v>1487</v>
      </c>
      <c r="N439" s="4" t="e">
        <f t="shared" si="19"/>
        <v>#N/A</v>
      </c>
      <c r="O439" s="1" t="s">
        <v>1488</v>
      </c>
      <c r="P439" s="4" t="e">
        <f>VLOOKUP(A439,المعطيات!$A$1:$J$3500,4,0)</f>
        <v>#N/A</v>
      </c>
      <c r="Q439" s="1" t="s">
        <v>1489</v>
      </c>
      <c r="R439" s="1" t="s">
        <v>1480</v>
      </c>
      <c r="S439" s="6" t="e">
        <f t="shared" si="20"/>
        <v>#N/A</v>
      </c>
    </row>
    <row r="440" spans="2:19" x14ac:dyDescent="0.25">
      <c r="B440" s="1" t="s">
        <v>1479</v>
      </c>
      <c r="C440" s="1" t="s">
        <v>1481</v>
      </c>
      <c r="D440" s="4" t="e">
        <f>VLOOKUP(A440,المعطيات!$A$1:$J$3500,5,0)</f>
        <v>#N/A</v>
      </c>
      <c r="E440" s="1" t="s">
        <v>1482</v>
      </c>
      <c r="F440" s="5">
        <f t="shared" si="18"/>
        <v>0</v>
      </c>
      <c r="G440" s="5" t="s">
        <v>1483</v>
      </c>
      <c r="H440" s="4" t="e">
        <f>VLOOKUP(A440,المعطيات!$A$1:$J$3500,3,0)</f>
        <v>#N/A</v>
      </c>
      <c r="I440" s="1" t="s">
        <v>1484</v>
      </c>
      <c r="J440" s="1" t="s">
        <v>1485</v>
      </c>
      <c r="K440" s="4" t="e">
        <f>VLOOKUP(A440,المعطيات!$A$1:$J$3500,6,0)</f>
        <v>#N/A</v>
      </c>
      <c r="L440" s="1" t="s">
        <v>1486</v>
      </c>
      <c r="M440" s="1" t="s">
        <v>1487</v>
      </c>
      <c r="N440" s="4" t="e">
        <f t="shared" si="19"/>
        <v>#N/A</v>
      </c>
      <c r="O440" s="1" t="s">
        <v>1488</v>
      </c>
      <c r="P440" s="4" t="e">
        <f>VLOOKUP(A440,المعطيات!$A$1:$J$3500,4,0)</f>
        <v>#N/A</v>
      </c>
      <c r="Q440" s="1" t="s">
        <v>1489</v>
      </c>
      <c r="R440" s="1" t="s">
        <v>1480</v>
      </c>
      <c r="S440" s="6" t="e">
        <f t="shared" si="20"/>
        <v>#N/A</v>
      </c>
    </row>
    <row r="441" spans="2:19" x14ac:dyDescent="0.25">
      <c r="B441" s="1" t="s">
        <v>1479</v>
      </c>
      <c r="C441" s="1" t="s">
        <v>1481</v>
      </c>
      <c r="D441" s="4" t="e">
        <f>VLOOKUP(A441,المعطيات!$A$1:$J$3500,5,0)</f>
        <v>#N/A</v>
      </c>
      <c r="E441" s="1" t="s">
        <v>1482</v>
      </c>
      <c r="F441" s="5">
        <f t="shared" si="18"/>
        <v>0</v>
      </c>
      <c r="G441" s="5" t="s">
        <v>1483</v>
      </c>
      <c r="H441" s="4" t="e">
        <f>VLOOKUP(A441,المعطيات!$A$1:$J$3500,3,0)</f>
        <v>#N/A</v>
      </c>
      <c r="I441" s="1" t="s">
        <v>1484</v>
      </c>
      <c r="J441" s="1" t="s">
        <v>1485</v>
      </c>
      <c r="K441" s="4" t="e">
        <f>VLOOKUP(A441,المعطيات!$A$1:$J$3500,6,0)</f>
        <v>#N/A</v>
      </c>
      <c r="L441" s="1" t="s">
        <v>1486</v>
      </c>
      <c r="M441" s="1" t="s">
        <v>1487</v>
      </c>
      <c r="N441" s="4" t="e">
        <f t="shared" si="19"/>
        <v>#N/A</v>
      </c>
      <c r="O441" s="1" t="s">
        <v>1488</v>
      </c>
      <c r="P441" s="4" t="e">
        <f>VLOOKUP(A441,المعطيات!$A$1:$J$3500,4,0)</f>
        <v>#N/A</v>
      </c>
      <c r="Q441" s="1" t="s">
        <v>1489</v>
      </c>
      <c r="R441" s="1" t="s">
        <v>1480</v>
      </c>
      <c r="S441" s="6" t="e">
        <f t="shared" si="20"/>
        <v>#N/A</v>
      </c>
    </row>
    <row r="442" spans="2:19" x14ac:dyDescent="0.25">
      <c r="B442" s="1" t="s">
        <v>1479</v>
      </c>
      <c r="C442" s="1" t="s">
        <v>1481</v>
      </c>
      <c r="D442" s="4" t="e">
        <f>VLOOKUP(A442,المعطيات!$A$1:$J$3500,5,0)</f>
        <v>#N/A</v>
      </c>
      <c r="E442" s="1" t="s">
        <v>1482</v>
      </c>
      <c r="F442" s="5">
        <f t="shared" si="18"/>
        <v>0</v>
      </c>
      <c r="G442" s="5" t="s">
        <v>1483</v>
      </c>
      <c r="H442" s="4" t="e">
        <f>VLOOKUP(A442,المعطيات!$A$1:$J$3500,3,0)</f>
        <v>#N/A</v>
      </c>
      <c r="I442" s="1" t="s">
        <v>1484</v>
      </c>
      <c r="J442" s="1" t="s">
        <v>1485</v>
      </c>
      <c r="K442" s="4" t="e">
        <f>VLOOKUP(A442,المعطيات!$A$1:$J$3500,6,0)</f>
        <v>#N/A</v>
      </c>
      <c r="L442" s="1" t="s">
        <v>1486</v>
      </c>
      <c r="M442" s="1" t="s">
        <v>1487</v>
      </c>
      <c r="N442" s="4" t="e">
        <f t="shared" si="19"/>
        <v>#N/A</v>
      </c>
      <c r="O442" s="1" t="s">
        <v>1488</v>
      </c>
      <c r="P442" s="4" t="e">
        <f>VLOOKUP(A442,المعطيات!$A$1:$J$3500,4,0)</f>
        <v>#N/A</v>
      </c>
      <c r="Q442" s="1" t="s">
        <v>1489</v>
      </c>
      <c r="R442" s="1" t="s">
        <v>1480</v>
      </c>
      <c r="S442" s="6" t="e">
        <f t="shared" si="20"/>
        <v>#N/A</v>
      </c>
    </row>
    <row r="443" spans="2:19" x14ac:dyDescent="0.25">
      <c r="B443" s="1" t="s">
        <v>1479</v>
      </c>
      <c r="C443" s="1" t="s">
        <v>1481</v>
      </c>
      <c r="D443" s="4" t="e">
        <f>VLOOKUP(A443,المعطيات!$A$1:$J$3500,5,0)</f>
        <v>#N/A</v>
      </c>
      <c r="E443" s="1" t="s">
        <v>1482</v>
      </c>
      <c r="F443" s="5">
        <f t="shared" si="18"/>
        <v>0</v>
      </c>
      <c r="G443" s="5" t="s">
        <v>1483</v>
      </c>
      <c r="H443" s="4" t="e">
        <f>VLOOKUP(A443,المعطيات!$A$1:$J$3500,3,0)</f>
        <v>#N/A</v>
      </c>
      <c r="I443" s="1" t="s">
        <v>1484</v>
      </c>
      <c r="J443" s="1" t="s">
        <v>1485</v>
      </c>
      <c r="K443" s="4" t="e">
        <f>VLOOKUP(A443,المعطيات!$A$1:$J$3500,6,0)</f>
        <v>#N/A</v>
      </c>
      <c r="L443" s="1" t="s">
        <v>1486</v>
      </c>
      <c r="M443" s="1" t="s">
        <v>1487</v>
      </c>
      <c r="N443" s="4" t="e">
        <f t="shared" si="19"/>
        <v>#N/A</v>
      </c>
      <c r="O443" s="1" t="s">
        <v>1488</v>
      </c>
      <c r="P443" s="4" t="e">
        <f>VLOOKUP(A443,المعطيات!$A$1:$J$3500,4,0)</f>
        <v>#N/A</v>
      </c>
      <c r="Q443" s="1" t="s">
        <v>1489</v>
      </c>
      <c r="R443" s="1" t="s">
        <v>1480</v>
      </c>
      <c r="S443" s="6" t="e">
        <f t="shared" si="20"/>
        <v>#N/A</v>
      </c>
    </row>
    <row r="444" spans="2:19" x14ac:dyDescent="0.25">
      <c r="B444" s="1" t="s">
        <v>1479</v>
      </c>
      <c r="C444" s="1" t="s">
        <v>1481</v>
      </c>
      <c r="D444" s="4" t="e">
        <f>VLOOKUP(A444,المعطيات!$A$1:$J$3500,5,0)</f>
        <v>#N/A</v>
      </c>
      <c r="E444" s="1" t="s">
        <v>1482</v>
      </c>
      <c r="F444" s="5">
        <f t="shared" si="18"/>
        <v>0</v>
      </c>
      <c r="G444" s="5" t="s">
        <v>1483</v>
      </c>
      <c r="H444" s="4" t="e">
        <f>VLOOKUP(A444,المعطيات!$A$1:$J$3500,3,0)</f>
        <v>#N/A</v>
      </c>
      <c r="I444" s="1" t="s">
        <v>1484</v>
      </c>
      <c r="J444" s="1" t="s">
        <v>1485</v>
      </c>
      <c r="K444" s="4" t="e">
        <f>VLOOKUP(A444,المعطيات!$A$1:$J$3500,6,0)</f>
        <v>#N/A</v>
      </c>
      <c r="L444" s="1" t="s">
        <v>1486</v>
      </c>
      <c r="M444" s="1" t="s">
        <v>1487</v>
      </c>
      <c r="N444" s="4" t="e">
        <f t="shared" si="19"/>
        <v>#N/A</v>
      </c>
      <c r="O444" s="1" t="s">
        <v>1488</v>
      </c>
      <c r="P444" s="4" t="e">
        <f>VLOOKUP(A444,المعطيات!$A$1:$J$3500,4,0)</f>
        <v>#N/A</v>
      </c>
      <c r="Q444" s="1" t="s">
        <v>1489</v>
      </c>
      <c r="R444" s="1" t="s">
        <v>1480</v>
      </c>
      <c r="S444" s="6" t="e">
        <f t="shared" si="20"/>
        <v>#N/A</v>
      </c>
    </row>
    <row r="445" spans="2:19" x14ac:dyDescent="0.25">
      <c r="B445" s="1" t="s">
        <v>1479</v>
      </c>
      <c r="C445" s="1" t="s">
        <v>1481</v>
      </c>
      <c r="D445" s="4" t="e">
        <f>VLOOKUP(A445,المعطيات!$A$1:$J$3500,5,0)</f>
        <v>#N/A</v>
      </c>
      <c r="E445" s="1" t="s">
        <v>1482</v>
      </c>
      <c r="F445" s="5">
        <f t="shared" si="18"/>
        <v>0</v>
      </c>
      <c r="G445" s="5" t="s">
        <v>1483</v>
      </c>
      <c r="H445" s="4" t="e">
        <f>VLOOKUP(A445,المعطيات!$A$1:$J$3500,3,0)</f>
        <v>#N/A</v>
      </c>
      <c r="I445" s="1" t="s">
        <v>1484</v>
      </c>
      <c r="J445" s="1" t="s">
        <v>1485</v>
      </c>
      <c r="K445" s="4" t="e">
        <f>VLOOKUP(A445,المعطيات!$A$1:$J$3500,6,0)</f>
        <v>#N/A</v>
      </c>
      <c r="L445" s="1" t="s">
        <v>1486</v>
      </c>
      <c r="M445" s="1" t="s">
        <v>1487</v>
      </c>
      <c r="N445" s="4" t="e">
        <f t="shared" si="19"/>
        <v>#N/A</v>
      </c>
      <c r="O445" s="1" t="s">
        <v>1488</v>
      </c>
      <c r="P445" s="4" t="e">
        <f>VLOOKUP(A445,المعطيات!$A$1:$J$3500,4,0)</f>
        <v>#N/A</v>
      </c>
      <c r="Q445" s="1" t="s">
        <v>1489</v>
      </c>
      <c r="R445" s="1" t="s">
        <v>1480</v>
      </c>
      <c r="S445" s="6" t="e">
        <f t="shared" si="20"/>
        <v>#N/A</v>
      </c>
    </row>
    <row r="446" spans="2:19" x14ac:dyDescent="0.25">
      <c r="B446" s="1" t="s">
        <v>1479</v>
      </c>
      <c r="C446" s="1" t="s">
        <v>1481</v>
      </c>
      <c r="D446" s="4" t="e">
        <f>VLOOKUP(A446,المعطيات!$A$1:$J$3500,5,0)</f>
        <v>#N/A</v>
      </c>
      <c r="E446" s="1" t="s">
        <v>1482</v>
      </c>
      <c r="F446" s="5">
        <f t="shared" si="18"/>
        <v>0</v>
      </c>
      <c r="G446" s="5" t="s">
        <v>1483</v>
      </c>
      <c r="H446" s="4" t="e">
        <f>VLOOKUP(A446,المعطيات!$A$1:$J$3500,3,0)</f>
        <v>#N/A</v>
      </c>
      <c r="I446" s="1" t="s">
        <v>1484</v>
      </c>
      <c r="J446" s="1" t="s">
        <v>1485</v>
      </c>
      <c r="K446" s="4" t="e">
        <f>VLOOKUP(A446,المعطيات!$A$1:$J$3500,6,0)</f>
        <v>#N/A</v>
      </c>
      <c r="L446" s="1" t="s">
        <v>1486</v>
      </c>
      <c r="M446" s="1" t="s">
        <v>1487</v>
      </c>
      <c r="N446" s="4" t="e">
        <f t="shared" si="19"/>
        <v>#N/A</v>
      </c>
      <c r="O446" s="1" t="s">
        <v>1488</v>
      </c>
      <c r="P446" s="4" t="e">
        <f>VLOOKUP(A446,المعطيات!$A$1:$J$3500,4,0)</f>
        <v>#N/A</v>
      </c>
      <c r="Q446" s="1" t="s">
        <v>1489</v>
      </c>
      <c r="R446" s="1" t="s">
        <v>1480</v>
      </c>
      <c r="S446" s="6" t="e">
        <f t="shared" si="20"/>
        <v>#N/A</v>
      </c>
    </row>
    <row r="447" spans="2:19" x14ac:dyDescent="0.25">
      <c r="B447" s="1" t="s">
        <v>1479</v>
      </c>
      <c r="C447" s="1" t="s">
        <v>1481</v>
      </c>
      <c r="D447" s="4" t="e">
        <f>VLOOKUP(A447,المعطيات!$A$1:$J$3500,5,0)</f>
        <v>#N/A</v>
      </c>
      <c r="E447" s="1" t="s">
        <v>1482</v>
      </c>
      <c r="F447" s="5">
        <f t="shared" si="18"/>
        <v>0</v>
      </c>
      <c r="G447" s="5" t="s">
        <v>1483</v>
      </c>
      <c r="H447" s="4" t="e">
        <f>VLOOKUP(A447,المعطيات!$A$1:$J$3500,3,0)</f>
        <v>#N/A</v>
      </c>
      <c r="I447" s="1" t="s">
        <v>1484</v>
      </c>
      <c r="J447" s="1" t="s">
        <v>1485</v>
      </c>
      <c r="K447" s="4" t="e">
        <f>VLOOKUP(A447,المعطيات!$A$1:$J$3500,6,0)</f>
        <v>#N/A</v>
      </c>
      <c r="L447" s="1" t="s">
        <v>1486</v>
      </c>
      <c r="M447" s="1" t="s">
        <v>1487</v>
      </c>
      <c r="N447" s="4" t="e">
        <f t="shared" si="19"/>
        <v>#N/A</v>
      </c>
      <c r="O447" s="1" t="s">
        <v>1488</v>
      </c>
      <c r="P447" s="4" t="e">
        <f>VLOOKUP(A447,المعطيات!$A$1:$J$3500,4,0)</f>
        <v>#N/A</v>
      </c>
      <c r="Q447" s="1" t="s">
        <v>1489</v>
      </c>
      <c r="R447" s="1" t="s">
        <v>1480</v>
      </c>
      <c r="S447" s="6" t="e">
        <f t="shared" si="20"/>
        <v>#N/A</v>
      </c>
    </row>
    <row r="448" spans="2:19" x14ac:dyDescent="0.25">
      <c r="B448" s="1" t="s">
        <v>1479</v>
      </c>
      <c r="C448" s="1" t="s">
        <v>1481</v>
      </c>
      <c r="D448" s="4" t="e">
        <f>VLOOKUP(A448,المعطيات!$A$1:$J$3500,5,0)</f>
        <v>#N/A</v>
      </c>
      <c r="E448" s="1" t="s">
        <v>1482</v>
      </c>
      <c r="F448" s="5">
        <f t="shared" si="18"/>
        <v>0</v>
      </c>
      <c r="G448" s="5" t="s">
        <v>1483</v>
      </c>
      <c r="H448" s="4" t="e">
        <f>VLOOKUP(A448,المعطيات!$A$1:$J$3500,3,0)</f>
        <v>#N/A</v>
      </c>
      <c r="I448" s="1" t="s">
        <v>1484</v>
      </c>
      <c r="J448" s="1" t="s">
        <v>1485</v>
      </c>
      <c r="K448" s="4" t="e">
        <f>VLOOKUP(A448,المعطيات!$A$1:$J$3500,6,0)</f>
        <v>#N/A</v>
      </c>
      <c r="L448" s="1" t="s">
        <v>1486</v>
      </c>
      <c r="M448" s="1" t="s">
        <v>1487</v>
      </c>
      <c r="N448" s="4" t="e">
        <f t="shared" si="19"/>
        <v>#N/A</v>
      </c>
      <c r="O448" s="1" t="s">
        <v>1488</v>
      </c>
      <c r="P448" s="4" t="e">
        <f>VLOOKUP(A448,المعطيات!$A$1:$J$3500,4,0)</f>
        <v>#N/A</v>
      </c>
      <c r="Q448" s="1" t="s">
        <v>1489</v>
      </c>
      <c r="R448" s="1" t="s">
        <v>1480</v>
      </c>
      <c r="S448" s="6" t="e">
        <f t="shared" si="20"/>
        <v>#N/A</v>
      </c>
    </row>
    <row r="449" spans="2:19" x14ac:dyDescent="0.25">
      <c r="B449" s="1" t="s">
        <v>1479</v>
      </c>
      <c r="C449" s="1" t="s">
        <v>1481</v>
      </c>
      <c r="D449" s="4" t="e">
        <f>VLOOKUP(A449,المعطيات!$A$1:$J$3500,5,0)</f>
        <v>#N/A</v>
      </c>
      <c r="E449" s="1" t="s">
        <v>1482</v>
      </c>
      <c r="F449" s="5">
        <f t="shared" si="18"/>
        <v>0</v>
      </c>
      <c r="G449" s="5" t="s">
        <v>1483</v>
      </c>
      <c r="H449" s="4" t="e">
        <f>VLOOKUP(A449,المعطيات!$A$1:$J$3500,3,0)</f>
        <v>#N/A</v>
      </c>
      <c r="I449" s="1" t="s">
        <v>1484</v>
      </c>
      <c r="J449" s="1" t="s">
        <v>1485</v>
      </c>
      <c r="K449" s="4" t="e">
        <f>VLOOKUP(A449,المعطيات!$A$1:$J$3500,6,0)</f>
        <v>#N/A</v>
      </c>
      <c r="L449" s="1" t="s">
        <v>1486</v>
      </c>
      <c r="M449" s="1" t="s">
        <v>1487</v>
      </c>
      <c r="N449" s="4" t="e">
        <f t="shared" si="19"/>
        <v>#N/A</v>
      </c>
      <c r="O449" s="1" t="s">
        <v>1488</v>
      </c>
      <c r="P449" s="4" t="e">
        <f>VLOOKUP(A449,المعطيات!$A$1:$J$3500,4,0)</f>
        <v>#N/A</v>
      </c>
      <c r="Q449" s="1" t="s">
        <v>1489</v>
      </c>
      <c r="R449" s="1" t="s">
        <v>1480</v>
      </c>
      <c r="S449" s="6" t="e">
        <f t="shared" si="20"/>
        <v>#N/A</v>
      </c>
    </row>
    <row r="450" spans="2:19" x14ac:dyDescent="0.25">
      <c r="B450" s="1" t="s">
        <v>1479</v>
      </c>
      <c r="C450" s="1" t="s">
        <v>1481</v>
      </c>
      <c r="D450" s="4" t="e">
        <f>VLOOKUP(A450,المعطيات!$A$1:$J$3500,5,0)</f>
        <v>#N/A</v>
      </c>
      <c r="E450" s="1" t="s">
        <v>1482</v>
      </c>
      <c r="F450" s="5">
        <f t="shared" ref="F450:F513" si="21">A450</f>
        <v>0</v>
      </c>
      <c r="G450" s="5" t="s">
        <v>1483</v>
      </c>
      <c r="H450" s="4" t="e">
        <f>VLOOKUP(A450,المعطيات!$A$1:$J$3500,3,0)</f>
        <v>#N/A</v>
      </c>
      <c r="I450" s="1" t="s">
        <v>1484</v>
      </c>
      <c r="J450" s="1" t="s">
        <v>1485</v>
      </c>
      <c r="K450" s="4" t="e">
        <f>VLOOKUP(A450,المعطيات!$A$1:$J$3500,6,0)</f>
        <v>#N/A</v>
      </c>
      <c r="L450" s="1" t="s">
        <v>1486</v>
      </c>
      <c r="M450" s="1" t="s">
        <v>1487</v>
      </c>
      <c r="N450" s="4" t="e">
        <f t="shared" ref="N450:N513" si="22">D450</f>
        <v>#N/A</v>
      </c>
      <c r="O450" s="1" t="s">
        <v>1488</v>
      </c>
      <c r="P450" s="4" t="e">
        <f>VLOOKUP(A450,المعطيات!$A$1:$J$3500,4,0)</f>
        <v>#N/A</v>
      </c>
      <c r="Q450" s="1" t="s">
        <v>1489</v>
      </c>
      <c r="R450" s="1" t="s">
        <v>1480</v>
      </c>
      <c r="S450" s="6" t="e">
        <f t="shared" ref="S450:S513" si="23">B450&amp;""&amp;C450&amp;""&amp;D450&amp;""&amp;E450&amp;""&amp;F450&amp;""&amp;G450&amp;""&amp;H450&amp;""&amp;I450&amp;""&amp;J450&amp;""&amp;K450&amp;""&amp;L450&amp;""&amp;M450&amp;""&amp;N450&amp;""&amp;O450&amp;""&amp;P450&amp;""&amp;Q450&amp;""&amp;R450</f>
        <v>#N/A</v>
      </c>
    </row>
    <row r="451" spans="2:19" x14ac:dyDescent="0.25">
      <c r="B451" s="1" t="s">
        <v>1479</v>
      </c>
      <c r="C451" s="1" t="s">
        <v>1481</v>
      </c>
      <c r="D451" s="4" t="e">
        <f>VLOOKUP(A451,المعطيات!$A$1:$J$3500,5,0)</f>
        <v>#N/A</v>
      </c>
      <c r="E451" s="1" t="s">
        <v>1482</v>
      </c>
      <c r="F451" s="5">
        <f t="shared" si="21"/>
        <v>0</v>
      </c>
      <c r="G451" s="5" t="s">
        <v>1483</v>
      </c>
      <c r="H451" s="4" t="e">
        <f>VLOOKUP(A451,المعطيات!$A$1:$J$3500,3,0)</f>
        <v>#N/A</v>
      </c>
      <c r="I451" s="1" t="s">
        <v>1484</v>
      </c>
      <c r="J451" s="1" t="s">
        <v>1485</v>
      </c>
      <c r="K451" s="4" t="e">
        <f>VLOOKUP(A451,المعطيات!$A$1:$J$3500,6,0)</f>
        <v>#N/A</v>
      </c>
      <c r="L451" s="1" t="s">
        <v>1486</v>
      </c>
      <c r="M451" s="1" t="s">
        <v>1487</v>
      </c>
      <c r="N451" s="4" t="e">
        <f t="shared" si="22"/>
        <v>#N/A</v>
      </c>
      <c r="O451" s="1" t="s">
        <v>1488</v>
      </c>
      <c r="P451" s="4" t="e">
        <f>VLOOKUP(A451,المعطيات!$A$1:$J$3500,4,0)</f>
        <v>#N/A</v>
      </c>
      <c r="Q451" s="1" t="s">
        <v>1489</v>
      </c>
      <c r="R451" s="1" t="s">
        <v>1480</v>
      </c>
      <c r="S451" s="6" t="e">
        <f t="shared" si="23"/>
        <v>#N/A</v>
      </c>
    </row>
    <row r="452" spans="2:19" x14ac:dyDescent="0.25">
      <c r="B452" s="1" t="s">
        <v>1479</v>
      </c>
      <c r="C452" s="1" t="s">
        <v>1481</v>
      </c>
      <c r="D452" s="4" t="e">
        <f>VLOOKUP(A452,المعطيات!$A$1:$J$3500,5,0)</f>
        <v>#N/A</v>
      </c>
      <c r="E452" s="1" t="s">
        <v>1482</v>
      </c>
      <c r="F452" s="5">
        <f t="shared" si="21"/>
        <v>0</v>
      </c>
      <c r="G452" s="5" t="s">
        <v>1483</v>
      </c>
      <c r="H452" s="4" t="e">
        <f>VLOOKUP(A452,المعطيات!$A$1:$J$3500,3,0)</f>
        <v>#N/A</v>
      </c>
      <c r="I452" s="1" t="s">
        <v>1484</v>
      </c>
      <c r="J452" s="1" t="s">
        <v>1485</v>
      </c>
      <c r="K452" s="4" t="e">
        <f>VLOOKUP(A452,المعطيات!$A$1:$J$3500,6,0)</f>
        <v>#N/A</v>
      </c>
      <c r="L452" s="1" t="s">
        <v>1486</v>
      </c>
      <c r="M452" s="1" t="s">
        <v>1487</v>
      </c>
      <c r="N452" s="4" t="e">
        <f t="shared" si="22"/>
        <v>#N/A</v>
      </c>
      <c r="O452" s="1" t="s">
        <v>1488</v>
      </c>
      <c r="P452" s="4" t="e">
        <f>VLOOKUP(A452,المعطيات!$A$1:$J$3500,4,0)</f>
        <v>#N/A</v>
      </c>
      <c r="Q452" s="1" t="s">
        <v>1489</v>
      </c>
      <c r="R452" s="1" t="s">
        <v>1480</v>
      </c>
      <c r="S452" s="6" t="e">
        <f t="shared" si="23"/>
        <v>#N/A</v>
      </c>
    </row>
    <row r="453" spans="2:19" x14ac:dyDescent="0.25">
      <c r="B453" s="1" t="s">
        <v>1479</v>
      </c>
      <c r="C453" s="1" t="s">
        <v>1481</v>
      </c>
      <c r="D453" s="4" t="e">
        <f>VLOOKUP(A453,المعطيات!$A$1:$J$3500,5,0)</f>
        <v>#N/A</v>
      </c>
      <c r="E453" s="1" t="s">
        <v>1482</v>
      </c>
      <c r="F453" s="5">
        <f t="shared" si="21"/>
        <v>0</v>
      </c>
      <c r="G453" s="5" t="s">
        <v>1483</v>
      </c>
      <c r="H453" s="4" t="e">
        <f>VLOOKUP(A453,المعطيات!$A$1:$J$3500,3,0)</f>
        <v>#N/A</v>
      </c>
      <c r="I453" s="1" t="s">
        <v>1484</v>
      </c>
      <c r="J453" s="1" t="s">
        <v>1485</v>
      </c>
      <c r="K453" s="4" t="e">
        <f>VLOOKUP(A453,المعطيات!$A$1:$J$3500,6,0)</f>
        <v>#N/A</v>
      </c>
      <c r="L453" s="1" t="s">
        <v>1486</v>
      </c>
      <c r="M453" s="1" t="s">
        <v>1487</v>
      </c>
      <c r="N453" s="4" t="e">
        <f t="shared" si="22"/>
        <v>#N/A</v>
      </c>
      <c r="O453" s="1" t="s">
        <v>1488</v>
      </c>
      <c r="P453" s="4" t="e">
        <f>VLOOKUP(A453,المعطيات!$A$1:$J$3500,4,0)</f>
        <v>#N/A</v>
      </c>
      <c r="Q453" s="1" t="s">
        <v>1489</v>
      </c>
      <c r="R453" s="1" t="s">
        <v>1480</v>
      </c>
      <c r="S453" s="6" t="e">
        <f t="shared" si="23"/>
        <v>#N/A</v>
      </c>
    </row>
    <row r="454" spans="2:19" x14ac:dyDescent="0.25">
      <c r="B454" s="1" t="s">
        <v>1479</v>
      </c>
      <c r="C454" s="1" t="s">
        <v>1481</v>
      </c>
      <c r="D454" s="4" t="e">
        <f>VLOOKUP(A454,المعطيات!$A$1:$J$3500,5,0)</f>
        <v>#N/A</v>
      </c>
      <c r="E454" s="1" t="s">
        <v>1482</v>
      </c>
      <c r="F454" s="5">
        <f t="shared" si="21"/>
        <v>0</v>
      </c>
      <c r="G454" s="5" t="s">
        <v>1483</v>
      </c>
      <c r="H454" s="4" t="e">
        <f>VLOOKUP(A454,المعطيات!$A$1:$J$3500,3,0)</f>
        <v>#N/A</v>
      </c>
      <c r="I454" s="1" t="s">
        <v>1484</v>
      </c>
      <c r="J454" s="1" t="s">
        <v>1485</v>
      </c>
      <c r="K454" s="4" t="e">
        <f>VLOOKUP(A454,المعطيات!$A$1:$J$3500,6,0)</f>
        <v>#N/A</v>
      </c>
      <c r="L454" s="1" t="s">
        <v>1486</v>
      </c>
      <c r="M454" s="1" t="s">
        <v>1487</v>
      </c>
      <c r="N454" s="4" t="e">
        <f t="shared" si="22"/>
        <v>#N/A</v>
      </c>
      <c r="O454" s="1" t="s">
        <v>1488</v>
      </c>
      <c r="P454" s="4" t="e">
        <f>VLOOKUP(A454,المعطيات!$A$1:$J$3500,4,0)</f>
        <v>#N/A</v>
      </c>
      <c r="Q454" s="1" t="s">
        <v>1489</v>
      </c>
      <c r="R454" s="1" t="s">
        <v>1480</v>
      </c>
      <c r="S454" s="6" t="e">
        <f t="shared" si="23"/>
        <v>#N/A</v>
      </c>
    </row>
    <row r="455" spans="2:19" x14ac:dyDescent="0.25">
      <c r="B455" s="1" t="s">
        <v>1479</v>
      </c>
      <c r="C455" s="1" t="s">
        <v>1481</v>
      </c>
      <c r="D455" s="4" t="e">
        <f>VLOOKUP(A455,المعطيات!$A$1:$J$3500,5,0)</f>
        <v>#N/A</v>
      </c>
      <c r="E455" s="1" t="s">
        <v>1482</v>
      </c>
      <c r="F455" s="5">
        <f t="shared" si="21"/>
        <v>0</v>
      </c>
      <c r="G455" s="5" t="s">
        <v>1483</v>
      </c>
      <c r="H455" s="4" t="e">
        <f>VLOOKUP(A455,المعطيات!$A$1:$J$3500,3,0)</f>
        <v>#N/A</v>
      </c>
      <c r="I455" s="1" t="s">
        <v>1484</v>
      </c>
      <c r="J455" s="1" t="s">
        <v>1485</v>
      </c>
      <c r="K455" s="4" t="e">
        <f>VLOOKUP(A455,المعطيات!$A$1:$J$3500,6,0)</f>
        <v>#N/A</v>
      </c>
      <c r="L455" s="1" t="s">
        <v>1486</v>
      </c>
      <c r="M455" s="1" t="s">
        <v>1487</v>
      </c>
      <c r="N455" s="4" t="e">
        <f t="shared" si="22"/>
        <v>#N/A</v>
      </c>
      <c r="O455" s="1" t="s">
        <v>1488</v>
      </c>
      <c r="P455" s="4" t="e">
        <f>VLOOKUP(A455,المعطيات!$A$1:$J$3500,4,0)</f>
        <v>#N/A</v>
      </c>
      <c r="Q455" s="1" t="s">
        <v>1489</v>
      </c>
      <c r="R455" s="1" t="s">
        <v>1480</v>
      </c>
      <c r="S455" s="6" t="e">
        <f t="shared" si="23"/>
        <v>#N/A</v>
      </c>
    </row>
    <row r="456" spans="2:19" x14ac:dyDescent="0.25">
      <c r="B456" s="1" t="s">
        <v>1479</v>
      </c>
      <c r="C456" s="1" t="s">
        <v>1481</v>
      </c>
      <c r="D456" s="4" t="e">
        <f>VLOOKUP(A456,المعطيات!$A$1:$J$3500,5,0)</f>
        <v>#N/A</v>
      </c>
      <c r="E456" s="1" t="s">
        <v>1482</v>
      </c>
      <c r="F456" s="5">
        <f t="shared" si="21"/>
        <v>0</v>
      </c>
      <c r="G456" s="5" t="s">
        <v>1483</v>
      </c>
      <c r="H456" s="4" t="e">
        <f>VLOOKUP(A456,المعطيات!$A$1:$J$3500,3,0)</f>
        <v>#N/A</v>
      </c>
      <c r="I456" s="1" t="s">
        <v>1484</v>
      </c>
      <c r="J456" s="1" t="s">
        <v>1485</v>
      </c>
      <c r="K456" s="4" t="e">
        <f>VLOOKUP(A456,المعطيات!$A$1:$J$3500,6,0)</f>
        <v>#N/A</v>
      </c>
      <c r="L456" s="1" t="s">
        <v>1486</v>
      </c>
      <c r="M456" s="1" t="s">
        <v>1487</v>
      </c>
      <c r="N456" s="4" t="e">
        <f t="shared" si="22"/>
        <v>#N/A</v>
      </c>
      <c r="O456" s="1" t="s">
        <v>1488</v>
      </c>
      <c r="P456" s="4" t="e">
        <f>VLOOKUP(A456,المعطيات!$A$1:$J$3500,4,0)</f>
        <v>#N/A</v>
      </c>
      <c r="Q456" s="1" t="s">
        <v>1489</v>
      </c>
      <c r="R456" s="1" t="s">
        <v>1480</v>
      </c>
      <c r="S456" s="6" t="e">
        <f t="shared" si="23"/>
        <v>#N/A</v>
      </c>
    </row>
    <row r="457" spans="2:19" x14ac:dyDescent="0.25">
      <c r="B457" s="1" t="s">
        <v>1479</v>
      </c>
      <c r="C457" s="1" t="s">
        <v>1481</v>
      </c>
      <c r="D457" s="4" t="e">
        <f>VLOOKUP(A457,المعطيات!$A$1:$J$3500,5,0)</f>
        <v>#N/A</v>
      </c>
      <c r="E457" s="1" t="s">
        <v>1482</v>
      </c>
      <c r="F457" s="5">
        <f t="shared" si="21"/>
        <v>0</v>
      </c>
      <c r="G457" s="5" t="s">
        <v>1483</v>
      </c>
      <c r="H457" s="4" t="e">
        <f>VLOOKUP(A457,المعطيات!$A$1:$J$3500,3,0)</f>
        <v>#N/A</v>
      </c>
      <c r="I457" s="1" t="s">
        <v>1484</v>
      </c>
      <c r="J457" s="1" t="s">
        <v>1485</v>
      </c>
      <c r="K457" s="4" t="e">
        <f>VLOOKUP(A457,المعطيات!$A$1:$J$3500,6,0)</f>
        <v>#N/A</v>
      </c>
      <c r="L457" s="1" t="s">
        <v>1486</v>
      </c>
      <c r="M457" s="1" t="s">
        <v>1487</v>
      </c>
      <c r="N457" s="4" t="e">
        <f t="shared" si="22"/>
        <v>#N/A</v>
      </c>
      <c r="O457" s="1" t="s">
        <v>1488</v>
      </c>
      <c r="P457" s="4" t="e">
        <f>VLOOKUP(A457,المعطيات!$A$1:$J$3500,4,0)</f>
        <v>#N/A</v>
      </c>
      <c r="Q457" s="1" t="s">
        <v>1489</v>
      </c>
      <c r="R457" s="1" t="s">
        <v>1480</v>
      </c>
      <c r="S457" s="6" t="e">
        <f t="shared" si="23"/>
        <v>#N/A</v>
      </c>
    </row>
    <row r="458" spans="2:19" x14ac:dyDescent="0.25">
      <c r="B458" s="1" t="s">
        <v>1479</v>
      </c>
      <c r="C458" s="1" t="s">
        <v>1481</v>
      </c>
      <c r="D458" s="4" t="e">
        <f>VLOOKUP(A458,المعطيات!$A$1:$J$3500,5,0)</f>
        <v>#N/A</v>
      </c>
      <c r="E458" s="1" t="s">
        <v>1482</v>
      </c>
      <c r="F458" s="5">
        <f t="shared" si="21"/>
        <v>0</v>
      </c>
      <c r="G458" s="5" t="s">
        <v>1483</v>
      </c>
      <c r="H458" s="4" t="e">
        <f>VLOOKUP(A458,المعطيات!$A$1:$J$3500,3,0)</f>
        <v>#N/A</v>
      </c>
      <c r="I458" s="1" t="s">
        <v>1484</v>
      </c>
      <c r="J458" s="1" t="s">
        <v>1485</v>
      </c>
      <c r="K458" s="4" t="e">
        <f>VLOOKUP(A458,المعطيات!$A$1:$J$3500,6,0)</f>
        <v>#N/A</v>
      </c>
      <c r="L458" s="1" t="s">
        <v>1486</v>
      </c>
      <c r="M458" s="1" t="s">
        <v>1487</v>
      </c>
      <c r="N458" s="4" t="e">
        <f t="shared" si="22"/>
        <v>#N/A</v>
      </c>
      <c r="O458" s="1" t="s">
        <v>1488</v>
      </c>
      <c r="P458" s="4" t="e">
        <f>VLOOKUP(A458,المعطيات!$A$1:$J$3500,4,0)</f>
        <v>#N/A</v>
      </c>
      <c r="Q458" s="1" t="s">
        <v>1489</v>
      </c>
      <c r="R458" s="1" t="s">
        <v>1480</v>
      </c>
      <c r="S458" s="6" t="e">
        <f t="shared" si="23"/>
        <v>#N/A</v>
      </c>
    </row>
    <row r="459" spans="2:19" x14ac:dyDescent="0.25">
      <c r="B459" s="1" t="s">
        <v>1479</v>
      </c>
      <c r="C459" s="1" t="s">
        <v>1481</v>
      </c>
      <c r="D459" s="4" t="e">
        <f>VLOOKUP(A459,المعطيات!$A$1:$J$3500,5,0)</f>
        <v>#N/A</v>
      </c>
      <c r="E459" s="1" t="s">
        <v>1482</v>
      </c>
      <c r="F459" s="5">
        <f t="shared" si="21"/>
        <v>0</v>
      </c>
      <c r="G459" s="5" t="s">
        <v>1483</v>
      </c>
      <c r="H459" s="4" t="e">
        <f>VLOOKUP(A459,المعطيات!$A$1:$J$3500,3,0)</f>
        <v>#N/A</v>
      </c>
      <c r="I459" s="1" t="s">
        <v>1484</v>
      </c>
      <c r="J459" s="1" t="s">
        <v>1485</v>
      </c>
      <c r="K459" s="4" t="e">
        <f>VLOOKUP(A459,المعطيات!$A$1:$J$3500,6,0)</f>
        <v>#N/A</v>
      </c>
      <c r="L459" s="1" t="s">
        <v>1486</v>
      </c>
      <c r="M459" s="1" t="s">
        <v>1487</v>
      </c>
      <c r="N459" s="4" t="e">
        <f t="shared" si="22"/>
        <v>#N/A</v>
      </c>
      <c r="O459" s="1" t="s">
        <v>1488</v>
      </c>
      <c r="P459" s="4" t="e">
        <f>VLOOKUP(A459,المعطيات!$A$1:$J$3500,4,0)</f>
        <v>#N/A</v>
      </c>
      <c r="Q459" s="1" t="s">
        <v>1489</v>
      </c>
      <c r="R459" s="1" t="s">
        <v>1480</v>
      </c>
      <c r="S459" s="6" t="e">
        <f t="shared" si="23"/>
        <v>#N/A</v>
      </c>
    </row>
    <row r="460" spans="2:19" x14ac:dyDescent="0.25">
      <c r="B460" s="1" t="s">
        <v>1479</v>
      </c>
      <c r="C460" s="1" t="s">
        <v>1481</v>
      </c>
      <c r="D460" s="4" t="e">
        <f>VLOOKUP(A460,المعطيات!$A$1:$J$3500,5,0)</f>
        <v>#N/A</v>
      </c>
      <c r="E460" s="1" t="s">
        <v>1482</v>
      </c>
      <c r="F460" s="5">
        <f t="shared" si="21"/>
        <v>0</v>
      </c>
      <c r="G460" s="5" t="s">
        <v>1483</v>
      </c>
      <c r="H460" s="4" t="e">
        <f>VLOOKUP(A460,المعطيات!$A$1:$J$3500,3,0)</f>
        <v>#N/A</v>
      </c>
      <c r="I460" s="1" t="s">
        <v>1484</v>
      </c>
      <c r="J460" s="1" t="s">
        <v>1485</v>
      </c>
      <c r="K460" s="4" t="e">
        <f>VLOOKUP(A460,المعطيات!$A$1:$J$3500,6,0)</f>
        <v>#N/A</v>
      </c>
      <c r="L460" s="1" t="s">
        <v>1486</v>
      </c>
      <c r="M460" s="1" t="s">
        <v>1487</v>
      </c>
      <c r="N460" s="4" t="e">
        <f t="shared" si="22"/>
        <v>#N/A</v>
      </c>
      <c r="O460" s="1" t="s">
        <v>1488</v>
      </c>
      <c r="P460" s="4" t="e">
        <f>VLOOKUP(A460,المعطيات!$A$1:$J$3500,4,0)</f>
        <v>#N/A</v>
      </c>
      <c r="Q460" s="1" t="s">
        <v>1489</v>
      </c>
      <c r="R460" s="1" t="s">
        <v>1480</v>
      </c>
      <c r="S460" s="6" t="e">
        <f t="shared" si="23"/>
        <v>#N/A</v>
      </c>
    </row>
    <row r="461" spans="2:19" x14ac:dyDescent="0.25">
      <c r="B461" s="1" t="s">
        <v>1479</v>
      </c>
      <c r="C461" s="1" t="s">
        <v>1481</v>
      </c>
      <c r="D461" s="4" t="e">
        <f>VLOOKUP(A461,المعطيات!$A$1:$J$3500,5,0)</f>
        <v>#N/A</v>
      </c>
      <c r="E461" s="1" t="s">
        <v>1482</v>
      </c>
      <c r="F461" s="5">
        <f t="shared" si="21"/>
        <v>0</v>
      </c>
      <c r="G461" s="5" t="s">
        <v>1483</v>
      </c>
      <c r="H461" s="4" t="e">
        <f>VLOOKUP(A461,المعطيات!$A$1:$J$3500,3,0)</f>
        <v>#N/A</v>
      </c>
      <c r="I461" s="1" t="s">
        <v>1484</v>
      </c>
      <c r="J461" s="1" t="s">
        <v>1485</v>
      </c>
      <c r="K461" s="4" t="e">
        <f>VLOOKUP(A461,المعطيات!$A$1:$J$3500,6,0)</f>
        <v>#N/A</v>
      </c>
      <c r="L461" s="1" t="s">
        <v>1486</v>
      </c>
      <c r="M461" s="1" t="s">
        <v>1487</v>
      </c>
      <c r="N461" s="4" t="e">
        <f t="shared" si="22"/>
        <v>#N/A</v>
      </c>
      <c r="O461" s="1" t="s">
        <v>1488</v>
      </c>
      <c r="P461" s="4" t="e">
        <f>VLOOKUP(A461,المعطيات!$A$1:$J$3500,4,0)</f>
        <v>#N/A</v>
      </c>
      <c r="Q461" s="1" t="s">
        <v>1489</v>
      </c>
      <c r="R461" s="1" t="s">
        <v>1480</v>
      </c>
      <c r="S461" s="6" t="e">
        <f t="shared" si="23"/>
        <v>#N/A</v>
      </c>
    </row>
    <row r="462" spans="2:19" x14ac:dyDescent="0.25">
      <c r="B462" s="1" t="s">
        <v>1479</v>
      </c>
      <c r="C462" s="1" t="s">
        <v>1481</v>
      </c>
      <c r="D462" s="4" t="e">
        <f>VLOOKUP(A462,المعطيات!$A$1:$J$3500,5,0)</f>
        <v>#N/A</v>
      </c>
      <c r="E462" s="1" t="s">
        <v>1482</v>
      </c>
      <c r="F462" s="5">
        <f t="shared" si="21"/>
        <v>0</v>
      </c>
      <c r="G462" s="5" t="s">
        <v>1483</v>
      </c>
      <c r="H462" s="4" t="e">
        <f>VLOOKUP(A462,المعطيات!$A$1:$J$3500,3,0)</f>
        <v>#N/A</v>
      </c>
      <c r="I462" s="1" t="s">
        <v>1484</v>
      </c>
      <c r="J462" s="1" t="s">
        <v>1485</v>
      </c>
      <c r="K462" s="4" t="e">
        <f>VLOOKUP(A462,المعطيات!$A$1:$J$3500,6,0)</f>
        <v>#N/A</v>
      </c>
      <c r="L462" s="1" t="s">
        <v>1486</v>
      </c>
      <c r="M462" s="1" t="s">
        <v>1487</v>
      </c>
      <c r="N462" s="4" t="e">
        <f t="shared" si="22"/>
        <v>#N/A</v>
      </c>
      <c r="O462" s="1" t="s">
        <v>1488</v>
      </c>
      <c r="P462" s="4" t="e">
        <f>VLOOKUP(A462,المعطيات!$A$1:$J$3500,4,0)</f>
        <v>#N/A</v>
      </c>
      <c r="Q462" s="1" t="s">
        <v>1489</v>
      </c>
      <c r="R462" s="1" t="s">
        <v>1480</v>
      </c>
      <c r="S462" s="6" t="e">
        <f t="shared" si="23"/>
        <v>#N/A</v>
      </c>
    </row>
    <row r="463" spans="2:19" x14ac:dyDescent="0.25">
      <c r="B463" s="1" t="s">
        <v>1479</v>
      </c>
      <c r="C463" s="1" t="s">
        <v>1481</v>
      </c>
      <c r="D463" s="4" t="e">
        <f>VLOOKUP(A463,المعطيات!$A$1:$J$3500,5,0)</f>
        <v>#N/A</v>
      </c>
      <c r="E463" s="1" t="s">
        <v>1482</v>
      </c>
      <c r="F463" s="5">
        <f t="shared" si="21"/>
        <v>0</v>
      </c>
      <c r="G463" s="5" t="s">
        <v>1483</v>
      </c>
      <c r="H463" s="4" t="e">
        <f>VLOOKUP(A463,المعطيات!$A$1:$J$3500,3,0)</f>
        <v>#N/A</v>
      </c>
      <c r="I463" s="1" t="s">
        <v>1484</v>
      </c>
      <c r="J463" s="1" t="s">
        <v>1485</v>
      </c>
      <c r="K463" s="4" t="e">
        <f>VLOOKUP(A463,المعطيات!$A$1:$J$3500,6,0)</f>
        <v>#N/A</v>
      </c>
      <c r="L463" s="1" t="s">
        <v>1486</v>
      </c>
      <c r="M463" s="1" t="s">
        <v>1487</v>
      </c>
      <c r="N463" s="4" t="e">
        <f t="shared" si="22"/>
        <v>#N/A</v>
      </c>
      <c r="O463" s="1" t="s">
        <v>1488</v>
      </c>
      <c r="P463" s="4" t="e">
        <f>VLOOKUP(A463,المعطيات!$A$1:$J$3500,4,0)</f>
        <v>#N/A</v>
      </c>
      <c r="Q463" s="1" t="s">
        <v>1489</v>
      </c>
      <c r="R463" s="1" t="s">
        <v>1480</v>
      </c>
      <c r="S463" s="6" t="e">
        <f t="shared" si="23"/>
        <v>#N/A</v>
      </c>
    </row>
    <row r="464" spans="2:19" x14ac:dyDescent="0.25">
      <c r="B464" s="1" t="s">
        <v>1479</v>
      </c>
      <c r="C464" s="1" t="s">
        <v>1481</v>
      </c>
      <c r="D464" s="4" t="e">
        <f>VLOOKUP(A464,المعطيات!$A$1:$J$3500,5,0)</f>
        <v>#N/A</v>
      </c>
      <c r="E464" s="1" t="s">
        <v>1482</v>
      </c>
      <c r="F464" s="5">
        <f t="shared" si="21"/>
        <v>0</v>
      </c>
      <c r="G464" s="5" t="s">
        <v>1483</v>
      </c>
      <c r="H464" s="4" t="e">
        <f>VLOOKUP(A464,المعطيات!$A$1:$J$3500,3,0)</f>
        <v>#N/A</v>
      </c>
      <c r="I464" s="1" t="s">
        <v>1484</v>
      </c>
      <c r="J464" s="1" t="s">
        <v>1485</v>
      </c>
      <c r="K464" s="4" t="e">
        <f>VLOOKUP(A464,المعطيات!$A$1:$J$3500,6,0)</f>
        <v>#N/A</v>
      </c>
      <c r="L464" s="1" t="s">
        <v>1486</v>
      </c>
      <c r="M464" s="1" t="s">
        <v>1487</v>
      </c>
      <c r="N464" s="4" t="e">
        <f t="shared" si="22"/>
        <v>#N/A</v>
      </c>
      <c r="O464" s="1" t="s">
        <v>1488</v>
      </c>
      <c r="P464" s="4" t="e">
        <f>VLOOKUP(A464,المعطيات!$A$1:$J$3500,4,0)</f>
        <v>#N/A</v>
      </c>
      <c r="Q464" s="1" t="s">
        <v>1489</v>
      </c>
      <c r="R464" s="1" t="s">
        <v>1480</v>
      </c>
      <c r="S464" s="6" t="e">
        <f t="shared" si="23"/>
        <v>#N/A</v>
      </c>
    </row>
    <row r="465" spans="2:19" x14ac:dyDescent="0.25">
      <c r="B465" s="1" t="s">
        <v>1479</v>
      </c>
      <c r="C465" s="1" t="s">
        <v>1481</v>
      </c>
      <c r="D465" s="4" t="e">
        <f>VLOOKUP(A465,المعطيات!$A$1:$J$3500,5,0)</f>
        <v>#N/A</v>
      </c>
      <c r="E465" s="1" t="s">
        <v>1482</v>
      </c>
      <c r="F465" s="5">
        <f t="shared" si="21"/>
        <v>0</v>
      </c>
      <c r="G465" s="5" t="s">
        <v>1483</v>
      </c>
      <c r="H465" s="4" t="e">
        <f>VLOOKUP(A465,المعطيات!$A$1:$J$3500,3,0)</f>
        <v>#N/A</v>
      </c>
      <c r="I465" s="1" t="s">
        <v>1484</v>
      </c>
      <c r="J465" s="1" t="s">
        <v>1485</v>
      </c>
      <c r="K465" s="4" t="e">
        <f>VLOOKUP(A465,المعطيات!$A$1:$J$3500,6,0)</f>
        <v>#N/A</v>
      </c>
      <c r="L465" s="1" t="s">
        <v>1486</v>
      </c>
      <c r="M465" s="1" t="s">
        <v>1487</v>
      </c>
      <c r="N465" s="4" t="e">
        <f t="shared" si="22"/>
        <v>#N/A</v>
      </c>
      <c r="O465" s="1" t="s">
        <v>1488</v>
      </c>
      <c r="P465" s="4" t="e">
        <f>VLOOKUP(A465,المعطيات!$A$1:$J$3500,4,0)</f>
        <v>#N/A</v>
      </c>
      <c r="Q465" s="1" t="s">
        <v>1489</v>
      </c>
      <c r="R465" s="1" t="s">
        <v>1480</v>
      </c>
      <c r="S465" s="6" t="e">
        <f t="shared" si="23"/>
        <v>#N/A</v>
      </c>
    </row>
    <row r="466" spans="2:19" x14ac:dyDescent="0.25">
      <c r="B466" s="1" t="s">
        <v>1479</v>
      </c>
      <c r="C466" s="1" t="s">
        <v>1481</v>
      </c>
      <c r="D466" s="4" t="e">
        <f>VLOOKUP(A466,المعطيات!$A$1:$J$3500,5,0)</f>
        <v>#N/A</v>
      </c>
      <c r="E466" s="1" t="s">
        <v>1482</v>
      </c>
      <c r="F466" s="5">
        <f t="shared" si="21"/>
        <v>0</v>
      </c>
      <c r="G466" s="5" t="s">
        <v>1483</v>
      </c>
      <c r="H466" s="4" t="e">
        <f>VLOOKUP(A466,المعطيات!$A$1:$J$3500,3,0)</f>
        <v>#N/A</v>
      </c>
      <c r="I466" s="1" t="s">
        <v>1484</v>
      </c>
      <c r="J466" s="1" t="s">
        <v>1485</v>
      </c>
      <c r="K466" s="4" t="e">
        <f>VLOOKUP(A466,المعطيات!$A$1:$J$3500,6,0)</f>
        <v>#N/A</v>
      </c>
      <c r="L466" s="1" t="s">
        <v>1486</v>
      </c>
      <c r="M466" s="1" t="s">
        <v>1487</v>
      </c>
      <c r="N466" s="4" t="e">
        <f t="shared" si="22"/>
        <v>#N/A</v>
      </c>
      <c r="O466" s="1" t="s">
        <v>1488</v>
      </c>
      <c r="P466" s="4" t="e">
        <f>VLOOKUP(A466,المعطيات!$A$1:$J$3500,4,0)</f>
        <v>#N/A</v>
      </c>
      <c r="Q466" s="1" t="s">
        <v>1489</v>
      </c>
      <c r="R466" s="1" t="s">
        <v>1480</v>
      </c>
      <c r="S466" s="6" t="e">
        <f t="shared" si="23"/>
        <v>#N/A</v>
      </c>
    </row>
    <row r="467" spans="2:19" x14ac:dyDescent="0.25">
      <c r="B467" s="1" t="s">
        <v>1479</v>
      </c>
      <c r="C467" s="1" t="s">
        <v>1481</v>
      </c>
      <c r="D467" s="4" t="e">
        <f>VLOOKUP(A467,المعطيات!$A$1:$J$3500,5,0)</f>
        <v>#N/A</v>
      </c>
      <c r="E467" s="1" t="s">
        <v>1482</v>
      </c>
      <c r="F467" s="5">
        <f t="shared" si="21"/>
        <v>0</v>
      </c>
      <c r="G467" s="5" t="s">
        <v>1483</v>
      </c>
      <c r="H467" s="4" t="e">
        <f>VLOOKUP(A467,المعطيات!$A$1:$J$3500,3,0)</f>
        <v>#N/A</v>
      </c>
      <c r="I467" s="1" t="s">
        <v>1484</v>
      </c>
      <c r="J467" s="1" t="s">
        <v>1485</v>
      </c>
      <c r="K467" s="4" t="e">
        <f>VLOOKUP(A467,المعطيات!$A$1:$J$3500,6,0)</f>
        <v>#N/A</v>
      </c>
      <c r="L467" s="1" t="s">
        <v>1486</v>
      </c>
      <c r="M467" s="1" t="s">
        <v>1487</v>
      </c>
      <c r="N467" s="4" t="e">
        <f t="shared" si="22"/>
        <v>#N/A</v>
      </c>
      <c r="O467" s="1" t="s">
        <v>1488</v>
      </c>
      <c r="P467" s="4" t="e">
        <f>VLOOKUP(A467,المعطيات!$A$1:$J$3500,4,0)</f>
        <v>#N/A</v>
      </c>
      <c r="Q467" s="1" t="s">
        <v>1489</v>
      </c>
      <c r="R467" s="1" t="s">
        <v>1480</v>
      </c>
      <c r="S467" s="6" t="e">
        <f t="shared" si="23"/>
        <v>#N/A</v>
      </c>
    </row>
    <row r="468" spans="2:19" x14ac:dyDescent="0.25">
      <c r="B468" s="1" t="s">
        <v>1479</v>
      </c>
      <c r="C468" s="1" t="s">
        <v>1481</v>
      </c>
      <c r="D468" s="4" t="e">
        <f>VLOOKUP(A468,المعطيات!$A$1:$J$3500,5,0)</f>
        <v>#N/A</v>
      </c>
      <c r="E468" s="1" t="s">
        <v>1482</v>
      </c>
      <c r="F468" s="5">
        <f t="shared" si="21"/>
        <v>0</v>
      </c>
      <c r="G468" s="5" t="s">
        <v>1483</v>
      </c>
      <c r="H468" s="4" t="e">
        <f>VLOOKUP(A468,المعطيات!$A$1:$J$3500,3,0)</f>
        <v>#N/A</v>
      </c>
      <c r="I468" s="1" t="s">
        <v>1484</v>
      </c>
      <c r="J468" s="1" t="s">
        <v>1485</v>
      </c>
      <c r="K468" s="4" t="e">
        <f>VLOOKUP(A468,المعطيات!$A$1:$J$3500,6,0)</f>
        <v>#N/A</v>
      </c>
      <c r="L468" s="1" t="s">
        <v>1486</v>
      </c>
      <c r="M468" s="1" t="s">
        <v>1487</v>
      </c>
      <c r="N468" s="4" t="e">
        <f t="shared" si="22"/>
        <v>#N/A</v>
      </c>
      <c r="O468" s="1" t="s">
        <v>1488</v>
      </c>
      <c r="P468" s="4" t="e">
        <f>VLOOKUP(A468,المعطيات!$A$1:$J$3500,4,0)</f>
        <v>#N/A</v>
      </c>
      <c r="Q468" s="1" t="s">
        <v>1489</v>
      </c>
      <c r="R468" s="1" t="s">
        <v>1480</v>
      </c>
      <c r="S468" s="6" t="e">
        <f t="shared" si="23"/>
        <v>#N/A</v>
      </c>
    </row>
    <row r="469" spans="2:19" x14ac:dyDescent="0.25">
      <c r="B469" s="1" t="s">
        <v>1479</v>
      </c>
      <c r="C469" s="1" t="s">
        <v>1481</v>
      </c>
      <c r="D469" s="4" t="e">
        <f>VLOOKUP(A469,المعطيات!$A$1:$J$3500,5,0)</f>
        <v>#N/A</v>
      </c>
      <c r="E469" s="1" t="s">
        <v>1482</v>
      </c>
      <c r="F469" s="5">
        <f t="shared" si="21"/>
        <v>0</v>
      </c>
      <c r="G469" s="5" t="s">
        <v>1483</v>
      </c>
      <c r="H469" s="4" t="e">
        <f>VLOOKUP(A469,المعطيات!$A$1:$J$3500,3,0)</f>
        <v>#N/A</v>
      </c>
      <c r="I469" s="1" t="s">
        <v>1484</v>
      </c>
      <c r="J469" s="1" t="s">
        <v>1485</v>
      </c>
      <c r="K469" s="4" t="e">
        <f>VLOOKUP(A469,المعطيات!$A$1:$J$3500,6,0)</f>
        <v>#N/A</v>
      </c>
      <c r="L469" s="1" t="s">
        <v>1486</v>
      </c>
      <c r="M469" s="1" t="s">
        <v>1487</v>
      </c>
      <c r="N469" s="4" t="e">
        <f t="shared" si="22"/>
        <v>#N/A</v>
      </c>
      <c r="O469" s="1" t="s">
        <v>1488</v>
      </c>
      <c r="P469" s="4" t="e">
        <f>VLOOKUP(A469,المعطيات!$A$1:$J$3500,4,0)</f>
        <v>#N/A</v>
      </c>
      <c r="Q469" s="1" t="s">
        <v>1489</v>
      </c>
      <c r="R469" s="1" t="s">
        <v>1480</v>
      </c>
      <c r="S469" s="6" t="e">
        <f t="shared" si="23"/>
        <v>#N/A</v>
      </c>
    </row>
    <row r="470" spans="2:19" x14ac:dyDescent="0.25">
      <c r="B470" s="1" t="s">
        <v>1479</v>
      </c>
      <c r="C470" s="1" t="s">
        <v>1481</v>
      </c>
      <c r="D470" s="4" t="e">
        <f>VLOOKUP(A470,المعطيات!$A$1:$J$3500,5,0)</f>
        <v>#N/A</v>
      </c>
      <c r="E470" s="1" t="s">
        <v>1482</v>
      </c>
      <c r="F470" s="5">
        <f t="shared" si="21"/>
        <v>0</v>
      </c>
      <c r="G470" s="5" t="s">
        <v>1483</v>
      </c>
      <c r="H470" s="4" t="e">
        <f>VLOOKUP(A470,المعطيات!$A$1:$J$3500,3,0)</f>
        <v>#N/A</v>
      </c>
      <c r="I470" s="1" t="s">
        <v>1484</v>
      </c>
      <c r="J470" s="1" t="s">
        <v>1485</v>
      </c>
      <c r="K470" s="4" t="e">
        <f>VLOOKUP(A470,المعطيات!$A$1:$J$3500,6,0)</f>
        <v>#N/A</v>
      </c>
      <c r="L470" s="1" t="s">
        <v>1486</v>
      </c>
      <c r="M470" s="1" t="s">
        <v>1487</v>
      </c>
      <c r="N470" s="4" t="e">
        <f t="shared" si="22"/>
        <v>#N/A</v>
      </c>
      <c r="O470" s="1" t="s">
        <v>1488</v>
      </c>
      <c r="P470" s="4" t="e">
        <f>VLOOKUP(A470,المعطيات!$A$1:$J$3500,4,0)</f>
        <v>#N/A</v>
      </c>
      <c r="Q470" s="1" t="s">
        <v>1489</v>
      </c>
      <c r="R470" s="1" t="s">
        <v>1480</v>
      </c>
      <c r="S470" s="6" t="e">
        <f t="shared" si="23"/>
        <v>#N/A</v>
      </c>
    </row>
    <row r="471" spans="2:19" x14ac:dyDescent="0.25">
      <c r="B471" s="1" t="s">
        <v>1479</v>
      </c>
      <c r="C471" s="1" t="s">
        <v>1481</v>
      </c>
      <c r="D471" s="4" t="e">
        <f>VLOOKUP(A471,المعطيات!$A$1:$J$3500,5,0)</f>
        <v>#N/A</v>
      </c>
      <c r="E471" s="1" t="s">
        <v>1482</v>
      </c>
      <c r="F471" s="5">
        <f t="shared" si="21"/>
        <v>0</v>
      </c>
      <c r="G471" s="5" t="s">
        <v>1483</v>
      </c>
      <c r="H471" s="4" t="e">
        <f>VLOOKUP(A471,المعطيات!$A$1:$J$3500,3,0)</f>
        <v>#N/A</v>
      </c>
      <c r="I471" s="1" t="s">
        <v>1484</v>
      </c>
      <c r="J471" s="1" t="s">
        <v>1485</v>
      </c>
      <c r="K471" s="4" t="e">
        <f>VLOOKUP(A471,المعطيات!$A$1:$J$3500,6,0)</f>
        <v>#N/A</v>
      </c>
      <c r="L471" s="1" t="s">
        <v>1486</v>
      </c>
      <c r="M471" s="1" t="s">
        <v>1487</v>
      </c>
      <c r="N471" s="4" t="e">
        <f t="shared" si="22"/>
        <v>#N/A</v>
      </c>
      <c r="O471" s="1" t="s">
        <v>1488</v>
      </c>
      <c r="P471" s="4" t="e">
        <f>VLOOKUP(A471,المعطيات!$A$1:$J$3500,4,0)</f>
        <v>#N/A</v>
      </c>
      <c r="Q471" s="1" t="s">
        <v>1489</v>
      </c>
      <c r="R471" s="1" t="s">
        <v>1480</v>
      </c>
      <c r="S471" s="6" t="e">
        <f t="shared" si="23"/>
        <v>#N/A</v>
      </c>
    </row>
    <row r="472" spans="2:19" x14ac:dyDescent="0.25">
      <c r="B472" s="1" t="s">
        <v>1479</v>
      </c>
      <c r="C472" s="1" t="s">
        <v>1481</v>
      </c>
      <c r="D472" s="4" t="e">
        <f>VLOOKUP(A472,المعطيات!$A$1:$J$3500,5,0)</f>
        <v>#N/A</v>
      </c>
      <c r="E472" s="1" t="s">
        <v>1482</v>
      </c>
      <c r="F472" s="5">
        <f t="shared" si="21"/>
        <v>0</v>
      </c>
      <c r="G472" s="5" t="s">
        <v>1483</v>
      </c>
      <c r="H472" s="4" t="e">
        <f>VLOOKUP(A472,المعطيات!$A$1:$J$3500,3,0)</f>
        <v>#N/A</v>
      </c>
      <c r="I472" s="1" t="s">
        <v>1484</v>
      </c>
      <c r="J472" s="1" t="s">
        <v>1485</v>
      </c>
      <c r="K472" s="4" t="e">
        <f>VLOOKUP(A472,المعطيات!$A$1:$J$3500,6,0)</f>
        <v>#N/A</v>
      </c>
      <c r="L472" s="1" t="s">
        <v>1486</v>
      </c>
      <c r="M472" s="1" t="s">
        <v>1487</v>
      </c>
      <c r="N472" s="4" t="e">
        <f t="shared" si="22"/>
        <v>#N/A</v>
      </c>
      <c r="O472" s="1" t="s">
        <v>1488</v>
      </c>
      <c r="P472" s="4" t="e">
        <f>VLOOKUP(A472,المعطيات!$A$1:$J$3500,4,0)</f>
        <v>#N/A</v>
      </c>
      <c r="Q472" s="1" t="s">
        <v>1489</v>
      </c>
      <c r="R472" s="1" t="s">
        <v>1480</v>
      </c>
      <c r="S472" s="6" t="e">
        <f t="shared" si="23"/>
        <v>#N/A</v>
      </c>
    </row>
    <row r="473" spans="2:19" x14ac:dyDescent="0.25">
      <c r="B473" s="1" t="s">
        <v>1479</v>
      </c>
      <c r="C473" s="1" t="s">
        <v>1481</v>
      </c>
      <c r="D473" s="4" t="e">
        <f>VLOOKUP(A473,المعطيات!$A$1:$J$3500,5,0)</f>
        <v>#N/A</v>
      </c>
      <c r="E473" s="1" t="s">
        <v>1482</v>
      </c>
      <c r="F473" s="5">
        <f t="shared" si="21"/>
        <v>0</v>
      </c>
      <c r="G473" s="5" t="s">
        <v>1483</v>
      </c>
      <c r="H473" s="4" t="e">
        <f>VLOOKUP(A473,المعطيات!$A$1:$J$3500,3,0)</f>
        <v>#N/A</v>
      </c>
      <c r="I473" s="1" t="s">
        <v>1484</v>
      </c>
      <c r="J473" s="1" t="s">
        <v>1485</v>
      </c>
      <c r="K473" s="4" t="e">
        <f>VLOOKUP(A473,المعطيات!$A$1:$J$3500,6,0)</f>
        <v>#N/A</v>
      </c>
      <c r="L473" s="1" t="s">
        <v>1486</v>
      </c>
      <c r="M473" s="1" t="s">
        <v>1487</v>
      </c>
      <c r="N473" s="4" t="e">
        <f t="shared" si="22"/>
        <v>#N/A</v>
      </c>
      <c r="O473" s="1" t="s">
        <v>1488</v>
      </c>
      <c r="P473" s="4" t="e">
        <f>VLOOKUP(A473,المعطيات!$A$1:$J$3500,4,0)</f>
        <v>#N/A</v>
      </c>
      <c r="Q473" s="1" t="s">
        <v>1489</v>
      </c>
      <c r="R473" s="1" t="s">
        <v>1480</v>
      </c>
      <c r="S473" s="6" t="e">
        <f t="shared" si="23"/>
        <v>#N/A</v>
      </c>
    </row>
    <row r="474" spans="2:19" x14ac:dyDescent="0.25">
      <c r="B474" s="1" t="s">
        <v>1479</v>
      </c>
      <c r="C474" s="1" t="s">
        <v>1481</v>
      </c>
      <c r="D474" s="4" t="e">
        <f>VLOOKUP(A474,المعطيات!$A$1:$J$3500,5,0)</f>
        <v>#N/A</v>
      </c>
      <c r="E474" s="1" t="s">
        <v>1482</v>
      </c>
      <c r="F474" s="5">
        <f t="shared" si="21"/>
        <v>0</v>
      </c>
      <c r="G474" s="5" t="s">
        <v>1483</v>
      </c>
      <c r="H474" s="4" t="e">
        <f>VLOOKUP(A474,المعطيات!$A$1:$J$3500,3,0)</f>
        <v>#N/A</v>
      </c>
      <c r="I474" s="1" t="s">
        <v>1484</v>
      </c>
      <c r="J474" s="1" t="s">
        <v>1485</v>
      </c>
      <c r="K474" s="4" t="e">
        <f>VLOOKUP(A474,المعطيات!$A$1:$J$3500,6,0)</f>
        <v>#N/A</v>
      </c>
      <c r="L474" s="1" t="s">
        <v>1486</v>
      </c>
      <c r="M474" s="1" t="s">
        <v>1487</v>
      </c>
      <c r="N474" s="4" t="e">
        <f t="shared" si="22"/>
        <v>#N/A</v>
      </c>
      <c r="O474" s="1" t="s">
        <v>1488</v>
      </c>
      <c r="P474" s="4" t="e">
        <f>VLOOKUP(A474,المعطيات!$A$1:$J$3500,4,0)</f>
        <v>#N/A</v>
      </c>
      <c r="Q474" s="1" t="s">
        <v>1489</v>
      </c>
      <c r="R474" s="1" t="s">
        <v>1480</v>
      </c>
      <c r="S474" s="6" t="e">
        <f t="shared" si="23"/>
        <v>#N/A</v>
      </c>
    </row>
    <row r="475" spans="2:19" x14ac:dyDescent="0.25">
      <c r="B475" s="1" t="s">
        <v>1479</v>
      </c>
      <c r="C475" s="1" t="s">
        <v>1481</v>
      </c>
      <c r="D475" s="4" t="e">
        <f>VLOOKUP(A475,المعطيات!$A$1:$J$3500,5,0)</f>
        <v>#N/A</v>
      </c>
      <c r="E475" s="1" t="s">
        <v>1482</v>
      </c>
      <c r="F475" s="5">
        <f t="shared" si="21"/>
        <v>0</v>
      </c>
      <c r="G475" s="5" t="s">
        <v>1483</v>
      </c>
      <c r="H475" s="4" t="e">
        <f>VLOOKUP(A475,المعطيات!$A$1:$J$3500,3,0)</f>
        <v>#N/A</v>
      </c>
      <c r="I475" s="1" t="s">
        <v>1484</v>
      </c>
      <c r="J475" s="1" t="s">
        <v>1485</v>
      </c>
      <c r="K475" s="4" t="e">
        <f>VLOOKUP(A475,المعطيات!$A$1:$J$3500,6,0)</f>
        <v>#N/A</v>
      </c>
      <c r="L475" s="1" t="s">
        <v>1486</v>
      </c>
      <c r="M475" s="1" t="s">
        <v>1487</v>
      </c>
      <c r="N475" s="4" t="e">
        <f t="shared" si="22"/>
        <v>#N/A</v>
      </c>
      <c r="O475" s="1" t="s">
        <v>1488</v>
      </c>
      <c r="P475" s="4" t="e">
        <f>VLOOKUP(A475,المعطيات!$A$1:$J$3500,4,0)</f>
        <v>#N/A</v>
      </c>
      <c r="Q475" s="1" t="s">
        <v>1489</v>
      </c>
      <c r="R475" s="1" t="s">
        <v>1480</v>
      </c>
      <c r="S475" s="6" t="e">
        <f t="shared" si="23"/>
        <v>#N/A</v>
      </c>
    </row>
    <row r="476" spans="2:19" x14ac:dyDescent="0.25">
      <c r="B476" s="1" t="s">
        <v>1479</v>
      </c>
      <c r="C476" s="1" t="s">
        <v>1481</v>
      </c>
      <c r="D476" s="4" t="e">
        <f>VLOOKUP(A476,المعطيات!$A$1:$J$3500,5,0)</f>
        <v>#N/A</v>
      </c>
      <c r="E476" s="1" t="s">
        <v>1482</v>
      </c>
      <c r="F476" s="5">
        <f t="shared" si="21"/>
        <v>0</v>
      </c>
      <c r="G476" s="5" t="s">
        <v>1483</v>
      </c>
      <c r="H476" s="4" t="e">
        <f>VLOOKUP(A476,المعطيات!$A$1:$J$3500,3,0)</f>
        <v>#N/A</v>
      </c>
      <c r="I476" s="1" t="s">
        <v>1484</v>
      </c>
      <c r="J476" s="1" t="s">
        <v>1485</v>
      </c>
      <c r="K476" s="4" t="e">
        <f>VLOOKUP(A476,المعطيات!$A$1:$J$3500,6,0)</f>
        <v>#N/A</v>
      </c>
      <c r="L476" s="1" t="s">
        <v>1486</v>
      </c>
      <c r="M476" s="1" t="s">
        <v>1487</v>
      </c>
      <c r="N476" s="4" t="e">
        <f t="shared" si="22"/>
        <v>#N/A</v>
      </c>
      <c r="O476" s="1" t="s">
        <v>1488</v>
      </c>
      <c r="P476" s="4" t="e">
        <f>VLOOKUP(A476,المعطيات!$A$1:$J$3500,4,0)</f>
        <v>#N/A</v>
      </c>
      <c r="Q476" s="1" t="s">
        <v>1489</v>
      </c>
      <c r="R476" s="1" t="s">
        <v>1480</v>
      </c>
      <c r="S476" s="6" t="e">
        <f t="shared" si="23"/>
        <v>#N/A</v>
      </c>
    </row>
    <row r="477" spans="2:19" x14ac:dyDescent="0.25">
      <c r="B477" s="1" t="s">
        <v>1479</v>
      </c>
      <c r="C477" s="1" t="s">
        <v>1481</v>
      </c>
      <c r="D477" s="4" t="e">
        <f>VLOOKUP(A477,المعطيات!$A$1:$J$3500,5,0)</f>
        <v>#N/A</v>
      </c>
      <c r="E477" s="1" t="s">
        <v>1482</v>
      </c>
      <c r="F477" s="5">
        <f t="shared" si="21"/>
        <v>0</v>
      </c>
      <c r="G477" s="5" t="s">
        <v>1483</v>
      </c>
      <c r="H477" s="4" t="e">
        <f>VLOOKUP(A477,المعطيات!$A$1:$J$3500,3,0)</f>
        <v>#N/A</v>
      </c>
      <c r="I477" s="1" t="s">
        <v>1484</v>
      </c>
      <c r="J477" s="1" t="s">
        <v>1485</v>
      </c>
      <c r="K477" s="4" t="e">
        <f>VLOOKUP(A477,المعطيات!$A$1:$J$3500,6,0)</f>
        <v>#N/A</v>
      </c>
      <c r="L477" s="1" t="s">
        <v>1486</v>
      </c>
      <c r="M477" s="1" t="s">
        <v>1487</v>
      </c>
      <c r="N477" s="4" t="e">
        <f t="shared" si="22"/>
        <v>#N/A</v>
      </c>
      <c r="O477" s="1" t="s">
        <v>1488</v>
      </c>
      <c r="P477" s="4" t="e">
        <f>VLOOKUP(A477,المعطيات!$A$1:$J$3500,4,0)</f>
        <v>#N/A</v>
      </c>
      <c r="Q477" s="1" t="s">
        <v>1489</v>
      </c>
      <c r="R477" s="1" t="s">
        <v>1480</v>
      </c>
      <c r="S477" s="6" t="e">
        <f t="shared" si="23"/>
        <v>#N/A</v>
      </c>
    </row>
    <row r="478" spans="2:19" x14ac:dyDescent="0.25">
      <c r="B478" s="1" t="s">
        <v>1479</v>
      </c>
      <c r="C478" s="1" t="s">
        <v>1481</v>
      </c>
      <c r="D478" s="4" t="e">
        <f>VLOOKUP(A478,المعطيات!$A$1:$J$3500,5,0)</f>
        <v>#N/A</v>
      </c>
      <c r="E478" s="1" t="s">
        <v>1482</v>
      </c>
      <c r="F478" s="5">
        <f t="shared" si="21"/>
        <v>0</v>
      </c>
      <c r="G478" s="5" t="s">
        <v>1483</v>
      </c>
      <c r="H478" s="4" t="e">
        <f>VLOOKUP(A478,المعطيات!$A$1:$J$3500,3,0)</f>
        <v>#N/A</v>
      </c>
      <c r="I478" s="1" t="s">
        <v>1484</v>
      </c>
      <c r="J478" s="1" t="s">
        <v>1485</v>
      </c>
      <c r="K478" s="4" t="e">
        <f>VLOOKUP(A478,المعطيات!$A$1:$J$3500,6,0)</f>
        <v>#N/A</v>
      </c>
      <c r="L478" s="1" t="s">
        <v>1486</v>
      </c>
      <c r="M478" s="1" t="s">
        <v>1487</v>
      </c>
      <c r="N478" s="4" t="e">
        <f t="shared" si="22"/>
        <v>#N/A</v>
      </c>
      <c r="O478" s="1" t="s">
        <v>1488</v>
      </c>
      <c r="P478" s="4" t="e">
        <f>VLOOKUP(A478,المعطيات!$A$1:$J$3500,4,0)</f>
        <v>#N/A</v>
      </c>
      <c r="Q478" s="1" t="s">
        <v>1489</v>
      </c>
      <c r="R478" s="1" t="s">
        <v>1480</v>
      </c>
      <c r="S478" s="6" t="e">
        <f t="shared" si="23"/>
        <v>#N/A</v>
      </c>
    </row>
    <row r="479" spans="2:19" x14ac:dyDescent="0.25">
      <c r="B479" s="1" t="s">
        <v>1479</v>
      </c>
      <c r="C479" s="1" t="s">
        <v>1481</v>
      </c>
      <c r="D479" s="4" t="e">
        <f>VLOOKUP(A479,المعطيات!$A$1:$J$3500,5,0)</f>
        <v>#N/A</v>
      </c>
      <c r="E479" s="1" t="s">
        <v>1482</v>
      </c>
      <c r="F479" s="5">
        <f t="shared" si="21"/>
        <v>0</v>
      </c>
      <c r="G479" s="5" t="s">
        <v>1483</v>
      </c>
      <c r="H479" s="4" t="e">
        <f>VLOOKUP(A479,المعطيات!$A$1:$J$3500,3,0)</f>
        <v>#N/A</v>
      </c>
      <c r="I479" s="1" t="s">
        <v>1484</v>
      </c>
      <c r="J479" s="1" t="s">
        <v>1485</v>
      </c>
      <c r="K479" s="4" t="e">
        <f>VLOOKUP(A479,المعطيات!$A$1:$J$3500,6,0)</f>
        <v>#N/A</v>
      </c>
      <c r="L479" s="1" t="s">
        <v>1486</v>
      </c>
      <c r="M479" s="1" t="s">
        <v>1487</v>
      </c>
      <c r="N479" s="4" t="e">
        <f t="shared" si="22"/>
        <v>#N/A</v>
      </c>
      <c r="O479" s="1" t="s">
        <v>1488</v>
      </c>
      <c r="P479" s="4" t="e">
        <f>VLOOKUP(A479,المعطيات!$A$1:$J$3500,4,0)</f>
        <v>#N/A</v>
      </c>
      <c r="Q479" s="1" t="s">
        <v>1489</v>
      </c>
      <c r="R479" s="1" t="s">
        <v>1480</v>
      </c>
      <c r="S479" s="6" t="e">
        <f t="shared" si="23"/>
        <v>#N/A</v>
      </c>
    </row>
    <row r="480" spans="2:19" x14ac:dyDescent="0.25">
      <c r="B480" s="1" t="s">
        <v>1479</v>
      </c>
      <c r="C480" s="1" t="s">
        <v>1481</v>
      </c>
      <c r="D480" s="4" t="e">
        <f>VLOOKUP(A480,المعطيات!$A$1:$J$3500,5,0)</f>
        <v>#N/A</v>
      </c>
      <c r="E480" s="1" t="s">
        <v>1482</v>
      </c>
      <c r="F480" s="5">
        <f t="shared" si="21"/>
        <v>0</v>
      </c>
      <c r="G480" s="5" t="s">
        <v>1483</v>
      </c>
      <c r="H480" s="4" t="e">
        <f>VLOOKUP(A480,المعطيات!$A$1:$J$3500,3,0)</f>
        <v>#N/A</v>
      </c>
      <c r="I480" s="1" t="s">
        <v>1484</v>
      </c>
      <c r="J480" s="1" t="s">
        <v>1485</v>
      </c>
      <c r="K480" s="4" t="e">
        <f>VLOOKUP(A480,المعطيات!$A$1:$J$3500,6,0)</f>
        <v>#N/A</v>
      </c>
      <c r="L480" s="1" t="s">
        <v>1486</v>
      </c>
      <c r="M480" s="1" t="s">
        <v>1487</v>
      </c>
      <c r="N480" s="4" t="e">
        <f t="shared" si="22"/>
        <v>#N/A</v>
      </c>
      <c r="O480" s="1" t="s">
        <v>1488</v>
      </c>
      <c r="P480" s="4" t="e">
        <f>VLOOKUP(A480,المعطيات!$A$1:$J$3500,4,0)</f>
        <v>#N/A</v>
      </c>
      <c r="Q480" s="1" t="s">
        <v>1489</v>
      </c>
      <c r="R480" s="1" t="s">
        <v>1480</v>
      </c>
      <c r="S480" s="6" t="e">
        <f t="shared" si="23"/>
        <v>#N/A</v>
      </c>
    </row>
    <row r="481" spans="2:19" x14ac:dyDescent="0.25">
      <c r="B481" s="1" t="s">
        <v>1479</v>
      </c>
      <c r="C481" s="1" t="s">
        <v>1481</v>
      </c>
      <c r="D481" s="4" t="e">
        <f>VLOOKUP(A481,المعطيات!$A$1:$J$3500,5,0)</f>
        <v>#N/A</v>
      </c>
      <c r="E481" s="1" t="s">
        <v>1482</v>
      </c>
      <c r="F481" s="5">
        <f t="shared" si="21"/>
        <v>0</v>
      </c>
      <c r="G481" s="5" t="s">
        <v>1483</v>
      </c>
      <c r="H481" s="4" t="e">
        <f>VLOOKUP(A481,المعطيات!$A$1:$J$3500,3,0)</f>
        <v>#N/A</v>
      </c>
      <c r="I481" s="1" t="s">
        <v>1484</v>
      </c>
      <c r="J481" s="1" t="s">
        <v>1485</v>
      </c>
      <c r="K481" s="4" t="e">
        <f>VLOOKUP(A481,المعطيات!$A$1:$J$3500,6,0)</f>
        <v>#N/A</v>
      </c>
      <c r="L481" s="1" t="s">
        <v>1486</v>
      </c>
      <c r="M481" s="1" t="s">
        <v>1487</v>
      </c>
      <c r="N481" s="4" t="e">
        <f t="shared" si="22"/>
        <v>#N/A</v>
      </c>
      <c r="O481" s="1" t="s">
        <v>1488</v>
      </c>
      <c r="P481" s="4" t="e">
        <f>VLOOKUP(A481,المعطيات!$A$1:$J$3500,4,0)</f>
        <v>#N/A</v>
      </c>
      <c r="Q481" s="1" t="s">
        <v>1489</v>
      </c>
      <c r="R481" s="1" t="s">
        <v>1480</v>
      </c>
      <c r="S481" s="6" t="e">
        <f t="shared" si="23"/>
        <v>#N/A</v>
      </c>
    </row>
    <row r="482" spans="2:19" x14ac:dyDescent="0.25">
      <c r="B482" s="1" t="s">
        <v>1479</v>
      </c>
      <c r="C482" s="1" t="s">
        <v>1481</v>
      </c>
      <c r="D482" s="4" t="e">
        <f>VLOOKUP(A482,المعطيات!$A$1:$J$3500,5,0)</f>
        <v>#N/A</v>
      </c>
      <c r="E482" s="1" t="s">
        <v>1482</v>
      </c>
      <c r="F482" s="5">
        <f t="shared" si="21"/>
        <v>0</v>
      </c>
      <c r="G482" s="5" t="s">
        <v>1483</v>
      </c>
      <c r="H482" s="4" t="e">
        <f>VLOOKUP(A482,المعطيات!$A$1:$J$3500,3,0)</f>
        <v>#N/A</v>
      </c>
      <c r="I482" s="1" t="s">
        <v>1484</v>
      </c>
      <c r="J482" s="1" t="s">
        <v>1485</v>
      </c>
      <c r="K482" s="4" t="e">
        <f>VLOOKUP(A482,المعطيات!$A$1:$J$3500,6,0)</f>
        <v>#N/A</v>
      </c>
      <c r="L482" s="1" t="s">
        <v>1486</v>
      </c>
      <c r="M482" s="1" t="s">
        <v>1487</v>
      </c>
      <c r="N482" s="4" t="e">
        <f t="shared" si="22"/>
        <v>#N/A</v>
      </c>
      <c r="O482" s="1" t="s">
        <v>1488</v>
      </c>
      <c r="P482" s="4" t="e">
        <f>VLOOKUP(A482,المعطيات!$A$1:$J$3500,4,0)</f>
        <v>#N/A</v>
      </c>
      <c r="Q482" s="1" t="s">
        <v>1489</v>
      </c>
      <c r="R482" s="1" t="s">
        <v>1480</v>
      </c>
      <c r="S482" s="6" t="e">
        <f t="shared" si="23"/>
        <v>#N/A</v>
      </c>
    </row>
    <row r="483" spans="2:19" x14ac:dyDescent="0.25">
      <c r="B483" s="1" t="s">
        <v>1479</v>
      </c>
      <c r="C483" s="1" t="s">
        <v>1481</v>
      </c>
      <c r="D483" s="4" t="e">
        <f>VLOOKUP(A483,المعطيات!$A$1:$J$3500,5,0)</f>
        <v>#N/A</v>
      </c>
      <c r="E483" s="1" t="s">
        <v>1482</v>
      </c>
      <c r="F483" s="5">
        <f t="shared" si="21"/>
        <v>0</v>
      </c>
      <c r="G483" s="5" t="s">
        <v>1483</v>
      </c>
      <c r="H483" s="4" t="e">
        <f>VLOOKUP(A483,المعطيات!$A$1:$J$3500,3,0)</f>
        <v>#N/A</v>
      </c>
      <c r="I483" s="1" t="s">
        <v>1484</v>
      </c>
      <c r="J483" s="1" t="s">
        <v>1485</v>
      </c>
      <c r="K483" s="4" t="e">
        <f>VLOOKUP(A483,المعطيات!$A$1:$J$3500,6,0)</f>
        <v>#N/A</v>
      </c>
      <c r="L483" s="1" t="s">
        <v>1486</v>
      </c>
      <c r="M483" s="1" t="s">
        <v>1487</v>
      </c>
      <c r="N483" s="4" t="e">
        <f t="shared" si="22"/>
        <v>#N/A</v>
      </c>
      <c r="O483" s="1" t="s">
        <v>1488</v>
      </c>
      <c r="P483" s="4" t="e">
        <f>VLOOKUP(A483,المعطيات!$A$1:$J$3500,4,0)</f>
        <v>#N/A</v>
      </c>
      <c r="Q483" s="1" t="s">
        <v>1489</v>
      </c>
      <c r="R483" s="1" t="s">
        <v>1480</v>
      </c>
      <c r="S483" s="6" t="e">
        <f t="shared" si="23"/>
        <v>#N/A</v>
      </c>
    </row>
    <row r="484" spans="2:19" x14ac:dyDescent="0.25">
      <c r="B484" s="1" t="s">
        <v>1479</v>
      </c>
      <c r="C484" s="1" t="s">
        <v>1481</v>
      </c>
      <c r="D484" s="4" t="e">
        <f>VLOOKUP(A484,المعطيات!$A$1:$J$3500,5,0)</f>
        <v>#N/A</v>
      </c>
      <c r="E484" s="1" t="s">
        <v>1482</v>
      </c>
      <c r="F484" s="5">
        <f t="shared" si="21"/>
        <v>0</v>
      </c>
      <c r="G484" s="5" t="s">
        <v>1483</v>
      </c>
      <c r="H484" s="4" t="e">
        <f>VLOOKUP(A484,المعطيات!$A$1:$J$3500,3,0)</f>
        <v>#N/A</v>
      </c>
      <c r="I484" s="1" t="s">
        <v>1484</v>
      </c>
      <c r="J484" s="1" t="s">
        <v>1485</v>
      </c>
      <c r="K484" s="4" t="e">
        <f>VLOOKUP(A484,المعطيات!$A$1:$J$3500,6,0)</f>
        <v>#N/A</v>
      </c>
      <c r="L484" s="1" t="s">
        <v>1486</v>
      </c>
      <c r="M484" s="1" t="s">
        <v>1487</v>
      </c>
      <c r="N484" s="4" t="e">
        <f t="shared" si="22"/>
        <v>#N/A</v>
      </c>
      <c r="O484" s="1" t="s">
        <v>1488</v>
      </c>
      <c r="P484" s="4" t="e">
        <f>VLOOKUP(A484,المعطيات!$A$1:$J$3500,4,0)</f>
        <v>#N/A</v>
      </c>
      <c r="Q484" s="1" t="s">
        <v>1489</v>
      </c>
      <c r="R484" s="1" t="s">
        <v>1480</v>
      </c>
      <c r="S484" s="6" t="e">
        <f t="shared" si="23"/>
        <v>#N/A</v>
      </c>
    </row>
    <row r="485" spans="2:19" x14ac:dyDescent="0.25">
      <c r="B485" s="1" t="s">
        <v>1479</v>
      </c>
      <c r="C485" s="1" t="s">
        <v>1481</v>
      </c>
      <c r="D485" s="4" t="e">
        <f>VLOOKUP(A485,المعطيات!$A$1:$J$3500,5,0)</f>
        <v>#N/A</v>
      </c>
      <c r="E485" s="1" t="s">
        <v>1482</v>
      </c>
      <c r="F485" s="5">
        <f t="shared" si="21"/>
        <v>0</v>
      </c>
      <c r="G485" s="5" t="s">
        <v>1483</v>
      </c>
      <c r="H485" s="4" t="e">
        <f>VLOOKUP(A485,المعطيات!$A$1:$J$3500,3,0)</f>
        <v>#N/A</v>
      </c>
      <c r="I485" s="1" t="s">
        <v>1484</v>
      </c>
      <c r="J485" s="1" t="s">
        <v>1485</v>
      </c>
      <c r="K485" s="4" t="e">
        <f>VLOOKUP(A485,المعطيات!$A$1:$J$3500,6,0)</f>
        <v>#N/A</v>
      </c>
      <c r="L485" s="1" t="s">
        <v>1486</v>
      </c>
      <c r="M485" s="1" t="s">
        <v>1487</v>
      </c>
      <c r="N485" s="4" t="e">
        <f t="shared" si="22"/>
        <v>#N/A</v>
      </c>
      <c r="O485" s="1" t="s">
        <v>1488</v>
      </c>
      <c r="P485" s="4" t="e">
        <f>VLOOKUP(A485,المعطيات!$A$1:$J$3500,4,0)</f>
        <v>#N/A</v>
      </c>
      <c r="Q485" s="1" t="s">
        <v>1489</v>
      </c>
      <c r="R485" s="1" t="s">
        <v>1480</v>
      </c>
      <c r="S485" s="6" t="e">
        <f t="shared" si="23"/>
        <v>#N/A</v>
      </c>
    </row>
    <row r="486" spans="2:19" x14ac:dyDescent="0.25">
      <c r="B486" s="1" t="s">
        <v>1479</v>
      </c>
      <c r="C486" s="1" t="s">
        <v>1481</v>
      </c>
      <c r="D486" s="4" t="e">
        <f>VLOOKUP(A486,المعطيات!$A$1:$J$3500,5,0)</f>
        <v>#N/A</v>
      </c>
      <c r="E486" s="1" t="s">
        <v>1482</v>
      </c>
      <c r="F486" s="5">
        <f t="shared" si="21"/>
        <v>0</v>
      </c>
      <c r="G486" s="5" t="s">
        <v>1483</v>
      </c>
      <c r="H486" s="4" t="e">
        <f>VLOOKUP(A486,المعطيات!$A$1:$J$3500,3,0)</f>
        <v>#N/A</v>
      </c>
      <c r="I486" s="1" t="s">
        <v>1484</v>
      </c>
      <c r="J486" s="1" t="s">
        <v>1485</v>
      </c>
      <c r="K486" s="4" t="e">
        <f>VLOOKUP(A486,المعطيات!$A$1:$J$3500,6,0)</f>
        <v>#N/A</v>
      </c>
      <c r="L486" s="1" t="s">
        <v>1486</v>
      </c>
      <c r="M486" s="1" t="s">
        <v>1487</v>
      </c>
      <c r="N486" s="4" t="e">
        <f t="shared" si="22"/>
        <v>#N/A</v>
      </c>
      <c r="O486" s="1" t="s">
        <v>1488</v>
      </c>
      <c r="P486" s="4" t="e">
        <f>VLOOKUP(A486,المعطيات!$A$1:$J$3500,4,0)</f>
        <v>#N/A</v>
      </c>
      <c r="Q486" s="1" t="s">
        <v>1489</v>
      </c>
      <c r="R486" s="1" t="s">
        <v>1480</v>
      </c>
      <c r="S486" s="6" t="e">
        <f t="shared" si="23"/>
        <v>#N/A</v>
      </c>
    </row>
    <row r="487" spans="2:19" x14ac:dyDescent="0.25">
      <c r="B487" s="1" t="s">
        <v>1479</v>
      </c>
      <c r="C487" s="1" t="s">
        <v>1481</v>
      </c>
      <c r="D487" s="4" t="e">
        <f>VLOOKUP(A487,المعطيات!$A$1:$J$3500,5,0)</f>
        <v>#N/A</v>
      </c>
      <c r="E487" s="1" t="s">
        <v>1482</v>
      </c>
      <c r="F487" s="5">
        <f t="shared" si="21"/>
        <v>0</v>
      </c>
      <c r="G487" s="5" t="s">
        <v>1483</v>
      </c>
      <c r="H487" s="4" t="e">
        <f>VLOOKUP(A487,المعطيات!$A$1:$J$3500,3,0)</f>
        <v>#N/A</v>
      </c>
      <c r="I487" s="1" t="s">
        <v>1484</v>
      </c>
      <c r="J487" s="1" t="s">
        <v>1485</v>
      </c>
      <c r="K487" s="4" t="e">
        <f>VLOOKUP(A487,المعطيات!$A$1:$J$3500,6,0)</f>
        <v>#N/A</v>
      </c>
      <c r="L487" s="1" t="s">
        <v>1486</v>
      </c>
      <c r="M487" s="1" t="s">
        <v>1487</v>
      </c>
      <c r="N487" s="4" t="e">
        <f t="shared" si="22"/>
        <v>#N/A</v>
      </c>
      <c r="O487" s="1" t="s">
        <v>1488</v>
      </c>
      <c r="P487" s="4" t="e">
        <f>VLOOKUP(A487,المعطيات!$A$1:$J$3500,4,0)</f>
        <v>#N/A</v>
      </c>
      <c r="Q487" s="1" t="s">
        <v>1489</v>
      </c>
      <c r="R487" s="1" t="s">
        <v>1480</v>
      </c>
      <c r="S487" s="6" t="e">
        <f t="shared" si="23"/>
        <v>#N/A</v>
      </c>
    </row>
    <row r="488" spans="2:19" x14ac:dyDescent="0.25">
      <c r="B488" s="1" t="s">
        <v>1479</v>
      </c>
      <c r="C488" s="1" t="s">
        <v>1481</v>
      </c>
      <c r="D488" s="4" t="e">
        <f>VLOOKUP(A488,المعطيات!$A$1:$J$3500,5,0)</f>
        <v>#N/A</v>
      </c>
      <c r="E488" s="1" t="s">
        <v>1482</v>
      </c>
      <c r="F488" s="5">
        <f t="shared" si="21"/>
        <v>0</v>
      </c>
      <c r="G488" s="5" t="s">
        <v>1483</v>
      </c>
      <c r="H488" s="4" t="e">
        <f>VLOOKUP(A488,المعطيات!$A$1:$J$3500,3,0)</f>
        <v>#N/A</v>
      </c>
      <c r="I488" s="1" t="s">
        <v>1484</v>
      </c>
      <c r="J488" s="1" t="s">
        <v>1485</v>
      </c>
      <c r="K488" s="4" t="e">
        <f>VLOOKUP(A488,المعطيات!$A$1:$J$3500,6,0)</f>
        <v>#N/A</v>
      </c>
      <c r="L488" s="1" t="s">
        <v>1486</v>
      </c>
      <c r="M488" s="1" t="s">
        <v>1487</v>
      </c>
      <c r="N488" s="4" t="e">
        <f t="shared" si="22"/>
        <v>#N/A</v>
      </c>
      <c r="O488" s="1" t="s">
        <v>1488</v>
      </c>
      <c r="P488" s="4" t="e">
        <f>VLOOKUP(A488,المعطيات!$A$1:$J$3500,4,0)</f>
        <v>#N/A</v>
      </c>
      <c r="Q488" s="1" t="s">
        <v>1489</v>
      </c>
      <c r="R488" s="1" t="s">
        <v>1480</v>
      </c>
      <c r="S488" s="6" t="e">
        <f t="shared" si="23"/>
        <v>#N/A</v>
      </c>
    </row>
    <row r="489" spans="2:19" x14ac:dyDescent="0.25">
      <c r="B489" s="1" t="s">
        <v>1479</v>
      </c>
      <c r="C489" s="1" t="s">
        <v>1481</v>
      </c>
      <c r="D489" s="4" t="e">
        <f>VLOOKUP(A489,المعطيات!$A$1:$J$3500,5,0)</f>
        <v>#N/A</v>
      </c>
      <c r="E489" s="1" t="s">
        <v>1482</v>
      </c>
      <c r="F489" s="5">
        <f t="shared" si="21"/>
        <v>0</v>
      </c>
      <c r="G489" s="5" t="s">
        <v>1483</v>
      </c>
      <c r="H489" s="4" t="e">
        <f>VLOOKUP(A489,المعطيات!$A$1:$J$3500,3,0)</f>
        <v>#N/A</v>
      </c>
      <c r="I489" s="1" t="s">
        <v>1484</v>
      </c>
      <c r="J489" s="1" t="s">
        <v>1485</v>
      </c>
      <c r="K489" s="4" t="e">
        <f>VLOOKUP(A489,المعطيات!$A$1:$J$3500,6,0)</f>
        <v>#N/A</v>
      </c>
      <c r="L489" s="1" t="s">
        <v>1486</v>
      </c>
      <c r="M489" s="1" t="s">
        <v>1487</v>
      </c>
      <c r="N489" s="4" t="e">
        <f t="shared" si="22"/>
        <v>#N/A</v>
      </c>
      <c r="O489" s="1" t="s">
        <v>1488</v>
      </c>
      <c r="P489" s="4" t="e">
        <f>VLOOKUP(A489,المعطيات!$A$1:$J$3500,4,0)</f>
        <v>#N/A</v>
      </c>
      <c r="Q489" s="1" t="s">
        <v>1489</v>
      </c>
      <c r="R489" s="1" t="s">
        <v>1480</v>
      </c>
      <c r="S489" s="6" t="e">
        <f t="shared" si="23"/>
        <v>#N/A</v>
      </c>
    </row>
    <row r="490" spans="2:19" x14ac:dyDescent="0.25">
      <c r="B490" s="1" t="s">
        <v>1479</v>
      </c>
      <c r="C490" s="1" t="s">
        <v>1481</v>
      </c>
      <c r="D490" s="4" t="e">
        <f>VLOOKUP(A490,المعطيات!$A$1:$J$3500,5,0)</f>
        <v>#N/A</v>
      </c>
      <c r="E490" s="1" t="s">
        <v>1482</v>
      </c>
      <c r="F490" s="5">
        <f t="shared" si="21"/>
        <v>0</v>
      </c>
      <c r="G490" s="5" t="s">
        <v>1483</v>
      </c>
      <c r="H490" s="4" t="e">
        <f>VLOOKUP(A490,المعطيات!$A$1:$J$3500,3,0)</f>
        <v>#N/A</v>
      </c>
      <c r="I490" s="1" t="s">
        <v>1484</v>
      </c>
      <c r="J490" s="1" t="s">
        <v>1485</v>
      </c>
      <c r="K490" s="4" t="e">
        <f>VLOOKUP(A490,المعطيات!$A$1:$J$3500,6,0)</f>
        <v>#N/A</v>
      </c>
      <c r="L490" s="1" t="s">
        <v>1486</v>
      </c>
      <c r="M490" s="1" t="s">
        <v>1487</v>
      </c>
      <c r="N490" s="4" t="e">
        <f t="shared" si="22"/>
        <v>#N/A</v>
      </c>
      <c r="O490" s="1" t="s">
        <v>1488</v>
      </c>
      <c r="P490" s="4" t="e">
        <f>VLOOKUP(A490,المعطيات!$A$1:$J$3500,4,0)</f>
        <v>#N/A</v>
      </c>
      <c r="Q490" s="1" t="s">
        <v>1489</v>
      </c>
      <c r="R490" s="1" t="s">
        <v>1480</v>
      </c>
      <c r="S490" s="6" t="e">
        <f t="shared" si="23"/>
        <v>#N/A</v>
      </c>
    </row>
    <row r="491" spans="2:19" x14ac:dyDescent="0.25">
      <c r="B491" s="1" t="s">
        <v>1479</v>
      </c>
      <c r="C491" s="1" t="s">
        <v>1481</v>
      </c>
      <c r="D491" s="4" t="e">
        <f>VLOOKUP(A491,المعطيات!$A$1:$J$3500,5,0)</f>
        <v>#N/A</v>
      </c>
      <c r="E491" s="1" t="s">
        <v>1482</v>
      </c>
      <c r="F491" s="5">
        <f t="shared" si="21"/>
        <v>0</v>
      </c>
      <c r="G491" s="5" t="s">
        <v>1483</v>
      </c>
      <c r="H491" s="4" t="e">
        <f>VLOOKUP(A491,المعطيات!$A$1:$J$3500,3,0)</f>
        <v>#N/A</v>
      </c>
      <c r="I491" s="1" t="s">
        <v>1484</v>
      </c>
      <c r="J491" s="1" t="s">
        <v>1485</v>
      </c>
      <c r="K491" s="4" t="e">
        <f>VLOOKUP(A491,المعطيات!$A$1:$J$3500,6,0)</f>
        <v>#N/A</v>
      </c>
      <c r="L491" s="1" t="s">
        <v>1486</v>
      </c>
      <c r="M491" s="1" t="s">
        <v>1487</v>
      </c>
      <c r="N491" s="4" t="e">
        <f t="shared" si="22"/>
        <v>#N/A</v>
      </c>
      <c r="O491" s="1" t="s">
        <v>1488</v>
      </c>
      <c r="P491" s="4" t="e">
        <f>VLOOKUP(A491,المعطيات!$A$1:$J$3500,4,0)</f>
        <v>#N/A</v>
      </c>
      <c r="Q491" s="1" t="s">
        <v>1489</v>
      </c>
      <c r="R491" s="1" t="s">
        <v>1480</v>
      </c>
      <c r="S491" s="6" t="e">
        <f t="shared" si="23"/>
        <v>#N/A</v>
      </c>
    </row>
    <row r="492" spans="2:19" x14ac:dyDescent="0.25">
      <c r="B492" s="1" t="s">
        <v>1479</v>
      </c>
      <c r="C492" s="1" t="s">
        <v>1481</v>
      </c>
      <c r="D492" s="4" t="e">
        <f>VLOOKUP(A492,المعطيات!$A$1:$J$3500,5,0)</f>
        <v>#N/A</v>
      </c>
      <c r="E492" s="1" t="s">
        <v>1482</v>
      </c>
      <c r="F492" s="5">
        <f t="shared" si="21"/>
        <v>0</v>
      </c>
      <c r="G492" s="5" t="s">
        <v>1483</v>
      </c>
      <c r="H492" s="4" t="e">
        <f>VLOOKUP(A492,المعطيات!$A$1:$J$3500,3,0)</f>
        <v>#N/A</v>
      </c>
      <c r="I492" s="1" t="s">
        <v>1484</v>
      </c>
      <c r="J492" s="1" t="s">
        <v>1485</v>
      </c>
      <c r="K492" s="4" t="e">
        <f>VLOOKUP(A492,المعطيات!$A$1:$J$3500,6,0)</f>
        <v>#N/A</v>
      </c>
      <c r="L492" s="1" t="s">
        <v>1486</v>
      </c>
      <c r="M492" s="1" t="s">
        <v>1487</v>
      </c>
      <c r="N492" s="4" t="e">
        <f t="shared" si="22"/>
        <v>#N/A</v>
      </c>
      <c r="O492" s="1" t="s">
        <v>1488</v>
      </c>
      <c r="P492" s="4" t="e">
        <f>VLOOKUP(A492,المعطيات!$A$1:$J$3500,4,0)</f>
        <v>#N/A</v>
      </c>
      <c r="Q492" s="1" t="s">
        <v>1489</v>
      </c>
      <c r="R492" s="1" t="s">
        <v>1480</v>
      </c>
      <c r="S492" s="6" t="e">
        <f t="shared" si="23"/>
        <v>#N/A</v>
      </c>
    </row>
    <row r="493" spans="2:19" x14ac:dyDescent="0.25">
      <c r="B493" s="1" t="s">
        <v>1479</v>
      </c>
      <c r="C493" s="1" t="s">
        <v>1481</v>
      </c>
      <c r="D493" s="4" t="e">
        <f>VLOOKUP(A493,المعطيات!$A$1:$J$3500,5,0)</f>
        <v>#N/A</v>
      </c>
      <c r="E493" s="1" t="s">
        <v>1482</v>
      </c>
      <c r="F493" s="5">
        <f t="shared" si="21"/>
        <v>0</v>
      </c>
      <c r="G493" s="5" t="s">
        <v>1483</v>
      </c>
      <c r="H493" s="4" t="e">
        <f>VLOOKUP(A493,المعطيات!$A$1:$J$3500,3,0)</f>
        <v>#N/A</v>
      </c>
      <c r="I493" s="1" t="s">
        <v>1484</v>
      </c>
      <c r="J493" s="1" t="s">
        <v>1485</v>
      </c>
      <c r="K493" s="4" t="e">
        <f>VLOOKUP(A493,المعطيات!$A$1:$J$3500,6,0)</f>
        <v>#N/A</v>
      </c>
      <c r="L493" s="1" t="s">
        <v>1486</v>
      </c>
      <c r="M493" s="1" t="s">
        <v>1487</v>
      </c>
      <c r="N493" s="4" t="e">
        <f t="shared" si="22"/>
        <v>#N/A</v>
      </c>
      <c r="O493" s="1" t="s">
        <v>1488</v>
      </c>
      <c r="P493" s="4" t="e">
        <f>VLOOKUP(A493,المعطيات!$A$1:$J$3500,4,0)</f>
        <v>#N/A</v>
      </c>
      <c r="Q493" s="1" t="s">
        <v>1489</v>
      </c>
      <c r="R493" s="1" t="s">
        <v>1480</v>
      </c>
      <c r="S493" s="6" t="e">
        <f t="shared" si="23"/>
        <v>#N/A</v>
      </c>
    </row>
    <row r="494" spans="2:19" x14ac:dyDescent="0.25">
      <c r="B494" s="1" t="s">
        <v>1479</v>
      </c>
      <c r="C494" s="1" t="s">
        <v>1481</v>
      </c>
      <c r="D494" s="4" t="e">
        <f>VLOOKUP(A494,المعطيات!$A$1:$J$3500,5,0)</f>
        <v>#N/A</v>
      </c>
      <c r="E494" s="1" t="s">
        <v>1482</v>
      </c>
      <c r="F494" s="5">
        <f t="shared" si="21"/>
        <v>0</v>
      </c>
      <c r="G494" s="5" t="s">
        <v>1483</v>
      </c>
      <c r="H494" s="4" t="e">
        <f>VLOOKUP(A494,المعطيات!$A$1:$J$3500,3,0)</f>
        <v>#N/A</v>
      </c>
      <c r="I494" s="1" t="s">
        <v>1484</v>
      </c>
      <c r="J494" s="1" t="s">
        <v>1485</v>
      </c>
      <c r="K494" s="4" t="e">
        <f>VLOOKUP(A494,المعطيات!$A$1:$J$3500,6,0)</f>
        <v>#N/A</v>
      </c>
      <c r="L494" s="1" t="s">
        <v>1486</v>
      </c>
      <c r="M494" s="1" t="s">
        <v>1487</v>
      </c>
      <c r="N494" s="4" t="e">
        <f t="shared" si="22"/>
        <v>#N/A</v>
      </c>
      <c r="O494" s="1" t="s">
        <v>1488</v>
      </c>
      <c r="P494" s="4" t="e">
        <f>VLOOKUP(A494,المعطيات!$A$1:$J$3500,4,0)</f>
        <v>#N/A</v>
      </c>
      <c r="Q494" s="1" t="s">
        <v>1489</v>
      </c>
      <c r="R494" s="1" t="s">
        <v>1480</v>
      </c>
      <c r="S494" s="6" t="e">
        <f t="shared" si="23"/>
        <v>#N/A</v>
      </c>
    </row>
    <row r="495" spans="2:19" x14ac:dyDescent="0.25">
      <c r="B495" s="1" t="s">
        <v>1479</v>
      </c>
      <c r="C495" s="1" t="s">
        <v>1481</v>
      </c>
      <c r="D495" s="4" t="e">
        <f>VLOOKUP(A495,المعطيات!$A$1:$J$3500,5,0)</f>
        <v>#N/A</v>
      </c>
      <c r="E495" s="1" t="s">
        <v>1482</v>
      </c>
      <c r="F495" s="5">
        <f t="shared" si="21"/>
        <v>0</v>
      </c>
      <c r="G495" s="5" t="s">
        <v>1483</v>
      </c>
      <c r="H495" s="4" t="e">
        <f>VLOOKUP(A495,المعطيات!$A$1:$J$3500,3,0)</f>
        <v>#N/A</v>
      </c>
      <c r="I495" s="1" t="s">
        <v>1484</v>
      </c>
      <c r="J495" s="1" t="s">
        <v>1485</v>
      </c>
      <c r="K495" s="4" t="e">
        <f>VLOOKUP(A495,المعطيات!$A$1:$J$3500,6,0)</f>
        <v>#N/A</v>
      </c>
      <c r="L495" s="1" t="s">
        <v>1486</v>
      </c>
      <c r="M495" s="1" t="s">
        <v>1487</v>
      </c>
      <c r="N495" s="4" t="e">
        <f t="shared" si="22"/>
        <v>#N/A</v>
      </c>
      <c r="O495" s="1" t="s">
        <v>1488</v>
      </c>
      <c r="P495" s="4" t="e">
        <f>VLOOKUP(A495,المعطيات!$A$1:$J$3500,4,0)</f>
        <v>#N/A</v>
      </c>
      <c r="Q495" s="1" t="s">
        <v>1489</v>
      </c>
      <c r="R495" s="1" t="s">
        <v>1480</v>
      </c>
      <c r="S495" s="6" t="e">
        <f t="shared" si="23"/>
        <v>#N/A</v>
      </c>
    </row>
    <row r="496" spans="2:19" x14ac:dyDescent="0.25">
      <c r="B496" s="1" t="s">
        <v>1479</v>
      </c>
      <c r="C496" s="1" t="s">
        <v>1481</v>
      </c>
      <c r="D496" s="4" t="e">
        <f>VLOOKUP(A496,المعطيات!$A$1:$J$3500,5,0)</f>
        <v>#N/A</v>
      </c>
      <c r="E496" s="1" t="s">
        <v>1482</v>
      </c>
      <c r="F496" s="5">
        <f t="shared" si="21"/>
        <v>0</v>
      </c>
      <c r="G496" s="5" t="s">
        <v>1483</v>
      </c>
      <c r="H496" s="4" t="e">
        <f>VLOOKUP(A496,المعطيات!$A$1:$J$3500,3,0)</f>
        <v>#N/A</v>
      </c>
      <c r="I496" s="1" t="s">
        <v>1484</v>
      </c>
      <c r="J496" s="1" t="s">
        <v>1485</v>
      </c>
      <c r="K496" s="4" t="e">
        <f>VLOOKUP(A496,المعطيات!$A$1:$J$3500,6,0)</f>
        <v>#N/A</v>
      </c>
      <c r="L496" s="1" t="s">
        <v>1486</v>
      </c>
      <c r="M496" s="1" t="s">
        <v>1487</v>
      </c>
      <c r="N496" s="4" t="e">
        <f t="shared" si="22"/>
        <v>#N/A</v>
      </c>
      <c r="O496" s="1" t="s">
        <v>1488</v>
      </c>
      <c r="P496" s="4" t="e">
        <f>VLOOKUP(A496,المعطيات!$A$1:$J$3500,4,0)</f>
        <v>#N/A</v>
      </c>
      <c r="Q496" s="1" t="s">
        <v>1489</v>
      </c>
      <c r="R496" s="1" t="s">
        <v>1480</v>
      </c>
      <c r="S496" s="6" t="e">
        <f t="shared" si="23"/>
        <v>#N/A</v>
      </c>
    </row>
    <row r="497" spans="2:19" x14ac:dyDescent="0.25">
      <c r="B497" s="1" t="s">
        <v>1479</v>
      </c>
      <c r="C497" s="1" t="s">
        <v>1481</v>
      </c>
      <c r="D497" s="4" t="e">
        <f>VLOOKUP(A497,المعطيات!$A$1:$J$3500,5,0)</f>
        <v>#N/A</v>
      </c>
      <c r="E497" s="1" t="s">
        <v>1482</v>
      </c>
      <c r="F497" s="5">
        <f t="shared" si="21"/>
        <v>0</v>
      </c>
      <c r="G497" s="5" t="s">
        <v>1483</v>
      </c>
      <c r="H497" s="4" t="e">
        <f>VLOOKUP(A497,المعطيات!$A$1:$J$3500,3,0)</f>
        <v>#N/A</v>
      </c>
      <c r="I497" s="1" t="s">
        <v>1484</v>
      </c>
      <c r="J497" s="1" t="s">
        <v>1485</v>
      </c>
      <c r="K497" s="4" t="e">
        <f>VLOOKUP(A497,المعطيات!$A$1:$J$3500,6,0)</f>
        <v>#N/A</v>
      </c>
      <c r="L497" s="1" t="s">
        <v>1486</v>
      </c>
      <c r="M497" s="1" t="s">
        <v>1487</v>
      </c>
      <c r="N497" s="4" t="e">
        <f t="shared" si="22"/>
        <v>#N/A</v>
      </c>
      <c r="O497" s="1" t="s">
        <v>1488</v>
      </c>
      <c r="P497" s="4" t="e">
        <f>VLOOKUP(A497,المعطيات!$A$1:$J$3500,4,0)</f>
        <v>#N/A</v>
      </c>
      <c r="Q497" s="1" t="s">
        <v>1489</v>
      </c>
      <c r="R497" s="1" t="s">
        <v>1480</v>
      </c>
      <c r="S497" s="6" t="e">
        <f t="shared" si="23"/>
        <v>#N/A</v>
      </c>
    </row>
    <row r="498" spans="2:19" x14ac:dyDescent="0.25">
      <c r="B498" s="1" t="s">
        <v>1479</v>
      </c>
      <c r="C498" s="1" t="s">
        <v>1481</v>
      </c>
      <c r="D498" s="4" t="e">
        <f>VLOOKUP(A498,المعطيات!$A$1:$J$3500,5,0)</f>
        <v>#N/A</v>
      </c>
      <c r="E498" s="1" t="s">
        <v>1482</v>
      </c>
      <c r="F498" s="5">
        <f t="shared" si="21"/>
        <v>0</v>
      </c>
      <c r="G498" s="5" t="s">
        <v>1483</v>
      </c>
      <c r="H498" s="4" t="e">
        <f>VLOOKUP(A498,المعطيات!$A$1:$J$3500,3,0)</f>
        <v>#N/A</v>
      </c>
      <c r="I498" s="1" t="s">
        <v>1484</v>
      </c>
      <c r="J498" s="1" t="s">
        <v>1485</v>
      </c>
      <c r="K498" s="4" t="e">
        <f>VLOOKUP(A498,المعطيات!$A$1:$J$3500,6,0)</f>
        <v>#N/A</v>
      </c>
      <c r="L498" s="1" t="s">
        <v>1486</v>
      </c>
      <c r="M498" s="1" t="s">
        <v>1487</v>
      </c>
      <c r="N498" s="4" t="e">
        <f t="shared" si="22"/>
        <v>#N/A</v>
      </c>
      <c r="O498" s="1" t="s">
        <v>1488</v>
      </c>
      <c r="P498" s="4" t="e">
        <f>VLOOKUP(A498,المعطيات!$A$1:$J$3500,4,0)</f>
        <v>#N/A</v>
      </c>
      <c r="Q498" s="1" t="s">
        <v>1489</v>
      </c>
      <c r="R498" s="1" t="s">
        <v>1480</v>
      </c>
      <c r="S498" s="6" t="e">
        <f t="shared" si="23"/>
        <v>#N/A</v>
      </c>
    </row>
    <row r="499" spans="2:19" x14ac:dyDescent="0.25">
      <c r="B499" s="1" t="s">
        <v>1479</v>
      </c>
      <c r="C499" s="1" t="s">
        <v>1481</v>
      </c>
      <c r="D499" s="4" t="e">
        <f>VLOOKUP(A499,المعطيات!$A$1:$J$3500,5,0)</f>
        <v>#N/A</v>
      </c>
      <c r="E499" s="1" t="s">
        <v>1482</v>
      </c>
      <c r="F499" s="5">
        <f t="shared" si="21"/>
        <v>0</v>
      </c>
      <c r="G499" s="5" t="s">
        <v>1483</v>
      </c>
      <c r="H499" s="4" t="e">
        <f>VLOOKUP(A499,المعطيات!$A$1:$J$3500,3,0)</f>
        <v>#N/A</v>
      </c>
      <c r="I499" s="1" t="s">
        <v>1484</v>
      </c>
      <c r="J499" s="1" t="s">
        <v>1485</v>
      </c>
      <c r="K499" s="4" t="e">
        <f>VLOOKUP(A499,المعطيات!$A$1:$J$3500,6,0)</f>
        <v>#N/A</v>
      </c>
      <c r="L499" s="1" t="s">
        <v>1486</v>
      </c>
      <c r="M499" s="1" t="s">
        <v>1487</v>
      </c>
      <c r="N499" s="4" t="e">
        <f t="shared" si="22"/>
        <v>#N/A</v>
      </c>
      <c r="O499" s="1" t="s">
        <v>1488</v>
      </c>
      <c r="P499" s="4" t="e">
        <f>VLOOKUP(A499,المعطيات!$A$1:$J$3500,4,0)</f>
        <v>#N/A</v>
      </c>
      <c r="Q499" s="1" t="s">
        <v>1489</v>
      </c>
      <c r="R499" s="1" t="s">
        <v>1480</v>
      </c>
      <c r="S499" s="6" t="e">
        <f t="shared" si="23"/>
        <v>#N/A</v>
      </c>
    </row>
    <row r="500" spans="2:19" x14ac:dyDescent="0.25">
      <c r="B500" s="1" t="s">
        <v>1479</v>
      </c>
      <c r="C500" s="1" t="s">
        <v>1481</v>
      </c>
      <c r="D500" s="4" t="e">
        <f>VLOOKUP(A500,المعطيات!$A$1:$J$3500,5,0)</f>
        <v>#N/A</v>
      </c>
      <c r="E500" s="1" t="s">
        <v>1482</v>
      </c>
      <c r="F500" s="5">
        <f t="shared" si="21"/>
        <v>0</v>
      </c>
      <c r="G500" s="5" t="s">
        <v>1483</v>
      </c>
      <c r="H500" s="4" t="e">
        <f>VLOOKUP(A500,المعطيات!$A$1:$J$3500,3,0)</f>
        <v>#N/A</v>
      </c>
      <c r="I500" s="1" t="s">
        <v>1484</v>
      </c>
      <c r="J500" s="1" t="s">
        <v>1485</v>
      </c>
      <c r="K500" s="4" t="e">
        <f>VLOOKUP(A500,المعطيات!$A$1:$J$3500,6,0)</f>
        <v>#N/A</v>
      </c>
      <c r="L500" s="1" t="s">
        <v>1486</v>
      </c>
      <c r="M500" s="1" t="s">
        <v>1487</v>
      </c>
      <c r="N500" s="4" t="e">
        <f t="shared" si="22"/>
        <v>#N/A</v>
      </c>
      <c r="O500" s="1" t="s">
        <v>1488</v>
      </c>
      <c r="P500" s="4" t="e">
        <f>VLOOKUP(A500,المعطيات!$A$1:$J$3500,4,0)</f>
        <v>#N/A</v>
      </c>
      <c r="Q500" s="1" t="s">
        <v>1489</v>
      </c>
      <c r="R500" s="1" t="s">
        <v>1480</v>
      </c>
      <c r="S500" s="6" t="e">
        <f t="shared" si="23"/>
        <v>#N/A</v>
      </c>
    </row>
    <row r="501" spans="2:19" x14ac:dyDescent="0.25">
      <c r="B501" s="1" t="s">
        <v>1479</v>
      </c>
      <c r="C501" s="1" t="s">
        <v>1481</v>
      </c>
      <c r="D501" s="4" t="e">
        <f>VLOOKUP(A501,المعطيات!$A$1:$J$3500,5,0)</f>
        <v>#N/A</v>
      </c>
      <c r="E501" s="1" t="s">
        <v>1482</v>
      </c>
      <c r="F501" s="5">
        <f t="shared" si="21"/>
        <v>0</v>
      </c>
      <c r="G501" s="5" t="s">
        <v>1483</v>
      </c>
      <c r="H501" s="4" t="e">
        <f>VLOOKUP(A501,المعطيات!$A$1:$J$3500,3,0)</f>
        <v>#N/A</v>
      </c>
      <c r="I501" s="1" t="s">
        <v>1484</v>
      </c>
      <c r="J501" s="1" t="s">
        <v>1485</v>
      </c>
      <c r="K501" s="4" t="e">
        <f>VLOOKUP(A501,المعطيات!$A$1:$J$3500,6,0)</f>
        <v>#N/A</v>
      </c>
      <c r="L501" s="1" t="s">
        <v>1486</v>
      </c>
      <c r="M501" s="1" t="s">
        <v>1487</v>
      </c>
      <c r="N501" s="4" t="e">
        <f t="shared" si="22"/>
        <v>#N/A</v>
      </c>
      <c r="O501" s="1" t="s">
        <v>1488</v>
      </c>
      <c r="P501" s="4" t="e">
        <f>VLOOKUP(A501,المعطيات!$A$1:$J$3500,4,0)</f>
        <v>#N/A</v>
      </c>
      <c r="Q501" s="1" t="s">
        <v>1489</v>
      </c>
      <c r="R501" s="1" t="s">
        <v>1480</v>
      </c>
      <c r="S501" s="6" t="e">
        <f t="shared" si="23"/>
        <v>#N/A</v>
      </c>
    </row>
    <row r="502" spans="2:19" x14ac:dyDescent="0.25">
      <c r="B502" s="1" t="s">
        <v>1479</v>
      </c>
      <c r="C502" s="1" t="s">
        <v>1481</v>
      </c>
      <c r="D502" s="4" t="e">
        <f>VLOOKUP(A502,المعطيات!$A$1:$J$3500,5,0)</f>
        <v>#N/A</v>
      </c>
      <c r="E502" s="1" t="s">
        <v>1482</v>
      </c>
      <c r="F502" s="5">
        <f t="shared" si="21"/>
        <v>0</v>
      </c>
      <c r="G502" s="5" t="s">
        <v>1483</v>
      </c>
      <c r="H502" s="4" t="e">
        <f>VLOOKUP(A502,المعطيات!$A$1:$J$3500,3,0)</f>
        <v>#N/A</v>
      </c>
      <c r="I502" s="1" t="s">
        <v>1484</v>
      </c>
      <c r="J502" s="1" t="s">
        <v>1485</v>
      </c>
      <c r="K502" s="4" t="e">
        <f>VLOOKUP(A502,المعطيات!$A$1:$J$3500,6,0)</f>
        <v>#N/A</v>
      </c>
      <c r="L502" s="1" t="s">
        <v>1486</v>
      </c>
      <c r="M502" s="1" t="s">
        <v>1487</v>
      </c>
      <c r="N502" s="4" t="e">
        <f t="shared" si="22"/>
        <v>#N/A</v>
      </c>
      <c r="O502" s="1" t="s">
        <v>1488</v>
      </c>
      <c r="P502" s="4" t="e">
        <f>VLOOKUP(A502,المعطيات!$A$1:$J$3500,4,0)</f>
        <v>#N/A</v>
      </c>
      <c r="Q502" s="1" t="s">
        <v>1489</v>
      </c>
      <c r="R502" s="1" t="s">
        <v>1480</v>
      </c>
      <c r="S502" s="6" t="e">
        <f t="shared" si="23"/>
        <v>#N/A</v>
      </c>
    </row>
    <row r="503" spans="2:19" x14ac:dyDescent="0.25">
      <c r="B503" s="1" t="s">
        <v>1479</v>
      </c>
      <c r="C503" s="1" t="s">
        <v>1481</v>
      </c>
      <c r="D503" s="4" t="e">
        <f>VLOOKUP(A503,المعطيات!$A$1:$J$3500,5,0)</f>
        <v>#N/A</v>
      </c>
      <c r="E503" s="1" t="s">
        <v>1482</v>
      </c>
      <c r="F503" s="5">
        <f t="shared" si="21"/>
        <v>0</v>
      </c>
      <c r="G503" s="5" t="s">
        <v>1483</v>
      </c>
      <c r="H503" s="4" t="e">
        <f>VLOOKUP(A503,المعطيات!$A$1:$J$3500,3,0)</f>
        <v>#N/A</v>
      </c>
      <c r="I503" s="1" t="s">
        <v>1484</v>
      </c>
      <c r="J503" s="1" t="s">
        <v>1485</v>
      </c>
      <c r="K503" s="4" t="e">
        <f>VLOOKUP(A503,المعطيات!$A$1:$J$3500,6,0)</f>
        <v>#N/A</v>
      </c>
      <c r="L503" s="1" t="s">
        <v>1486</v>
      </c>
      <c r="M503" s="1" t="s">
        <v>1487</v>
      </c>
      <c r="N503" s="4" t="e">
        <f t="shared" si="22"/>
        <v>#N/A</v>
      </c>
      <c r="O503" s="1" t="s">
        <v>1488</v>
      </c>
      <c r="P503" s="4" t="e">
        <f>VLOOKUP(A503,المعطيات!$A$1:$J$3500,4,0)</f>
        <v>#N/A</v>
      </c>
      <c r="Q503" s="1" t="s">
        <v>1489</v>
      </c>
      <c r="R503" s="1" t="s">
        <v>1480</v>
      </c>
      <c r="S503" s="6" t="e">
        <f t="shared" si="23"/>
        <v>#N/A</v>
      </c>
    </row>
    <row r="504" spans="2:19" x14ac:dyDescent="0.25">
      <c r="B504" s="1" t="s">
        <v>1479</v>
      </c>
      <c r="C504" s="1" t="s">
        <v>1481</v>
      </c>
      <c r="D504" s="4" t="e">
        <f>VLOOKUP(A504,المعطيات!$A$1:$J$3500,5,0)</f>
        <v>#N/A</v>
      </c>
      <c r="E504" s="1" t="s">
        <v>1482</v>
      </c>
      <c r="F504" s="5">
        <f t="shared" si="21"/>
        <v>0</v>
      </c>
      <c r="G504" s="5" t="s">
        <v>1483</v>
      </c>
      <c r="H504" s="4" t="e">
        <f>VLOOKUP(A504,المعطيات!$A$1:$J$3500,3,0)</f>
        <v>#N/A</v>
      </c>
      <c r="I504" s="1" t="s">
        <v>1484</v>
      </c>
      <c r="J504" s="1" t="s">
        <v>1485</v>
      </c>
      <c r="K504" s="4" t="e">
        <f>VLOOKUP(A504,المعطيات!$A$1:$J$3500,6,0)</f>
        <v>#N/A</v>
      </c>
      <c r="L504" s="1" t="s">
        <v>1486</v>
      </c>
      <c r="M504" s="1" t="s">
        <v>1487</v>
      </c>
      <c r="N504" s="4" t="e">
        <f t="shared" si="22"/>
        <v>#N/A</v>
      </c>
      <c r="O504" s="1" t="s">
        <v>1488</v>
      </c>
      <c r="P504" s="4" t="e">
        <f>VLOOKUP(A504,المعطيات!$A$1:$J$3500,4,0)</f>
        <v>#N/A</v>
      </c>
      <c r="Q504" s="1" t="s">
        <v>1489</v>
      </c>
      <c r="R504" s="1" t="s">
        <v>1480</v>
      </c>
      <c r="S504" s="6" t="e">
        <f t="shared" si="23"/>
        <v>#N/A</v>
      </c>
    </row>
    <row r="505" spans="2:19" x14ac:dyDescent="0.25">
      <c r="B505" s="1" t="s">
        <v>1479</v>
      </c>
      <c r="C505" s="1" t="s">
        <v>1481</v>
      </c>
      <c r="D505" s="4" t="e">
        <f>VLOOKUP(A505,المعطيات!$A$1:$J$3500,5,0)</f>
        <v>#N/A</v>
      </c>
      <c r="E505" s="1" t="s">
        <v>1482</v>
      </c>
      <c r="F505" s="5">
        <f t="shared" si="21"/>
        <v>0</v>
      </c>
      <c r="G505" s="5" t="s">
        <v>1483</v>
      </c>
      <c r="H505" s="4" t="e">
        <f>VLOOKUP(A505,المعطيات!$A$1:$J$3500,3,0)</f>
        <v>#N/A</v>
      </c>
      <c r="I505" s="1" t="s">
        <v>1484</v>
      </c>
      <c r="J505" s="1" t="s">
        <v>1485</v>
      </c>
      <c r="K505" s="4" t="e">
        <f>VLOOKUP(A505,المعطيات!$A$1:$J$3500,6,0)</f>
        <v>#N/A</v>
      </c>
      <c r="L505" s="1" t="s">
        <v>1486</v>
      </c>
      <c r="M505" s="1" t="s">
        <v>1487</v>
      </c>
      <c r="N505" s="4" t="e">
        <f t="shared" si="22"/>
        <v>#N/A</v>
      </c>
      <c r="O505" s="1" t="s">
        <v>1488</v>
      </c>
      <c r="P505" s="4" t="e">
        <f>VLOOKUP(A505,المعطيات!$A$1:$J$3500,4,0)</f>
        <v>#N/A</v>
      </c>
      <c r="Q505" s="1" t="s">
        <v>1489</v>
      </c>
      <c r="R505" s="1" t="s">
        <v>1480</v>
      </c>
      <c r="S505" s="6" t="e">
        <f t="shared" si="23"/>
        <v>#N/A</v>
      </c>
    </row>
    <row r="506" spans="2:19" x14ac:dyDescent="0.25">
      <c r="B506" s="1" t="s">
        <v>1479</v>
      </c>
      <c r="C506" s="1" t="s">
        <v>1481</v>
      </c>
      <c r="D506" s="4" t="e">
        <f>VLOOKUP(A506,المعطيات!$A$1:$J$3500,5,0)</f>
        <v>#N/A</v>
      </c>
      <c r="E506" s="1" t="s">
        <v>1482</v>
      </c>
      <c r="F506" s="5">
        <f t="shared" si="21"/>
        <v>0</v>
      </c>
      <c r="G506" s="5" t="s">
        <v>1483</v>
      </c>
      <c r="H506" s="4" t="e">
        <f>VLOOKUP(A506,المعطيات!$A$1:$J$3500,3,0)</f>
        <v>#N/A</v>
      </c>
      <c r="I506" s="1" t="s">
        <v>1484</v>
      </c>
      <c r="J506" s="1" t="s">
        <v>1485</v>
      </c>
      <c r="K506" s="4" t="e">
        <f>VLOOKUP(A506,المعطيات!$A$1:$J$3500,6,0)</f>
        <v>#N/A</v>
      </c>
      <c r="L506" s="1" t="s">
        <v>1486</v>
      </c>
      <c r="M506" s="1" t="s">
        <v>1487</v>
      </c>
      <c r="N506" s="4" t="e">
        <f t="shared" si="22"/>
        <v>#N/A</v>
      </c>
      <c r="O506" s="1" t="s">
        <v>1488</v>
      </c>
      <c r="P506" s="4" t="e">
        <f>VLOOKUP(A506,المعطيات!$A$1:$J$3500,4,0)</f>
        <v>#N/A</v>
      </c>
      <c r="Q506" s="1" t="s">
        <v>1489</v>
      </c>
      <c r="R506" s="1" t="s">
        <v>1480</v>
      </c>
      <c r="S506" s="6" t="e">
        <f t="shared" si="23"/>
        <v>#N/A</v>
      </c>
    </row>
    <row r="507" spans="2:19" x14ac:dyDescent="0.25">
      <c r="B507" s="1" t="s">
        <v>1479</v>
      </c>
      <c r="C507" s="1" t="s">
        <v>1481</v>
      </c>
      <c r="D507" s="4" t="e">
        <f>VLOOKUP(A507,المعطيات!$A$1:$J$3500,5,0)</f>
        <v>#N/A</v>
      </c>
      <c r="E507" s="1" t="s">
        <v>1482</v>
      </c>
      <c r="F507" s="5">
        <f t="shared" si="21"/>
        <v>0</v>
      </c>
      <c r="G507" s="5" t="s">
        <v>1483</v>
      </c>
      <c r="H507" s="4" t="e">
        <f>VLOOKUP(A507,المعطيات!$A$1:$J$3500,3,0)</f>
        <v>#N/A</v>
      </c>
      <c r="I507" s="1" t="s">
        <v>1484</v>
      </c>
      <c r="J507" s="1" t="s">
        <v>1485</v>
      </c>
      <c r="K507" s="4" t="e">
        <f>VLOOKUP(A507,المعطيات!$A$1:$J$3500,6,0)</f>
        <v>#N/A</v>
      </c>
      <c r="L507" s="1" t="s">
        <v>1486</v>
      </c>
      <c r="M507" s="1" t="s">
        <v>1487</v>
      </c>
      <c r="N507" s="4" t="e">
        <f t="shared" si="22"/>
        <v>#N/A</v>
      </c>
      <c r="O507" s="1" t="s">
        <v>1488</v>
      </c>
      <c r="P507" s="4" t="e">
        <f>VLOOKUP(A507,المعطيات!$A$1:$J$3500,4,0)</f>
        <v>#N/A</v>
      </c>
      <c r="Q507" s="1" t="s">
        <v>1489</v>
      </c>
      <c r="R507" s="1" t="s">
        <v>1480</v>
      </c>
      <c r="S507" s="6" t="e">
        <f t="shared" si="23"/>
        <v>#N/A</v>
      </c>
    </row>
    <row r="508" spans="2:19" x14ac:dyDescent="0.25">
      <c r="B508" s="1" t="s">
        <v>1479</v>
      </c>
      <c r="C508" s="1" t="s">
        <v>1481</v>
      </c>
      <c r="D508" s="4" t="e">
        <f>VLOOKUP(A508,المعطيات!$A$1:$J$3500,5,0)</f>
        <v>#N/A</v>
      </c>
      <c r="E508" s="1" t="s">
        <v>1482</v>
      </c>
      <c r="F508" s="5">
        <f t="shared" si="21"/>
        <v>0</v>
      </c>
      <c r="G508" s="5" t="s">
        <v>1483</v>
      </c>
      <c r="H508" s="4" t="e">
        <f>VLOOKUP(A508,المعطيات!$A$1:$J$3500,3,0)</f>
        <v>#N/A</v>
      </c>
      <c r="I508" s="1" t="s">
        <v>1484</v>
      </c>
      <c r="J508" s="1" t="s">
        <v>1485</v>
      </c>
      <c r="K508" s="4" t="e">
        <f>VLOOKUP(A508,المعطيات!$A$1:$J$3500,6,0)</f>
        <v>#N/A</v>
      </c>
      <c r="L508" s="1" t="s">
        <v>1486</v>
      </c>
      <c r="M508" s="1" t="s">
        <v>1487</v>
      </c>
      <c r="N508" s="4" t="e">
        <f t="shared" si="22"/>
        <v>#N/A</v>
      </c>
      <c r="O508" s="1" t="s">
        <v>1488</v>
      </c>
      <c r="P508" s="4" t="e">
        <f>VLOOKUP(A508,المعطيات!$A$1:$J$3500,4,0)</f>
        <v>#N/A</v>
      </c>
      <c r="Q508" s="1" t="s">
        <v>1489</v>
      </c>
      <c r="R508" s="1" t="s">
        <v>1480</v>
      </c>
      <c r="S508" s="6" t="e">
        <f t="shared" si="23"/>
        <v>#N/A</v>
      </c>
    </row>
    <row r="509" spans="2:19" x14ac:dyDescent="0.25">
      <c r="B509" s="1" t="s">
        <v>1479</v>
      </c>
      <c r="C509" s="1" t="s">
        <v>1481</v>
      </c>
      <c r="D509" s="4" t="e">
        <f>VLOOKUP(A509,المعطيات!$A$1:$J$3500,5,0)</f>
        <v>#N/A</v>
      </c>
      <c r="E509" s="1" t="s">
        <v>1482</v>
      </c>
      <c r="F509" s="5">
        <f t="shared" si="21"/>
        <v>0</v>
      </c>
      <c r="G509" s="5" t="s">
        <v>1483</v>
      </c>
      <c r="H509" s="4" t="e">
        <f>VLOOKUP(A509,المعطيات!$A$1:$J$3500,3,0)</f>
        <v>#N/A</v>
      </c>
      <c r="I509" s="1" t="s">
        <v>1484</v>
      </c>
      <c r="J509" s="1" t="s">
        <v>1485</v>
      </c>
      <c r="K509" s="4" t="e">
        <f>VLOOKUP(A509,المعطيات!$A$1:$J$3500,6,0)</f>
        <v>#N/A</v>
      </c>
      <c r="L509" s="1" t="s">
        <v>1486</v>
      </c>
      <c r="M509" s="1" t="s">
        <v>1487</v>
      </c>
      <c r="N509" s="4" t="e">
        <f t="shared" si="22"/>
        <v>#N/A</v>
      </c>
      <c r="O509" s="1" t="s">
        <v>1488</v>
      </c>
      <c r="P509" s="4" t="e">
        <f>VLOOKUP(A509,المعطيات!$A$1:$J$3500,4,0)</f>
        <v>#N/A</v>
      </c>
      <c r="Q509" s="1" t="s">
        <v>1489</v>
      </c>
      <c r="R509" s="1" t="s">
        <v>1480</v>
      </c>
      <c r="S509" s="6" t="e">
        <f t="shared" si="23"/>
        <v>#N/A</v>
      </c>
    </row>
    <row r="510" spans="2:19" x14ac:dyDescent="0.25">
      <c r="B510" s="1" t="s">
        <v>1479</v>
      </c>
      <c r="C510" s="1" t="s">
        <v>1481</v>
      </c>
      <c r="D510" s="4" t="e">
        <f>VLOOKUP(A510,المعطيات!$A$1:$J$3500,5,0)</f>
        <v>#N/A</v>
      </c>
      <c r="E510" s="1" t="s">
        <v>1482</v>
      </c>
      <c r="F510" s="5">
        <f t="shared" si="21"/>
        <v>0</v>
      </c>
      <c r="G510" s="5" t="s">
        <v>1483</v>
      </c>
      <c r="H510" s="4" t="e">
        <f>VLOOKUP(A510,المعطيات!$A$1:$J$3500,3,0)</f>
        <v>#N/A</v>
      </c>
      <c r="I510" s="1" t="s">
        <v>1484</v>
      </c>
      <c r="J510" s="1" t="s">
        <v>1485</v>
      </c>
      <c r="K510" s="4" t="e">
        <f>VLOOKUP(A510,المعطيات!$A$1:$J$3500,6,0)</f>
        <v>#N/A</v>
      </c>
      <c r="L510" s="1" t="s">
        <v>1486</v>
      </c>
      <c r="M510" s="1" t="s">
        <v>1487</v>
      </c>
      <c r="N510" s="4" t="e">
        <f t="shared" si="22"/>
        <v>#N/A</v>
      </c>
      <c r="O510" s="1" t="s">
        <v>1488</v>
      </c>
      <c r="P510" s="4" t="e">
        <f>VLOOKUP(A510,المعطيات!$A$1:$J$3500,4,0)</f>
        <v>#N/A</v>
      </c>
      <c r="Q510" s="1" t="s">
        <v>1489</v>
      </c>
      <c r="R510" s="1" t="s">
        <v>1480</v>
      </c>
      <c r="S510" s="6" t="e">
        <f t="shared" si="23"/>
        <v>#N/A</v>
      </c>
    </row>
    <row r="511" spans="2:19" x14ac:dyDescent="0.25">
      <c r="B511" s="1" t="s">
        <v>1479</v>
      </c>
      <c r="C511" s="1" t="s">
        <v>1481</v>
      </c>
      <c r="D511" s="4" t="e">
        <f>VLOOKUP(A511,المعطيات!$A$1:$J$3500,5,0)</f>
        <v>#N/A</v>
      </c>
      <c r="E511" s="1" t="s">
        <v>1482</v>
      </c>
      <c r="F511" s="5">
        <f t="shared" si="21"/>
        <v>0</v>
      </c>
      <c r="G511" s="5" t="s">
        <v>1483</v>
      </c>
      <c r="H511" s="4" t="e">
        <f>VLOOKUP(A511,المعطيات!$A$1:$J$3500,3,0)</f>
        <v>#N/A</v>
      </c>
      <c r="I511" s="1" t="s">
        <v>1484</v>
      </c>
      <c r="J511" s="1" t="s">
        <v>1485</v>
      </c>
      <c r="K511" s="4" t="e">
        <f>VLOOKUP(A511,المعطيات!$A$1:$J$3500,6,0)</f>
        <v>#N/A</v>
      </c>
      <c r="L511" s="1" t="s">
        <v>1486</v>
      </c>
      <c r="M511" s="1" t="s">
        <v>1487</v>
      </c>
      <c r="N511" s="4" t="e">
        <f t="shared" si="22"/>
        <v>#N/A</v>
      </c>
      <c r="O511" s="1" t="s">
        <v>1488</v>
      </c>
      <c r="P511" s="4" t="e">
        <f>VLOOKUP(A511,المعطيات!$A$1:$J$3500,4,0)</f>
        <v>#N/A</v>
      </c>
      <c r="Q511" s="1" t="s">
        <v>1489</v>
      </c>
      <c r="R511" s="1" t="s">
        <v>1480</v>
      </c>
      <c r="S511" s="6" t="e">
        <f t="shared" si="23"/>
        <v>#N/A</v>
      </c>
    </row>
    <row r="512" spans="2:19" x14ac:dyDescent="0.25">
      <c r="B512" s="1" t="s">
        <v>1479</v>
      </c>
      <c r="C512" s="1" t="s">
        <v>1481</v>
      </c>
      <c r="D512" s="4" t="e">
        <f>VLOOKUP(A512,المعطيات!$A$1:$J$3500,5,0)</f>
        <v>#N/A</v>
      </c>
      <c r="E512" s="1" t="s">
        <v>1482</v>
      </c>
      <c r="F512" s="5">
        <f t="shared" si="21"/>
        <v>0</v>
      </c>
      <c r="G512" s="5" t="s">
        <v>1483</v>
      </c>
      <c r="H512" s="4" t="e">
        <f>VLOOKUP(A512,المعطيات!$A$1:$J$3500,3,0)</f>
        <v>#N/A</v>
      </c>
      <c r="I512" s="1" t="s">
        <v>1484</v>
      </c>
      <c r="J512" s="1" t="s">
        <v>1485</v>
      </c>
      <c r="K512" s="4" t="e">
        <f>VLOOKUP(A512,المعطيات!$A$1:$J$3500,6,0)</f>
        <v>#N/A</v>
      </c>
      <c r="L512" s="1" t="s">
        <v>1486</v>
      </c>
      <c r="M512" s="1" t="s">
        <v>1487</v>
      </c>
      <c r="N512" s="4" t="e">
        <f t="shared" si="22"/>
        <v>#N/A</v>
      </c>
      <c r="O512" s="1" t="s">
        <v>1488</v>
      </c>
      <c r="P512" s="4" t="e">
        <f>VLOOKUP(A512,المعطيات!$A$1:$J$3500,4,0)</f>
        <v>#N/A</v>
      </c>
      <c r="Q512" s="1" t="s">
        <v>1489</v>
      </c>
      <c r="R512" s="1" t="s">
        <v>1480</v>
      </c>
      <c r="S512" s="6" t="e">
        <f t="shared" si="23"/>
        <v>#N/A</v>
      </c>
    </row>
    <row r="513" spans="2:19" x14ac:dyDescent="0.25">
      <c r="B513" s="1" t="s">
        <v>1479</v>
      </c>
      <c r="C513" s="1" t="s">
        <v>1481</v>
      </c>
      <c r="D513" s="4" t="e">
        <f>VLOOKUP(A513,المعطيات!$A$1:$J$3500,5,0)</f>
        <v>#N/A</v>
      </c>
      <c r="E513" s="1" t="s">
        <v>1482</v>
      </c>
      <c r="F513" s="5">
        <f t="shared" si="21"/>
        <v>0</v>
      </c>
      <c r="G513" s="5" t="s">
        <v>1483</v>
      </c>
      <c r="H513" s="4" t="e">
        <f>VLOOKUP(A513,المعطيات!$A$1:$J$3500,3,0)</f>
        <v>#N/A</v>
      </c>
      <c r="I513" s="1" t="s">
        <v>1484</v>
      </c>
      <c r="J513" s="1" t="s">
        <v>1485</v>
      </c>
      <c r="K513" s="4" t="e">
        <f>VLOOKUP(A513,المعطيات!$A$1:$J$3500,6,0)</f>
        <v>#N/A</v>
      </c>
      <c r="L513" s="1" t="s">
        <v>1486</v>
      </c>
      <c r="M513" s="1" t="s">
        <v>1487</v>
      </c>
      <c r="N513" s="4" t="e">
        <f t="shared" si="22"/>
        <v>#N/A</v>
      </c>
      <c r="O513" s="1" t="s">
        <v>1488</v>
      </c>
      <c r="P513" s="4" t="e">
        <f>VLOOKUP(A513,المعطيات!$A$1:$J$3500,4,0)</f>
        <v>#N/A</v>
      </c>
      <c r="Q513" s="1" t="s">
        <v>1489</v>
      </c>
      <c r="R513" s="1" t="s">
        <v>1480</v>
      </c>
      <c r="S513" s="6" t="e">
        <f t="shared" si="23"/>
        <v>#N/A</v>
      </c>
    </row>
    <row r="514" spans="2:19" x14ac:dyDescent="0.25">
      <c r="B514" s="1" t="s">
        <v>1479</v>
      </c>
      <c r="C514" s="1" t="s">
        <v>1481</v>
      </c>
      <c r="D514" s="4" t="e">
        <f>VLOOKUP(A514,المعطيات!$A$1:$J$3500,5,0)</f>
        <v>#N/A</v>
      </c>
      <c r="E514" s="1" t="s">
        <v>1482</v>
      </c>
      <c r="F514" s="5">
        <f t="shared" ref="F514:F577" si="24">A514</f>
        <v>0</v>
      </c>
      <c r="G514" s="5" t="s">
        <v>1483</v>
      </c>
      <c r="H514" s="4" t="e">
        <f>VLOOKUP(A514,المعطيات!$A$1:$J$3500,3,0)</f>
        <v>#N/A</v>
      </c>
      <c r="I514" s="1" t="s">
        <v>1484</v>
      </c>
      <c r="J514" s="1" t="s">
        <v>1485</v>
      </c>
      <c r="K514" s="4" t="e">
        <f>VLOOKUP(A514,المعطيات!$A$1:$J$3500,6,0)</f>
        <v>#N/A</v>
      </c>
      <c r="L514" s="1" t="s">
        <v>1486</v>
      </c>
      <c r="M514" s="1" t="s">
        <v>1487</v>
      </c>
      <c r="N514" s="4" t="e">
        <f t="shared" ref="N514:N577" si="25">D514</f>
        <v>#N/A</v>
      </c>
      <c r="O514" s="1" t="s">
        <v>1488</v>
      </c>
      <c r="P514" s="4" t="e">
        <f>VLOOKUP(A514,المعطيات!$A$1:$J$3500,4,0)</f>
        <v>#N/A</v>
      </c>
      <c r="Q514" s="1" t="s">
        <v>1489</v>
      </c>
      <c r="R514" s="1" t="s">
        <v>1480</v>
      </c>
      <c r="S514" s="6" t="e">
        <f t="shared" ref="S514:S577" si="26">B514&amp;""&amp;C514&amp;""&amp;D514&amp;""&amp;E514&amp;""&amp;F514&amp;""&amp;G514&amp;""&amp;H514&amp;""&amp;I514&amp;""&amp;J514&amp;""&amp;K514&amp;""&amp;L514&amp;""&amp;M514&amp;""&amp;N514&amp;""&amp;O514&amp;""&amp;P514&amp;""&amp;Q514&amp;""&amp;R514</f>
        <v>#N/A</v>
      </c>
    </row>
    <row r="515" spans="2:19" x14ac:dyDescent="0.25">
      <c r="B515" s="1" t="s">
        <v>1479</v>
      </c>
      <c r="C515" s="1" t="s">
        <v>1481</v>
      </c>
      <c r="D515" s="4" t="e">
        <f>VLOOKUP(A515,المعطيات!$A$1:$J$3500,5,0)</f>
        <v>#N/A</v>
      </c>
      <c r="E515" s="1" t="s">
        <v>1482</v>
      </c>
      <c r="F515" s="5">
        <f t="shared" si="24"/>
        <v>0</v>
      </c>
      <c r="G515" s="5" t="s">
        <v>1483</v>
      </c>
      <c r="H515" s="4" t="e">
        <f>VLOOKUP(A515,المعطيات!$A$1:$J$3500,3,0)</f>
        <v>#N/A</v>
      </c>
      <c r="I515" s="1" t="s">
        <v>1484</v>
      </c>
      <c r="J515" s="1" t="s">
        <v>1485</v>
      </c>
      <c r="K515" s="4" t="e">
        <f>VLOOKUP(A515,المعطيات!$A$1:$J$3500,6,0)</f>
        <v>#N/A</v>
      </c>
      <c r="L515" s="1" t="s">
        <v>1486</v>
      </c>
      <c r="M515" s="1" t="s">
        <v>1487</v>
      </c>
      <c r="N515" s="4" t="e">
        <f t="shared" si="25"/>
        <v>#N/A</v>
      </c>
      <c r="O515" s="1" t="s">
        <v>1488</v>
      </c>
      <c r="P515" s="4" t="e">
        <f>VLOOKUP(A515,المعطيات!$A$1:$J$3500,4,0)</f>
        <v>#N/A</v>
      </c>
      <c r="Q515" s="1" t="s">
        <v>1489</v>
      </c>
      <c r="R515" s="1" t="s">
        <v>1480</v>
      </c>
      <c r="S515" s="6" t="e">
        <f t="shared" si="26"/>
        <v>#N/A</v>
      </c>
    </row>
    <row r="516" spans="2:19" x14ac:dyDescent="0.25">
      <c r="B516" s="1" t="s">
        <v>1479</v>
      </c>
      <c r="C516" s="1" t="s">
        <v>1481</v>
      </c>
      <c r="D516" s="4" t="e">
        <f>VLOOKUP(A516,المعطيات!$A$1:$J$3500,5,0)</f>
        <v>#N/A</v>
      </c>
      <c r="E516" s="1" t="s">
        <v>1482</v>
      </c>
      <c r="F516" s="5">
        <f t="shared" si="24"/>
        <v>0</v>
      </c>
      <c r="G516" s="5" t="s">
        <v>1483</v>
      </c>
      <c r="H516" s="4" t="e">
        <f>VLOOKUP(A516,المعطيات!$A$1:$J$3500,3,0)</f>
        <v>#N/A</v>
      </c>
      <c r="I516" s="1" t="s">
        <v>1484</v>
      </c>
      <c r="J516" s="1" t="s">
        <v>1485</v>
      </c>
      <c r="K516" s="4" t="e">
        <f>VLOOKUP(A516,المعطيات!$A$1:$J$3500,6,0)</f>
        <v>#N/A</v>
      </c>
      <c r="L516" s="1" t="s">
        <v>1486</v>
      </c>
      <c r="M516" s="1" t="s">
        <v>1487</v>
      </c>
      <c r="N516" s="4" t="e">
        <f t="shared" si="25"/>
        <v>#N/A</v>
      </c>
      <c r="O516" s="1" t="s">
        <v>1488</v>
      </c>
      <c r="P516" s="4" t="e">
        <f>VLOOKUP(A516,المعطيات!$A$1:$J$3500,4,0)</f>
        <v>#N/A</v>
      </c>
      <c r="Q516" s="1" t="s">
        <v>1489</v>
      </c>
      <c r="R516" s="1" t="s">
        <v>1480</v>
      </c>
      <c r="S516" s="6" t="e">
        <f t="shared" si="26"/>
        <v>#N/A</v>
      </c>
    </row>
    <row r="517" spans="2:19" x14ac:dyDescent="0.25">
      <c r="B517" s="1" t="s">
        <v>1479</v>
      </c>
      <c r="C517" s="1" t="s">
        <v>1481</v>
      </c>
      <c r="D517" s="4" t="e">
        <f>VLOOKUP(A517,المعطيات!$A$1:$J$3500,5,0)</f>
        <v>#N/A</v>
      </c>
      <c r="E517" s="1" t="s">
        <v>1482</v>
      </c>
      <c r="F517" s="5">
        <f t="shared" si="24"/>
        <v>0</v>
      </c>
      <c r="G517" s="5" t="s">
        <v>1483</v>
      </c>
      <c r="H517" s="4" t="e">
        <f>VLOOKUP(A517,المعطيات!$A$1:$J$3500,3,0)</f>
        <v>#N/A</v>
      </c>
      <c r="I517" s="1" t="s">
        <v>1484</v>
      </c>
      <c r="J517" s="1" t="s">
        <v>1485</v>
      </c>
      <c r="K517" s="4" t="e">
        <f>VLOOKUP(A517,المعطيات!$A$1:$J$3500,6,0)</f>
        <v>#N/A</v>
      </c>
      <c r="L517" s="1" t="s">
        <v>1486</v>
      </c>
      <c r="M517" s="1" t="s">
        <v>1487</v>
      </c>
      <c r="N517" s="4" t="e">
        <f t="shared" si="25"/>
        <v>#N/A</v>
      </c>
      <c r="O517" s="1" t="s">
        <v>1488</v>
      </c>
      <c r="P517" s="4" t="e">
        <f>VLOOKUP(A517,المعطيات!$A$1:$J$3500,4,0)</f>
        <v>#N/A</v>
      </c>
      <c r="Q517" s="1" t="s">
        <v>1489</v>
      </c>
      <c r="R517" s="1" t="s">
        <v>1480</v>
      </c>
      <c r="S517" s="6" t="e">
        <f t="shared" si="26"/>
        <v>#N/A</v>
      </c>
    </row>
    <row r="518" spans="2:19" x14ac:dyDescent="0.25">
      <c r="B518" s="1" t="s">
        <v>1479</v>
      </c>
      <c r="C518" s="1" t="s">
        <v>1481</v>
      </c>
      <c r="D518" s="4" t="e">
        <f>VLOOKUP(A518,المعطيات!$A$1:$J$3500,5,0)</f>
        <v>#N/A</v>
      </c>
      <c r="E518" s="1" t="s">
        <v>1482</v>
      </c>
      <c r="F518" s="5">
        <f t="shared" si="24"/>
        <v>0</v>
      </c>
      <c r="G518" s="5" t="s">
        <v>1483</v>
      </c>
      <c r="H518" s="4" t="e">
        <f>VLOOKUP(A518,المعطيات!$A$1:$J$3500,3,0)</f>
        <v>#N/A</v>
      </c>
      <c r="I518" s="1" t="s">
        <v>1484</v>
      </c>
      <c r="J518" s="1" t="s">
        <v>1485</v>
      </c>
      <c r="K518" s="4" t="e">
        <f>VLOOKUP(A518,المعطيات!$A$1:$J$3500,6,0)</f>
        <v>#N/A</v>
      </c>
      <c r="L518" s="1" t="s">
        <v>1486</v>
      </c>
      <c r="M518" s="1" t="s">
        <v>1487</v>
      </c>
      <c r="N518" s="4" t="e">
        <f t="shared" si="25"/>
        <v>#N/A</v>
      </c>
      <c r="O518" s="1" t="s">
        <v>1488</v>
      </c>
      <c r="P518" s="4" t="e">
        <f>VLOOKUP(A518,المعطيات!$A$1:$J$3500,4,0)</f>
        <v>#N/A</v>
      </c>
      <c r="Q518" s="1" t="s">
        <v>1489</v>
      </c>
      <c r="R518" s="1" t="s">
        <v>1480</v>
      </c>
      <c r="S518" s="6" t="e">
        <f t="shared" si="26"/>
        <v>#N/A</v>
      </c>
    </row>
    <row r="519" spans="2:19" x14ac:dyDescent="0.25">
      <c r="B519" s="1" t="s">
        <v>1479</v>
      </c>
      <c r="C519" s="1" t="s">
        <v>1481</v>
      </c>
      <c r="D519" s="4" t="e">
        <f>VLOOKUP(A519,المعطيات!$A$1:$J$3500,5,0)</f>
        <v>#N/A</v>
      </c>
      <c r="E519" s="1" t="s">
        <v>1482</v>
      </c>
      <c r="F519" s="5">
        <f t="shared" si="24"/>
        <v>0</v>
      </c>
      <c r="G519" s="5" t="s">
        <v>1483</v>
      </c>
      <c r="H519" s="4" t="e">
        <f>VLOOKUP(A519,المعطيات!$A$1:$J$3500,3,0)</f>
        <v>#N/A</v>
      </c>
      <c r="I519" s="1" t="s">
        <v>1484</v>
      </c>
      <c r="J519" s="1" t="s">
        <v>1485</v>
      </c>
      <c r="K519" s="4" t="e">
        <f>VLOOKUP(A519,المعطيات!$A$1:$J$3500,6,0)</f>
        <v>#N/A</v>
      </c>
      <c r="L519" s="1" t="s">
        <v>1486</v>
      </c>
      <c r="M519" s="1" t="s">
        <v>1487</v>
      </c>
      <c r="N519" s="4" t="e">
        <f t="shared" si="25"/>
        <v>#N/A</v>
      </c>
      <c r="O519" s="1" t="s">
        <v>1488</v>
      </c>
      <c r="P519" s="4" t="e">
        <f>VLOOKUP(A519,المعطيات!$A$1:$J$3500,4,0)</f>
        <v>#N/A</v>
      </c>
      <c r="Q519" s="1" t="s">
        <v>1489</v>
      </c>
      <c r="R519" s="1" t="s">
        <v>1480</v>
      </c>
      <c r="S519" s="6" t="e">
        <f t="shared" si="26"/>
        <v>#N/A</v>
      </c>
    </row>
    <row r="520" spans="2:19" x14ac:dyDescent="0.25">
      <c r="B520" s="1" t="s">
        <v>1479</v>
      </c>
      <c r="C520" s="1" t="s">
        <v>1481</v>
      </c>
      <c r="D520" s="4" t="e">
        <f>VLOOKUP(A520,المعطيات!$A$1:$J$3500,5,0)</f>
        <v>#N/A</v>
      </c>
      <c r="E520" s="1" t="s">
        <v>1482</v>
      </c>
      <c r="F520" s="5">
        <f t="shared" si="24"/>
        <v>0</v>
      </c>
      <c r="G520" s="5" t="s">
        <v>1483</v>
      </c>
      <c r="H520" s="4" t="e">
        <f>VLOOKUP(A520,المعطيات!$A$1:$J$3500,3,0)</f>
        <v>#N/A</v>
      </c>
      <c r="I520" s="1" t="s">
        <v>1484</v>
      </c>
      <c r="J520" s="1" t="s">
        <v>1485</v>
      </c>
      <c r="K520" s="4" t="e">
        <f>VLOOKUP(A520,المعطيات!$A$1:$J$3500,6,0)</f>
        <v>#N/A</v>
      </c>
      <c r="L520" s="1" t="s">
        <v>1486</v>
      </c>
      <c r="M520" s="1" t="s">
        <v>1487</v>
      </c>
      <c r="N520" s="4" t="e">
        <f t="shared" si="25"/>
        <v>#N/A</v>
      </c>
      <c r="O520" s="1" t="s">
        <v>1488</v>
      </c>
      <c r="P520" s="4" t="e">
        <f>VLOOKUP(A520,المعطيات!$A$1:$J$3500,4,0)</f>
        <v>#N/A</v>
      </c>
      <c r="Q520" s="1" t="s">
        <v>1489</v>
      </c>
      <c r="R520" s="1" t="s">
        <v>1480</v>
      </c>
      <c r="S520" s="6" t="e">
        <f t="shared" si="26"/>
        <v>#N/A</v>
      </c>
    </row>
    <row r="521" spans="2:19" x14ac:dyDescent="0.25">
      <c r="B521" s="1" t="s">
        <v>1479</v>
      </c>
      <c r="C521" s="1" t="s">
        <v>1481</v>
      </c>
      <c r="D521" s="4" t="e">
        <f>VLOOKUP(A521,المعطيات!$A$1:$J$3500,5,0)</f>
        <v>#N/A</v>
      </c>
      <c r="E521" s="1" t="s">
        <v>1482</v>
      </c>
      <c r="F521" s="5">
        <f t="shared" si="24"/>
        <v>0</v>
      </c>
      <c r="G521" s="5" t="s">
        <v>1483</v>
      </c>
      <c r="H521" s="4" t="e">
        <f>VLOOKUP(A521,المعطيات!$A$1:$J$3500,3,0)</f>
        <v>#N/A</v>
      </c>
      <c r="I521" s="1" t="s">
        <v>1484</v>
      </c>
      <c r="J521" s="1" t="s">
        <v>1485</v>
      </c>
      <c r="K521" s="4" t="e">
        <f>VLOOKUP(A521,المعطيات!$A$1:$J$3500,6,0)</f>
        <v>#N/A</v>
      </c>
      <c r="L521" s="1" t="s">
        <v>1486</v>
      </c>
      <c r="M521" s="1" t="s">
        <v>1487</v>
      </c>
      <c r="N521" s="4" t="e">
        <f t="shared" si="25"/>
        <v>#N/A</v>
      </c>
      <c r="O521" s="1" t="s">
        <v>1488</v>
      </c>
      <c r="P521" s="4" t="e">
        <f>VLOOKUP(A521,المعطيات!$A$1:$J$3500,4,0)</f>
        <v>#N/A</v>
      </c>
      <c r="Q521" s="1" t="s">
        <v>1489</v>
      </c>
      <c r="R521" s="1" t="s">
        <v>1480</v>
      </c>
      <c r="S521" s="6" t="e">
        <f t="shared" si="26"/>
        <v>#N/A</v>
      </c>
    </row>
    <row r="522" spans="2:19" x14ac:dyDescent="0.25">
      <c r="B522" s="1" t="s">
        <v>1479</v>
      </c>
      <c r="C522" s="1" t="s">
        <v>1481</v>
      </c>
      <c r="D522" s="4" t="e">
        <f>VLOOKUP(A522,المعطيات!$A$1:$J$3500,5,0)</f>
        <v>#N/A</v>
      </c>
      <c r="E522" s="1" t="s">
        <v>1482</v>
      </c>
      <c r="F522" s="5">
        <f t="shared" si="24"/>
        <v>0</v>
      </c>
      <c r="G522" s="5" t="s">
        <v>1483</v>
      </c>
      <c r="H522" s="4" t="e">
        <f>VLOOKUP(A522,المعطيات!$A$1:$J$3500,3,0)</f>
        <v>#N/A</v>
      </c>
      <c r="I522" s="1" t="s">
        <v>1484</v>
      </c>
      <c r="J522" s="1" t="s">
        <v>1485</v>
      </c>
      <c r="K522" s="4" t="e">
        <f>VLOOKUP(A522,المعطيات!$A$1:$J$3500,6,0)</f>
        <v>#N/A</v>
      </c>
      <c r="L522" s="1" t="s">
        <v>1486</v>
      </c>
      <c r="M522" s="1" t="s">
        <v>1487</v>
      </c>
      <c r="N522" s="4" t="e">
        <f t="shared" si="25"/>
        <v>#N/A</v>
      </c>
      <c r="O522" s="1" t="s">
        <v>1488</v>
      </c>
      <c r="P522" s="4" t="e">
        <f>VLOOKUP(A522,المعطيات!$A$1:$J$3500,4,0)</f>
        <v>#N/A</v>
      </c>
      <c r="Q522" s="1" t="s">
        <v>1489</v>
      </c>
      <c r="R522" s="1" t="s">
        <v>1480</v>
      </c>
      <c r="S522" s="6" t="e">
        <f t="shared" si="26"/>
        <v>#N/A</v>
      </c>
    </row>
    <row r="523" spans="2:19" x14ac:dyDescent="0.25">
      <c r="B523" s="1" t="s">
        <v>1479</v>
      </c>
      <c r="C523" s="1" t="s">
        <v>1481</v>
      </c>
      <c r="D523" s="4" t="e">
        <f>VLOOKUP(A523,المعطيات!$A$1:$J$3500,5,0)</f>
        <v>#N/A</v>
      </c>
      <c r="E523" s="1" t="s">
        <v>1482</v>
      </c>
      <c r="F523" s="5">
        <f t="shared" si="24"/>
        <v>0</v>
      </c>
      <c r="G523" s="5" t="s">
        <v>1483</v>
      </c>
      <c r="H523" s="4" t="e">
        <f>VLOOKUP(A523,المعطيات!$A$1:$J$3500,3,0)</f>
        <v>#N/A</v>
      </c>
      <c r="I523" s="1" t="s">
        <v>1484</v>
      </c>
      <c r="J523" s="1" t="s">
        <v>1485</v>
      </c>
      <c r="K523" s="4" t="e">
        <f>VLOOKUP(A523,المعطيات!$A$1:$J$3500,6,0)</f>
        <v>#N/A</v>
      </c>
      <c r="L523" s="1" t="s">
        <v>1486</v>
      </c>
      <c r="M523" s="1" t="s">
        <v>1487</v>
      </c>
      <c r="N523" s="4" t="e">
        <f t="shared" si="25"/>
        <v>#N/A</v>
      </c>
      <c r="O523" s="1" t="s">
        <v>1488</v>
      </c>
      <c r="P523" s="4" t="e">
        <f>VLOOKUP(A523,المعطيات!$A$1:$J$3500,4,0)</f>
        <v>#N/A</v>
      </c>
      <c r="Q523" s="1" t="s">
        <v>1489</v>
      </c>
      <c r="R523" s="1" t="s">
        <v>1480</v>
      </c>
      <c r="S523" s="6" t="e">
        <f t="shared" si="26"/>
        <v>#N/A</v>
      </c>
    </row>
    <row r="524" spans="2:19" x14ac:dyDescent="0.25">
      <c r="B524" s="1" t="s">
        <v>1479</v>
      </c>
      <c r="C524" s="1" t="s">
        <v>1481</v>
      </c>
      <c r="D524" s="4" t="e">
        <f>VLOOKUP(A524,المعطيات!$A$1:$J$3500,5,0)</f>
        <v>#N/A</v>
      </c>
      <c r="E524" s="1" t="s">
        <v>1482</v>
      </c>
      <c r="F524" s="5">
        <f t="shared" si="24"/>
        <v>0</v>
      </c>
      <c r="G524" s="5" t="s">
        <v>1483</v>
      </c>
      <c r="H524" s="4" t="e">
        <f>VLOOKUP(A524,المعطيات!$A$1:$J$3500,3,0)</f>
        <v>#N/A</v>
      </c>
      <c r="I524" s="1" t="s">
        <v>1484</v>
      </c>
      <c r="J524" s="1" t="s">
        <v>1485</v>
      </c>
      <c r="K524" s="4" t="e">
        <f>VLOOKUP(A524,المعطيات!$A$1:$J$3500,6,0)</f>
        <v>#N/A</v>
      </c>
      <c r="L524" s="1" t="s">
        <v>1486</v>
      </c>
      <c r="M524" s="1" t="s">
        <v>1487</v>
      </c>
      <c r="N524" s="4" t="e">
        <f t="shared" si="25"/>
        <v>#N/A</v>
      </c>
      <c r="O524" s="1" t="s">
        <v>1488</v>
      </c>
      <c r="P524" s="4" t="e">
        <f>VLOOKUP(A524,المعطيات!$A$1:$J$3500,4,0)</f>
        <v>#N/A</v>
      </c>
      <c r="Q524" s="1" t="s">
        <v>1489</v>
      </c>
      <c r="R524" s="1" t="s">
        <v>1480</v>
      </c>
      <c r="S524" s="6" t="e">
        <f t="shared" si="26"/>
        <v>#N/A</v>
      </c>
    </row>
    <row r="525" spans="2:19" x14ac:dyDescent="0.25">
      <c r="B525" s="1" t="s">
        <v>1479</v>
      </c>
      <c r="C525" s="1" t="s">
        <v>1481</v>
      </c>
      <c r="D525" s="4" t="e">
        <f>VLOOKUP(A525,المعطيات!$A$1:$J$3500,5,0)</f>
        <v>#N/A</v>
      </c>
      <c r="E525" s="1" t="s">
        <v>1482</v>
      </c>
      <c r="F525" s="5">
        <f t="shared" si="24"/>
        <v>0</v>
      </c>
      <c r="G525" s="5" t="s">
        <v>1483</v>
      </c>
      <c r="H525" s="4" t="e">
        <f>VLOOKUP(A525,المعطيات!$A$1:$J$3500,3,0)</f>
        <v>#N/A</v>
      </c>
      <c r="I525" s="1" t="s">
        <v>1484</v>
      </c>
      <c r="J525" s="1" t="s">
        <v>1485</v>
      </c>
      <c r="K525" s="4" t="e">
        <f>VLOOKUP(A525,المعطيات!$A$1:$J$3500,6,0)</f>
        <v>#N/A</v>
      </c>
      <c r="L525" s="1" t="s">
        <v>1486</v>
      </c>
      <c r="M525" s="1" t="s">
        <v>1487</v>
      </c>
      <c r="N525" s="4" t="e">
        <f t="shared" si="25"/>
        <v>#N/A</v>
      </c>
      <c r="O525" s="1" t="s">
        <v>1488</v>
      </c>
      <c r="P525" s="4" t="e">
        <f>VLOOKUP(A525,المعطيات!$A$1:$J$3500,4,0)</f>
        <v>#N/A</v>
      </c>
      <c r="Q525" s="1" t="s">
        <v>1489</v>
      </c>
      <c r="R525" s="1" t="s">
        <v>1480</v>
      </c>
      <c r="S525" s="6" t="e">
        <f t="shared" si="26"/>
        <v>#N/A</v>
      </c>
    </row>
    <row r="526" spans="2:19" x14ac:dyDescent="0.25">
      <c r="B526" s="1" t="s">
        <v>1479</v>
      </c>
      <c r="C526" s="1" t="s">
        <v>1481</v>
      </c>
      <c r="D526" s="4" t="e">
        <f>VLOOKUP(A526,المعطيات!$A$1:$J$3500,5,0)</f>
        <v>#N/A</v>
      </c>
      <c r="E526" s="1" t="s">
        <v>1482</v>
      </c>
      <c r="F526" s="5">
        <f t="shared" si="24"/>
        <v>0</v>
      </c>
      <c r="G526" s="5" t="s">
        <v>1483</v>
      </c>
      <c r="H526" s="4" t="e">
        <f>VLOOKUP(A526,المعطيات!$A$1:$J$3500,3,0)</f>
        <v>#N/A</v>
      </c>
      <c r="I526" s="1" t="s">
        <v>1484</v>
      </c>
      <c r="J526" s="1" t="s">
        <v>1485</v>
      </c>
      <c r="K526" s="4" t="e">
        <f>VLOOKUP(A526,المعطيات!$A$1:$J$3500,6,0)</f>
        <v>#N/A</v>
      </c>
      <c r="L526" s="1" t="s">
        <v>1486</v>
      </c>
      <c r="M526" s="1" t="s">
        <v>1487</v>
      </c>
      <c r="N526" s="4" t="e">
        <f t="shared" si="25"/>
        <v>#N/A</v>
      </c>
      <c r="O526" s="1" t="s">
        <v>1488</v>
      </c>
      <c r="P526" s="4" t="e">
        <f>VLOOKUP(A526,المعطيات!$A$1:$J$3500,4,0)</f>
        <v>#N/A</v>
      </c>
      <c r="Q526" s="1" t="s">
        <v>1489</v>
      </c>
      <c r="R526" s="1" t="s">
        <v>1480</v>
      </c>
      <c r="S526" s="6" t="e">
        <f t="shared" si="26"/>
        <v>#N/A</v>
      </c>
    </row>
    <row r="527" spans="2:19" x14ac:dyDescent="0.25">
      <c r="B527" s="1" t="s">
        <v>1479</v>
      </c>
      <c r="C527" s="1" t="s">
        <v>1481</v>
      </c>
      <c r="D527" s="4" t="e">
        <f>VLOOKUP(A527,المعطيات!$A$1:$J$3500,5,0)</f>
        <v>#N/A</v>
      </c>
      <c r="E527" s="1" t="s">
        <v>1482</v>
      </c>
      <c r="F527" s="5">
        <f t="shared" si="24"/>
        <v>0</v>
      </c>
      <c r="G527" s="5" t="s">
        <v>1483</v>
      </c>
      <c r="H527" s="4" t="e">
        <f>VLOOKUP(A527,المعطيات!$A$1:$J$3500,3,0)</f>
        <v>#N/A</v>
      </c>
      <c r="I527" s="1" t="s">
        <v>1484</v>
      </c>
      <c r="J527" s="1" t="s">
        <v>1485</v>
      </c>
      <c r="K527" s="4" t="e">
        <f>VLOOKUP(A527,المعطيات!$A$1:$J$3500,6,0)</f>
        <v>#N/A</v>
      </c>
      <c r="L527" s="1" t="s">
        <v>1486</v>
      </c>
      <c r="M527" s="1" t="s">
        <v>1487</v>
      </c>
      <c r="N527" s="4" t="e">
        <f t="shared" si="25"/>
        <v>#N/A</v>
      </c>
      <c r="O527" s="1" t="s">
        <v>1488</v>
      </c>
      <c r="P527" s="4" t="e">
        <f>VLOOKUP(A527,المعطيات!$A$1:$J$3500,4,0)</f>
        <v>#N/A</v>
      </c>
      <c r="Q527" s="1" t="s">
        <v>1489</v>
      </c>
      <c r="R527" s="1" t="s">
        <v>1480</v>
      </c>
      <c r="S527" s="6" t="e">
        <f t="shared" si="26"/>
        <v>#N/A</v>
      </c>
    </row>
    <row r="528" spans="2:19" x14ac:dyDescent="0.25">
      <c r="B528" s="1" t="s">
        <v>1479</v>
      </c>
      <c r="C528" s="1" t="s">
        <v>1481</v>
      </c>
      <c r="D528" s="4" t="e">
        <f>VLOOKUP(A528,المعطيات!$A$1:$J$3500,5,0)</f>
        <v>#N/A</v>
      </c>
      <c r="E528" s="1" t="s">
        <v>1482</v>
      </c>
      <c r="F528" s="5">
        <f t="shared" si="24"/>
        <v>0</v>
      </c>
      <c r="G528" s="5" t="s">
        <v>1483</v>
      </c>
      <c r="H528" s="4" t="e">
        <f>VLOOKUP(A528,المعطيات!$A$1:$J$3500,3,0)</f>
        <v>#N/A</v>
      </c>
      <c r="I528" s="1" t="s">
        <v>1484</v>
      </c>
      <c r="J528" s="1" t="s">
        <v>1485</v>
      </c>
      <c r="K528" s="4" t="e">
        <f>VLOOKUP(A528,المعطيات!$A$1:$J$3500,6,0)</f>
        <v>#N/A</v>
      </c>
      <c r="L528" s="1" t="s">
        <v>1486</v>
      </c>
      <c r="M528" s="1" t="s">
        <v>1487</v>
      </c>
      <c r="N528" s="4" t="e">
        <f t="shared" si="25"/>
        <v>#N/A</v>
      </c>
      <c r="O528" s="1" t="s">
        <v>1488</v>
      </c>
      <c r="P528" s="4" t="e">
        <f>VLOOKUP(A528,المعطيات!$A$1:$J$3500,4,0)</f>
        <v>#N/A</v>
      </c>
      <c r="Q528" s="1" t="s">
        <v>1489</v>
      </c>
      <c r="R528" s="1" t="s">
        <v>1480</v>
      </c>
      <c r="S528" s="6" t="e">
        <f t="shared" si="26"/>
        <v>#N/A</v>
      </c>
    </row>
    <row r="529" spans="2:19" x14ac:dyDescent="0.25">
      <c r="B529" s="1" t="s">
        <v>1479</v>
      </c>
      <c r="C529" s="1" t="s">
        <v>1481</v>
      </c>
      <c r="D529" s="4" t="e">
        <f>VLOOKUP(A529,المعطيات!$A$1:$J$3500,5,0)</f>
        <v>#N/A</v>
      </c>
      <c r="E529" s="1" t="s">
        <v>1482</v>
      </c>
      <c r="F529" s="5">
        <f t="shared" si="24"/>
        <v>0</v>
      </c>
      <c r="G529" s="5" t="s">
        <v>1483</v>
      </c>
      <c r="H529" s="4" t="e">
        <f>VLOOKUP(A529,المعطيات!$A$1:$J$3500,3,0)</f>
        <v>#N/A</v>
      </c>
      <c r="I529" s="1" t="s">
        <v>1484</v>
      </c>
      <c r="J529" s="1" t="s">
        <v>1485</v>
      </c>
      <c r="K529" s="4" t="e">
        <f>VLOOKUP(A529,المعطيات!$A$1:$J$3500,6,0)</f>
        <v>#N/A</v>
      </c>
      <c r="L529" s="1" t="s">
        <v>1486</v>
      </c>
      <c r="M529" s="1" t="s">
        <v>1487</v>
      </c>
      <c r="N529" s="4" t="e">
        <f t="shared" si="25"/>
        <v>#N/A</v>
      </c>
      <c r="O529" s="1" t="s">
        <v>1488</v>
      </c>
      <c r="P529" s="4" t="e">
        <f>VLOOKUP(A529,المعطيات!$A$1:$J$3500,4,0)</f>
        <v>#N/A</v>
      </c>
      <c r="Q529" s="1" t="s">
        <v>1489</v>
      </c>
      <c r="R529" s="1" t="s">
        <v>1480</v>
      </c>
      <c r="S529" s="6" t="e">
        <f t="shared" si="26"/>
        <v>#N/A</v>
      </c>
    </row>
    <row r="530" spans="2:19" x14ac:dyDescent="0.25">
      <c r="B530" s="1" t="s">
        <v>1479</v>
      </c>
      <c r="C530" s="1" t="s">
        <v>1481</v>
      </c>
      <c r="D530" s="4" t="e">
        <f>VLOOKUP(A530,المعطيات!$A$1:$J$3500,5,0)</f>
        <v>#N/A</v>
      </c>
      <c r="E530" s="1" t="s">
        <v>1482</v>
      </c>
      <c r="F530" s="5">
        <f t="shared" si="24"/>
        <v>0</v>
      </c>
      <c r="G530" s="5" t="s">
        <v>1483</v>
      </c>
      <c r="H530" s="4" t="e">
        <f>VLOOKUP(A530,المعطيات!$A$1:$J$3500,3,0)</f>
        <v>#N/A</v>
      </c>
      <c r="I530" s="1" t="s">
        <v>1484</v>
      </c>
      <c r="J530" s="1" t="s">
        <v>1485</v>
      </c>
      <c r="K530" s="4" t="e">
        <f>VLOOKUP(A530,المعطيات!$A$1:$J$3500,6,0)</f>
        <v>#N/A</v>
      </c>
      <c r="L530" s="1" t="s">
        <v>1486</v>
      </c>
      <c r="M530" s="1" t="s">
        <v>1487</v>
      </c>
      <c r="N530" s="4" t="e">
        <f t="shared" si="25"/>
        <v>#N/A</v>
      </c>
      <c r="O530" s="1" t="s">
        <v>1488</v>
      </c>
      <c r="P530" s="4" t="e">
        <f>VLOOKUP(A530,المعطيات!$A$1:$J$3500,4,0)</f>
        <v>#N/A</v>
      </c>
      <c r="Q530" s="1" t="s">
        <v>1489</v>
      </c>
      <c r="R530" s="1" t="s">
        <v>1480</v>
      </c>
      <c r="S530" s="6" t="e">
        <f t="shared" si="26"/>
        <v>#N/A</v>
      </c>
    </row>
    <row r="531" spans="2:19" x14ac:dyDescent="0.25">
      <c r="B531" s="1" t="s">
        <v>1479</v>
      </c>
      <c r="C531" s="1" t="s">
        <v>1481</v>
      </c>
      <c r="D531" s="4" t="e">
        <f>VLOOKUP(A531,المعطيات!$A$1:$J$3500,5,0)</f>
        <v>#N/A</v>
      </c>
      <c r="E531" s="1" t="s">
        <v>1482</v>
      </c>
      <c r="F531" s="5">
        <f t="shared" si="24"/>
        <v>0</v>
      </c>
      <c r="G531" s="5" t="s">
        <v>1483</v>
      </c>
      <c r="H531" s="4" t="e">
        <f>VLOOKUP(A531,المعطيات!$A$1:$J$3500,3,0)</f>
        <v>#N/A</v>
      </c>
      <c r="I531" s="1" t="s">
        <v>1484</v>
      </c>
      <c r="J531" s="1" t="s">
        <v>1485</v>
      </c>
      <c r="K531" s="4" t="e">
        <f>VLOOKUP(A531,المعطيات!$A$1:$J$3500,6,0)</f>
        <v>#N/A</v>
      </c>
      <c r="L531" s="1" t="s">
        <v>1486</v>
      </c>
      <c r="M531" s="1" t="s">
        <v>1487</v>
      </c>
      <c r="N531" s="4" t="e">
        <f t="shared" si="25"/>
        <v>#N/A</v>
      </c>
      <c r="O531" s="1" t="s">
        <v>1488</v>
      </c>
      <c r="P531" s="4" t="e">
        <f>VLOOKUP(A531,المعطيات!$A$1:$J$3500,4,0)</f>
        <v>#N/A</v>
      </c>
      <c r="Q531" s="1" t="s">
        <v>1489</v>
      </c>
      <c r="R531" s="1" t="s">
        <v>1480</v>
      </c>
      <c r="S531" s="6" t="e">
        <f t="shared" si="26"/>
        <v>#N/A</v>
      </c>
    </row>
    <row r="532" spans="2:19" x14ac:dyDescent="0.25">
      <c r="B532" s="1" t="s">
        <v>1479</v>
      </c>
      <c r="C532" s="1" t="s">
        <v>1481</v>
      </c>
      <c r="D532" s="4" t="e">
        <f>VLOOKUP(A532,المعطيات!$A$1:$J$3500,5,0)</f>
        <v>#N/A</v>
      </c>
      <c r="E532" s="1" t="s">
        <v>1482</v>
      </c>
      <c r="F532" s="5">
        <f t="shared" si="24"/>
        <v>0</v>
      </c>
      <c r="G532" s="5" t="s">
        <v>1483</v>
      </c>
      <c r="H532" s="4" t="e">
        <f>VLOOKUP(A532,المعطيات!$A$1:$J$3500,3,0)</f>
        <v>#N/A</v>
      </c>
      <c r="I532" s="1" t="s">
        <v>1484</v>
      </c>
      <c r="J532" s="1" t="s">
        <v>1485</v>
      </c>
      <c r="K532" s="4" t="e">
        <f>VLOOKUP(A532,المعطيات!$A$1:$J$3500,6,0)</f>
        <v>#N/A</v>
      </c>
      <c r="L532" s="1" t="s">
        <v>1486</v>
      </c>
      <c r="M532" s="1" t="s">
        <v>1487</v>
      </c>
      <c r="N532" s="4" t="e">
        <f t="shared" si="25"/>
        <v>#N/A</v>
      </c>
      <c r="O532" s="1" t="s">
        <v>1488</v>
      </c>
      <c r="P532" s="4" t="e">
        <f>VLOOKUP(A532,المعطيات!$A$1:$J$3500,4,0)</f>
        <v>#N/A</v>
      </c>
      <c r="Q532" s="1" t="s">
        <v>1489</v>
      </c>
      <c r="R532" s="1" t="s">
        <v>1480</v>
      </c>
      <c r="S532" s="6" t="e">
        <f t="shared" si="26"/>
        <v>#N/A</v>
      </c>
    </row>
    <row r="533" spans="2:19" x14ac:dyDescent="0.25">
      <c r="B533" s="1" t="s">
        <v>1479</v>
      </c>
      <c r="C533" s="1" t="s">
        <v>1481</v>
      </c>
      <c r="D533" s="4" t="e">
        <f>VLOOKUP(A533,المعطيات!$A$1:$J$3500,5,0)</f>
        <v>#N/A</v>
      </c>
      <c r="E533" s="1" t="s">
        <v>1482</v>
      </c>
      <c r="F533" s="5">
        <f t="shared" si="24"/>
        <v>0</v>
      </c>
      <c r="G533" s="5" t="s">
        <v>1483</v>
      </c>
      <c r="H533" s="4" t="e">
        <f>VLOOKUP(A533,المعطيات!$A$1:$J$3500,3,0)</f>
        <v>#N/A</v>
      </c>
      <c r="I533" s="1" t="s">
        <v>1484</v>
      </c>
      <c r="J533" s="1" t="s">
        <v>1485</v>
      </c>
      <c r="K533" s="4" t="e">
        <f>VLOOKUP(A533,المعطيات!$A$1:$J$3500,6,0)</f>
        <v>#N/A</v>
      </c>
      <c r="L533" s="1" t="s">
        <v>1486</v>
      </c>
      <c r="M533" s="1" t="s">
        <v>1487</v>
      </c>
      <c r="N533" s="4" t="e">
        <f t="shared" si="25"/>
        <v>#N/A</v>
      </c>
      <c r="O533" s="1" t="s">
        <v>1488</v>
      </c>
      <c r="P533" s="4" t="e">
        <f>VLOOKUP(A533,المعطيات!$A$1:$J$3500,4,0)</f>
        <v>#N/A</v>
      </c>
      <c r="Q533" s="1" t="s">
        <v>1489</v>
      </c>
      <c r="R533" s="1" t="s">
        <v>1480</v>
      </c>
      <c r="S533" s="6" t="e">
        <f t="shared" si="26"/>
        <v>#N/A</v>
      </c>
    </row>
    <row r="534" spans="2:19" x14ac:dyDescent="0.25">
      <c r="B534" s="1" t="s">
        <v>1479</v>
      </c>
      <c r="C534" s="1" t="s">
        <v>1481</v>
      </c>
      <c r="D534" s="4" t="e">
        <f>VLOOKUP(A534,المعطيات!$A$1:$J$3500,5,0)</f>
        <v>#N/A</v>
      </c>
      <c r="E534" s="1" t="s">
        <v>1482</v>
      </c>
      <c r="F534" s="5">
        <f t="shared" si="24"/>
        <v>0</v>
      </c>
      <c r="G534" s="5" t="s">
        <v>1483</v>
      </c>
      <c r="H534" s="4" t="e">
        <f>VLOOKUP(A534,المعطيات!$A$1:$J$3500,3,0)</f>
        <v>#N/A</v>
      </c>
      <c r="I534" s="1" t="s">
        <v>1484</v>
      </c>
      <c r="J534" s="1" t="s">
        <v>1485</v>
      </c>
      <c r="K534" s="4" t="e">
        <f>VLOOKUP(A534,المعطيات!$A$1:$J$3500,6,0)</f>
        <v>#N/A</v>
      </c>
      <c r="L534" s="1" t="s">
        <v>1486</v>
      </c>
      <c r="M534" s="1" t="s">
        <v>1487</v>
      </c>
      <c r="N534" s="4" t="e">
        <f t="shared" si="25"/>
        <v>#N/A</v>
      </c>
      <c r="O534" s="1" t="s">
        <v>1488</v>
      </c>
      <c r="P534" s="4" t="e">
        <f>VLOOKUP(A534,المعطيات!$A$1:$J$3500,4,0)</f>
        <v>#N/A</v>
      </c>
      <c r="Q534" s="1" t="s">
        <v>1489</v>
      </c>
      <c r="R534" s="1" t="s">
        <v>1480</v>
      </c>
      <c r="S534" s="6" t="e">
        <f t="shared" si="26"/>
        <v>#N/A</v>
      </c>
    </row>
    <row r="535" spans="2:19" x14ac:dyDescent="0.25">
      <c r="B535" s="1" t="s">
        <v>1479</v>
      </c>
      <c r="C535" s="1" t="s">
        <v>1481</v>
      </c>
      <c r="D535" s="4" t="e">
        <f>VLOOKUP(A535,المعطيات!$A$1:$J$3500,5,0)</f>
        <v>#N/A</v>
      </c>
      <c r="E535" s="1" t="s">
        <v>1482</v>
      </c>
      <c r="F535" s="5">
        <f t="shared" si="24"/>
        <v>0</v>
      </c>
      <c r="G535" s="5" t="s">
        <v>1483</v>
      </c>
      <c r="H535" s="4" t="e">
        <f>VLOOKUP(A535,المعطيات!$A$1:$J$3500,3,0)</f>
        <v>#N/A</v>
      </c>
      <c r="I535" s="1" t="s">
        <v>1484</v>
      </c>
      <c r="J535" s="1" t="s">
        <v>1485</v>
      </c>
      <c r="K535" s="4" t="e">
        <f>VLOOKUP(A535,المعطيات!$A$1:$J$3500,6,0)</f>
        <v>#N/A</v>
      </c>
      <c r="L535" s="1" t="s">
        <v>1486</v>
      </c>
      <c r="M535" s="1" t="s">
        <v>1487</v>
      </c>
      <c r="N535" s="4" t="e">
        <f t="shared" si="25"/>
        <v>#N/A</v>
      </c>
      <c r="O535" s="1" t="s">
        <v>1488</v>
      </c>
      <c r="P535" s="4" t="e">
        <f>VLOOKUP(A535,المعطيات!$A$1:$J$3500,4,0)</f>
        <v>#N/A</v>
      </c>
      <c r="Q535" s="1" t="s">
        <v>1489</v>
      </c>
      <c r="R535" s="1" t="s">
        <v>1480</v>
      </c>
      <c r="S535" s="6" t="e">
        <f t="shared" si="26"/>
        <v>#N/A</v>
      </c>
    </row>
    <row r="536" spans="2:19" x14ac:dyDescent="0.25">
      <c r="B536" s="1" t="s">
        <v>1479</v>
      </c>
      <c r="C536" s="1" t="s">
        <v>1481</v>
      </c>
      <c r="D536" s="4" t="e">
        <f>VLOOKUP(A536,المعطيات!$A$1:$J$3500,5,0)</f>
        <v>#N/A</v>
      </c>
      <c r="E536" s="1" t="s">
        <v>1482</v>
      </c>
      <c r="F536" s="5">
        <f t="shared" si="24"/>
        <v>0</v>
      </c>
      <c r="G536" s="5" t="s">
        <v>1483</v>
      </c>
      <c r="H536" s="4" t="e">
        <f>VLOOKUP(A536,المعطيات!$A$1:$J$3500,3,0)</f>
        <v>#N/A</v>
      </c>
      <c r="I536" s="1" t="s">
        <v>1484</v>
      </c>
      <c r="J536" s="1" t="s">
        <v>1485</v>
      </c>
      <c r="K536" s="4" t="e">
        <f>VLOOKUP(A536,المعطيات!$A$1:$J$3500,6,0)</f>
        <v>#N/A</v>
      </c>
      <c r="L536" s="1" t="s">
        <v>1486</v>
      </c>
      <c r="M536" s="1" t="s">
        <v>1487</v>
      </c>
      <c r="N536" s="4" t="e">
        <f t="shared" si="25"/>
        <v>#N/A</v>
      </c>
      <c r="O536" s="1" t="s">
        <v>1488</v>
      </c>
      <c r="P536" s="4" t="e">
        <f>VLOOKUP(A536,المعطيات!$A$1:$J$3500,4,0)</f>
        <v>#N/A</v>
      </c>
      <c r="Q536" s="1" t="s">
        <v>1489</v>
      </c>
      <c r="R536" s="1" t="s">
        <v>1480</v>
      </c>
      <c r="S536" s="6" t="e">
        <f t="shared" si="26"/>
        <v>#N/A</v>
      </c>
    </row>
    <row r="537" spans="2:19" x14ac:dyDescent="0.25">
      <c r="B537" s="1" t="s">
        <v>1479</v>
      </c>
      <c r="C537" s="1" t="s">
        <v>1481</v>
      </c>
      <c r="D537" s="4" t="e">
        <f>VLOOKUP(A537,المعطيات!$A$1:$J$3500,5,0)</f>
        <v>#N/A</v>
      </c>
      <c r="E537" s="1" t="s">
        <v>1482</v>
      </c>
      <c r="F537" s="5">
        <f t="shared" si="24"/>
        <v>0</v>
      </c>
      <c r="G537" s="5" t="s">
        <v>1483</v>
      </c>
      <c r="H537" s="4" t="e">
        <f>VLOOKUP(A537,المعطيات!$A$1:$J$3500,3,0)</f>
        <v>#N/A</v>
      </c>
      <c r="I537" s="1" t="s">
        <v>1484</v>
      </c>
      <c r="J537" s="1" t="s">
        <v>1485</v>
      </c>
      <c r="K537" s="4" t="e">
        <f>VLOOKUP(A537,المعطيات!$A$1:$J$3500,6,0)</f>
        <v>#N/A</v>
      </c>
      <c r="L537" s="1" t="s">
        <v>1486</v>
      </c>
      <c r="M537" s="1" t="s">
        <v>1487</v>
      </c>
      <c r="N537" s="4" t="e">
        <f t="shared" si="25"/>
        <v>#N/A</v>
      </c>
      <c r="O537" s="1" t="s">
        <v>1488</v>
      </c>
      <c r="P537" s="4" t="e">
        <f>VLOOKUP(A537,المعطيات!$A$1:$J$3500,4,0)</f>
        <v>#N/A</v>
      </c>
      <c r="Q537" s="1" t="s">
        <v>1489</v>
      </c>
      <c r="R537" s="1" t="s">
        <v>1480</v>
      </c>
      <c r="S537" s="6" t="e">
        <f t="shared" si="26"/>
        <v>#N/A</v>
      </c>
    </row>
    <row r="538" spans="2:19" x14ac:dyDescent="0.25">
      <c r="B538" s="1" t="s">
        <v>1479</v>
      </c>
      <c r="C538" s="1" t="s">
        <v>1481</v>
      </c>
      <c r="D538" s="4" t="e">
        <f>VLOOKUP(A538,المعطيات!$A$1:$J$3500,5,0)</f>
        <v>#N/A</v>
      </c>
      <c r="E538" s="1" t="s">
        <v>1482</v>
      </c>
      <c r="F538" s="5">
        <f t="shared" si="24"/>
        <v>0</v>
      </c>
      <c r="G538" s="5" t="s">
        <v>1483</v>
      </c>
      <c r="H538" s="4" t="e">
        <f>VLOOKUP(A538,المعطيات!$A$1:$J$3500,3,0)</f>
        <v>#N/A</v>
      </c>
      <c r="I538" s="1" t="s">
        <v>1484</v>
      </c>
      <c r="J538" s="1" t="s">
        <v>1485</v>
      </c>
      <c r="K538" s="4" t="e">
        <f>VLOOKUP(A538,المعطيات!$A$1:$J$3500,6,0)</f>
        <v>#N/A</v>
      </c>
      <c r="L538" s="1" t="s">
        <v>1486</v>
      </c>
      <c r="M538" s="1" t="s">
        <v>1487</v>
      </c>
      <c r="N538" s="4" t="e">
        <f t="shared" si="25"/>
        <v>#N/A</v>
      </c>
      <c r="O538" s="1" t="s">
        <v>1488</v>
      </c>
      <c r="P538" s="4" t="e">
        <f>VLOOKUP(A538,المعطيات!$A$1:$J$3500,4,0)</f>
        <v>#N/A</v>
      </c>
      <c r="Q538" s="1" t="s">
        <v>1489</v>
      </c>
      <c r="R538" s="1" t="s">
        <v>1480</v>
      </c>
      <c r="S538" s="6" t="e">
        <f t="shared" si="26"/>
        <v>#N/A</v>
      </c>
    </row>
    <row r="539" spans="2:19" x14ac:dyDescent="0.25">
      <c r="B539" s="1" t="s">
        <v>1479</v>
      </c>
      <c r="C539" s="1" t="s">
        <v>1481</v>
      </c>
      <c r="D539" s="4" t="e">
        <f>VLOOKUP(A539,المعطيات!$A$1:$J$3500,5,0)</f>
        <v>#N/A</v>
      </c>
      <c r="E539" s="1" t="s">
        <v>1482</v>
      </c>
      <c r="F539" s="5">
        <f t="shared" si="24"/>
        <v>0</v>
      </c>
      <c r="G539" s="5" t="s">
        <v>1483</v>
      </c>
      <c r="H539" s="4" t="e">
        <f>VLOOKUP(A539,المعطيات!$A$1:$J$3500,3,0)</f>
        <v>#N/A</v>
      </c>
      <c r="I539" s="1" t="s">
        <v>1484</v>
      </c>
      <c r="J539" s="1" t="s">
        <v>1485</v>
      </c>
      <c r="K539" s="4" t="e">
        <f>VLOOKUP(A539,المعطيات!$A$1:$J$3500,6,0)</f>
        <v>#N/A</v>
      </c>
      <c r="L539" s="1" t="s">
        <v>1486</v>
      </c>
      <c r="M539" s="1" t="s">
        <v>1487</v>
      </c>
      <c r="N539" s="4" t="e">
        <f t="shared" si="25"/>
        <v>#N/A</v>
      </c>
      <c r="O539" s="1" t="s">
        <v>1488</v>
      </c>
      <c r="P539" s="4" t="e">
        <f>VLOOKUP(A539,المعطيات!$A$1:$J$3500,4,0)</f>
        <v>#N/A</v>
      </c>
      <c r="Q539" s="1" t="s">
        <v>1489</v>
      </c>
      <c r="R539" s="1" t="s">
        <v>1480</v>
      </c>
      <c r="S539" s="6" t="e">
        <f t="shared" si="26"/>
        <v>#N/A</v>
      </c>
    </row>
    <row r="540" spans="2:19" x14ac:dyDescent="0.25">
      <c r="B540" s="1" t="s">
        <v>1479</v>
      </c>
      <c r="C540" s="1" t="s">
        <v>1481</v>
      </c>
      <c r="D540" s="4" t="e">
        <f>VLOOKUP(A540,المعطيات!$A$1:$J$3500,5,0)</f>
        <v>#N/A</v>
      </c>
      <c r="E540" s="1" t="s">
        <v>1482</v>
      </c>
      <c r="F540" s="5">
        <f t="shared" si="24"/>
        <v>0</v>
      </c>
      <c r="G540" s="5" t="s">
        <v>1483</v>
      </c>
      <c r="H540" s="4" t="e">
        <f>VLOOKUP(A540,المعطيات!$A$1:$J$3500,3,0)</f>
        <v>#N/A</v>
      </c>
      <c r="I540" s="1" t="s">
        <v>1484</v>
      </c>
      <c r="J540" s="1" t="s">
        <v>1485</v>
      </c>
      <c r="K540" s="4" t="e">
        <f>VLOOKUP(A540,المعطيات!$A$1:$J$3500,6,0)</f>
        <v>#N/A</v>
      </c>
      <c r="L540" s="1" t="s">
        <v>1486</v>
      </c>
      <c r="M540" s="1" t="s">
        <v>1487</v>
      </c>
      <c r="N540" s="4" t="e">
        <f t="shared" si="25"/>
        <v>#N/A</v>
      </c>
      <c r="O540" s="1" t="s">
        <v>1488</v>
      </c>
      <c r="P540" s="4" t="e">
        <f>VLOOKUP(A540,المعطيات!$A$1:$J$3500,4,0)</f>
        <v>#N/A</v>
      </c>
      <c r="Q540" s="1" t="s">
        <v>1489</v>
      </c>
      <c r="R540" s="1" t="s">
        <v>1480</v>
      </c>
      <c r="S540" s="6" t="e">
        <f t="shared" si="26"/>
        <v>#N/A</v>
      </c>
    </row>
    <row r="541" spans="2:19" x14ac:dyDescent="0.25">
      <c r="B541" s="1" t="s">
        <v>1479</v>
      </c>
      <c r="C541" s="1" t="s">
        <v>1481</v>
      </c>
      <c r="D541" s="4" t="e">
        <f>VLOOKUP(A541,المعطيات!$A$1:$J$3500,5,0)</f>
        <v>#N/A</v>
      </c>
      <c r="E541" s="1" t="s">
        <v>1482</v>
      </c>
      <c r="F541" s="5">
        <f t="shared" si="24"/>
        <v>0</v>
      </c>
      <c r="G541" s="5" t="s">
        <v>1483</v>
      </c>
      <c r="H541" s="4" t="e">
        <f>VLOOKUP(A541,المعطيات!$A$1:$J$3500,3,0)</f>
        <v>#N/A</v>
      </c>
      <c r="I541" s="1" t="s">
        <v>1484</v>
      </c>
      <c r="J541" s="1" t="s">
        <v>1485</v>
      </c>
      <c r="K541" s="4" t="e">
        <f>VLOOKUP(A541,المعطيات!$A$1:$J$3500,6,0)</f>
        <v>#N/A</v>
      </c>
      <c r="L541" s="1" t="s">
        <v>1486</v>
      </c>
      <c r="M541" s="1" t="s">
        <v>1487</v>
      </c>
      <c r="N541" s="4" t="e">
        <f t="shared" si="25"/>
        <v>#N/A</v>
      </c>
      <c r="O541" s="1" t="s">
        <v>1488</v>
      </c>
      <c r="P541" s="4" t="e">
        <f>VLOOKUP(A541,المعطيات!$A$1:$J$3500,4,0)</f>
        <v>#N/A</v>
      </c>
      <c r="Q541" s="1" t="s">
        <v>1489</v>
      </c>
      <c r="R541" s="1" t="s">
        <v>1480</v>
      </c>
      <c r="S541" s="6" t="e">
        <f t="shared" si="26"/>
        <v>#N/A</v>
      </c>
    </row>
    <row r="542" spans="2:19" x14ac:dyDescent="0.25">
      <c r="B542" s="1" t="s">
        <v>1479</v>
      </c>
      <c r="C542" s="1" t="s">
        <v>1481</v>
      </c>
      <c r="D542" s="4" t="e">
        <f>VLOOKUP(A542,المعطيات!$A$1:$J$3500,5,0)</f>
        <v>#N/A</v>
      </c>
      <c r="E542" s="1" t="s">
        <v>1482</v>
      </c>
      <c r="F542" s="5">
        <f t="shared" si="24"/>
        <v>0</v>
      </c>
      <c r="G542" s="5" t="s">
        <v>1483</v>
      </c>
      <c r="H542" s="4" t="e">
        <f>VLOOKUP(A542,المعطيات!$A$1:$J$3500,3,0)</f>
        <v>#N/A</v>
      </c>
      <c r="I542" s="1" t="s">
        <v>1484</v>
      </c>
      <c r="J542" s="1" t="s">
        <v>1485</v>
      </c>
      <c r="K542" s="4" t="e">
        <f>VLOOKUP(A542,المعطيات!$A$1:$J$3500,6,0)</f>
        <v>#N/A</v>
      </c>
      <c r="L542" s="1" t="s">
        <v>1486</v>
      </c>
      <c r="M542" s="1" t="s">
        <v>1487</v>
      </c>
      <c r="N542" s="4" t="e">
        <f t="shared" si="25"/>
        <v>#N/A</v>
      </c>
      <c r="O542" s="1" t="s">
        <v>1488</v>
      </c>
      <c r="P542" s="4" t="e">
        <f>VLOOKUP(A542,المعطيات!$A$1:$J$3500,4,0)</f>
        <v>#N/A</v>
      </c>
      <c r="Q542" s="1" t="s">
        <v>1489</v>
      </c>
      <c r="R542" s="1" t="s">
        <v>1480</v>
      </c>
      <c r="S542" s="6" t="e">
        <f t="shared" si="26"/>
        <v>#N/A</v>
      </c>
    </row>
    <row r="543" spans="2:19" x14ac:dyDescent="0.25">
      <c r="B543" s="1" t="s">
        <v>1479</v>
      </c>
      <c r="C543" s="1" t="s">
        <v>1481</v>
      </c>
      <c r="D543" s="4" t="e">
        <f>VLOOKUP(A543,المعطيات!$A$1:$J$3500,5,0)</f>
        <v>#N/A</v>
      </c>
      <c r="E543" s="1" t="s">
        <v>1482</v>
      </c>
      <c r="F543" s="5">
        <f t="shared" si="24"/>
        <v>0</v>
      </c>
      <c r="G543" s="5" t="s">
        <v>1483</v>
      </c>
      <c r="H543" s="4" t="e">
        <f>VLOOKUP(A543,المعطيات!$A$1:$J$3500,3,0)</f>
        <v>#N/A</v>
      </c>
      <c r="I543" s="1" t="s">
        <v>1484</v>
      </c>
      <c r="J543" s="1" t="s">
        <v>1485</v>
      </c>
      <c r="K543" s="4" t="e">
        <f>VLOOKUP(A543,المعطيات!$A$1:$J$3500,6,0)</f>
        <v>#N/A</v>
      </c>
      <c r="L543" s="1" t="s">
        <v>1486</v>
      </c>
      <c r="M543" s="1" t="s">
        <v>1487</v>
      </c>
      <c r="N543" s="4" t="e">
        <f t="shared" si="25"/>
        <v>#N/A</v>
      </c>
      <c r="O543" s="1" t="s">
        <v>1488</v>
      </c>
      <c r="P543" s="4" t="e">
        <f>VLOOKUP(A543,المعطيات!$A$1:$J$3500,4,0)</f>
        <v>#N/A</v>
      </c>
      <c r="Q543" s="1" t="s">
        <v>1489</v>
      </c>
      <c r="R543" s="1" t="s">
        <v>1480</v>
      </c>
      <c r="S543" s="6" t="e">
        <f t="shared" si="26"/>
        <v>#N/A</v>
      </c>
    </row>
    <row r="544" spans="2:19" x14ac:dyDescent="0.25">
      <c r="B544" s="1" t="s">
        <v>1479</v>
      </c>
      <c r="C544" s="1" t="s">
        <v>1481</v>
      </c>
      <c r="D544" s="4" t="e">
        <f>VLOOKUP(A544,المعطيات!$A$1:$J$3500,5,0)</f>
        <v>#N/A</v>
      </c>
      <c r="E544" s="1" t="s">
        <v>1482</v>
      </c>
      <c r="F544" s="5">
        <f t="shared" si="24"/>
        <v>0</v>
      </c>
      <c r="G544" s="5" t="s">
        <v>1483</v>
      </c>
      <c r="H544" s="4" t="e">
        <f>VLOOKUP(A544,المعطيات!$A$1:$J$3500,3,0)</f>
        <v>#N/A</v>
      </c>
      <c r="I544" s="1" t="s">
        <v>1484</v>
      </c>
      <c r="J544" s="1" t="s">
        <v>1485</v>
      </c>
      <c r="K544" s="4" t="e">
        <f>VLOOKUP(A544,المعطيات!$A$1:$J$3500,6,0)</f>
        <v>#N/A</v>
      </c>
      <c r="L544" s="1" t="s">
        <v>1486</v>
      </c>
      <c r="M544" s="1" t="s">
        <v>1487</v>
      </c>
      <c r="N544" s="4" t="e">
        <f t="shared" si="25"/>
        <v>#N/A</v>
      </c>
      <c r="O544" s="1" t="s">
        <v>1488</v>
      </c>
      <c r="P544" s="4" t="e">
        <f>VLOOKUP(A544,المعطيات!$A$1:$J$3500,4,0)</f>
        <v>#N/A</v>
      </c>
      <c r="Q544" s="1" t="s">
        <v>1489</v>
      </c>
      <c r="R544" s="1" t="s">
        <v>1480</v>
      </c>
      <c r="S544" s="6" t="e">
        <f t="shared" si="26"/>
        <v>#N/A</v>
      </c>
    </row>
    <row r="545" spans="2:19" x14ac:dyDescent="0.25">
      <c r="B545" s="1" t="s">
        <v>1479</v>
      </c>
      <c r="C545" s="1" t="s">
        <v>1481</v>
      </c>
      <c r="D545" s="4" t="e">
        <f>VLOOKUP(A545,المعطيات!$A$1:$J$3500,5,0)</f>
        <v>#N/A</v>
      </c>
      <c r="E545" s="1" t="s">
        <v>1482</v>
      </c>
      <c r="F545" s="5">
        <f t="shared" si="24"/>
        <v>0</v>
      </c>
      <c r="G545" s="5" t="s">
        <v>1483</v>
      </c>
      <c r="H545" s="4" t="e">
        <f>VLOOKUP(A545,المعطيات!$A$1:$J$3500,3,0)</f>
        <v>#N/A</v>
      </c>
      <c r="I545" s="1" t="s">
        <v>1484</v>
      </c>
      <c r="J545" s="1" t="s">
        <v>1485</v>
      </c>
      <c r="K545" s="4" t="e">
        <f>VLOOKUP(A545,المعطيات!$A$1:$J$3500,6,0)</f>
        <v>#N/A</v>
      </c>
      <c r="L545" s="1" t="s">
        <v>1486</v>
      </c>
      <c r="M545" s="1" t="s">
        <v>1487</v>
      </c>
      <c r="N545" s="4" t="e">
        <f t="shared" si="25"/>
        <v>#N/A</v>
      </c>
      <c r="O545" s="1" t="s">
        <v>1488</v>
      </c>
      <c r="P545" s="4" t="e">
        <f>VLOOKUP(A545,المعطيات!$A$1:$J$3500,4,0)</f>
        <v>#N/A</v>
      </c>
      <c r="Q545" s="1" t="s">
        <v>1489</v>
      </c>
      <c r="R545" s="1" t="s">
        <v>1480</v>
      </c>
      <c r="S545" s="6" t="e">
        <f t="shared" si="26"/>
        <v>#N/A</v>
      </c>
    </row>
    <row r="546" spans="2:19" x14ac:dyDescent="0.25">
      <c r="B546" s="1" t="s">
        <v>1479</v>
      </c>
      <c r="C546" s="1" t="s">
        <v>1481</v>
      </c>
      <c r="D546" s="4" t="e">
        <f>VLOOKUP(A546,المعطيات!$A$1:$J$3500,5,0)</f>
        <v>#N/A</v>
      </c>
      <c r="E546" s="1" t="s">
        <v>1482</v>
      </c>
      <c r="F546" s="5">
        <f t="shared" si="24"/>
        <v>0</v>
      </c>
      <c r="G546" s="5" t="s">
        <v>1483</v>
      </c>
      <c r="H546" s="4" t="e">
        <f>VLOOKUP(A546,المعطيات!$A$1:$J$3500,3,0)</f>
        <v>#N/A</v>
      </c>
      <c r="I546" s="1" t="s">
        <v>1484</v>
      </c>
      <c r="J546" s="1" t="s">
        <v>1485</v>
      </c>
      <c r="K546" s="4" t="e">
        <f>VLOOKUP(A546,المعطيات!$A$1:$J$3500,6,0)</f>
        <v>#N/A</v>
      </c>
      <c r="L546" s="1" t="s">
        <v>1486</v>
      </c>
      <c r="M546" s="1" t="s">
        <v>1487</v>
      </c>
      <c r="N546" s="4" t="e">
        <f t="shared" si="25"/>
        <v>#N/A</v>
      </c>
      <c r="O546" s="1" t="s">
        <v>1488</v>
      </c>
      <c r="P546" s="4" t="e">
        <f>VLOOKUP(A546,المعطيات!$A$1:$J$3500,4,0)</f>
        <v>#N/A</v>
      </c>
      <c r="Q546" s="1" t="s">
        <v>1489</v>
      </c>
      <c r="R546" s="1" t="s">
        <v>1480</v>
      </c>
      <c r="S546" s="6" t="e">
        <f t="shared" si="26"/>
        <v>#N/A</v>
      </c>
    </row>
    <row r="547" spans="2:19" x14ac:dyDescent="0.25">
      <c r="B547" s="1" t="s">
        <v>1479</v>
      </c>
      <c r="C547" s="1" t="s">
        <v>1481</v>
      </c>
      <c r="D547" s="4" t="e">
        <f>VLOOKUP(A547,المعطيات!$A$1:$J$3500,5,0)</f>
        <v>#N/A</v>
      </c>
      <c r="E547" s="1" t="s">
        <v>1482</v>
      </c>
      <c r="F547" s="5">
        <f t="shared" si="24"/>
        <v>0</v>
      </c>
      <c r="G547" s="5" t="s">
        <v>1483</v>
      </c>
      <c r="H547" s="4" t="e">
        <f>VLOOKUP(A547,المعطيات!$A$1:$J$3500,3,0)</f>
        <v>#N/A</v>
      </c>
      <c r="I547" s="1" t="s">
        <v>1484</v>
      </c>
      <c r="J547" s="1" t="s">
        <v>1485</v>
      </c>
      <c r="K547" s="4" t="e">
        <f>VLOOKUP(A547,المعطيات!$A$1:$J$3500,6,0)</f>
        <v>#N/A</v>
      </c>
      <c r="L547" s="1" t="s">
        <v>1486</v>
      </c>
      <c r="M547" s="1" t="s">
        <v>1487</v>
      </c>
      <c r="N547" s="4" t="e">
        <f t="shared" si="25"/>
        <v>#N/A</v>
      </c>
      <c r="O547" s="1" t="s">
        <v>1488</v>
      </c>
      <c r="P547" s="4" t="e">
        <f>VLOOKUP(A547,المعطيات!$A$1:$J$3500,4,0)</f>
        <v>#N/A</v>
      </c>
      <c r="Q547" s="1" t="s">
        <v>1489</v>
      </c>
      <c r="R547" s="1" t="s">
        <v>1480</v>
      </c>
      <c r="S547" s="6" t="e">
        <f t="shared" si="26"/>
        <v>#N/A</v>
      </c>
    </row>
    <row r="548" spans="2:19" x14ac:dyDescent="0.25">
      <c r="B548" s="1" t="s">
        <v>1479</v>
      </c>
      <c r="C548" s="1" t="s">
        <v>1481</v>
      </c>
      <c r="D548" s="4" t="e">
        <f>VLOOKUP(A548,المعطيات!$A$1:$J$3500,5,0)</f>
        <v>#N/A</v>
      </c>
      <c r="E548" s="1" t="s">
        <v>1482</v>
      </c>
      <c r="F548" s="5">
        <f t="shared" si="24"/>
        <v>0</v>
      </c>
      <c r="G548" s="5" t="s">
        <v>1483</v>
      </c>
      <c r="H548" s="4" t="e">
        <f>VLOOKUP(A548,المعطيات!$A$1:$J$3500,3,0)</f>
        <v>#N/A</v>
      </c>
      <c r="I548" s="1" t="s">
        <v>1484</v>
      </c>
      <c r="J548" s="1" t="s">
        <v>1485</v>
      </c>
      <c r="K548" s="4" t="e">
        <f>VLOOKUP(A548,المعطيات!$A$1:$J$3500,6,0)</f>
        <v>#N/A</v>
      </c>
      <c r="L548" s="1" t="s">
        <v>1486</v>
      </c>
      <c r="M548" s="1" t="s">
        <v>1487</v>
      </c>
      <c r="N548" s="4" t="e">
        <f t="shared" si="25"/>
        <v>#N/A</v>
      </c>
      <c r="O548" s="1" t="s">
        <v>1488</v>
      </c>
      <c r="P548" s="4" t="e">
        <f>VLOOKUP(A548,المعطيات!$A$1:$J$3500,4,0)</f>
        <v>#N/A</v>
      </c>
      <c r="Q548" s="1" t="s">
        <v>1489</v>
      </c>
      <c r="R548" s="1" t="s">
        <v>1480</v>
      </c>
      <c r="S548" s="6" t="e">
        <f t="shared" si="26"/>
        <v>#N/A</v>
      </c>
    </row>
    <row r="549" spans="2:19" x14ac:dyDescent="0.25">
      <c r="B549" s="1" t="s">
        <v>1479</v>
      </c>
      <c r="C549" s="1" t="s">
        <v>1481</v>
      </c>
      <c r="D549" s="4" t="e">
        <f>VLOOKUP(A549,المعطيات!$A$1:$J$3500,5,0)</f>
        <v>#N/A</v>
      </c>
      <c r="E549" s="1" t="s">
        <v>1482</v>
      </c>
      <c r="F549" s="5">
        <f t="shared" si="24"/>
        <v>0</v>
      </c>
      <c r="G549" s="5" t="s">
        <v>1483</v>
      </c>
      <c r="H549" s="4" t="e">
        <f>VLOOKUP(A549,المعطيات!$A$1:$J$3500,3,0)</f>
        <v>#N/A</v>
      </c>
      <c r="I549" s="1" t="s">
        <v>1484</v>
      </c>
      <c r="J549" s="1" t="s">
        <v>1485</v>
      </c>
      <c r="K549" s="4" t="e">
        <f>VLOOKUP(A549,المعطيات!$A$1:$J$3500,6,0)</f>
        <v>#N/A</v>
      </c>
      <c r="L549" s="1" t="s">
        <v>1486</v>
      </c>
      <c r="M549" s="1" t="s">
        <v>1487</v>
      </c>
      <c r="N549" s="4" t="e">
        <f t="shared" si="25"/>
        <v>#N/A</v>
      </c>
      <c r="O549" s="1" t="s">
        <v>1488</v>
      </c>
      <c r="P549" s="4" t="e">
        <f>VLOOKUP(A549,المعطيات!$A$1:$J$3500,4,0)</f>
        <v>#N/A</v>
      </c>
      <c r="Q549" s="1" t="s">
        <v>1489</v>
      </c>
      <c r="R549" s="1" t="s">
        <v>1480</v>
      </c>
      <c r="S549" s="6" t="e">
        <f t="shared" si="26"/>
        <v>#N/A</v>
      </c>
    </row>
    <row r="550" spans="2:19" x14ac:dyDescent="0.25">
      <c r="B550" s="1" t="s">
        <v>1479</v>
      </c>
      <c r="C550" s="1" t="s">
        <v>1481</v>
      </c>
      <c r="D550" s="4" t="e">
        <f>VLOOKUP(A550,المعطيات!$A$1:$J$3500,5,0)</f>
        <v>#N/A</v>
      </c>
      <c r="E550" s="1" t="s">
        <v>1482</v>
      </c>
      <c r="F550" s="5">
        <f t="shared" si="24"/>
        <v>0</v>
      </c>
      <c r="G550" s="5" t="s">
        <v>1483</v>
      </c>
      <c r="H550" s="4" t="e">
        <f>VLOOKUP(A550,المعطيات!$A$1:$J$3500,3,0)</f>
        <v>#N/A</v>
      </c>
      <c r="I550" s="1" t="s">
        <v>1484</v>
      </c>
      <c r="J550" s="1" t="s">
        <v>1485</v>
      </c>
      <c r="K550" s="4" t="e">
        <f>VLOOKUP(A550,المعطيات!$A$1:$J$3500,6,0)</f>
        <v>#N/A</v>
      </c>
      <c r="L550" s="1" t="s">
        <v>1486</v>
      </c>
      <c r="M550" s="1" t="s">
        <v>1487</v>
      </c>
      <c r="N550" s="4" t="e">
        <f t="shared" si="25"/>
        <v>#N/A</v>
      </c>
      <c r="O550" s="1" t="s">
        <v>1488</v>
      </c>
      <c r="P550" s="4" t="e">
        <f>VLOOKUP(A550,المعطيات!$A$1:$J$3500,4,0)</f>
        <v>#N/A</v>
      </c>
      <c r="Q550" s="1" t="s">
        <v>1489</v>
      </c>
      <c r="R550" s="1" t="s">
        <v>1480</v>
      </c>
      <c r="S550" s="6" t="e">
        <f t="shared" si="26"/>
        <v>#N/A</v>
      </c>
    </row>
    <row r="551" spans="2:19" x14ac:dyDescent="0.25">
      <c r="B551" s="1" t="s">
        <v>1479</v>
      </c>
      <c r="C551" s="1" t="s">
        <v>1481</v>
      </c>
      <c r="D551" s="4" t="e">
        <f>VLOOKUP(A551,المعطيات!$A$1:$J$3500,5,0)</f>
        <v>#N/A</v>
      </c>
      <c r="E551" s="1" t="s">
        <v>1482</v>
      </c>
      <c r="F551" s="5">
        <f t="shared" si="24"/>
        <v>0</v>
      </c>
      <c r="G551" s="5" t="s">
        <v>1483</v>
      </c>
      <c r="H551" s="4" t="e">
        <f>VLOOKUP(A551,المعطيات!$A$1:$J$3500,3,0)</f>
        <v>#N/A</v>
      </c>
      <c r="I551" s="1" t="s">
        <v>1484</v>
      </c>
      <c r="J551" s="1" t="s">
        <v>1485</v>
      </c>
      <c r="K551" s="4" t="e">
        <f>VLOOKUP(A551,المعطيات!$A$1:$J$3500,6,0)</f>
        <v>#N/A</v>
      </c>
      <c r="L551" s="1" t="s">
        <v>1486</v>
      </c>
      <c r="M551" s="1" t="s">
        <v>1487</v>
      </c>
      <c r="N551" s="4" t="e">
        <f t="shared" si="25"/>
        <v>#N/A</v>
      </c>
      <c r="O551" s="1" t="s">
        <v>1488</v>
      </c>
      <c r="P551" s="4" t="e">
        <f>VLOOKUP(A551,المعطيات!$A$1:$J$3500,4,0)</f>
        <v>#N/A</v>
      </c>
      <c r="Q551" s="1" t="s">
        <v>1489</v>
      </c>
      <c r="R551" s="1" t="s">
        <v>1480</v>
      </c>
      <c r="S551" s="6" t="e">
        <f t="shared" si="26"/>
        <v>#N/A</v>
      </c>
    </row>
    <row r="552" spans="2:19" x14ac:dyDescent="0.25">
      <c r="B552" s="1" t="s">
        <v>1479</v>
      </c>
      <c r="C552" s="1" t="s">
        <v>1481</v>
      </c>
      <c r="D552" s="4" t="e">
        <f>VLOOKUP(A552,المعطيات!$A$1:$J$3500,5,0)</f>
        <v>#N/A</v>
      </c>
      <c r="E552" s="1" t="s">
        <v>1482</v>
      </c>
      <c r="F552" s="5">
        <f t="shared" si="24"/>
        <v>0</v>
      </c>
      <c r="G552" s="5" t="s">
        <v>1483</v>
      </c>
      <c r="H552" s="4" t="e">
        <f>VLOOKUP(A552,المعطيات!$A$1:$J$3500,3,0)</f>
        <v>#N/A</v>
      </c>
      <c r="I552" s="1" t="s">
        <v>1484</v>
      </c>
      <c r="J552" s="1" t="s">
        <v>1485</v>
      </c>
      <c r="K552" s="4" t="e">
        <f>VLOOKUP(A552,المعطيات!$A$1:$J$3500,6,0)</f>
        <v>#N/A</v>
      </c>
      <c r="L552" s="1" t="s">
        <v>1486</v>
      </c>
      <c r="M552" s="1" t="s">
        <v>1487</v>
      </c>
      <c r="N552" s="4" t="e">
        <f t="shared" si="25"/>
        <v>#N/A</v>
      </c>
      <c r="O552" s="1" t="s">
        <v>1488</v>
      </c>
      <c r="P552" s="4" t="e">
        <f>VLOOKUP(A552,المعطيات!$A$1:$J$3500,4,0)</f>
        <v>#N/A</v>
      </c>
      <c r="Q552" s="1" t="s">
        <v>1489</v>
      </c>
      <c r="R552" s="1" t="s">
        <v>1480</v>
      </c>
      <c r="S552" s="6" t="e">
        <f t="shared" si="26"/>
        <v>#N/A</v>
      </c>
    </row>
    <row r="553" spans="2:19" x14ac:dyDescent="0.25">
      <c r="B553" s="1" t="s">
        <v>1479</v>
      </c>
      <c r="C553" s="1" t="s">
        <v>1481</v>
      </c>
      <c r="D553" s="4" t="e">
        <f>VLOOKUP(A553,المعطيات!$A$1:$J$3500,5,0)</f>
        <v>#N/A</v>
      </c>
      <c r="E553" s="1" t="s">
        <v>1482</v>
      </c>
      <c r="F553" s="5">
        <f t="shared" si="24"/>
        <v>0</v>
      </c>
      <c r="G553" s="5" t="s">
        <v>1483</v>
      </c>
      <c r="H553" s="4" t="e">
        <f>VLOOKUP(A553,المعطيات!$A$1:$J$3500,3,0)</f>
        <v>#N/A</v>
      </c>
      <c r="I553" s="1" t="s">
        <v>1484</v>
      </c>
      <c r="J553" s="1" t="s">
        <v>1485</v>
      </c>
      <c r="K553" s="4" t="e">
        <f>VLOOKUP(A553,المعطيات!$A$1:$J$3500,6,0)</f>
        <v>#N/A</v>
      </c>
      <c r="L553" s="1" t="s">
        <v>1486</v>
      </c>
      <c r="M553" s="1" t="s">
        <v>1487</v>
      </c>
      <c r="N553" s="4" t="e">
        <f t="shared" si="25"/>
        <v>#N/A</v>
      </c>
      <c r="O553" s="1" t="s">
        <v>1488</v>
      </c>
      <c r="P553" s="4" t="e">
        <f>VLOOKUP(A553,المعطيات!$A$1:$J$3500,4,0)</f>
        <v>#N/A</v>
      </c>
      <c r="Q553" s="1" t="s">
        <v>1489</v>
      </c>
      <c r="R553" s="1" t="s">
        <v>1480</v>
      </c>
      <c r="S553" s="6" t="e">
        <f t="shared" si="26"/>
        <v>#N/A</v>
      </c>
    </row>
    <row r="554" spans="2:19" x14ac:dyDescent="0.25">
      <c r="B554" s="1" t="s">
        <v>1479</v>
      </c>
      <c r="C554" s="1" t="s">
        <v>1481</v>
      </c>
      <c r="D554" s="4" t="e">
        <f>VLOOKUP(A554,المعطيات!$A$1:$J$3500,5,0)</f>
        <v>#N/A</v>
      </c>
      <c r="E554" s="1" t="s">
        <v>1482</v>
      </c>
      <c r="F554" s="5">
        <f t="shared" si="24"/>
        <v>0</v>
      </c>
      <c r="G554" s="5" t="s">
        <v>1483</v>
      </c>
      <c r="H554" s="4" t="e">
        <f>VLOOKUP(A554,المعطيات!$A$1:$J$3500,3,0)</f>
        <v>#N/A</v>
      </c>
      <c r="I554" s="1" t="s">
        <v>1484</v>
      </c>
      <c r="J554" s="1" t="s">
        <v>1485</v>
      </c>
      <c r="K554" s="4" t="e">
        <f>VLOOKUP(A554,المعطيات!$A$1:$J$3500,6,0)</f>
        <v>#N/A</v>
      </c>
      <c r="L554" s="1" t="s">
        <v>1486</v>
      </c>
      <c r="M554" s="1" t="s">
        <v>1487</v>
      </c>
      <c r="N554" s="4" t="e">
        <f t="shared" si="25"/>
        <v>#N/A</v>
      </c>
      <c r="O554" s="1" t="s">
        <v>1488</v>
      </c>
      <c r="P554" s="4" t="e">
        <f>VLOOKUP(A554,المعطيات!$A$1:$J$3500,4,0)</f>
        <v>#N/A</v>
      </c>
      <c r="Q554" s="1" t="s">
        <v>1489</v>
      </c>
      <c r="R554" s="1" t="s">
        <v>1480</v>
      </c>
      <c r="S554" s="6" t="e">
        <f t="shared" si="26"/>
        <v>#N/A</v>
      </c>
    </row>
    <row r="555" spans="2:19" x14ac:dyDescent="0.25">
      <c r="B555" s="1" t="s">
        <v>1479</v>
      </c>
      <c r="C555" s="1" t="s">
        <v>1481</v>
      </c>
      <c r="D555" s="4" t="e">
        <f>VLOOKUP(A555,المعطيات!$A$1:$J$3500,5,0)</f>
        <v>#N/A</v>
      </c>
      <c r="E555" s="1" t="s">
        <v>1482</v>
      </c>
      <c r="F555" s="5">
        <f t="shared" si="24"/>
        <v>0</v>
      </c>
      <c r="G555" s="5" t="s">
        <v>1483</v>
      </c>
      <c r="H555" s="4" t="e">
        <f>VLOOKUP(A555,المعطيات!$A$1:$J$3500,3,0)</f>
        <v>#N/A</v>
      </c>
      <c r="I555" s="1" t="s">
        <v>1484</v>
      </c>
      <c r="J555" s="1" t="s">
        <v>1485</v>
      </c>
      <c r="K555" s="4" t="e">
        <f>VLOOKUP(A555,المعطيات!$A$1:$J$3500,6,0)</f>
        <v>#N/A</v>
      </c>
      <c r="L555" s="1" t="s">
        <v>1486</v>
      </c>
      <c r="M555" s="1" t="s">
        <v>1487</v>
      </c>
      <c r="N555" s="4" t="e">
        <f t="shared" si="25"/>
        <v>#N/A</v>
      </c>
      <c r="O555" s="1" t="s">
        <v>1488</v>
      </c>
      <c r="P555" s="4" t="e">
        <f>VLOOKUP(A555,المعطيات!$A$1:$J$3500,4,0)</f>
        <v>#N/A</v>
      </c>
      <c r="Q555" s="1" t="s">
        <v>1489</v>
      </c>
      <c r="R555" s="1" t="s">
        <v>1480</v>
      </c>
      <c r="S555" s="6" t="e">
        <f t="shared" si="26"/>
        <v>#N/A</v>
      </c>
    </row>
    <row r="556" spans="2:19" x14ac:dyDescent="0.25">
      <c r="B556" s="1" t="s">
        <v>1479</v>
      </c>
      <c r="C556" s="1" t="s">
        <v>1481</v>
      </c>
      <c r="D556" s="4" t="e">
        <f>VLOOKUP(A556,المعطيات!$A$1:$J$3500,5,0)</f>
        <v>#N/A</v>
      </c>
      <c r="E556" s="1" t="s">
        <v>1482</v>
      </c>
      <c r="F556" s="5">
        <f t="shared" si="24"/>
        <v>0</v>
      </c>
      <c r="G556" s="5" t="s">
        <v>1483</v>
      </c>
      <c r="H556" s="4" t="e">
        <f>VLOOKUP(A556,المعطيات!$A$1:$J$3500,3,0)</f>
        <v>#N/A</v>
      </c>
      <c r="I556" s="1" t="s">
        <v>1484</v>
      </c>
      <c r="J556" s="1" t="s">
        <v>1485</v>
      </c>
      <c r="K556" s="4" t="e">
        <f>VLOOKUP(A556,المعطيات!$A$1:$J$3500,6,0)</f>
        <v>#N/A</v>
      </c>
      <c r="L556" s="1" t="s">
        <v>1486</v>
      </c>
      <c r="M556" s="1" t="s">
        <v>1487</v>
      </c>
      <c r="N556" s="4" t="e">
        <f t="shared" si="25"/>
        <v>#N/A</v>
      </c>
      <c r="O556" s="1" t="s">
        <v>1488</v>
      </c>
      <c r="P556" s="4" t="e">
        <f>VLOOKUP(A556,المعطيات!$A$1:$J$3500,4,0)</f>
        <v>#N/A</v>
      </c>
      <c r="Q556" s="1" t="s">
        <v>1489</v>
      </c>
      <c r="R556" s="1" t="s">
        <v>1480</v>
      </c>
      <c r="S556" s="6" t="e">
        <f t="shared" si="26"/>
        <v>#N/A</v>
      </c>
    </row>
    <row r="557" spans="2:19" x14ac:dyDescent="0.25">
      <c r="B557" s="1" t="s">
        <v>1479</v>
      </c>
      <c r="C557" s="1" t="s">
        <v>1481</v>
      </c>
      <c r="D557" s="4" t="e">
        <f>VLOOKUP(A557,المعطيات!$A$1:$J$3500,5,0)</f>
        <v>#N/A</v>
      </c>
      <c r="E557" s="1" t="s">
        <v>1482</v>
      </c>
      <c r="F557" s="5">
        <f t="shared" si="24"/>
        <v>0</v>
      </c>
      <c r="G557" s="5" t="s">
        <v>1483</v>
      </c>
      <c r="H557" s="4" t="e">
        <f>VLOOKUP(A557,المعطيات!$A$1:$J$3500,3,0)</f>
        <v>#N/A</v>
      </c>
      <c r="I557" s="1" t="s">
        <v>1484</v>
      </c>
      <c r="J557" s="1" t="s">
        <v>1485</v>
      </c>
      <c r="K557" s="4" t="e">
        <f>VLOOKUP(A557,المعطيات!$A$1:$J$3500,6,0)</f>
        <v>#N/A</v>
      </c>
      <c r="L557" s="1" t="s">
        <v>1486</v>
      </c>
      <c r="M557" s="1" t="s">
        <v>1487</v>
      </c>
      <c r="N557" s="4" t="e">
        <f t="shared" si="25"/>
        <v>#N/A</v>
      </c>
      <c r="O557" s="1" t="s">
        <v>1488</v>
      </c>
      <c r="P557" s="4" t="e">
        <f>VLOOKUP(A557,المعطيات!$A$1:$J$3500,4,0)</f>
        <v>#N/A</v>
      </c>
      <c r="Q557" s="1" t="s">
        <v>1489</v>
      </c>
      <c r="R557" s="1" t="s">
        <v>1480</v>
      </c>
      <c r="S557" s="6" t="e">
        <f t="shared" si="26"/>
        <v>#N/A</v>
      </c>
    </row>
    <row r="558" spans="2:19" x14ac:dyDescent="0.25">
      <c r="B558" s="1" t="s">
        <v>1479</v>
      </c>
      <c r="C558" s="1" t="s">
        <v>1481</v>
      </c>
      <c r="D558" s="4" t="e">
        <f>VLOOKUP(A558,المعطيات!$A$1:$J$3500,5,0)</f>
        <v>#N/A</v>
      </c>
      <c r="E558" s="1" t="s">
        <v>1482</v>
      </c>
      <c r="F558" s="5">
        <f t="shared" si="24"/>
        <v>0</v>
      </c>
      <c r="G558" s="5" t="s">
        <v>1483</v>
      </c>
      <c r="H558" s="4" t="e">
        <f>VLOOKUP(A558,المعطيات!$A$1:$J$3500,3,0)</f>
        <v>#N/A</v>
      </c>
      <c r="I558" s="1" t="s">
        <v>1484</v>
      </c>
      <c r="J558" s="1" t="s">
        <v>1485</v>
      </c>
      <c r="K558" s="4" t="e">
        <f>VLOOKUP(A558,المعطيات!$A$1:$J$3500,6,0)</f>
        <v>#N/A</v>
      </c>
      <c r="L558" s="1" t="s">
        <v>1486</v>
      </c>
      <c r="M558" s="1" t="s">
        <v>1487</v>
      </c>
      <c r="N558" s="4" t="e">
        <f t="shared" si="25"/>
        <v>#N/A</v>
      </c>
      <c r="O558" s="1" t="s">
        <v>1488</v>
      </c>
      <c r="P558" s="4" t="e">
        <f>VLOOKUP(A558,المعطيات!$A$1:$J$3500,4,0)</f>
        <v>#N/A</v>
      </c>
      <c r="Q558" s="1" t="s">
        <v>1489</v>
      </c>
      <c r="R558" s="1" t="s">
        <v>1480</v>
      </c>
      <c r="S558" s="6" t="e">
        <f t="shared" si="26"/>
        <v>#N/A</v>
      </c>
    </row>
    <row r="559" spans="2:19" x14ac:dyDescent="0.25">
      <c r="B559" s="1" t="s">
        <v>1479</v>
      </c>
      <c r="C559" s="1" t="s">
        <v>1481</v>
      </c>
      <c r="D559" s="4" t="e">
        <f>VLOOKUP(A559,المعطيات!$A$1:$J$3500,5,0)</f>
        <v>#N/A</v>
      </c>
      <c r="E559" s="1" t="s">
        <v>1482</v>
      </c>
      <c r="F559" s="5">
        <f t="shared" si="24"/>
        <v>0</v>
      </c>
      <c r="G559" s="5" t="s">
        <v>1483</v>
      </c>
      <c r="H559" s="4" t="e">
        <f>VLOOKUP(A559,المعطيات!$A$1:$J$3500,3,0)</f>
        <v>#N/A</v>
      </c>
      <c r="I559" s="1" t="s">
        <v>1484</v>
      </c>
      <c r="J559" s="1" t="s">
        <v>1485</v>
      </c>
      <c r="K559" s="4" t="e">
        <f>VLOOKUP(A559,المعطيات!$A$1:$J$3500,6,0)</f>
        <v>#N/A</v>
      </c>
      <c r="L559" s="1" t="s">
        <v>1486</v>
      </c>
      <c r="M559" s="1" t="s">
        <v>1487</v>
      </c>
      <c r="N559" s="4" t="e">
        <f t="shared" si="25"/>
        <v>#N/A</v>
      </c>
      <c r="O559" s="1" t="s">
        <v>1488</v>
      </c>
      <c r="P559" s="4" t="e">
        <f>VLOOKUP(A559,المعطيات!$A$1:$J$3500,4,0)</f>
        <v>#N/A</v>
      </c>
      <c r="Q559" s="1" t="s">
        <v>1489</v>
      </c>
      <c r="R559" s="1" t="s">
        <v>1480</v>
      </c>
      <c r="S559" s="6" t="e">
        <f t="shared" si="26"/>
        <v>#N/A</v>
      </c>
    </row>
    <row r="560" spans="2:19" x14ac:dyDescent="0.25">
      <c r="B560" s="1" t="s">
        <v>1479</v>
      </c>
      <c r="C560" s="1" t="s">
        <v>1481</v>
      </c>
      <c r="D560" s="4" t="e">
        <f>VLOOKUP(A560,المعطيات!$A$1:$J$3500,5,0)</f>
        <v>#N/A</v>
      </c>
      <c r="E560" s="1" t="s">
        <v>1482</v>
      </c>
      <c r="F560" s="5">
        <f t="shared" si="24"/>
        <v>0</v>
      </c>
      <c r="G560" s="5" t="s">
        <v>1483</v>
      </c>
      <c r="H560" s="4" t="e">
        <f>VLOOKUP(A560,المعطيات!$A$1:$J$3500,3,0)</f>
        <v>#N/A</v>
      </c>
      <c r="I560" s="1" t="s">
        <v>1484</v>
      </c>
      <c r="J560" s="1" t="s">
        <v>1485</v>
      </c>
      <c r="K560" s="4" t="e">
        <f>VLOOKUP(A560,المعطيات!$A$1:$J$3500,6,0)</f>
        <v>#N/A</v>
      </c>
      <c r="L560" s="1" t="s">
        <v>1486</v>
      </c>
      <c r="M560" s="1" t="s">
        <v>1487</v>
      </c>
      <c r="N560" s="4" t="e">
        <f t="shared" si="25"/>
        <v>#N/A</v>
      </c>
      <c r="O560" s="1" t="s">
        <v>1488</v>
      </c>
      <c r="P560" s="4" t="e">
        <f>VLOOKUP(A560,المعطيات!$A$1:$J$3500,4,0)</f>
        <v>#N/A</v>
      </c>
      <c r="Q560" s="1" t="s">
        <v>1489</v>
      </c>
      <c r="R560" s="1" t="s">
        <v>1480</v>
      </c>
      <c r="S560" s="6" t="e">
        <f t="shared" si="26"/>
        <v>#N/A</v>
      </c>
    </row>
    <row r="561" spans="2:19" x14ac:dyDescent="0.25">
      <c r="B561" s="1" t="s">
        <v>1479</v>
      </c>
      <c r="C561" s="1" t="s">
        <v>1481</v>
      </c>
      <c r="D561" s="4" t="e">
        <f>VLOOKUP(A561,المعطيات!$A$1:$J$3500,5,0)</f>
        <v>#N/A</v>
      </c>
      <c r="E561" s="1" t="s">
        <v>1482</v>
      </c>
      <c r="F561" s="5">
        <f t="shared" si="24"/>
        <v>0</v>
      </c>
      <c r="G561" s="5" t="s">
        <v>1483</v>
      </c>
      <c r="H561" s="4" t="e">
        <f>VLOOKUP(A561,المعطيات!$A$1:$J$3500,3,0)</f>
        <v>#N/A</v>
      </c>
      <c r="I561" s="1" t="s">
        <v>1484</v>
      </c>
      <c r="J561" s="1" t="s">
        <v>1485</v>
      </c>
      <c r="K561" s="4" t="e">
        <f>VLOOKUP(A561,المعطيات!$A$1:$J$3500,6,0)</f>
        <v>#N/A</v>
      </c>
      <c r="L561" s="1" t="s">
        <v>1486</v>
      </c>
      <c r="M561" s="1" t="s">
        <v>1487</v>
      </c>
      <c r="N561" s="4" t="e">
        <f t="shared" si="25"/>
        <v>#N/A</v>
      </c>
      <c r="O561" s="1" t="s">
        <v>1488</v>
      </c>
      <c r="P561" s="4" t="e">
        <f>VLOOKUP(A561,المعطيات!$A$1:$J$3500,4,0)</f>
        <v>#N/A</v>
      </c>
      <c r="Q561" s="1" t="s">
        <v>1489</v>
      </c>
      <c r="R561" s="1" t="s">
        <v>1480</v>
      </c>
      <c r="S561" s="6" t="e">
        <f t="shared" si="26"/>
        <v>#N/A</v>
      </c>
    </row>
    <row r="562" spans="2:19" x14ac:dyDescent="0.25">
      <c r="B562" s="1" t="s">
        <v>1479</v>
      </c>
      <c r="C562" s="1" t="s">
        <v>1481</v>
      </c>
      <c r="D562" s="4" t="e">
        <f>VLOOKUP(A562,المعطيات!$A$1:$J$3500,5,0)</f>
        <v>#N/A</v>
      </c>
      <c r="E562" s="1" t="s">
        <v>1482</v>
      </c>
      <c r="F562" s="5">
        <f t="shared" si="24"/>
        <v>0</v>
      </c>
      <c r="G562" s="5" t="s">
        <v>1483</v>
      </c>
      <c r="H562" s="4" t="e">
        <f>VLOOKUP(A562,المعطيات!$A$1:$J$3500,3,0)</f>
        <v>#N/A</v>
      </c>
      <c r="I562" s="1" t="s">
        <v>1484</v>
      </c>
      <c r="J562" s="1" t="s">
        <v>1485</v>
      </c>
      <c r="K562" s="4" t="e">
        <f>VLOOKUP(A562,المعطيات!$A$1:$J$3500,6,0)</f>
        <v>#N/A</v>
      </c>
      <c r="L562" s="1" t="s">
        <v>1486</v>
      </c>
      <c r="M562" s="1" t="s">
        <v>1487</v>
      </c>
      <c r="N562" s="4" t="e">
        <f t="shared" si="25"/>
        <v>#N/A</v>
      </c>
      <c r="O562" s="1" t="s">
        <v>1488</v>
      </c>
      <c r="P562" s="4" t="e">
        <f>VLOOKUP(A562,المعطيات!$A$1:$J$3500,4,0)</f>
        <v>#N/A</v>
      </c>
      <c r="Q562" s="1" t="s">
        <v>1489</v>
      </c>
      <c r="R562" s="1" t="s">
        <v>1480</v>
      </c>
      <c r="S562" s="6" t="e">
        <f t="shared" si="26"/>
        <v>#N/A</v>
      </c>
    </row>
    <row r="563" spans="2:19" x14ac:dyDescent="0.25">
      <c r="B563" s="1" t="s">
        <v>1479</v>
      </c>
      <c r="C563" s="1" t="s">
        <v>1481</v>
      </c>
      <c r="D563" s="4" t="e">
        <f>VLOOKUP(A563,المعطيات!$A$1:$J$3500,5,0)</f>
        <v>#N/A</v>
      </c>
      <c r="E563" s="1" t="s">
        <v>1482</v>
      </c>
      <c r="F563" s="5">
        <f t="shared" si="24"/>
        <v>0</v>
      </c>
      <c r="G563" s="5" t="s">
        <v>1483</v>
      </c>
      <c r="H563" s="4" t="e">
        <f>VLOOKUP(A563,المعطيات!$A$1:$J$3500,3,0)</f>
        <v>#N/A</v>
      </c>
      <c r="I563" s="1" t="s">
        <v>1484</v>
      </c>
      <c r="J563" s="1" t="s">
        <v>1485</v>
      </c>
      <c r="K563" s="4" t="e">
        <f>VLOOKUP(A563,المعطيات!$A$1:$J$3500,6,0)</f>
        <v>#N/A</v>
      </c>
      <c r="L563" s="1" t="s">
        <v>1486</v>
      </c>
      <c r="M563" s="1" t="s">
        <v>1487</v>
      </c>
      <c r="N563" s="4" t="e">
        <f t="shared" si="25"/>
        <v>#N/A</v>
      </c>
      <c r="O563" s="1" t="s">
        <v>1488</v>
      </c>
      <c r="P563" s="4" t="e">
        <f>VLOOKUP(A563,المعطيات!$A$1:$J$3500,4,0)</f>
        <v>#N/A</v>
      </c>
      <c r="Q563" s="1" t="s">
        <v>1489</v>
      </c>
      <c r="R563" s="1" t="s">
        <v>1480</v>
      </c>
      <c r="S563" s="6" t="e">
        <f t="shared" si="26"/>
        <v>#N/A</v>
      </c>
    </row>
    <row r="564" spans="2:19" x14ac:dyDescent="0.25">
      <c r="B564" s="1" t="s">
        <v>1479</v>
      </c>
      <c r="C564" s="1" t="s">
        <v>1481</v>
      </c>
      <c r="D564" s="4" t="e">
        <f>VLOOKUP(A564,المعطيات!$A$1:$J$3500,5,0)</f>
        <v>#N/A</v>
      </c>
      <c r="E564" s="1" t="s">
        <v>1482</v>
      </c>
      <c r="F564" s="5">
        <f t="shared" si="24"/>
        <v>0</v>
      </c>
      <c r="G564" s="5" t="s">
        <v>1483</v>
      </c>
      <c r="H564" s="4" t="e">
        <f>VLOOKUP(A564,المعطيات!$A$1:$J$3500,3,0)</f>
        <v>#N/A</v>
      </c>
      <c r="I564" s="1" t="s">
        <v>1484</v>
      </c>
      <c r="J564" s="1" t="s">
        <v>1485</v>
      </c>
      <c r="K564" s="4" t="e">
        <f>VLOOKUP(A564,المعطيات!$A$1:$J$3500,6,0)</f>
        <v>#N/A</v>
      </c>
      <c r="L564" s="1" t="s">
        <v>1486</v>
      </c>
      <c r="M564" s="1" t="s">
        <v>1487</v>
      </c>
      <c r="N564" s="4" t="e">
        <f t="shared" si="25"/>
        <v>#N/A</v>
      </c>
      <c r="O564" s="1" t="s">
        <v>1488</v>
      </c>
      <c r="P564" s="4" t="e">
        <f>VLOOKUP(A564,المعطيات!$A$1:$J$3500,4,0)</f>
        <v>#N/A</v>
      </c>
      <c r="Q564" s="1" t="s">
        <v>1489</v>
      </c>
      <c r="R564" s="1" t="s">
        <v>1480</v>
      </c>
      <c r="S564" s="6" t="e">
        <f t="shared" si="26"/>
        <v>#N/A</v>
      </c>
    </row>
    <row r="565" spans="2:19" x14ac:dyDescent="0.25">
      <c r="B565" s="1" t="s">
        <v>1479</v>
      </c>
      <c r="C565" s="1" t="s">
        <v>1481</v>
      </c>
      <c r="D565" s="4" t="e">
        <f>VLOOKUP(A565,المعطيات!$A$1:$J$3500,5,0)</f>
        <v>#N/A</v>
      </c>
      <c r="E565" s="1" t="s">
        <v>1482</v>
      </c>
      <c r="F565" s="5">
        <f t="shared" si="24"/>
        <v>0</v>
      </c>
      <c r="G565" s="5" t="s">
        <v>1483</v>
      </c>
      <c r="H565" s="4" t="e">
        <f>VLOOKUP(A565,المعطيات!$A$1:$J$3500,3,0)</f>
        <v>#N/A</v>
      </c>
      <c r="I565" s="1" t="s">
        <v>1484</v>
      </c>
      <c r="J565" s="1" t="s">
        <v>1485</v>
      </c>
      <c r="K565" s="4" t="e">
        <f>VLOOKUP(A565,المعطيات!$A$1:$J$3500,6,0)</f>
        <v>#N/A</v>
      </c>
      <c r="L565" s="1" t="s">
        <v>1486</v>
      </c>
      <c r="M565" s="1" t="s">
        <v>1487</v>
      </c>
      <c r="N565" s="4" t="e">
        <f t="shared" si="25"/>
        <v>#N/A</v>
      </c>
      <c r="O565" s="1" t="s">
        <v>1488</v>
      </c>
      <c r="P565" s="4" t="e">
        <f>VLOOKUP(A565,المعطيات!$A$1:$J$3500,4,0)</f>
        <v>#N/A</v>
      </c>
      <c r="Q565" s="1" t="s">
        <v>1489</v>
      </c>
      <c r="R565" s="1" t="s">
        <v>1480</v>
      </c>
      <c r="S565" s="6" t="e">
        <f t="shared" si="26"/>
        <v>#N/A</v>
      </c>
    </row>
    <row r="566" spans="2:19" x14ac:dyDescent="0.25">
      <c r="B566" s="1" t="s">
        <v>1479</v>
      </c>
      <c r="C566" s="1" t="s">
        <v>1481</v>
      </c>
      <c r="D566" s="4" t="e">
        <f>VLOOKUP(A566,المعطيات!$A$1:$J$3500,5,0)</f>
        <v>#N/A</v>
      </c>
      <c r="E566" s="1" t="s">
        <v>1482</v>
      </c>
      <c r="F566" s="5">
        <f t="shared" si="24"/>
        <v>0</v>
      </c>
      <c r="G566" s="5" t="s">
        <v>1483</v>
      </c>
      <c r="H566" s="4" t="e">
        <f>VLOOKUP(A566,المعطيات!$A$1:$J$3500,3,0)</f>
        <v>#N/A</v>
      </c>
      <c r="I566" s="1" t="s">
        <v>1484</v>
      </c>
      <c r="J566" s="1" t="s">
        <v>1485</v>
      </c>
      <c r="K566" s="4" t="e">
        <f>VLOOKUP(A566,المعطيات!$A$1:$J$3500,6,0)</f>
        <v>#N/A</v>
      </c>
      <c r="L566" s="1" t="s">
        <v>1486</v>
      </c>
      <c r="M566" s="1" t="s">
        <v>1487</v>
      </c>
      <c r="N566" s="4" t="e">
        <f t="shared" si="25"/>
        <v>#N/A</v>
      </c>
      <c r="O566" s="1" t="s">
        <v>1488</v>
      </c>
      <c r="P566" s="4" t="e">
        <f>VLOOKUP(A566,المعطيات!$A$1:$J$3500,4,0)</f>
        <v>#N/A</v>
      </c>
      <c r="Q566" s="1" t="s">
        <v>1489</v>
      </c>
      <c r="R566" s="1" t="s">
        <v>1480</v>
      </c>
      <c r="S566" s="6" t="e">
        <f t="shared" si="26"/>
        <v>#N/A</v>
      </c>
    </row>
    <row r="567" spans="2:19" x14ac:dyDescent="0.25">
      <c r="B567" s="1" t="s">
        <v>1479</v>
      </c>
      <c r="C567" s="1" t="s">
        <v>1481</v>
      </c>
      <c r="D567" s="4" t="e">
        <f>VLOOKUP(A567,المعطيات!$A$1:$J$3500,5,0)</f>
        <v>#N/A</v>
      </c>
      <c r="E567" s="1" t="s">
        <v>1482</v>
      </c>
      <c r="F567" s="5">
        <f t="shared" si="24"/>
        <v>0</v>
      </c>
      <c r="G567" s="5" t="s">
        <v>1483</v>
      </c>
      <c r="H567" s="4" t="e">
        <f>VLOOKUP(A567,المعطيات!$A$1:$J$3500,3,0)</f>
        <v>#N/A</v>
      </c>
      <c r="I567" s="1" t="s">
        <v>1484</v>
      </c>
      <c r="J567" s="1" t="s">
        <v>1485</v>
      </c>
      <c r="K567" s="4" t="e">
        <f>VLOOKUP(A567,المعطيات!$A$1:$J$3500,6,0)</f>
        <v>#N/A</v>
      </c>
      <c r="L567" s="1" t="s">
        <v>1486</v>
      </c>
      <c r="M567" s="1" t="s">
        <v>1487</v>
      </c>
      <c r="N567" s="4" t="e">
        <f t="shared" si="25"/>
        <v>#N/A</v>
      </c>
      <c r="O567" s="1" t="s">
        <v>1488</v>
      </c>
      <c r="P567" s="4" t="e">
        <f>VLOOKUP(A567,المعطيات!$A$1:$J$3500,4,0)</f>
        <v>#N/A</v>
      </c>
      <c r="Q567" s="1" t="s">
        <v>1489</v>
      </c>
      <c r="R567" s="1" t="s">
        <v>1480</v>
      </c>
      <c r="S567" s="6" t="e">
        <f t="shared" si="26"/>
        <v>#N/A</v>
      </c>
    </row>
    <row r="568" spans="2:19" x14ac:dyDescent="0.25">
      <c r="B568" s="1" t="s">
        <v>1479</v>
      </c>
      <c r="C568" s="1" t="s">
        <v>1481</v>
      </c>
      <c r="D568" s="4" t="e">
        <f>VLOOKUP(A568,المعطيات!$A$1:$J$3500,5,0)</f>
        <v>#N/A</v>
      </c>
      <c r="E568" s="1" t="s">
        <v>1482</v>
      </c>
      <c r="F568" s="5">
        <f t="shared" si="24"/>
        <v>0</v>
      </c>
      <c r="G568" s="5" t="s">
        <v>1483</v>
      </c>
      <c r="H568" s="4" t="e">
        <f>VLOOKUP(A568,المعطيات!$A$1:$J$3500,3,0)</f>
        <v>#N/A</v>
      </c>
      <c r="I568" s="1" t="s">
        <v>1484</v>
      </c>
      <c r="J568" s="1" t="s">
        <v>1485</v>
      </c>
      <c r="K568" s="4" t="e">
        <f>VLOOKUP(A568,المعطيات!$A$1:$J$3500,6,0)</f>
        <v>#N/A</v>
      </c>
      <c r="L568" s="1" t="s">
        <v>1486</v>
      </c>
      <c r="M568" s="1" t="s">
        <v>1487</v>
      </c>
      <c r="N568" s="4" t="e">
        <f t="shared" si="25"/>
        <v>#N/A</v>
      </c>
      <c r="O568" s="1" t="s">
        <v>1488</v>
      </c>
      <c r="P568" s="4" t="e">
        <f>VLOOKUP(A568,المعطيات!$A$1:$J$3500,4,0)</f>
        <v>#N/A</v>
      </c>
      <c r="Q568" s="1" t="s">
        <v>1489</v>
      </c>
      <c r="R568" s="1" t="s">
        <v>1480</v>
      </c>
      <c r="S568" s="6" t="e">
        <f t="shared" si="26"/>
        <v>#N/A</v>
      </c>
    </row>
    <row r="569" spans="2:19" x14ac:dyDescent="0.25">
      <c r="B569" s="1" t="s">
        <v>1479</v>
      </c>
      <c r="C569" s="1" t="s">
        <v>1481</v>
      </c>
      <c r="D569" s="4" t="e">
        <f>VLOOKUP(A569,المعطيات!$A$1:$J$3500,5,0)</f>
        <v>#N/A</v>
      </c>
      <c r="E569" s="1" t="s">
        <v>1482</v>
      </c>
      <c r="F569" s="5">
        <f t="shared" si="24"/>
        <v>0</v>
      </c>
      <c r="G569" s="5" t="s">
        <v>1483</v>
      </c>
      <c r="H569" s="4" t="e">
        <f>VLOOKUP(A569,المعطيات!$A$1:$J$3500,3,0)</f>
        <v>#N/A</v>
      </c>
      <c r="I569" s="1" t="s">
        <v>1484</v>
      </c>
      <c r="J569" s="1" t="s">
        <v>1485</v>
      </c>
      <c r="K569" s="4" t="e">
        <f>VLOOKUP(A569,المعطيات!$A$1:$J$3500,6,0)</f>
        <v>#N/A</v>
      </c>
      <c r="L569" s="1" t="s">
        <v>1486</v>
      </c>
      <c r="M569" s="1" t="s">
        <v>1487</v>
      </c>
      <c r="N569" s="4" t="e">
        <f t="shared" si="25"/>
        <v>#N/A</v>
      </c>
      <c r="O569" s="1" t="s">
        <v>1488</v>
      </c>
      <c r="P569" s="4" t="e">
        <f>VLOOKUP(A569,المعطيات!$A$1:$J$3500,4,0)</f>
        <v>#N/A</v>
      </c>
      <c r="Q569" s="1" t="s">
        <v>1489</v>
      </c>
      <c r="R569" s="1" t="s">
        <v>1480</v>
      </c>
      <c r="S569" s="6" t="e">
        <f t="shared" si="26"/>
        <v>#N/A</v>
      </c>
    </row>
    <row r="570" spans="2:19" x14ac:dyDescent="0.25">
      <c r="B570" s="1" t="s">
        <v>1479</v>
      </c>
      <c r="C570" s="1" t="s">
        <v>1481</v>
      </c>
      <c r="D570" s="4" t="e">
        <f>VLOOKUP(A570,المعطيات!$A$1:$J$3500,5,0)</f>
        <v>#N/A</v>
      </c>
      <c r="E570" s="1" t="s">
        <v>1482</v>
      </c>
      <c r="F570" s="5">
        <f t="shared" si="24"/>
        <v>0</v>
      </c>
      <c r="G570" s="5" t="s">
        <v>1483</v>
      </c>
      <c r="H570" s="4" t="e">
        <f>VLOOKUP(A570,المعطيات!$A$1:$J$3500,3,0)</f>
        <v>#N/A</v>
      </c>
      <c r="I570" s="1" t="s">
        <v>1484</v>
      </c>
      <c r="J570" s="1" t="s">
        <v>1485</v>
      </c>
      <c r="K570" s="4" t="e">
        <f>VLOOKUP(A570,المعطيات!$A$1:$J$3500,6,0)</f>
        <v>#N/A</v>
      </c>
      <c r="L570" s="1" t="s">
        <v>1486</v>
      </c>
      <c r="M570" s="1" t="s">
        <v>1487</v>
      </c>
      <c r="N570" s="4" t="e">
        <f t="shared" si="25"/>
        <v>#N/A</v>
      </c>
      <c r="O570" s="1" t="s">
        <v>1488</v>
      </c>
      <c r="P570" s="4" t="e">
        <f>VLOOKUP(A570,المعطيات!$A$1:$J$3500,4,0)</f>
        <v>#N/A</v>
      </c>
      <c r="Q570" s="1" t="s">
        <v>1489</v>
      </c>
      <c r="R570" s="1" t="s">
        <v>1480</v>
      </c>
      <c r="S570" s="6" t="e">
        <f t="shared" si="26"/>
        <v>#N/A</v>
      </c>
    </row>
    <row r="571" spans="2:19" x14ac:dyDescent="0.25">
      <c r="B571" s="1" t="s">
        <v>1479</v>
      </c>
      <c r="C571" s="1" t="s">
        <v>1481</v>
      </c>
      <c r="D571" s="4" t="e">
        <f>VLOOKUP(A571,المعطيات!$A$1:$J$3500,5,0)</f>
        <v>#N/A</v>
      </c>
      <c r="E571" s="1" t="s">
        <v>1482</v>
      </c>
      <c r="F571" s="5">
        <f t="shared" si="24"/>
        <v>0</v>
      </c>
      <c r="G571" s="5" t="s">
        <v>1483</v>
      </c>
      <c r="H571" s="4" t="e">
        <f>VLOOKUP(A571,المعطيات!$A$1:$J$3500,3,0)</f>
        <v>#N/A</v>
      </c>
      <c r="I571" s="1" t="s">
        <v>1484</v>
      </c>
      <c r="J571" s="1" t="s">
        <v>1485</v>
      </c>
      <c r="K571" s="4" t="e">
        <f>VLOOKUP(A571,المعطيات!$A$1:$J$3500,6,0)</f>
        <v>#N/A</v>
      </c>
      <c r="L571" s="1" t="s">
        <v>1486</v>
      </c>
      <c r="M571" s="1" t="s">
        <v>1487</v>
      </c>
      <c r="N571" s="4" t="e">
        <f t="shared" si="25"/>
        <v>#N/A</v>
      </c>
      <c r="O571" s="1" t="s">
        <v>1488</v>
      </c>
      <c r="P571" s="4" t="e">
        <f>VLOOKUP(A571,المعطيات!$A$1:$J$3500,4,0)</f>
        <v>#N/A</v>
      </c>
      <c r="Q571" s="1" t="s">
        <v>1489</v>
      </c>
      <c r="R571" s="1" t="s">
        <v>1480</v>
      </c>
      <c r="S571" s="6" t="e">
        <f t="shared" si="26"/>
        <v>#N/A</v>
      </c>
    </row>
    <row r="572" spans="2:19" x14ac:dyDescent="0.25">
      <c r="B572" s="1" t="s">
        <v>1479</v>
      </c>
      <c r="C572" s="1" t="s">
        <v>1481</v>
      </c>
      <c r="D572" s="4" t="e">
        <f>VLOOKUP(A572,المعطيات!$A$1:$J$3500,5,0)</f>
        <v>#N/A</v>
      </c>
      <c r="E572" s="1" t="s">
        <v>1482</v>
      </c>
      <c r="F572" s="5">
        <f t="shared" si="24"/>
        <v>0</v>
      </c>
      <c r="G572" s="5" t="s">
        <v>1483</v>
      </c>
      <c r="H572" s="4" t="e">
        <f>VLOOKUP(A572,المعطيات!$A$1:$J$3500,3,0)</f>
        <v>#N/A</v>
      </c>
      <c r="I572" s="1" t="s">
        <v>1484</v>
      </c>
      <c r="J572" s="1" t="s">
        <v>1485</v>
      </c>
      <c r="K572" s="4" t="e">
        <f>VLOOKUP(A572,المعطيات!$A$1:$J$3500,6,0)</f>
        <v>#N/A</v>
      </c>
      <c r="L572" s="1" t="s">
        <v>1486</v>
      </c>
      <c r="M572" s="1" t="s">
        <v>1487</v>
      </c>
      <c r="N572" s="4" t="e">
        <f t="shared" si="25"/>
        <v>#N/A</v>
      </c>
      <c r="O572" s="1" t="s">
        <v>1488</v>
      </c>
      <c r="P572" s="4" t="e">
        <f>VLOOKUP(A572,المعطيات!$A$1:$J$3500,4,0)</f>
        <v>#N/A</v>
      </c>
      <c r="Q572" s="1" t="s">
        <v>1489</v>
      </c>
      <c r="R572" s="1" t="s">
        <v>1480</v>
      </c>
      <c r="S572" s="6" t="e">
        <f t="shared" si="26"/>
        <v>#N/A</v>
      </c>
    </row>
    <row r="573" spans="2:19" x14ac:dyDescent="0.25">
      <c r="B573" s="1" t="s">
        <v>1479</v>
      </c>
      <c r="C573" s="1" t="s">
        <v>1481</v>
      </c>
      <c r="D573" s="4" t="e">
        <f>VLOOKUP(A573,المعطيات!$A$1:$J$3500,5,0)</f>
        <v>#N/A</v>
      </c>
      <c r="E573" s="1" t="s">
        <v>1482</v>
      </c>
      <c r="F573" s="5">
        <f t="shared" si="24"/>
        <v>0</v>
      </c>
      <c r="G573" s="5" t="s">
        <v>1483</v>
      </c>
      <c r="H573" s="4" t="e">
        <f>VLOOKUP(A573,المعطيات!$A$1:$J$3500,3,0)</f>
        <v>#N/A</v>
      </c>
      <c r="I573" s="1" t="s">
        <v>1484</v>
      </c>
      <c r="J573" s="1" t="s">
        <v>1485</v>
      </c>
      <c r="K573" s="4" t="e">
        <f>VLOOKUP(A573,المعطيات!$A$1:$J$3500,6,0)</f>
        <v>#N/A</v>
      </c>
      <c r="L573" s="1" t="s">
        <v>1486</v>
      </c>
      <c r="M573" s="1" t="s">
        <v>1487</v>
      </c>
      <c r="N573" s="4" t="e">
        <f t="shared" si="25"/>
        <v>#N/A</v>
      </c>
      <c r="O573" s="1" t="s">
        <v>1488</v>
      </c>
      <c r="P573" s="4" t="e">
        <f>VLOOKUP(A573,المعطيات!$A$1:$J$3500,4,0)</f>
        <v>#N/A</v>
      </c>
      <c r="Q573" s="1" t="s">
        <v>1489</v>
      </c>
      <c r="R573" s="1" t="s">
        <v>1480</v>
      </c>
      <c r="S573" s="6" t="e">
        <f t="shared" si="26"/>
        <v>#N/A</v>
      </c>
    </row>
    <row r="574" spans="2:19" x14ac:dyDescent="0.25">
      <c r="B574" s="1" t="s">
        <v>1479</v>
      </c>
      <c r="C574" s="1" t="s">
        <v>1481</v>
      </c>
      <c r="D574" s="4" t="e">
        <f>VLOOKUP(A574,المعطيات!$A$1:$J$3500,5,0)</f>
        <v>#N/A</v>
      </c>
      <c r="E574" s="1" t="s">
        <v>1482</v>
      </c>
      <c r="F574" s="5">
        <f t="shared" si="24"/>
        <v>0</v>
      </c>
      <c r="G574" s="5" t="s">
        <v>1483</v>
      </c>
      <c r="H574" s="4" t="e">
        <f>VLOOKUP(A574,المعطيات!$A$1:$J$3500,3,0)</f>
        <v>#N/A</v>
      </c>
      <c r="I574" s="1" t="s">
        <v>1484</v>
      </c>
      <c r="J574" s="1" t="s">
        <v>1485</v>
      </c>
      <c r="K574" s="4" t="e">
        <f>VLOOKUP(A574,المعطيات!$A$1:$J$3500,6,0)</f>
        <v>#N/A</v>
      </c>
      <c r="L574" s="1" t="s">
        <v>1486</v>
      </c>
      <c r="M574" s="1" t="s">
        <v>1487</v>
      </c>
      <c r="N574" s="4" t="e">
        <f t="shared" si="25"/>
        <v>#N/A</v>
      </c>
      <c r="O574" s="1" t="s">
        <v>1488</v>
      </c>
      <c r="P574" s="4" t="e">
        <f>VLOOKUP(A574,المعطيات!$A$1:$J$3500,4,0)</f>
        <v>#N/A</v>
      </c>
      <c r="Q574" s="1" t="s">
        <v>1489</v>
      </c>
      <c r="R574" s="1" t="s">
        <v>1480</v>
      </c>
      <c r="S574" s="6" t="e">
        <f t="shared" si="26"/>
        <v>#N/A</v>
      </c>
    </row>
    <row r="575" spans="2:19" x14ac:dyDescent="0.25">
      <c r="B575" s="1" t="s">
        <v>1479</v>
      </c>
      <c r="C575" s="1" t="s">
        <v>1481</v>
      </c>
      <c r="D575" s="4" t="e">
        <f>VLOOKUP(A575,المعطيات!$A$1:$J$3500,5,0)</f>
        <v>#N/A</v>
      </c>
      <c r="E575" s="1" t="s">
        <v>1482</v>
      </c>
      <c r="F575" s="5">
        <f t="shared" si="24"/>
        <v>0</v>
      </c>
      <c r="G575" s="5" t="s">
        <v>1483</v>
      </c>
      <c r="H575" s="4" t="e">
        <f>VLOOKUP(A575,المعطيات!$A$1:$J$3500,3,0)</f>
        <v>#N/A</v>
      </c>
      <c r="I575" s="1" t="s">
        <v>1484</v>
      </c>
      <c r="J575" s="1" t="s">
        <v>1485</v>
      </c>
      <c r="K575" s="4" t="e">
        <f>VLOOKUP(A575,المعطيات!$A$1:$J$3500,6,0)</f>
        <v>#N/A</v>
      </c>
      <c r="L575" s="1" t="s">
        <v>1486</v>
      </c>
      <c r="M575" s="1" t="s">
        <v>1487</v>
      </c>
      <c r="N575" s="4" t="e">
        <f t="shared" si="25"/>
        <v>#N/A</v>
      </c>
      <c r="O575" s="1" t="s">
        <v>1488</v>
      </c>
      <c r="P575" s="4" t="e">
        <f>VLOOKUP(A575,المعطيات!$A$1:$J$3500,4,0)</f>
        <v>#N/A</v>
      </c>
      <c r="Q575" s="1" t="s">
        <v>1489</v>
      </c>
      <c r="R575" s="1" t="s">
        <v>1480</v>
      </c>
      <c r="S575" s="6" t="e">
        <f t="shared" si="26"/>
        <v>#N/A</v>
      </c>
    </row>
    <row r="576" spans="2:19" x14ac:dyDescent="0.25">
      <c r="B576" s="1" t="s">
        <v>1479</v>
      </c>
      <c r="C576" s="1" t="s">
        <v>1481</v>
      </c>
      <c r="D576" s="4" t="e">
        <f>VLOOKUP(A576,المعطيات!$A$1:$J$3500,5,0)</f>
        <v>#N/A</v>
      </c>
      <c r="E576" s="1" t="s">
        <v>1482</v>
      </c>
      <c r="F576" s="5">
        <f t="shared" si="24"/>
        <v>0</v>
      </c>
      <c r="G576" s="5" t="s">
        <v>1483</v>
      </c>
      <c r="H576" s="4" t="e">
        <f>VLOOKUP(A576,المعطيات!$A$1:$J$3500,3,0)</f>
        <v>#N/A</v>
      </c>
      <c r="I576" s="1" t="s">
        <v>1484</v>
      </c>
      <c r="J576" s="1" t="s">
        <v>1485</v>
      </c>
      <c r="K576" s="4" t="e">
        <f>VLOOKUP(A576,المعطيات!$A$1:$J$3500,6,0)</f>
        <v>#N/A</v>
      </c>
      <c r="L576" s="1" t="s">
        <v>1486</v>
      </c>
      <c r="M576" s="1" t="s">
        <v>1487</v>
      </c>
      <c r="N576" s="4" t="e">
        <f t="shared" si="25"/>
        <v>#N/A</v>
      </c>
      <c r="O576" s="1" t="s">
        <v>1488</v>
      </c>
      <c r="P576" s="4" t="e">
        <f>VLOOKUP(A576,المعطيات!$A$1:$J$3500,4,0)</f>
        <v>#N/A</v>
      </c>
      <c r="Q576" s="1" t="s">
        <v>1489</v>
      </c>
      <c r="R576" s="1" t="s">
        <v>1480</v>
      </c>
      <c r="S576" s="6" t="e">
        <f t="shared" si="26"/>
        <v>#N/A</v>
      </c>
    </row>
    <row r="577" spans="2:19" x14ac:dyDescent="0.25">
      <c r="B577" s="1" t="s">
        <v>1479</v>
      </c>
      <c r="C577" s="1" t="s">
        <v>1481</v>
      </c>
      <c r="D577" s="4" t="e">
        <f>VLOOKUP(A577,المعطيات!$A$1:$J$3500,5,0)</f>
        <v>#N/A</v>
      </c>
      <c r="E577" s="1" t="s">
        <v>1482</v>
      </c>
      <c r="F577" s="5">
        <f t="shared" si="24"/>
        <v>0</v>
      </c>
      <c r="G577" s="5" t="s">
        <v>1483</v>
      </c>
      <c r="H577" s="4" t="e">
        <f>VLOOKUP(A577,المعطيات!$A$1:$J$3500,3,0)</f>
        <v>#N/A</v>
      </c>
      <c r="I577" s="1" t="s">
        <v>1484</v>
      </c>
      <c r="J577" s="1" t="s">
        <v>1485</v>
      </c>
      <c r="K577" s="4" t="e">
        <f>VLOOKUP(A577,المعطيات!$A$1:$J$3500,6,0)</f>
        <v>#N/A</v>
      </c>
      <c r="L577" s="1" t="s">
        <v>1486</v>
      </c>
      <c r="M577" s="1" t="s">
        <v>1487</v>
      </c>
      <c r="N577" s="4" t="e">
        <f t="shared" si="25"/>
        <v>#N/A</v>
      </c>
      <c r="O577" s="1" t="s">
        <v>1488</v>
      </c>
      <c r="P577" s="4" t="e">
        <f>VLOOKUP(A577,المعطيات!$A$1:$J$3500,4,0)</f>
        <v>#N/A</v>
      </c>
      <c r="Q577" s="1" t="s">
        <v>1489</v>
      </c>
      <c r="R577" s="1" t="s">
        <v>1480</v>
      </c>
      <c r="S577" s="6" t="e">
        <f t="shared" si="26"/>
        <v>#N/A</v>
      </c>
    </row>
    <row r="578" spans="2:19" x14ac:dyDescent="0.25">
      <c r="B578" s="1" t="s">
        <v>1479</v>
      </c>
      <c r="C578" s="1" t="s">
        <v>1481</v>
      </c>
      <c r="D578" s="4" t="e">
        <f>VLOOKUP(A578,المعطيات!$A$1:$J$3500,5,0)</f>
        <v>#N/A</v>
      </c>
      <c r="E578" s="1" t="s">
        <v>1482</v>
      </c>
      <c r="F578" s="5">
        <f t="shared" ref="F578:F641" si="27">A578</f>
        <v>0</v>
      </c>
      <c r="G578" s="5" t="s">
        <v>1483</v>
      </c>
      <c r="H578" s="4" t="e">
        <f>VLOOKUP(A578,المعطيات!$A$1:$J$3500,3,0)</f>
        <v>#N/A</v>
      </c>
      <c r="I578" s="1" t="s">
        <v>1484</v>
      </c>
      <c r="J578" s="1" t="s">
        <v>1485</v>
      </c>
      <c r="K578" s="4" t="e">
        <f>VLOOKUP(A578,المعطيات!$A$1:$J$3500,6,0)</f>
        <v>#N/A</v>
      </c>
      <c r="L578" s="1" t="s">
        <v>1486</v>
      </c>
      <c r="M578" s="1" t="s">
        <v>1487</v>
      </c>
      <c r="N578" s="4" t="e">
        <f t="shared" ref="N578:N641" si="28">D578</f>
        <v>#N/A</v>
      </c>
      <c r="O578" s="1" t="s">
        <v>1488</v>
      </c>
      <c r="P578" s="4" t="e">
        <f>VLOOKUP(A578,المعطيات!$A$1:$J$3500,4,0)</f>
        <v>#N/A</v>
      </c>
      <c r="Q578" s="1" t="s">
        <v>1489</v>
      </c>
      <c r="R578" s="1" t="s">
        <v>1480</v>
      </c>
      <c r="S578" s="6" t="e">
        <f t="shared" ref="S578:S641" si="29">B578&amp;""&amp;C578&amp;""&amp;D578&amp;""&amp;E578&amp;""&amp;F578&amp;""&amp;G578&amp;""&amp;H578&amp;""&amp;I578&amp;""&amp;J578&amp;""&amp;K578&amp;""&amp;L578&amp;""&amp;M578&amp;""&amp;N578&amp;""&amp;O578&amp;""&amp;P578&amp;""&amp;Q578&amp;""&amp;R578</f>
        <v>#N/A</v>
      </c>
    </row>
    <row r="579" spans="2:19" x14ac:dyDescent="0.25">
      <c r="B579" s="1" t="s">
        <v>1479</v>
      </c>
      <c r="C579" s="1" t="s">
        <v>1481</v>
      </c>
      <c r="D579" s="4" t="e">
        <f>VLOOKUP(A579,المعطيات!$A$1:$J$3500,5,0)</f>
        <v>#N/A</v>
      </c>
      <c r="E579" s="1" t="s">
        <v>1482</v>
      </c>
      <c r="F579" s="5">
        <f t="shared" si="27"/>
        <v>0</v>
      </c>
      <c r="G579" s="5" t="s">
        <v>1483</v>
      </c>
      <c r="H579" s="4" t="e">
        <f>VLOOKUP(A579,المعطيات!$A$1:$J$3500,3,0)</f>
        <v>#N/A</v>
      </c>
      <c r="I579" s="1" t="s">
        <v>1484</v>
      </c>
      <c r="J579" s="1" t="s">
        <v>1485</v>
      </c>
      <c r="K579" s="4" t="e">
        <f>VLOOKUP(A579,المعطيات!$A$1:$J$3500,6,0)</f>
        <v>#N/A</v>
      </c>
      <c r="L579" s="1" t="s">
        <v>1486</v>
      </c>
      <c r="M579" s="1" t="s">
        <v>1487</v>
      </c>
      <c r="N579" s="4" t="e">
        <f t="shared" si="28"/>
        <v>#N/A</v>
      </c>
      <c r="O579" s="1" t="s">
        <v>1488</v>
      </c>
      <c r="P579" s="4" t="e">
        <f>VLOOKUP(A579,المعطيات!$A$1:$J$3500,4,0)</f>
        <v>#N/A</v>
      </c>
      <c r="Q579" s="1" t="s">
        <v>1489</v>
      </c>
      <c r="R579" s="1" t="s">
        <v>1480</v>
      </c>
      <c r="S579" s="6" t="e">
        <f t="shared" si="29"/>
        <v>#N/A</v>
      </c>
    </row>
    <row r="580" spans="2:19" x14ac:dyDescent="0.25">
      <c r="B580" s="1" t="s">
        <v>1479</v>
      </c>
      <c r="C580" s="1" t="s">
        <v>1481</v>
      </c>
      <c r="D580" s="4" t="e">
        <f>VLOOKUP(A580,المعطيات!$A$1:$J$3500,5,0)</f>
        <v>#N/A</v>
      </c>
      <c r="E580" s="1" t="s">
        <v>1482</v>
      </c>
      <c r="F580" s="5">
        <f t="shared" si="27"/>
        <v>0</v>
      </c>
      <c r="G580" s="5" t="s">
        <v>1483</v>
      </c>
      <c r="H580" s="4" t="e">
        <f>VLOOKUP(A580,المعطيات!$A$1:$J$3500,3,0)</f>
        <v>#N/A</v>
      </c>
      <c r="I580" s="1" t="s">
        <v>1484</v>
      </c>
      <c r="J580" s="1" t="s">
        <v>1485</v>
      </c>
      <c r="K580" s="4" t="e">
        <f>VLOOKUP(A580,المعطيات!$A$1:$J$3500,6,0)</f>
        <v>#N/A</v>
      </c>
      <c r="L580" s="1" t="s">
        <v>1486</v>
      </c>
      <c r="M580" s="1" t="s">
        <v>1487</v>
      </c>
      <c r="N580" s="4" t="e">
        <f t="shared" si="28"/>
        <v>#N/A</v>
      </c>
      <c r="O580" s="1" t="s">
        <v>1488</v>
      </c>
      <c r="P580" s="4" t="e">
        <f>VLOOKUP(A580,المعطيات!$A$1:$J$3500,4,0)</f>
        <v>#N/A</v>
      </c>
      <c r="Q580" s="1" t="s">
        <v>1489</v>
      </c>
      <c r="R580" s="1" t="s">
        <v>1480</v>
      </c>
      <c r="S580" s="6" t="e">
        <f t="shared" si="29"/>
        <v>#N/A</v>
      </c>
    </row>
    <row r="581" spans="2:19" x14ac:dyDescent="0.25">
      <c r="B581" s="1" t="s">
        <v>1479</v>
      </c>
      <c r="C581" s="1" t="s">
        <v>1481</v>
      </c>
      <c r="D581" s="4" t="e">
        <f>VLOOKUP(A581,المعطيات!$A$1:$J$3500,5,0)</f>
        <v>#N/A</v>
      </c>
      <c r="E581" s="1" t="s">
        <v>1482</v>
      </c>
      <c r="F581" s="5">
        <f t="shared" si="27"/>
        <v>0</v>
      </c>
      <c r="G581" s="5" t="s">
        <v>1483</v>
      </c>
      <c r="H581" s="4" t="e">
        <f>VLOOKUP(A581,المعطيات!$A$1:$J$3500,3,0)</f>
        <v>#N/A</v>
      </c>
      <c r="I581" s="1" t="s">
        <v>1484</v>
      </c>
      <c r="J581" s="1" t="s">
        <v>1485</v>
      </c>
      <c r="K581" s="4" t="e">
        <f>VLOOKUP(A581,المعطيات!$A$1:$J$3500,6,0)</f>
        <v>#N/A</v>
      </c>
      <c r="L581" s="1" t="s">
        <v>1486</v>
      </c>
      <c r="M581" s="1" t="s">
        <v>1487</v>
      </c>
      <c r="N581" s="4" t="e">
        <f t="shared" si="28"/>
        <v>#N/A</v>
      </c>
      <c r="O581" s="1" t="s">
        <v>1488</v>
      </c>
      <c r="P581" s="4" t="e">
        <f>VLOOKUP(A581,المعطيات!$A$1:$J$3500,4,0)</f>
        <v>#N/A</v>
      </c>
      <c r="Q581" s="1" t="s">
        <v>1489</v>
      </c>
      <c r="R581" s="1" t="s">
        <v>1480</v>
      </c>
      <c r="S581" s="6" t="e">
        <f t="shared" si="29"/>
        <v>#N/A</v>
      </c>
    </row>
    <row r="582" spans="2:19" x14ac:dyDescent="0.25">
      <c r="B582" s="1" t="s">
        <v>1479</v>
      </c>
      <c r="C582" s="1" t="s">
        <v>1481</v>
      </c>
      <c r="D582" s="4" t="e">
        <f>VLOOKUP(A582,المعطيات!$A$1:$J$3500,5,0)</f>
        <v>#N/A</v>
      </c>
      <c r="E582" s="1" t="s">
        <v>1482</v>
      </c>
      <c r="F582" s="5">
        <f t="shared" si="27"/>
        <v>0</v>
      </c>
      <c r="G582" s="5" t="s">
        <v>1483</v>
      </c>
      <c r="H582" s="4" t="e">
        <f>VLOOKUP(A582,المعطيات!$A$1:$J$3500,3,0)</f>
        <v>#N/A</v>
      </c>
      <c r="I582" s="1" t="s">
        <v>1484</v>
      </c>
      <c r="J582" s="1" t="s">
        <v>1485</v>
      </c>
      <c r="K582" s="4" t="e">
        <f>VLOOKUP(A582,المعطيات!$A$1:$J$3500,6,0)</f>
        <v>#N/A</v>
      </c>
      <c r="L582" s="1" t="s">
        <v>1486</v>
      </c>
      <c r="M582" s="1" t="s">
        <v>1487</v>
      </c>
      <c r="N582" s="4" t="e">
        <f t="shared" si="28"/>
        <v>#N/A</v>
      </c>
      <c r="O582" s="1" t="s">
        <v>1488</v>
      </c>
      <c r="P582" s="4" t="e">
        <f>VLOOKUP(A582,المعطيات!$A$1:$J$3500,4,0)</f>
        <v>#N/A</v>
      </c>
      <c r="Q582" s="1" t="s">
        <v>1489</v>
      </c>
      <c r="R582" s="1" t="s">
        <v>1480</v>
      </c>
      <c r="S582" s="6" t="e">
        <f t="shared" si="29"/>
        <v>#N/A</v>
      </c>
    </row>
    <row r="583" spans="2:19" x14ac:dyDescent="0.25">
      <c r="B583" s="1" t="s">
        <v>1479</v>
      </c>
      <c r="C583" s="1" t="s">
        <v>1481</v>
      </c>
      <c r="D583" s="4" t="e">
        <f>VLOOKUP(A583,المعطيات!$A$1:$J$3500,5,0)</f>
        <v>#N/A</v>
      </c>
      <c r="E583" s="1" t="s">
        <v>1482</v>
      </c>
      <c r="F583" s="5">
        <f t="shared" si="27"/>
        <v>0</v>
      </c>
      <c r="G583" s="5" t="s">
        <v>1483</v>
      </c>
      <c r="H583" s="4" t="e">
        <f>VLOOKUP(A583,المعطيات!$A$1:$J$3500,3,0)</f>
        <v>#N/A</v>
      </c>
      <c r="I583" s="1" t="s">
        <v>1484</v>
      </c>
      <c r="J583" s="1" t="s">
        <v>1485</v>
      </c>
      <c r="K583" s="4" t="e">
        <f>VLOOKUP(A583,المعطيات!$A$1:$J$3500,6,0)</f>
        <v>#N/A</v>
      </c>
      <c r="L583" s="1" t="s">
        <v>1486</v>
      </c>
      <c r="M583" s="1" t="s">
        <v>1487</v>
      </c>
      <c r="N583" s="4" t="e">
        <f t="shared" si="28"/>
        <v>#N/A</v>
      </c>
      <c r="O583" s="1" t="s">
        <v>1488</v>
      </c>
      <c r="P583" s="4" t="e">
        <f>VLOOKUP(A583,المعطيات!$A$1:$J$3500,4,0)</f>
        <v>#N/A</v>
      </c>
      <c r="Q583" s="1" t="s">
        <v>1489</v>
      </c>
      <c r="R583" s="1" t="s">
        <v>1480</v>
      </c>
      <c r="S583" s="6" t="e">
        <f t="shared" si="29"/>
        <v>#N/A</v>
      </c>
    </row>
    <row r="584" spans="2:19" x14ac:dyDescent="0.25">
      <c r="B584" s="1" t="s">
        <v>1479</v>
      </c>
      <c r="C584" s="1" t="s">
        <v>1481</v>
      </c>
      <c r="D584" s="4" t="e">
        <f>VLOOKUP(A584,المعطيات!$A$1:$J$3500,5,0)</f>
        <v>#N/A</v>
      </c>
      <c r="E584" s="1" t="s">
        <v>1482</v>
      </c>
      <c r="F584" s="5">
        <f t="shared" si="27"/>
        <v>0</v>
      </c>
      <c r="G584" s="5" t="s">
        <v>1483</v>
      </c>
      <c r="H584" s="4" t="e">
        <f>VLOOKUP(A584,المعطيات!$A$1:$J$3500,3,0)</f>
        <v>#N/A</v>
      </c>
      <c r="I584" s="1" t="s">
        <v>1484</v>
      </c>
      <c r="J584" s="1" t="s">
        <v>1485</v>
      </c>
      <c r="K584" s="4" t="e">
        <f>VLOOKUP(A584,المعطيات!$A$1:$J$3500,6,0)</f>
        <v>#N/A</v>
      </c>
      <c r="L584" s="1" t="s">
        <v>1486</v>
      </c>
      <c r="M584" s="1" t="s">
        <v>1487</v>
      </c>
      <c r="N584" s="4" t="e">
        <f t="shared" si="28"/>
        <v>#N/A</v>
      </c>
      <c r="O584" s="1" t="s">
        <v>1488</v>
      </c>
      <c r="P584" s="4" t="e">
        <f>VLOOKUP(A584,المعطيات!$A$1:$J$3500,4,0)</f>
        <v>#N/A</v>
      </c>
      <c r="Q584" s="1" t="s">
        <v>1489</v>
      </c>
      <c r="R584" s="1" t="s">
        <v>1480</v>
      </c>
      <c r="S584" s="6" t="e">
        <f t="shared" si="29"/>
        <v>#N/A</v>
      </c>
    </row>
    <row r="585" spans="2:19" x14ac:dyDescent="0.25">
      <c r="B585" s="1" t="s">
        <v>1479</v>
      </c>
      <c r="C585" s="1" t="s">
        <v>1481</v>
      </c>
      <c r="D585" s="4" t="e">
        <f>VLOOKUP(A585,المعطيات!$A$1:$J$3500,5,0)</f>
        <v>#N/A</v>
      </c>
      <c r="E585" s="1" t="s">
        <v>1482</v>
      </c>
      <c r="F585" s="5">
        <f t="shared" si="27"/>
        <v>0</v>
      </c>
      <c r="G585" s="5" t="s">
        <v>1483</v>
      </c>
      <c r="H585" s="4" t="e">
        <f>VLOOKUP(A585,المعطيات!$A$1:$J$3500,3,0)</f>
        <v>#N/A</v>
      </c>
      <c r="I585" s="1" t="s">
        <v>1484</v>
      </c>
      <c r="J585" s="1" t="s">
        <v>1485</v>
      </c>
      <c r="K585" s="4" t="e">
        <f>VLOOKUP(A585,المعطيات!$A$1:$J$3500,6,0)</f>
        <v>#N/A</v>
      </c>
      <c r="L585" s="1" t="s">
        <v>1486</v>
      </c>
      <c r="M585" s="1" t="s">
        <v>1487</v>
      </c>
      <c r="N585" s="4" t="e">
        <f t="shared" si="28"/>
        <v>#N/A</v>
      </c>
      <c r="O585" s="1" t="s">
        <v>1488</v>
      </c>
      <c r="P585" s="4" t="e">
        <f>VLOOKUP(A585,المعطيات!$A$1:$J$3500,4,0)</f>
        <v>#N/A</v>
      </c>
      <c r="Q585" s="1" t="s">
        <v>1489</v>
      </c>
      <c r="R585" s="1" t="s">
        <v>1480</v>
      </c>
      <c r="S585" s="6" t="e">
        <f t="shared" si="29"/>
        <v>#N/A</v>
      </c>
    </row>
    <row r="586" spans="2:19" x14ac:dyDescent="0.25">
      <c r="B586" s="1" t="s">
        <v>1479</v>
      </c>
      <c r="C586" s="1" t="s">
        <v>1481</v>
      </c>
      <c r="D586" s="4" t="e">
        <f>VLOOKUP(A586,المعطيات!$A$1:$J$3500,5,0)</f>
        <v>#N/A</v>
      </c>
      <c r="E586" s="1" t="s">
        <v>1482</v>
      </c>
      <c r="F586" s="5">
        <f t="shared" si="27"/>
        <v>0</v>
      </c>
      <c r="G586" s="5" t="s">
        <v>1483</v>
      </c>
      <c r="H586" s="4" t="e">
        <f>VLOOKUP(A586,المعطيات!$A$1:$J$3500,3,0)</f>
        <v>#N/A</v>
      </c>
      <c r="I586" s="1" t="s">
        <v>1484</v>
      </c>
      <c r="J586" s="1" t="s">
        <v>1485</v>
      </c>
      <c r="K586" s="4" t="e">
        <f>VLOOKUP(A586,المعطيات!$A$1:$J$3500,6,0)</f>
        <v>#N/A</v>
      </c>
      <c r="L586" s="1" t="s">
        <v>1486</v>
      </c>
      <c r="M586" s="1" t="s">
        <v>1487</v>
      </c>
      <c r="N586" s="4" t="e">
        <f t="shared" si="28"/>
        <v>#N/A</v>
      </c>
      <c r="O586" s="1" t="s">
        <v>1488</v>
      </c>
      <c r="P586" s="4" t="e">
        <f>VLOOKUP(A586,المعطيات!$A$1:$J$3500,4,0)</f>
        <v>#N/A</v>
      </c>
      <c r="Q586" s="1" t="s">
        <v>1489</v>
      </c>
      <c r="R586" s="1" t="s">
        <v>1480</v>
      </c>
      <c r="S586" s="6" t="e">
        <f t="shared" si="29"/>
        <v>#N/A</v>
      </c>
    </row>
    <row r="587" spans="2:19" x14ac:dyDescent="0.25">
      <c r="B587" s="1" t="s">
        <v>1479</v>
      </c>
      <c r="C587" s="1" t="s">
        <v>1481</v>
      </c>
      <c r="D587" s="4" t="e">
        <f>VLOOKUP(A587,المعطيات!$A$1:$J$3500,5,0)</f>
        <v>#N/A</v>
      </c>
      <c r="E587" s="1" t="s">
        <v>1482</v>
      </c>
      <c r="F587" s="5">
        <f t="shared" si="27"/>
        <v>0</v>
      </c>
      <c r="G587" s="5" t="s">
        <v>1483</v>
      </c>
      <c r="H587" s="4" t="e">
        <f>VLOOKUP(A587,المعطيات!$A$1:$J$3500,3,0)</f>
        <v>#N/A</v>
      </c>
      <c r="I587" s="1" t="s">
        <v>1484</v>
      </c>
      <c r="J587" s="1" t="s">
        <v>1485</v>
      </c>
      <c r="K587" s="4" t="e">
        <f>VLOOKUP(A587,المعطيات!$A$1:$J$3500,6,0)</f>
        <v>#N/A</v>
      </c>
      <c r="L587" s="1" t="s">
        <v>1486</v>
      </c>
      <c r="M587" s="1" t="s">
        <v>1487</v>
      </c>
      <c r="N587" s="4" t="e">
        <f t="shared" si="28"/>
        <v>#N/A</v>
      </c>
      <c r="O587" s="1" t="s">
        <v>1488</v>
      </c>
      <c r="P587" s="4" t="e">
        <f>VLOOKUP(A587,المعطيات!$A$1:$J$3500,4,0)</f>
        <v>#N/A</v>
      </c>
      <c r="Q587" s="1" t="s">
        <v>1489</v>
      </c>
      <c r="R587" s="1" t="s">
        <v>1480</v>
      </c>
      <c r="S587" s="6" t="e">
        <f t="shared" si="29"/>
        <v>#N/A</v>
      </c>
    </row>
    <row r="588" spans="2:19" x14ac:dyDescent="0.25">
      <c r="B588" s="1" t="s">
        <v>1479</v>
      </c>
      <c r="C588" s="1" t="s">
        <v>1481</v>
      </c>
      <c r="D588" s="4" t="e">
        <f>VLOOKUP(A588,المعطيات!$A$1:$J$3500,5,0)</f>
        <v>#N/A</v>
      </c>
      <c r="E588" s="1" t="s">
        <v>1482</v>
      </c>
      <c r="F588" s="5">
        <f t="shared" si="27"/>
        <v>0</v>
      </c>
      <c r="G588" s="5" t="s">
        <v>1483</v>
      </c>
      <c r="H588" s="4" t="e">
        <f>VLOOKUP(A588,المعطيات!$A$1:$J$3500,3,0)</f>
        <v>#N/A</v>
      </c>
      <c r="I588" s="1" t="s">
        <v>1484</v>
      </c>
      <c r="J588" s="1" t="s">
        <v>1485</v>
      </c>
      <c r="K588" s="4" t="e">
        <f>VLOOKUP(A588,المعطيات!$A$1:$J$3500,6,0)</f>
        <v>#N/A</v>
      </c>
      <c r="L588" s="1" t="s">
        <v>1486</v>
      </c>
      <c r="M588" s="1" t="s">
        <v>1487</v>
      </c>
      <c r="N588" s="4" t="e">
        <f t="shared" si="28"/>
        <v>#N/A</v>
      </c>
      <c r="O588" s="1" t="s">
        <v>1488</v>
      </c>
      <c r="P588" s="4" t="e">
        <f>VLOOKUP(A588,المعطيات!$A$1:$J$3500,4,0)</f>
        <v>#N/A</v>
      </c>
      <c r="Q588" s="1" t="s">
        <v>1489</v>
      </c>
      <c r="R588" s="1" t="s">
        <v>1480</v>
      </c>
      <c r="S588" s="6" t="e">
        <f t="shared" si="29"/>
        <v>#N/A</v>
      </c>
    </row>
    <row r="589" spans="2:19" x14ac:dyDescent="0.25">
      <c r="B589" s="1" t="s">
        <v>1479</v>
      </c>
      <c r="C589" s="1" t="s">
        <v>1481</v>
      </c>
      <c r="D589" s="4" t="e">
        <f>VLOOKUP(A589,المعطيات!$A$1:$J$3500,5,0)</f>
        <v>#N/A</v>
      </c>
      <c r="E589" s="1" t="s">
        <v>1482</v>
      </c>
      <c r="F589" s="5">
        <f t="shared" si="27"/>
        <v>0</v>
      </c>
      <c r="G589" s="5" t="s">
        <v>1483</v>
      </c>
      <c r="H589" s="4" t="e">
        <f>VLOOKUP(A589,المعطيات!$A$1:$J$3500,3,0)</f>
        <v>#N/A</v>
      </c>
      <c r="I589" s="1" t="s">
        <v>1484</v>
      </c>
      <c r="J589" s="1" t="s">
        <v>1485</v>
      </c>
      <c r="K589" s="4" t="e">
        <f>VLOOKUP(A589,المعطيات!$A$1:$J$3500,6,0)</f>
        <v>#N/A</v>
      </c>
      <c r="L589" s="1" t="s">
        <v>1486</v>
      </c>
      <c r="M589" s="1" t="s">
        <v>1487</v>
      </c>
      <c r="N589" s="4" t="e">
        <f t="shared" si="28"/>
        <v>#N/A</v>
      </c>
      <c r="O589" s="1" t="s">
        <v>1488</v>
      </c>
      <c r="P589" s="4" t="e">
        <f>VLOOKUP(A589,المعطيات!$A$1:$J$3500,4,0)</f>
        <v>#N/A</v>
      </c>
      <c r="Q589" s="1" t="s">
        <v>1489</v>
      </c>
      <c r="R589" s="1" t="s">
        <v>1480</v>
      </c>
      <c r="S589" s="6" t="e">
        <f t="shared" si="29"/>
        <v>#N/A</v>
      </c>
    </row>
    <row r="590" spans="2:19" x14ac:dyDescent="0.25">
      <c r="B590" s="1" t="s">
        <v>1479</v>
      </c>
      <c r="C590" s="1" t="s">
        <v>1481</v>
      </c>
      <c r="D590" s="4" t="e">
        <f>VLOOKUP(A590,المعطيات!$A$1:$J$3500,5,0)</f>
        <v>#N/A</v>
      </c>
      <c r="E590" s="1" t="s">
        <v>1482</v>
      </c>
      <c r="F590" s="5">
        <f t="shared" si="27"/>
        <v>0</v>
      </c>
      <c r="G590" s="5" t="s">
        <v>1483</v>
      </c>
      <c r="H590" s="4" t="e">
        <f>VLOOKUP(A590,المعطيات!$A$1:$J$3500,3,0)</f>
        <v>#N/A</v>
      </c>
      <c r="I590" s="1" t="s">
        <v>1484</v>
      </c>
      <c r="J590" s="1" t="s">
        <v>1485</v>
      </c>
      <c r="K590" s="4" t="e">
        <f>VLOOKUP(A590,المعطيات!$A$1:$J$3500,6,0)</f>
        <v>#N/A</v>
      </c>
      <c r="L590" s="1" t="s">
        <v>1486</v>
      </c>
      <c r="M590" s="1" t="s">
        <v>1487</v>
      </c>
      <c r="N590" s="4" t="e">
        <f t="shared" si="28"/>
        <v>#N/A</v>
      </c>
      <c r="O590" s="1" t="s">
        <v>1488</v>
      </c>
      <c r="P590" s="4" t="e">
        <f>VLOOKUP(A590,المعطيات!$A$1:$J$3500,4,0)</f>
        <v>#N/A</v>
      </c>
      <c r="Q590" s="1" t="s">
        <v>1489</v>
      </c>
      <c r="R590" s="1" t="s">
        <v>1480</v>
      </c>
      <c r="S590" s="6" t="e">
        <f t="shared" si="29"/>
        <v>#N/A</v>
      </c>
    </row>
    <row r="591" spans="2:19" x14ac:dyDescent="0.25">
      <c r="B591" s="1" t="s">
        <v>1479</v>
      </c>
      <c r="C591" s="1" t="s">
        <v>1481</v>
      </c>
      <c r="D591" s="4" t="e">
        <f>VLOOKUP(A591,المعطيات!$A$1:$J$3500,5,0)</f>
        <v>#N/A</v>
      </c>
      <c r="E591" s="1" t="s">
        <v>1482</v>
      </c>
      <c r="F591" s="5">
        <f t="shared" si="27"/>
        <v>0</v>
      </c>
      <c r="G591" s="5" t="s">
        <v>1483</v>
      </c>
      <c r="H591" s="4" t="e">
        <f>VLOOKUP(A591,المعطيات!$A$1:$J$3500,3,0)</f>
        <v>#N/A</v>
      </c>
      <c r="I591" s="1" t="s">
        <v>1484</v>
      </c>
      <c r="J591" s="1" t="s">
        <v>1485</v>
      </c>
      <c r="K591" s="4" t="e">
        <f>VLOOKUP(A591,المعطيات!$A$1:$J$3500,6,0)</f>
        <v>#N/A</v>
      </c>
      <c r="L591" s="1" t="s">
        <v>1486</v>
      </c>
      <c r="M591" s="1" t="s">
        <v>1487</v>
      </c>
      <c r="N591" s="4" t="e">
        <f t="shared" si="28"/>
        <v>#N/A</v>
      </c>
      <c r="O591" s="1" t="s">
        <v>1488</v>
      </c>
      <c r="P591" s="4" t="e">
        <f>VLOOKUP(A591,المعطيات!$A$1:$J$3500,4,0)</f>
        <v>#N/A</v>
      </c>
      <c r="Q591" s="1" t="s">
        <v>1489</v>
      </c>
      <c r="R591" s="1" t="s">
        <v>1480</v>
      </c>
      <c r="S591" s="6" t="e">
        <f t="shared" si="29"/>
        <v>#N/A</v>
      </c>
    </row>
    <row r="592" spans="2:19" x14ac:dyDescent="0.25">
      <c r="B592" s="1" t="s">
        <v>1479</v>
      </c>
      <c r="C592" s="1" t="s">
        <v>1481</v>
      </c>
      <c r="D592" s="4" t="e">
        <f>VLOOKUP(A592,المعطيات!$A$1:$J$3500,5,0)</f>
        <v>#N/A</v>
      </c>
      <c r="E592" s="1" t="s">
        <v>1482</v>
      </c>
      <c r="F592" s="5">
        <f t="shared" si="27"/>
        <v>0</v>
      </c>
      <c r="G592" s="5" t="s">
        <v>1483</v>
      </c>
      <c r="H592" s="4" t="e">
        <f>VLOOKUP(A592,المعطيات!$A$1:$J$3500,3,0)</f>
        <v>#N/A</v>
      </c>
      <c r="I592" s="1" t="s">
        <v>1484</v>
      </c>
      <c r="J592" s="1" t="s">
        <v>1485</v>
      </c>
      <c r="K592" s="4" t="e">
        <f>VLOOKUP(A592,المعطيات!$A$1:$J$3500,6,0)</f>
        <v>#N/A</v>
      </c>
      <c r="L592" s="1" t="s">
        <v>1486</v>
      </c>
      <c r="M592" s="1" t="s">
        <v>1487</v>
      </c>
      <c r="N592" s="4" t="e">
        <f t="shared" si="28"/>
        <v>#N/A</v>
      </c>
      <c r="O592" s="1" t="s">
        <v>1488</v>
      </c>
      <c r="P592" s="4" t="e">
        <f>VLOOKUP(A592,المعطيات!$A$1:$J$3500,4,0)</f>
        <v>#N/A</v>
      </c>
      <c r="Q592" s="1" t="s">
        <v>1489</v>
      </c>
      <c r="R592" s="1" t="s">
        <v>1480</v>
      </c>
      <c r="S592" s="6" t="e">
        <f t="shared" si="29"/>
        <v>#N/A</v>
      </c>
    </row>
    <row r="593" spans="2:19" x14ac:dyDescent="0.25">
      <c r="B593" s="1" t="s">
        <v>1479</v>
      </c>
      <c r="C593" s="1" t="s">
        <v>1481</v>
      </c>
      <c r="D593" s="4" t="e">
        <f>VLOOKUP(A593,المعطيات!$A$1:$J$3500,5,0)</f>
        <v>#N/A</v>
      </c>
      <c r="E593" s="1" t="s">
        <v>1482</v>
      </c>
      <c r="F593" s="5">
        <f t="shared" si="27"/>
        <v>0</v>
      </c>
      <c r="G593" s="5" t="s">
        <v>1483</v>
      </c>
      <c r="H593" s="4" t="e">
        <f>VLOOKUP(A593,المعطيات!$A$1:$J$3500,3,0)</f>
        <v>#N/A</v>
      </c>
      <c r="I593" s="1" t="s">
        <v>1484</v>
      </c>
      <c r="J593" s="1" t="s">
        <v>1485</v>
      </c>
      <c r="K593" s="4" t="e">
        <f>VLOOKUP(A593,المعطيات!$A$1:$J$3500,6,0)</f>
        <v>#N/A</v>
      </c>
      <c r="L593" s="1" t="s">
        <v>1486</v>
      </c>
      <c r="M593" s="1" t="s">
        <v>1487</v>
      </c>
      <c r="N593" s="4" t="e">
        <f t="shared" si="28"/>
        <v>#N/A</v>
      </c>
      <c r="O593" s="1" t="s">
        <v>1488</v>
      </c>
      <c r="P593" s="4" t="e">
        <f>VLOOKUP(A593,المعطيات!$A$1:$J$3500,4,0)</f>
        <v>#N/A</v>
      </c>
      <c r="Q593" s="1" t="s">
        <v>1489</v>
      </c>
      <c r="R593" s="1" t="s">
        <v>1480</v>
      </c>
      <c r="S593" s="6" t="e">
        <f t="shared" si="29"/>
        <v>#N/A</v>
      </c>
    </row>
    <row r="594" spans="2:19" x14ac:dyDescent="0.25">
      <c r="B594" s="1" t="s">
        <v>1479</v>
      </c>
      <c r="C594" s="1" t="s">
        <v>1481</v>
      </c>
      <c r="D594" s="4" t="e">
        <f>VLOOKUP(A594,المعطيات!$A$1:$J$3500,5,0)</f>
        <v>#N/A</v>
      </c>
      <c r="E594" s="1" t="s">
        <v>1482</v>
      </c>
      <c r="F594" s="5">
        <f t="shared" si="27"/>
        <v>0</v>
      </c>
      <c r="G594" s="5" t="s">
        <v>1483</v>
      </c>
      <c r="H594" s="4" t="e">
        <f>VLOOKUP(A594,المعطيات!$A$1:$J$3500,3,0)</f>
        <v>#N/A</v>
      </c>
      <c r="I594" s="1" t="s">
        <v>1484</v>
      </c>
      <c r="J594" s="1" t="s">
        <v>1485</v>
      </c>
      <c r="K594" s="4" t="e">
        <f>VLOOKUP(A594,المعطيات!$A$1:$J$3500,6,0)</f>
        <v>#N/A</v>
      </c>
      <c r="L594" s="1" t="s">
        <v>1486</v>
      </c>
      <c r="M594" s="1" t="s">
        <v>1487</v>
      </c>
      <c r="N594" s="4" t="e">
        <f t="shared" si="28"/>
        <v>#N/A</v>
      </c>
      <c r="O594" s="1" t="s">
        <v>1488</v>
      </c>
      <c r="P594" s="4" t="e">
        <f>VLOOKUP(A594,المعطيات!$A$1:$J$3500,4,0)</f>
        <v>#N/A</v>
      </c>
      <c r="Q594" s="1" t="s">
        <v>1489</v>
      </c>
      <c r="R594" s="1" t="s">
        <v>1480</v>
      </c>
      <c r="S594" s="6" t="e">
        <f t="shared" si="29"/>
        <v>#N/A</v>
      </c>
    </row>
    <row r="595" spans="2:19" x14ac:dyDescent="0.25">
      <c r="B595" s="1" t="s">
        <v>1479</v>
      </c>
      <c r="C595" s="1" t="s">
        <v>1481</v>
      </c>
      <c r="D595" s="4" t="e">
        <f>VLOOKUP(A595,المعطيات!$A$1:$J$3500,5,0)</f>
        <v>#N/A</v>
      </c>
      <c r="E595" s="1" t="s">
        <v>1482</v>
      </c>
      <c r="F595" s="5">
        <f t="shared" si="27"/>
        <v>0</v>
      </c>
      <c r="G595" s="5" t="s">
        <v>1483</v>
      </c>
      <c r="H595" s="4" t="e">
        <f>VLOOKUP(A595,المعطيات!$A$1:$J$3500,3,0)</f>
        <v>#N/A</v>
      </c>
      <c r="I595" s="1" t="s">
        <v>1484</v>
      </c>
      <c r="J595" s="1" t="s">
        <v>1485</v>
      </c>
      <c r="K595" s="4" t="e">
        <f>VLOOKUP(A595,المعطيات!$A$1:$J$3500,6,0)</f>
        <v>#N/A</v>
      </c>
      <c r="L595" s="1" t="s">
        <v>1486</v>
      </c>
      <c r="M595" s="1" t="s">
        <v>1487</v>
      </c>
      <c r="N595" s="4" t="e">
        <f t="shared" si="28"/>
        <v>#N/A</v>
      </c>
      <c r="O595" s="1" t="s">
        <v>1488</v>
      </c>
      <c r="P595" s="4" t="e">
        <f>VLOOKUP(A595,المعطيات!$A$1:$J$3500,4,0)</f>
        <v>#N/A</v>
      </c>
      <c r="Q595" s="1" t="s">
        <v>1489</v>
      </c>
      <c r="R595" s="1" t="s">
        <v>1480</v>
      </c>
      <c r="S595" s="6" t="e">
        <f t="shared" si="29"/>
        <v>#N/A</v>
      </c>
    </row>
    <row r="596" spans="2:19" x14ac:dyDescent="0.25">
      <c r="B596" s="1" t="s">
        <v>1479</v>
      </c>
      <c r="C596" s="1" t="s">
        <v>1481</v>
      </c>
      <c r="D596" s="4" t="e">
        <f>VLOOKUP(A596,المعطيات!$A$1:$J$3500,5,0)</f>
        <v>#N/A</v>
      </c>
      <c r="E596" s="1" t="s">
        <v>1482</v>
      </c>
      <c r="F596" s="5">
        <f t="shared" si="27"/>
        <v>0</v>
      </c>
      <c r="G596" s="5" t="s">
        <v>1483</v>
      </c>
      <c r="H596" s="4" t="e">
        <f>VLOOKUP(A596,المعطيات!$A$1:$J$3500,3,0)</f>
        <v>#N/A</v>
      </c>
      <c r="I596" s="1" t="s">
        <v>1484</v>
      </c>
      <c r="J596" s="1" t="s">
        <v>1485</v>
      </c>
      <c r="K596" s="4" t="e">
        <f>VLOOKUP(A596,المعطيات!$A$1:$J$3500,6,0)</f>
        <v>#N/A</v>
      </c>
      <c r="L596" s="1" t="s">
        <v>1486</v>
      </c>
      <c r="M596" s="1" t="s">
        <v>1487</v>
      </c>
      <c r="N596" s="4" t="e">
        <f t="shared" si="28"/>
        <v>#N/A</v>
      </c>
      <c r="O596" s="1" t="s">
        <v>1488</v>
      </c>
      <c r="P596" s="4" t="e">
        <f>VLOOKUP(A596,المعطيات!$A$1:$J$3500,4,0)</f>
        <v>#N/A</v>
      </c>
      <c r="Q596" s="1" t="s">
        <v>1489</v>
      </c>
      <c r="R596" s="1" t="s">
        <v>1480</v>
      </c>
      <c r="S596" s="6" t="e">
        <f t="shared" si="29"/>
        <v>#N/A</v>
      </c>
    </row>
    <row r="597" spans="2:19" x14ac:dyDescent="0.25">
      <c r="B597" s="1" t="s">
        <v>1479</v>
      </c>
      <c r="C597" s="1" t="s">
        <v>1481</v>
      </c>
      <c r="D597" s="4" t="e">
        <f>VLOOKUP(A597,المعطيات!$A$1:$J$3500,5,0)</f>
        <v>#N/A</v>
      </c>
      <c r="E597" s="1" t="s">
        <v>1482</v>
      </c>
      <c r="F597" s="5">
        <f t="shared" si="27"/>
        <v>0</v>
      </c>
      <c r="G597" s="5" t="s">
        <v>1483</v>
      </c>
      <c r="H597" s="4" t="e">
        <f>VLOOKUP(A597,المعطيات!$A$1:$J$3500,3,0)</f>
        <v>#N/A</v>
      </c>
      <c r="I597" s="1" t="s">
        <v>1484</v>
      </c>
      <c r="J597" s="1" t="s">
        <v>1485</v>
      </c>
      <c r="K597" s="4" t="e">
        <f>VLOOKUP(A597,المعطيات!$A$1:$J$3500,6,0)</f>
        <v>#N/A</v>
      </c>
      <c r="L597" s="1" t="s">
        <v>1486</v>
      </c>
      <c r="M597" s="1" t="s">
        <v>1487</v>
      </c>
      <c r="N597" s="4" t="e">
        <f t="shared" si="28"/>
        <v>#N/A</v>
      </c>
      <c r="O597" s="1" t="s">
        <v>1488</v>
      </c>
      <c r="P597" s="4" t="e">
        <f>VLOOKUP(A597,المعطيات!$A$1:$J$3500,4,0)</f>
        <v>#N/A</v>
      </c>
      <c r="Q597" s="1" t="s">
        <v>1489</v>
      </c>
      <c r="R597" s="1" t="s">
        <v>1480</v>
      </c>
      <c r="S597" s="6" t="e">
        <f t="shared" si="29"/>
        <v>#N/A</v>
      </c>
    </row>
    <row r="598" spans="2:19" x14ac:dyDescent="0.25">
      <c r="B598" s="1" t="s">
        <v>1479</v>
      </c>
      <c r="C598" s="1" t="s">
        <v>1481</v>
      </c>
      <c r="D598" s="4" t="e">
        <f>VLOOKUP(A598,المعطيات!$A$1:$J$3500,5,0)</f>
        <v>#N/A</v>
      </c>
      <c r="E598" s="1" t="s">
        <v>1482</v>
      </c>
      <c r="F598" s="5">
        <f t="shared" si="27"/>
        <v>0</v>
      </c>
      <c r="G598" s="5" t="s">
        <v>1483</v>
      </c>
      <c r="H598" s="4" t="e">
        <f>VLOOKUP(A598,المعطيات!$A$1:$J$3500,3,0)</f>
        <v>#N/A</v>
      </c>
      <c r="I598" s="1" t="s">
        <v>1484</v>
      </c>
      <c r="J598" s="1" t="s">
        <v>1485</v>
      </c>
      <c r="K598" s="4" t="e">
        <f>VLOOKUP(A598,المعطيات!$A$1:$J$3500,6,0)</f>
        <v>#N/A</v>
      </c>
      <c r="L598" s="1" t="s">
        <v>1486</v>
      </c>
      <c r="M598" s="1" t="s">
        <v>1487</v>
      </c>
      <c r="N598" s="4" t="e">
        <f t="shared" si="28"/>
        <v>#N/A</v>
      </c>
      <c r="O598" s="1" t="s">
        <v>1488</v>
      </c>
      <c r="P598" s="4" t="e">
        <f>VLOOKUP(A598,المعطيات!$A$1:$J$3500,4,0)</f>
        <v>#N/A</v>
      </c>
      <c r="Q598" s="1" t="s">
        <v>1489</v>
      </c>
      <c r="R598" s="1" t="s">
        <v>1480</v>
      </c>
      <c r="S598" s="6" t="e">
        <f t="shared" si="29"/>
        <v>#N/A</v>
      </c>
    </row>
    <row r="599" spans="2:19" x14ac:dyDescent="0.25">
      <c r="B599" s="1" t="s">
        <v>1479</v>
      </c>
      <c r="C599" s="1" t="s">
        <v>1481</v>
      </c>
      <c r="D599" s="4" t="e">
        <f>VLOOKUP(A599,المعطيات!$A$1:$J$3500,5,0)</f>
        <v>#N/A</v>
      </c>
      <c r="E599" s="1" t="s">
        <v>1482</v>
      </c>
      <c r="F599" s="5">
        <f t="shared" si="27"/>
        <v>0</v>
      </c>
      <c r="G599" s="5" t="s">
        <v>1483</v>
      </c>
      <c r="H599" s="4" t="e">
        <f>VLOOKUP(A599,المعطيات!$A$1:$J$3500,3,0)</f>
        <v>#N/A</v>
      </c>
      <c r="I599" s="1" t="s">
        <v>1484</v>
      </c>
      <c r="J599" s="1" t="s">
        <v>1485</v>
      </c>
      <c r="K599" s="4" t="e">
        <f>VLOOKUP(A599,المعطيات!$A$1:$J$3500,6,0)</f>
        <v>#N/A</v>
      </c>
      <c r="L599" s="1" t="s">
        <v>1486</v>
      </c>
      <c r="M599" s="1" t="s">
        <v>1487</v>
      </c>
      <c r="N599" s="4" t="e">
        <f t="shared" si="28"/>
        <v>#N/A</v>
      </c>
      <c r="O599" s="1" t="s">
        <v>1488</v>
      </c>
      <c r="P599" s="4" t="e">
        <f>VLOOKUP(A599,المعطيات!$A$1:$J$3500,4,0)</f>
        <v>#N/A</v>
      </c>
      <c r="Q599" s="1" t="s">
        <v>1489</v>
      </c>
      <c r="R599" s="1" t="s">
        <v>1480</v>
      </c>
      <c r="S599" s="6" t="e">
        <f t="shared" si="29"/>
        <v>#N/A</v>
      </c>
    </row>
    <row r="600" spans="2:19" x14ac:dyDescent="0.25">
      <c r="B600" s="1" t="s">
        <v>1479</v>
      </c>
      <c r="C600" s="1" t="s">
        <v>1481</v>
      </c>
      <c r="D600" s="4" t="e">
        <f>VLOOKUP(A600,المعطيات!$A$1:$J$3500,5,0)</f>
        <v>#N/A</v>
      </c>
      <c r="E600" s="1" t="s">
        <v>1482</v>
      </c>
      <c r="F600" s="5">
        <f t="shared" si="27"/>
        <v>0</v>
      </c>
      <c r="G600" s="5" t="s">
        <v>1483</v>
      </c>
      <c r="H600" s="4" t="e">
        <f>VLOOKUP(A600,المعطيات!$A$1:$J$3500,3,0)</f>
        <v>#N/A</v>
      </c>
      <c r="I600" s="1" t="s">
        <v>1484</v>
      </c>
      <c r="J600" s="1" t="s">
        <v>1485</v>
      </c>
      <c r="K600" s="4" t="e">
        <f>VLOOKUP(A600,المعطيات!$A$1:$J$3500,6,0)</f>
        <v>#N/A</v>
      </c>
      <c r="L600" s="1" t="s">
        <v>1486</v>
      </c>
      <c r="M600" s="1" t="s">
        <v>1487</v>
      </c>
      <c r="N600" s="4" t="e">
        <f t="shared" si="28"/>
        <v>#N/A</v>
      </c>
      <c r="O600" s="1" t="s">
        <v>1488</v>
      </c>
      <c r="P600" s="4" t="e">
        <f>VLOOKUP(A600,المعطيات!$A$1:$J$3500,4,0)</f>
        <v>#N/A</v>
      </c>
      <c r="Q600" s="1" t="s">
        <v>1489</v>
      </c>
      <c r="R600" s="1" t="s">
        <v>1480</v>
      </c>
      <c r="S600" s="6" t="e">
        <f t="shared" si="29"/>
        <v>#N/A</v>
      </c>
    </row>
    <row r="601" spans="2:19" x14ac:dyDescent="0.25">
      <c r="B601" s="1" t="s">
        <v>1479</v>
      </c>
      <c r="C601" s="1" t="s">
        <v>1481</v>
      </c>
      <c r="D601" s="4" t="e">
        <f>VLOOKUP(A601,المعطيات!$A$1:$J$3500,5,0)</f>
        <v>#N/A</v>
      </c>
      <c r="E601" s="1" t="s">
        <v>1482</v>
      </c>
      <c r="F601" s="5">
        <f t="shared" si="27"/>
        <v>0</v>
      </c>
      <c r="G601" s="5" t="s">
        <v>1483</v>
      </c>
      <c r="H601" s="4" t="e">
        <f>VLOOKUP(A601,المعطيات!$A$1:$J$3500,3,0)</f>
        <v>#N/A</v>
      </c>
      <c r="I601" s="1" t="s">
        <v>1484</v>
      </c>
      <c r="J601" s="1" t="s">
        <v>1485</v>
      </c>
      <c r="K601" s="4" t="e">
        <f>VLOOKUP(A601,المعطيات!$A$1:$J$3500,6,0)</f>
        <v>#N/A</v>
      </c>
      <c r="L601" s="1" t="s">
        <v>1486</v>
      </c>
      <c r="M601" s="1" t="s">
        <v>1487</v>
      </c>
      <c r="N601" s="4" t="e">
        <f t="shared" si="28"/>
        <v>#N/A</v>
      </c>
      <c r="O601" s="1" t="s">
        <v>1488</v>
      </c>
      <c r="P601" s="4" t="e">
        <f>VLOOKUP(A601,المعطيات!$A$1:$J$3500,4,0)</f>
        <v>#N/A</v>
      </c>
      <c r="Q601" s="1" t="s">
        <v>1489</v>
      </c>
      <c r="R601" s="1" t="s">
        <v>1480</v>
      </c>
      <c r="S601" s="6" t="e">
        <f t="shared" si="29"/>
        <v>#N/A</v>
      </c>
    </row>
    <row r="602" spans="2:19" x14ac:dyDescent="0.25">
      <c r="B602" s="1" t="s">
        <v>1479</v>
      </c>
      <c r="C602" s="1" t="s">
        <v>1481</v>
      </c>
      <c r="D602" s="4" t="e">
        <f>VLOOKUP(A602,المعطيات!$A$1:$J$3500,5,0)</f>
        <v>#N/A</v>
      </c>
      <c r="E602" s="1" t="s">
        <v>1482</v>
      </c>
      <c r="F602" s="5">
        <f t="shared" si="27"/>
        <v>0</v>
      </c>
      <c r="G602" s="5" t="s">
        <v>1483</v>
      </c>
      <c r="H602" s="4" t="e">
        <f>VLOOKUP(A602,المعطيات!$A$1:$J$3500,3,0)</f>
        <v>#N/A</v>
      </c>
      <c r="I602" s="1" t="s">
        <v>1484</v>
      </c>
      <c r="J602" s="1" t="s">
        <v>1485</v>
      </c>
      <c r="K602" s="4" t="e">
        <f>VLOOKUP(A602,المعطيات!$A$1:$J$3500,6,0)</f>
        <v>#N/A</v>
      </c>
      <c r="L602" s="1" t="s">
        <v>1486</v>
      </c>
      <c r="M602" s="1" t="s">
        <v>1487</v>
      </c>
      <c r="N602" s="4" t="e">
        <f t="shared" si="28"/>
        <v>#N/A</v>
      </c>
      <c r="O602" s="1" t="s">
        <v>1488</v>
      </c>
      <c r="P602" s="4" t="e">
        <f>VLOOKUP(A602,المعطيات!$A$1:$J$3500,4,0)</f>
        <v>#N/A</v>
      </c>
      <c r="Q602" s="1" t="s">
        <v>1489</v>
      </c>
      <c r="R602" s="1" t="s">
        <v>1480</v>
      </c>
      <c r="S602" s="6" t="e">
        <f t="shared" si="29"/>
        <v>#N/A</v>
      </c>
    </row>
    <row r="603" spans="2:19" x14ac:dyDescent="0.25">
      <c r="B603" s="1" t="s">
        <v>1479</v>
      </c>
      <c r="C603" s="1" t="s">
        <v>1481</v>
      </c>
      <c r="D603" s="4" t="e">
        <f>VLOOKUP(A603,المعطيات!$A$1:$J$3500,5,0)</f>
        <v>#N/A</v>
      </c>
      <c r="E603" s="1" t="s">
        <v>1482</v>
      </c>
      <c r="F603" s="5">
        <f t="shared" si="27"/>
        <v>0</v>
      </c>
      <c r="G603" s="5" t="s">
        <v>1483</v>
      </c>
      <c r="H603" s="4" t="e">
        <f>VLOOKUP(A603,المعطيات!$A$1:$J$3500,3,0)</f>
        <v>#N/A</v>
      </c>
      <c r="I603" s="1" t="s">
        <v>1484</v>
      </c>
      <c r="J603" s="1" t="s">
        <v>1485</v>
      </c>
      <c r="K603" s="4" t="e">
        <f>VLOOKUP(A603,المعطيات!$A$1:$J$3500,6,0)</f>
        <v>#N/A</v>
      </c>
      <c r="L603" s="1" t="s">
        <v>1486</v>
      </c>
      <c r="M603" s="1" t="s">
        <v>1487</v>
      </c>
      <c r="N603" s="4" t="e">
        <f t="shared" si="28"/>
        <v>#N/A</v>
      </c>
      <c r="O603" s="1" t="s">
        <v>1488</v>
      </c>
      <c r="P603" s="4" t="e">
        <f>VLOOKUP(A603,المعطيات!$A$1:$J$3500,4,0)</f>
        <v>#N/A</v>
      </c>
      <c r="Q603" s="1" t="s">
        <v>1489</v>
      </c>
      <c r="R603" s="1" t="s">
        <v>1480</v>
      </c>
      <c r="S603" s="6" t="e">
        <f t="shared" si="29"/>
        <v>#N/A</v>
      </c>
    </row>
    <row r="604" spans="2:19" x14ac:dyDescent="0.25">
      <c r="B604" s="1" t="s">
        <v>1479</v>
      </c>
      <c r="C604" s="1" t="s">
        <v>1481</v>
      </c>
      <c r="D604" s="4" t="e">
        <f>VLOOKUP(A604,المعطيات!$A$1:$J$3500,5,0)</f>
        <v>#N/A</v>
      </c>
      <c r="E604" s="1" t="s">
        <v>1482</v>
      </c>
      <c r="F604" s="5">
        <f t="shared" si="27"/>
        <v>0</v>
      </c>
      <c r="G604" s="5" t="s">
        <v>1483</v>
      </c>
      <c r="H604" s="4" t="e">
        <f>VLOOKUP(A604,المعطيات!$A$1:$J$3500,3,0)</f>
        <v>#N/A</v>
      </c>
      <c r="I604" s="1" t="s">
        <v>1484</v>
      </c>
      <c r="J604" s="1" t="s">
        <v>1485</v>
      </c>
      <c r="K604" s="4" t="e">
        <f>VLOOKUP(A604,المعطيات!$A$1:$J$3500,6,0)</f>
        <v>#N/A</v>
      </c>
      <c r="L604" s="1" t="s">
        <v>1486</v>
      </c>
      <c r="M604" s="1" t="s">
        <v>1487</v>
      </c>
      <c r="N604" s="4" t="e">
        <f t="shared" si="28"/>
        <v>#N/A</v>
      </c>
      <c r="O604" s="1" t="s">
        <v>1488</v>
      </c>
      <c r="P604" s="4" t="e">
        <f>VLOOKUP(A604,المعطيات!$A$1:$J$3500,4,0)</f>
        <v>#N/A</v>
      </c>
      <c r="Q604" s="1" t="s">
        <v>1489</v>
      </c>
      <c r="R604" s="1" t="s">
        <v>1480</v>
      </c>
      <c r="S604" s="6" t="e">
        <f t="shared" si="29"/>
        <v>#N/A</v>
      </c>
    </row>
    <row r="605" spans="2:19" x14ac:dyDescent="0.25">
      <c r="B605" s="1" t="s">
        <v>1479</v>
      </c>
      <c r="C605" s="1" t="s">
        <v>1481</v>
      </c>
      <c r="D605" s="4" t="e">
        <f>VLOOKUP(A605,المعطيات!$A$1:$J$3500,5,0)</f>
        <v>#N/A</v>
      </c>
      <c r="E605" s="1" t="s">
        <v>1482</v>
      </c>
      <c r="F605" s="5">
        <f t="shared" si="27"/>
        <v>0</v>
      </c>
      <c r="G605" s="5" t="s">
        <v>1483</v>
      </c>
      <c r="H605" s="4" t="e">
        <f>VLOOKUP(A605,المعطيات!$A$1:$J$3500,3,0)</f>
        <v>#N/A</v>
      </c>
      <c r="I605" s="1" t="s">
        <v>1484</v>
      </c>
      <c r="J605" s="1" t="s">
        <v>1485</v>
      </c>
      <c r="K605" s="4" t="e">
        <f>VLOOKUP(A605,المعطيات!$A$1:$J$3500,6,0)</f>
        <v>#N/A</v>
      </c>
      <c r="L605" s="1" t="s">
        <v>1486</v>
      </c>
      <c r="M605" s="1" t="s">
        <v>1487</v>
      </c>
      <c r="N605" s="4" t="e">
        <f t="shared" si="28"/>
        <v>#N/A</v>
      </c>
      <c r="O605" s="1" t="s">
        <v>1488</v>
      </c>
      <c r="P605" s="4" t="e">
        <f>VLOOKUP(A605,المعطيات!$A$1:$J$3500,4,0)</f>
        <v>#N/A</v>
      </c>
      <c r="Q605" s="1" t="s">
        <v>1489</v>
      </c>
      <c r="R605" s="1" t="s">
        <v>1480</v>
      </c>
      <c r="S605" s="6" t="e">
        <f t="shared" si="29"/>
        <v>#N/A</v>
      </c>
    </row>
    <row r="606" spans="2:19" x14ac:dyDescent="0.25">
      <c r="B606" s="1" t="s">
        <v>1479</v>
      </c>
      <c r="C606" s="1" t="s">
        <v>1481</v>
      </c>
      <c r="D606" s="4" t="e">
        <f>VLOOKUP(A606,المعطيات!$A$1:$J$3500,5,0)</f>
        <v>#N/A</v>
      </c>
      <c r="E606" s="1" t="s">
        <v>1482</v>
      </c>
      <c r="F606" s="5">
        <f t="shared" si="27"/>
        <v>0</v>
      </c>
      <c r="G606" s="5" t="s">
        <v>1483</v>
      </c>
      <c r="H606" s="4" t="e">
        <f>VLOOKUP(A606,المعطيات!$A$1:$J$3500,3,0)</f>
        <v>#N/A</v>
      </c>
      <c r="I606" s="1" t="s">
        <v>1484</v>
      </c>
      <c r="J606" s="1" t="s">
        <v>1485</v>
      </c>
      <c r="K606" s="4" t="e">
        <f>VLOOKUP(A606,المعطيات!$A$1:$J$3500,6,0)</f>
        <v>#N/A</v>
      </c>
      <c r="L606" s="1" t="s">
        <v>1486</v>
      </c>
      <c r="M606" s="1" t="s">
        <v>1487</v>
      </c>
      <c r="N606" s="4" t="e">
        <f t="shared" si="28"/>
        <v>#N/A</v>
      </c>
      <c r="O606" s="1" t="s">
        <v>1488</v>
      </c>
      <c r="P606" s="4" t="e">
        <f>VLOOKUP(A606,المعطيات!$A$1:$J$3500,4,0)</f>
        <v>#N/A</v>
      </c>
      <c r="Q606" s="1" t="s">
        <v>1489</v>
      </c>
      <c r="R606" s="1" t="s">
        <v>1480</v>
      </c>
      <c r="S606" s="6" t="e">
        <f t="shared" si="29"/>
        <v>#N/A</v>
      </c>
    </row>
    <row r="607" spans="2:19" x14ac:dyDescent="0.25">
      <c r="B607" s="1" t="s">
        <v>1479</v>
      </c>
      <c r="C607" s="1" t="s">
        <v>1481</v>
      </c>
      <c r="D607" s="4" t="e">
        <f>VLOOKUP(A607,المعطيات!$A$1:$J$3500,5,0)</f>
        <v>#N/A</v>
      </c>
      <c r="E607" s="1" t="s">
        <v>1482</v>
      </c>
      <c r="F607" s="5">
        <f t="shared" si="27"/>
        <v>0</v>
      </c>
      <c r="G607" s="5" t="s">
        <v>1483</v>
      </c>
      <c r="H607" s="4" t="e">
        <f>VLOOKUP(A607,المعطيات!$A$1:$J$3500,3,0)</f>
        <v>#N/A</v>
      </c>
      <c r="I607" s="1" t="s">
        <v>1484</v>
      </c>
      <c r="J607" s="1" t="s">
        <v>1485</v>
      </c>
      <c r="K607" s="4" t="e">
        <f>VLOOKUP(A607,المعطيات!$A$1:$J$3500,6,0)</f>
        <v>#N/A</v>
      </c>
      <c r="L607" s="1" t="s">
        <v>1486</v>
      </c>
      <c r="M607" s="1" t="s">
        <v>1487</v>
      </c>
      <c r="N607" s="4" t="e">
        <f t="shared" si="28"/>
        <v>#N/A</v>
      </c>
      <c r="O607" s="1" t="s">
        <v>1488</v>
      </c>
      <c r="P607" s="4" t="e">
        <f>VLOOKUP(A607,المعطيات!$A$1:$J$3500,4,0)</f>
        <v>#N/A</v>
      </c>
      <c r="Q607" s="1" t="s">
        <v>1489</v>
      </c>
      <c r="R607" s="1" t="s">
        <v>1480</v>
      </c>
      <c r="S607" s="6" t="e">
        <f t="shared" si="29"/>
        <v>#N/A</v>
      </c>
    </row>
    <row r="608" spans="2:19" x14ac:dyDescent="0.25">
      <c r="B608" s="1" t="s">
        <v>1479</v>
      </c>
      <c r="C608" s="1" t="s">
        <v>1481</v>
      </c>
      <c r="D608" s="4" t="e">
        <f>VLOOKUP(A608,المعطيات!$A$1:$J$3500,5,0)</f>
        <v>#N/A</v>
      </c>
      <c r="E608" s="1" t="s">
        <v>1482</v>
      </c>
      <c r="F608" s="5">
        <f t="shared" si="27"/>
        <v>0</v>
      </c>
      <c r="G608" s="5" t="s">
        <v>1483</v>
      </c>
      <c r="H608" s="4" t="e">
        <f>VLOOKUP(A608,المعطيات!$A$1:$J$3500,3,0)</f>
        <v>#N/A</v>
      </c>
      <c r="I608" s="1" t="s">
        <v>1484</v>
      </c>
      <c r="J608" s="1" t="s">
        <v>1485</v>
      </c>
      <c r="K608" s="4" t="e">
        <f>VLOOKUP(A608,المعطيات!$A$1:$J$3500,6,0)</f>
        <v>#N/A</v>
      </c>
      <c r="L608" s="1" t="s">
        <v>1486</v>
      </c>
      <c r="M608" s="1" t="s">
        <v>1487</v>
      </c>
      <c r="N608" s="4" t="e">
        <f t="shared" si="28"/>
        <v>#N/A</v>
      </c>
      <c r="O608" s="1" t="s">
        <v>1488</v>
      </c>
      <c r="P608" s="4" t="e">
        <f>VLOOKUP(A608,المعطيات!$A$1:$J$3500,4,0)</f>
        <v>#N/A</v>
      </c>
      <c r="Q608" s="1" t="s">
        <v>1489</v>
      </c>
      <c r="R608" s="1" t="s">
        <v>1480</v>
      </c>
      <c r="S608" s="6" t="e">
        <f t="shared" si="29"/>
        <v>#N/A</v>
      </c>
    </row>
    <row r="609" spans="2:19" x14ac:dyDescent="0.25">
      <c r="B609" s="1" t="s">
        <v>1479</v>
      </c>
      <c r="C609" s="1" t="s">
        <v>1481</v>
      </c>
      <c r="D609" s="4" t="e">
        <f>VLOOKUP(A609,المعطيات!$A$1:$J$3500,5,0)</f>
        <v>#N/A</v>
      </c>
      <c r="E609" s="1" t="s">
        <v>1482</v>
      </c>
      <c r="F609" s="5">
        <f t="shared" si="27"/>
        <v>0</v>
      </c>
      <c r="G609" s="5" t="s">
        <v>1483</v>
      </c>
      <c r="H609" s="4" t="e">
        <f>VLOOKUP(A609,المعطيات!$A$1:$J$3500,3,0)</f>
        <v>#N/A</v>
      </c>
      <c r="I609" s="1" t="s">
        <v>1484</v>
      </c>
      <c r="J609" s="1" t="s">
        <v>1485</v>
      </c>
      <c r="K609" s="4" t="e">
        <f>VLOOKUP(A609,المعطيات!$A$1:$J$3500,6,0)</f>
        <v>#N/A</v>
      </c>
      <c r="L609" s="1" t="s">
        <v>1486</v>
      </c>
      <c r="M609" s="1" t="s">
        <v>1487</v>
      </c>
      <c r="N609" s="4" t="e">
        <f t="shared" si="28"/>
        <v>#N/A</v>
      </c>
      <c r="O609" s="1" t="s">
        <v>1488</v>
      </c>
      <c r="P609" s="4" t="e">
        <f>VLOOKUP(A609,المعطيات!$A$1:$J$3500,4,0)</f>
        <v>#N/A</v>
      </c>
      <c r="Q609" s="1" t="s">
        <v>1489</v>
      </c>
      <c r="R609" s="1" t="s">
        <v>1480</v>
      </c>
      <c r="S609" s="6" t="e">
        <f t="shared" si="29"/>
        <v>#N/A</v>
      </c>
    </row>
    <row r="610" spans="2:19" x14ac:dyDescent="0.25">
      <c r="B610" s="1" t="s">
        <v>1479</v>
      </c>
      <c r="C610" s="1" t="s">
        <v>1481</v>
      </c>
      <c r="D610" s="4" t="e">
        <f>VLOOKUP(A610,المعطيات!$A$1:$J$3500,5,0)</f>
        <v>#N/A</v>
      </c>
      <c r="E610" s="1" t="s">
        <v>1482</v>
      </c>
      <c r="F610" s="5">
        <f t="shared" si="27"/>
        <v>0</v>
      </c>
      <c r="G610" s="5" t="s">
        <v>1483</v>
      </c>
      <c r="H610" s="4" t="e">
        <f>VLOOKUP(A610,المعطيات!$A$1:$J$3500,3,0)</f>
        <v>#N/A</v>
      </c>
      <c r="I610" s="1" t="s">
        <v>1484</v>
      </c>
      <c r="J610" s="1" t="s">
        <v>1485</v>
      </c>
      <c r="K610" s="4" t="e">
        <f>VLOOKUP(A610,المعطيات!$A$1:$J$3500,6,0)</f>
        <v>#N/A</v>
      </c>
      <c r="L610" s="1" t="s">
        <v>1486</v>
      </c>
      <c r="M610" s="1" t="s">
        <v>1487</v>
      </c>
      <c r="N610" s="4" t="e">
        <f t="shared" si="28"/>
        <v>#N/A</v>
      </c>
      <c r="O610" s="1" t="s">
        <v>1488</v>
      </c>
      <c r="P610" s="4" t="e">
        <f>VLOOKUP(A610,المعطيات!$A$1:$J$3500,4,0)</f>
        <v>#N/A</v>
      </c>
      <c r="Q610" s="1" t="s">
        <v>1489</v>
      </c>
      <c r="R610" s="1" t="s">
        <v>1480</v>
      </c>
      <c r="S610" s="6" t="e">
        <f t="shared" si="29"/>
        <v>#N/A</v>
      </c>
    </row>
    <row r="611" spans="2:19" x14ac:dyDescent="0.25">
      <c r="B611" s="1" t="s">
        <v>1479</v>
      </c>
      <c r="C611" s="1" t="s">
        <v>1481</v>
      </c>
      <c r="D611" s="4" t="e">
        <f>VLOOKUP(A611,المعطيات!$A$1:$J$3500,5,0)</f>
        <v>#N/A</v>
      </c>
      <c r="E611" s="1" t="s">
        <v>1482</v>
      </c>
      <c r="F611" s="5">
        <f t="shared" si="27"/>
        <v>0</v>
      </c>
      <c r="G611" s="5" t="s">
        <v>1483</v>
      </c>
      <c r="H611" s="4" t="e">
        <f>VLOOKUP(A611,المعطيات!$A$1:$J$3500,3,0)</f>
        <v>#N/A</v>
      </c>
      <c r="I611" s="1" t="s">
        <v>1484</v>
      </c>
      <c r="J611" s="1" t="s">
        <v>1485</v>
      </c>
      <c r="K611" s="4" t="e">
        <f>VLOOKUP(A611,المعطيات!$A$1:$J$3500,6,0)</f>
        <v>#N/A</v>
      </c>
      <c r="L611" s="1" t="s">
        <v>1486</v>
      </c>
      <c r="M611" s="1" t="s">
        <v>1487</v>
      </c>
      <c r="N611" s="4" t="e">
        <f t="shared" si="28"/>
        <v>#N/A</v>
      </c>
      <c r="O611" s="1" t="s">
        <v>1488</v>
      </c>
      <c r="P611" s="4" t="e">
        <f>VLOOKUP(A611,المعطيات!$A$1:$J$3500,4,0)</f>
        <v>#N/A</v>
      </c>
      <c r="Q611" s="1" t="s">
        <v>1489</v>
      </c>
      <c r="R611" s="1" t="s">
        <v>1480</v>
      </c>
      <c r="S611" s="6" t="e">
        <f t="shared" si="29"/>
        <v>#N/A</v>
      </c>
    </row>
    <row r="612" spans="2:19" x14ac:dyDescent="0.25">
      <c r="B612" s="1" t="s">
        <v>1479</v>
      </c>
      <c r="C612" s="1" t="s">
        <v>1481</v>
      </c>
      <c r="D612" s="4" t="e">
        <f>VLOOKUP(A612,المعطيات!$A$1:$J$3500,5,0)</f>
        <v>#N/A</v>
      </c>
      <c r="E612" s="1" t="s">
        <v>1482</v>
      </c>
      <c r="F612" s="5">
        <f t="shared" si="27"/>
        <v>0</v>
      </c>
      <c r="G612" s="5" t="s">
        <v>1483</v>
      </c>
      <c r="H612" s="4" t="e">
        <f>VLOOKUP(A612,المعطيات!$A$1:$J$3500,3,0)</f>
        <v>#N/A</v>
      </c>
      <c r="I612" s="1" t="s">
        <v>1484</v>
      </c>
      <c r="J612" s="1" t="s">
        <v>1485</v>
      </c>
      <c r="K612" s="4" t="e">
        <f>VLOOKUP(A612,المعطيات!$A$1:$J$3500,6,0)</f>
        <v>#N/A</v>
      </c>
      <c r="L612" s="1" t="s">
        <v>1486</v>
      </c>
      <c r="M612" s="1" t="s">
        <v>1487</v>
      </c>
      <c r="N612" s="4" t="e">
        <f t="shared" si="28"/>
        <v>#N/A</v>
      </c>
      <c r="O612" s="1" t="s">
        <v>1488</v>
      </c>
      <c r="P612" s="4" t="e">
        <f>VLOOKUP(A612,المعطيات!$A$1:$J$3500,4,0)</f>
        <v>#N/A</v>
      </c>
      <c r="Q612" s="1" t="s">
        <v>1489</v>
      </c>
      <c r="R612" s="1" t="s">
        <v>1480</v>
      </c>
      <c r="S612" s="6" t="e">
        <f t="shared" si="29"/>
        <v>#N/A</v>
      </c>
    </row>
    <row r="613" spans="2:19" x14ac:dyDescent="0.25">
      <c r="B613" s="1" t="s">
        <v>1479</v>
      </c>
      <c r="C613" s="1" t="s">
        <v>1481</v>
      </c>
      <c r="D613" s="4" t="e">
        <f>VLOOKUP(A613,المعطيات!$A$1:$J$3500,5,0)</f>
        <v>#N/A</v>
      </c>
      <c r="E613" s="1" t="s">
        <v>1482</v>
      </c>
      <c r="F613" s="5">
        <f t="shared" si="27"/>
        <v>0</v>
      </c>
      <c r="G613" s="5" t="s">
        <v>1483</v>
      </c>
      <c r="H613" s="4" t="e">
        <f>VLOOKUP(A613,المعطيات!$A$1:$J$3500,3,0)</f>
        <v>#N/A</v>
      </c>
      <c r="I613" s="1" t="s">
        <v>1484</v>
      </c>
      <c r="J613" s="1" t="s">
        <v>1485</v>
      </c>
      <c r="K613" s="4" t="e">
        <f>VLOOKUP(A613,المعطيات!$A$1:$J$3500,6,0)</f>
        <v>#N/A</v>
      </c>
      <c r="L613" s="1" t="s">
        <v>1486</v>
      </c>
      <c r="M613" s="1" t="s">
        <v>1487</v>
      </c>
      <c r="N613" s="4" t="e">
        <f t="shared" si="28"/>
        <v>#N/A</v>
      </c>
      <c r="O613" s="1" t="s">
        <v>1488</v>
      </c>
      <c r="P613" s="4" t="e">
        <f>VLOOKUP(A613,المعطيات!$A$1:$J$3500,4,0)</f>
        <v>#N/A</v>
      </c>
      <c r="Q613" s="1" t="s">
        <v>1489</v>
      </c>
      <c r="R613" s="1" t="s">
        <v>1480</v>
      </c>
      <c r="S613" s="6" t="e">
        <f t="shared" si="29"/>
        <v>#N/A</v>
      </c>
    </row>
    <row r="614" spans="2:19" x14ac:dyDescent="0.25">
      <c r="B614" s="1" t="s">
        <v>1479</v>
      </c>
      <c r="C614" s="1" t="s">
        <v>1481</v>
      </c>
      <c r="D614" s="4" t="e">
        <f>VLOOKUP(A614,المعطيات!$A$1:$J$3500,5,0)</f>
        <v>#N/A</v>
      </c>
      <c r="E614" s="1" t="s">
        <v>1482</v>
      </c>
      <c r="F614" s="5">
        <f t="shared" si="27"/>
        <v>0</v>
      </c>
      <c r="G614" s="5" t="s">
        <v>1483</v>
      </c>
      <c r="H614" s="4" t="e">
        <f>VLOOKUP(A614,المعطيات!$A$1:$J$3500,3,0)</f>
        <v>#N/A</v>
      </c>
      <c r="I614" s="1" t="s">
        <v>1484</v>
      </c>
      <c r="J614" s="1" t="s">
        <v>1485</v>
      </c>
      <c r="K614" s="4" t="e">
        <f>VLOOKUP(A614,المعطيات!$A$1:$J$3500,6,0)</f>
        <v>#N/A</v>
      </c>
      <c r="L614" s="1" t="s">
        <v>1486</v>
      </c>
      <c r="M614" s="1" t="s">
        <v>1487</v>
      </c>
      <c r="N614" s="4" t="e">
        <f t="shared" si="28"/>
        <v>#N/A</v>
      </c>
      <c r="O614" s="1" t="s">
        <v>1488</v>
      </c>
      <c r="P614" s="4" t="e">
        <f>VLOOKUP(A614,المعطيات!$A$1:$J$3500,4,0)</f>
        <v>#N/A</v>
      </c>
      <c r="Q614" s="1" t="s">
        <v>1489</v>
      </c>
      <c r="R614" s="1" t="s">
        <v>1480</v>
      </c>
      <c r="S614" s="6" t="e">
        <f t="shared" si="29"/>
        <v>#N/A</v>
      </c>
    </row>
    <row r="615" spans="2:19" x14ac:dyDescent="0.25">
      <c r="B615" s="1" t="s">
        <v>1479</v>
      </c>
      <c r="C615" s="1" t="s">
        <v>1481</v>
      </c>
      <c r="D615" s="4" t="e">
        <f>VLOOKUP(A615,المعطيات!$A$1:$J$3500,5,0)</f>
        <v>#N/A</v>
      </c>
      <c r="E615" s="1" t="s">
        <v>1482</v>
      </c>
      <c r="F615" s="5">
        <f t="shared" si="27"/>
        <v>0</v>
      </c>
      <c r="G615" s="5" t="s">
        <v>1483</v>
      </c>
      <c r="H615" s="4" t="e">
        <f>VLOOKUP(A615,المعطيات!$A$1:$J$3500,3,0)</f>
        <v>#N/A</v>
      </c>
      <c r="I615" s="1" t="s">
        <v>1484</v>
      </c>
      <c r="J615" s="1" t="s">
        <v>1485</v>
      </c>
      <c r="K615" s="4" t="e">
        <f>VLOOKUP(A615,المعطيات!$A$1:$J$3500,6,0)</f>
        <v>#N/A</v>
      </c>
      <c r="L615" s="1" t="s">
        <v>1486</v>
      </c>
      <c r="M615" s="1" t="s">
        <v>1487</v>
      </c>
      <c r="N615" s="4" t="e">
        <f t="shared" si="28"/>
        <v>#N/A</v>
      </c>
      <c r="O615" s="1" t="s">
        <v>1488</v>
      </c>
      <c r="P615" s="4" t="e">
        <f>VLOOKUP(A615,المعطيات!$A$1:$J$3500,4,0)</f>
        <v>#N/A</v>
      </c>
      <c r="Q615" s="1" t="s">
        <v>1489</v>
      </c>
      <c r="R615" s="1" t="s">
        <v>1480</v>
      </c>
      <c r="S615" s="6" t="e">
        <f t="shared" si="29"/>
        <v>#N/A</v>
      </c>
    </row>
    <row r="616" spans="2:19" x14ac:dyDescent="0.25">
      <c r="B616" s="1" t="s">
        <v>1479</v>
      </c>
      <c r="C616" s="1" t="s">
        <v>1481</v>
      </c>
      <c r="D616" s="4" t="e">
        <f>VLOOKUP(A616,المعطيات!$A$1:$J$3500,5,0)</f>
        <v>#N/A</v>
      </c>
      <c r="E616" s="1" t="s">
        <v>1482</v>
      </c>
      <c r="F616" s="5">
        <f t="shared" si="27"/>
        <v>0</v>
      </c>
      <c r="G616" s="5" t="s">
        <v>1483</v>
      </c>
      <c r="H616" s="4" t="e">
        <f>VLOOKUP(A616,المعطيات!$A$1:$J$3500,3,0)</f>
        <v>#N/A</v>
      </c>
      <c r="I616" s="1" t="s">
        <v>1484</v>
      </c>
      <c r="J616" s="1" t="s">
        <v>1485</v>
      </c>
      <c r="K616" s="4" t="e">
        <f>VLOOKUP(A616,المعطيات!$A$1:$J$3500,6,0)</f>
        <v>#N/A</v>
      </c>
      <c r="L616" s="1" t="s">
        <v>1486</v>
      </c>
      <c r="M616" s="1" t="s">
        <v>1487</v>
      </c>
      <c r="N616" s="4" t="e">
        <f t="shared" si="28"/>
        <v>#N/A</v>
      </c>
      <c r="O616" s="1" t="s">
        <v>1488</v>
      </c>
      <c r="P616" s="4" t="e">
        <f>VLOOKUP(A616,المعطيات!$A$1:$J$3500,4,0)</f>
        <v>#N/A</v>
      </c>
      <c r="Q616" s="1" t="s">
        <v>1489</v>
      </c>
      <c r="R616" s="1" t="s">
        <v>1480</v>
      </c>
      <c r="S616" s="6" t="e">
        <f t="shared" si="29"/>
        <v>#N/A</v>
      </c>
    </row>
    <row r="617" spans="2:19" x14ac:dyDescent="0.25">
      <c r="B617" s="1" t="s">
        <v>1479</v>
      </c>
      <c r="C617" s="1" t="s">
        <v>1481</v>
      </c>
      <c r="D617" s="4" t="e">
        <f>VLOOKUP(A617,المعطيات!$A$1:$J$3500,5,0)</f>
        <v>#N/A</v>
      </c>
      <c r="E617" s="1" t="s">
        <v>1482</v>
      </c>
      <c r="F617" s="5">
        <f t="shared" si="27"/>
        <v>0</v>
      </c>
      <c r="G617" s="5" t="s">
        <v>1483</v>
      </c>
      <c r="H617" s="4" t="e">
        <f>VLOOKUP(A617,المعطيات!$A$1:$J$3500,3,0)</f>
        <v>#N/A</v>
      </c>
      <c r="I617" s="1" t="s">
        <v>1484</v>
      </c>
      <c r="J617" s="1" t="s">
        <v>1485</v>
      </c>
      <c r="K617" s="4" t="e">
        <f>VLOOKUP(A617,المعطيات!$A$1:$J$3500,6,0)</f>
        <v>#N/A</v>
      </c>
      <c r="L617" s="1" t="s">
        <v>1486</v>
      </c>
      <c r="M617" s="1" t="s">
        <v>1487</v>
      </c>
      <c r="N617" s="4" t="e">
        <f t="shared" si="28"/>
        <v>#N/A</v>
      </c>
      <c r="O617" s="1" t="s">
        <v>1488</v>
      </c>
      <c r="P617" s="4" t="e">
        <f>VLOOKUP(A617,المعطيات!$A$1:$J$3500,4,0)</f>
        <v>#N/A</v>
      </c>
      <c r="Q617" s="1" t="s">
        <v>1489</v>
      </c>
      <c r="R617" s="1" t="s">
        <v>1480</v>
      </c>
      <c r="S617" s="6" t="e">
        <f t="shared" si="29"/>
        <v>#N/A</v>
      </c>
    </row>
    <row r="618" spans="2:19" x14ac:dyDescent="0.25">
      <c r="B618" s="1" t="s">
        <v>1479</v>
      </c>
      <c r="C618" s="1" t="s">
        <v>1481</v>
      </c>
      <c r="D618" s="4" t="e">
        <f>VLOOKUP(A618,المعطيات!$A$1:$J$3500,5,0)</f>
        <v>#N/A</v>
      </c>
      <c r="E618" s="1" t="s">
        <v>1482</v>
      </c>
      <c r="F618" s="5">
        <f t="shared" si="27"/>
        <v>0</v>
      </c>
      <c r="G618" s="5" t="s">
        <v>1483</v>
      </c>
      <c r="H618" s="4" t="e">
        <f>VLOOKUP(A618,المعطيات!$A$1:$J$3500,3,0)</f>
        <v>#N/A</v>
      </c>
      <c r="I618" s="1" t="s">
        <v>1484</v>
      </c>
      <c r="J618" s="1" t="s">
        <v>1485</v>
      </c>
      <c r="K618" s="4" t="e">
        <f>VLOOKUP(A618,المعطيات!$A$1:$J$3500,6,0)</f>
        <v>#N/A</v>
      </c>
      <c r="L618" s="1" t="s">
        <v>1486</v>
      </c>
      <c r="M618" s="1" t="s">
        <v>1487</v>
      </c>
      <c r="N618" s="4" t="e">
        <f t="shared" si="28"/>
        <v>#N/A</v>
      </c>
      <c r="O618" s="1" t="s">
        <v>1488</v>
      </c>
      <c r="P618" s="4" t="e">
        <f>VLOOKUP(A618,المعطيات!$A$1:$J$3500,4,0)</f>
        <v>#N/A</v>
      </c>
      <c r="Q618" s="1" t="s">
        <v>1489</v>
      </c>
      <c r="R618" s="1" t="s">
        <v>1480</v>
      </c>
      <c r="S618" s="6" t="e">
        <f t="shared" si="29"/>
        <v>#N/A</v>
      </c>
    </row>
    <row r="619" spans="2:19" x14ac:dyDescent="0.25">
      <c r="B619" s="1" t="s">
        <v>1479</v>
      </c>
      <c r="C619" s="1" t="s">
        <v>1481</v>
      </c>
      <c r="D619" s="4" t="e">
        <f>VLOOKUP(A619,المعطيات!$A$1:$J$3500,5,0)</f>
        <v>#N/A</v>
      </c>
      <c r="E619" s="1" t="s">
        <v>1482</v>
      </c>
      <c r="F619" s="5">
        <f t="shared" si="27"/>
        <v>0</v>
      </c>
      <c r="G619" s="5" t="s">
        <v>1483</v>
      </c>
      <c r="H619" s="4" t="e">
        <f>VLOOKUP(A619,المعطيات!$A$1:$J$3500,3,0)</f>
        <v>#N/A</v>
      </c>
      <c r="I619" s="1" t="s">
        <v>1484</v>
      </c>
      <c r="J619" s="1" t="s">
        <v>1485</v>
      </c>
      <c r="K619" s="4" t="e">
        <f>VLOOKUP(A619,المعطيات!$A$1:$J$3500,6,0)</f>
        <v>#N/A</v>
      </c>
      <c r="L619" s="1" t="s">
        <v>1486</v>
      </c>
      <c r="M619" s="1" t="s">
        <v>1487</v>
      </c>
      <c r="N619" s="4" t="e">
        <f t="shared" si="28"/>
        <v>#N/A</v>
      </c>
      <c r="O619" s="1" t="s">
        <v>1488</v>
      </c>
      <c r="P619" s="4" t="e">
        <f>VLOOKUP(A619,المعطيات!$A$1:$J$3500,4,0)</f>
        <v>#N/A</v>
      </c>
      <c r="Q619" s="1" t="s">
        <v>1489</v>
      </c>
      <c r="R619" s="1" t="s">
        <v>1480</v>
      </c>
      <c r="S619" s="6" t="e">
        <f t="shared" si="29"/>
        <v>#N/A</v>
      </c>
    </row>
    <row r="620" spans="2:19" x14ac:dyDescent="0.25">
      <c r="B620" s="1" t="s">
        <v>1479</v>
      </c>
      <c r="C620" s="1" t="s">
        <v>1481</v>
      </c>
      <c r="D620" s="4" t="e">
        <f>VLOOKUP(A620,المعطيات!$A$1:$J$3500,5,0)</f>
        <v>#N/A</v>
      </c>
      <c r="E620" s="1" t="s">
        <v>1482</v>
      </c>
      <c r="F620" s="5">
        <f t="shared" si="27"/>
        <v>0</v>
      </c>
      <c r="G620" s="5" t="s">
        <v>1483</v>
      </c>
      <c r="H620" s="4" t="e">
        <f>VLOOKUP(A620,المعطيات!$A$1:$J$3500,3,0)</f>
        <v>#N/A</v>
      </c>
      <c r="I620" s="1" t="s">
        <v>1484</v>
      </c>
      <c r="J620" s="1" t="s">
        <v>1485</v>
      </c>
      <c r="K620" s="4" t="e">
        <f>VLOOKUP(A620,المعطيات!$A$1:$J$3500,6,0)</f>
        <v>#N/A</v>
      </c>
      <c r="L620" s="1" t="s">
        <v>1486</v>
      </c>
      <c r="M620" s="1" t="s">
        <v>1487</v>
      </c>
      <c r="N620" s="4" t="e">
        <f t="shared" si="28"/>
        <v>#N/A</v>
      </c>
      <c r="O620" s="1" t="s">
        <v>1488</v>
      </c>
      <c r="P620" s="4" t="e">
        <f>VLOOKUP(A620,المعطيات!$A$1:$J$3500,4,0)</f>
        <v>#N/A</v>
      </c>
      <c r="Q620" s="1" t="s">
        <v>1489</v>
      </c>
      <c r="R620" s="1" t="s">
        <v>1480</v>
      </c>
      <c r="S620" s="6" t="e">
        <f t="shared" si="29"/>
        <v>#N/A</v>
      </c>
    </row>
    <row r="621" spans="2:19" x14ac:dyDescent="0.25">
      <c r="B621" s="1" t="s">
        <v>1479</v>
      </c>
      <c r="C621" s="1" t="s">
        <v>1481</v>
      </c>
      <c r="D621" s="4" t="e">
        <f>VLOOKUP(A621,المعطيات!$A$1:$J$3500,5,0)</f>
        <v>#N/A</v>
      </c>
      <c r="E621" s="1" t="s">
        <v>1482</v>
      </c>
      <c r="F621" s="5">
        <f t="shared" si="27"/>
        <v>0</v>
      </c>
      <c r="G621" s="5" t="s">
        <v>1483</v>
      </c>
      <c r="H621" s="4" t="e">
        <f>VLOOKUP(A621,المعطيات!$A$1:$J$3500,3,0)</f>
        <v>#N/A</v>
      </c>
      <c r="I621" s="1" t="s">
        <v>1484</v>
      </c>
      <c r="J621" s="1" t="s">
        <v>1485</v>
      </c>
      <c r="K621" s="4" t="e">
        <f>VLOOKUP(A621,المعطيات!$A$1:$J$3500,6,0)</f>
        <v>#N/A</v>
      </c>
      <c r="L621" s="1" t="s">
        <v>1486</v>
      </c>
      <c r="M621" s="1" t="s">
        <v>1487</v>
      </c>
      <c r="N621" s="4" t="e">
        <f t="shared" si="28"/>
        <v>#N/A</v>
      </c>
      <c r="O621" s="1" t="s">
        <v>1488</v>
      </c>
      <c r="P621" s="4" t="e">
        <f>VLOOKUP(A621,المعطيات!$A$1:$J$3500,4,0)</f>
        <v>#N/A</v>
      </c>
      <c r="Q621" s="1" t="s">
        <v>1489</v>
      </c>
      <c r="R621" s="1" t="s">
        <v>1480</v>
      </c>
      <c r="S621" s="6" t="e">
        <f t="shared" si="29"/>
        <v>#N/A</v>
      </c>
    </row>
    <row r="622" spans="2:19" x14ac:dyDescent="0.25">
      <c r="B622" s="1" t="s">
        <v>1479</v>
      </c>
      <c r="C622" s="1" t="s">
        <v>1481</v>
      </c>
      <c r="D622" s="4" t="e">
        <f>VLOOKUP(A622,المعطيات!$A$1:$J$3500,5,0)</f>
        <v>#N/A</v>
      </c>
      <c r="E622" s="1" t="s">
        <v>1482</v>
      </c>
      <c r="F622" s="5">
        <f t="shared" si="27"/>
        <v>0</v>
      </c>
      <c r="G622" s="5" t="s">
        <v>1483</v>
      </c>
      <c r="H622" s="4" t="e">
        <f>VLOOKUP(A622,المعطيات!$A$1:$J$3500,3,0)</f>
        <v>#N/A</v>
      </c>
      <c r="I622" s="1" t="s">
        <v>1484</v>
      </c>
      <c r="J622" s="1" t="s">
        <v>1485</v>
      </c>
      <c r="K622" s="4" t="e">
        <f>VLOOKUP(A622,المعطيات!$A$1:$J$3500,6,0)</f>
        <v>#N/A</v>
      </c>
      <c r="L622" s="1" t="s">
        <v>1486</v>
      </c>
      <c r="M622" s="1" t="s">
        <v>1487</v>
      </c>
      <c r="N622" s="4" t="e">
        <f t="shared" si="28"/>
        <v>#N/A</v>
      </c>
      <c r="O622" s="1" t="s">
        <v>1488</v>
      </c>
      <c r="P622" s="4" t="e">
        <f>VLOOKUP(A622,المعطيات!$A$1:$J$3500,4,0)</f>
        <v>#N/A</v>
      </c>
      <c r="Q622" s="1" t="s">
        <v>1489</v>
      </c>
      <c r="R622" s="1" t="s">
        <v>1480</v>
      </c>
      <c r="S622" s="6" t="e">
        <f t="shared" si="29"/>
        <v>#N/A</v>
      </c>
    </row>
    <row r="623" spans="2:19" x14ac:dyDescent="0.25">
      <c r="B623" s="1" t="s">
        <v>1479</v>
      </c>
      <c r="C623" s="1" t="s">
        <v>1481</v>
      </c>
      <c r="D623" s="4" t="e">
        <f>VLOOKUP(A623,المعطيات!$A$1:$J$3500,5,0)</f>
        <v>#N/A</v>
      </c>
      <c r="E623" s="1" t="s">
        <v>1482</v>
      </c>
      <c r="F623" s="5">
        <f t="shared" si="27"/>
        <v>0</v>
      </c>
      <c r="G623" s="5" t="s">
        <v>1483</v>
      </c>
      <c r="H623" s="4" t="e">
        <f>VLOOKUP(A623,المعطيات!$A$1:$J$3500,3,0)</f>
        <v>#N/A</v>
      </c>
      <c r="I623" s="1" t="s">
        <v>1484</v>
      </c>
      <c r="J623" s="1" t="s">
        <v>1485</v>
      </c>
      <c r="K623" s="4" t="e">
        <f>VLOOKUP(A623,المعطيات!$A$1:$J$3500,6,0)</f>
        <v>#N/A</v>
      </c>
      <c r="L623" s="1" t="s">
        <v>1486</v>
      </c>
      <c r="M623" s="1" t="s">
        <v>1487</v>
      </c>
      <c r="N623" s="4" t="e">
        <f t="shared" si="28"/>
        <v>#N/A</v>
      </c>
      <c r="O623" s="1" t="s">
        <v>1488</v>
      </c>
      <c r="P623" s="4" t="e">
        <f>VLOOKUP(A623,المعطيات!$A$1:$J$3500,4,0)</f>
        <v>#N/A</v>
      </c>
      <c r="Q623" s="1" t="s">
        <v>1489</v>
      </c>
      <c r="R623" s="1" t="s">
        <v>1480</v>
      </c>
      <c r="S623" s="6" t="e">
        <f t="shared" si="29"/>
        <v>#N/A</v>
      </c>
    </row>
    <row r="624" spans="2:19" x14ac:dyDescent="0.25">
      <c r="B624" s="1" t="s">
        <v>1479</v>
      </c>
      <c r="C624" s="1" t="s">
        <v>1481</v>
      </c>
      <c r="D624" s="4" t="e">
        <f>VLOOKUP(A624,المعطيات!$A$1:$J$3500,5,0)</f>
        <v>#N/A</v>
      </c>
      <c r="E624" s="1" t="s">
        <v>1482</v>
      </c>
      <c r="F624" s="5">
        <f t="shared" si="27"/>
        <v>0</v>
      </c>
      <c r="G624" s="5" t="s">
        <v>1483</v>
      </c>
      <c r="H624" s="4" t="e">
        <f>VLOOKUP(A624,المعطيات!$A$1:$J$3500,3,0)</f>
        <v>#N/A</v>
      </c>
      <c r="I624" s="1" t="s">
        <v>1484</v>
      </c>
      <c r="J624" s="1" t="s">
        <v>1485</v>
      </c>
      <c r="K624" s="4" t="e">
        <f>VLOOKUP(A624,المعطيات!$A$1:$J$3500,6,0)</f>
        <v>#N/A</v>
      </c>
      <c r="L624" s="1" t="s">
        <v>1486</v>
      </c>
      <c r="M624" s="1" t="s">
        <v>1487</v>
      </c>
      <c r="N624" s="4" t="e">
        <f t="shared" si="28"/>
        <v>#N/A</v>
      </c>
      <c r="O624" s="1" t="s">
        <v>1488</v>
      </c>
      <c r="P624" s="4" t="e">
        <f>VLOOKUP(A624,المعطيات!$A$1:$J$3500,4,0)</f>
        <v>#N/A</v>
      </c>
      <c r="Q624" s="1" t="s">
        <v>1489</v>
      </c>
      <c r="R624" s="1" t="s">
        <v>1480</v>
      </c>
      <c r="S624" s="6" t="e">
        <f t="shared" si="29"/>
        <v>#N/A</v>
      </c>
    </row>
    <row r="625" spans="2:19" x14ac:dyDescent="0.25">
      <c r="B625" s="1" t="s">
        <v>1479</v>
      </c>
      <c r="C625" s="1" t="s">
        <v>1481</v>
      </c>
      <c r="D625" s="4" t="e">
        <f>VLOOKUP(A625,المعطيات!$A$1:$J$3500,5,0)</f>
        <v>#N/A</v>
      </c>
      <c r="E625" s="1" t="s">
        <v>1482</v>
      </c>
      <c r="F625" s="5">
        <f t="shared" si="27"/>
        <v>0</v>
      </c>
      <c r="G625" s="5" t="s">
        <v>1483</v>
      </c>
      <c r="H625" s="4" t="e">
        <f>VLOOKUP(A625,المعطيات!$A$1:$J$3500,3,0)</f>
        <v>#N/A</v>
      </c>
      <c r="I625" s="1" t="s">
        <v>1484</v>
      </c>
      <c r="J625" s="1" t="s">
        <v>1485</v>
      </c>
      <c r="K625" s="4" t="e">
        <f>VLOOKUP(A625,المعطيات!$A$1:$J$3500,6,0)</f>
        <v>#N/A</v>
      </c>
      <c r="L625" s="1" t="s">
        <v>1486</v>
      </c>
      <c r="M625" s="1" t="s">
        <v>1487</v>
      </c>
      <c r="N625" s="4" t="e">
        <f t="shared" si="28"/>
        <v>#N/A</v>
      </c>
      <c r="O625" s="1" t="s">
        <v>1488</v>
      </c>
      <c r="P625" s="4" t="e">
        <f>VLOOKUP(A625,المعطيات!$A$1:$J$3500,4,0)</f>
        <v>#N/A</v>
      </c>
      <c r="Q625" s="1" t="s">
        <v>1489</v>
      </c>
      <c r="R625" s="1" t="s">
        <v>1480</v>
      </c>
      <c r="S625" s="6" t="e">
        <f t="shared" si="29"/>
        <v>#N/A</v>
      </c>
    </row>
    <row r="626" spans="2:19" x14ac:dyDescent="0.25">
      <c r="B626" s="1" t="s">
        <v>1479</v>
      </c>
      <c r="C626" s="1" t="s">
        <v>1481</v>
      </c>
      <c r="D626" s="4" t="e">
        <f>VLOOKUP(A626,المعطيات!$A$1:$J$3500,5,0)</f>
        <v>#N/A</v>
      </c>
      <c r="E626" s="1" t="s">
        <v>1482</v>
      </c>
      <c r="F626" s="5">
        <f t="shared" si="27"/>
        <v>0</v>
      </c>
      <c r="G626" s="5" t="s">
        <v>1483</v>
      </c>
      <c r="H626" s="4" t="e">
        <f>VLOOKUP(A626,المعطيات!$A$1:$J$3500,3,0)</f>
        <v>#N/A</v>
      </c>
      <c r="I626" s="1" t="s">
        <v>1484</v>
      </c>
      <c r="J626" s="1" t="s">
        <v>1485</v>
      </c>
      <c r="K626" s="4" t="e">
        <f>VLOOKUP(A626,المعطيات!$A$1:$J$3500,6,0)</f>
        <v>#N/A</v>
      </c>
      <c r="L626" s="1" t="s">
        <v>1486</v>
      </c>
      <c r="M626" s="1" t="s">
        <v>1487</v>
      </c>
      <c r="N626" s="4" t="e">
        <f t="shared" si="28"/>
        <v>#N/A</v>
      </c>
      <c r="O626" s="1" t="s">
        <v>1488</v>
      </c>
      <c r="P626" s="4" t="e">
        <f>VLOOKUP(A626,المعطيات!$A$1:$J$3500,4,0)</f>
        <v>#N/A</v>
      </c>
      <c r="Q626" s="1" t="s">
        <v>1489</v>
      </c>
      <c r="R626" s="1" t="s">
        <v>1480</v>
      </c>
      <c r="S626" s="6" t="e">
        <f t="shared" si="29"/>
        <v>#N/A</v>
      </c>
    </row>
    <row r="627" spans="2:19" x14ac:dyDescent="0.25">
      <c r="B627" s="1" t="s">
        <v>1479</v>
      </c>
      <c r="C627" s="1" t="s">
        <v>1481</v>
      </c>
      <c r="D627" s="4" t="e">
        <f>VLOOKUP(A627,المعطيات!$A$1:$J$3500,5,0)</f>
        <v>#N/A</v>
      </c>
      <c r="E627" s="1" t="s">
        <v>1482</v>
      </c>
      <c r="F627" s="5">
        <f t="shared" si="27"/>
        <v>0</v>
      </c>
      <c r="G627" s="5" t="s">
        <v>1483</v>
      </c>
      <c r="H627" s="4" t="e">
        <f>VLOOKUP(A627,المعطيات!$A$1:$J$3500,3,0)</f>
        <v>#N/A</v>
      </c>
      <c r="I627" s="1" t="s">
        <v>1484</v>
      </c>
      <c r="J627" s="1" t="s">
        <v>1485</v>
      </c>
      <c r="K627" s="4" t="e">
        <f>VLOOKUP(A627,المعطيات!$A$1:$J$3500,6,0)</f>
        <v>#N/A</v>
      </c>
      <c r="L627" s="1" t="s">
        <v>1486</v>
      </c>
      <c r="M627" s="1" t="s">
        <v>1487</v>
      </c>
      <c r="N627" s="4" t="e">
        <f t="shared" si="28"/>
        <v>#N/A</v>
      </c>
      <c r="O627" s="1" t="s">
        <v>1488</v>
      </c>
      <c r="P627" s="4" t="e">
        <f>VLOOKUP(A627,المعطيات!$A$1:$J$3500,4,0)</f>
        <v>#N/A</v>
      </c>
      <c r="Q627" s="1" t="s">
        <v>1489</v>
      </c>
      <c r="R627" s="1" t="s">
        <v>1480</v>
      </c>
      <c r="S627" s="6" t="e">
        <f t="shared" si="29"/>
        <v>#N/A</v>
      </c>
    </row>
    <row r="628" spans="2:19" x14ac:dyDescent="0.25">
      <c r="B628" s="1" t="s">
        <v>1479</v>
      </c>
      <c r="C628" s="1" t="s">
        <v>1481</v>
      </c>
      <c r="D628" s="4" t="e">
        <f>VLOOKUP(A628,المعطيات!$A$1:$J$3500,5,0)</f>
        <v>#N/A</v>
      </c>
      <c r="E628" s="1" t="s">
        <v>1482</v>
      </c>
      <c r="F628" s="5">
        <f t="shared" si="27"/>
        <v>0</v>
      </c>
      <c r="G628" s="5" t="s">
        <v>1483</v>
      </c>
      <c r="H628" s="4" t="e">
        <f>VLOOKUP(A628,المعطيات!$A$1:$J$3500,3,0)</f>
        <v>#N/A</v>
      </c>
      <c r="I628" s="1" t="s">
        <v>1484</v>
      </c>
      <c r="J628" s="1" t="s">
        <v>1485</v>
      </c>
      <c r="K628" s="4" t="e">
        <f>VLOOKUP(A628,المعطيات!$A$1:$J$3500,6,0)</f>
        <v>#N/A</v>
      </c>
      <c r="L628" s="1" t="s">
        <v>1486</v>
      </c>
      <c r="M628" s="1" t="s">
        <v>1487</v>
      </c>
      <c r="N628" s="4" t="e">
        <f t="shared" si="28"/>
        <v>#N/A</v>
      </c>
      <c r="O628" s="1" t="s">
        <v>1488</v>
      </c>
      <c r="P628" s="4" t="e">
        <f>VLOOKUP(A628,المعطيات!$A$1:$J$3500,4,0)</f>
        <v>#N/A</v>
      </c>
      <c r="Q628" s="1" t="s">
        <v>1489</v>
      </c>
      <c r="R628" s="1" t="s">
        <v>1480</v>
      </c>
      <c r="S628" s="6" t="e">
        <f t="shared" si="29"/>
        <v>#N/A</v>
      </c>
    </row>
    <row r="629" spans="2:19" x14ac:dyDescent="0.25">
      <c r="B629" s="1" t="s">
        <v>1479</v>
      </c>
      <c r="C629" s="1" t="s">
        <v>1481</v>
      </c>
      <c r="D629" s="4" t="e">
        <f>VLOOKUP(A629,المعطيات!$A$1:$J$3500,5,0)</f>
        <v>#N/A</v>
      </c>
      <c r="E629" s="1" t="s">
        <v>1482</v>
      </c>
      <c r="F629" s="5">
        <f t="shared" si="27"/>
        <v>0</v>
      </c>
      <c r="G629" s="5" t="s">
        <v>1483</v>
      </c>
      <c r="H629" s="4" t="e">
        <f>VLOOKUP(A629,المعطيات!$A$1:$J$3500,3,0)</f>
        <v>#N/A</v>
      </c>
      <c r="I629" s="1" t="s">
        <v>1484</v>
      </c>
      <c r="J629" s="1" t="s">
        <v>1485</v>
      </c>
      <c r="K629" s="4" t="e">
        <f>VLOOKUP(A629,المعطيات!$A$1:$J$3500,6,0)</f>
        <v>#N/A</v>
      </c>
      <c r="L629" s="1" t="s">
        <v>1486</v>
      </c>
      <c r="M629" s="1" t="s">
        <v>1487</v>
      </c>
      <c r="N629" s="4" t="e">
        <f t="shared" si="28"/>
        <v>#N/A</v>
      </c>
      <c r="O629" s="1" t="s">
        <v>1488</v>
      </c>
      <c r="P629" s="4" t="e">
        <f>VLOOKUP(A629,المعطيات!$A$1:$J$3500,4,0)</f>
        <v>#N/A</v>
      </c>
      <c r="Q629" s="1" t="s">
        <v>1489</v>
      </c>
      <c r="R629" s="1" t="s">
        <v>1480</v>
      </c>
      <c r="S629" s="6" t="e">
        <f t="shared" si="29"/>
        <v>#N/A</v>
      </c>
    </row>
    <row r="630" spans="2:19" x14ac:dyDescent="0.25">
      <c r="B630" s="1" t="s">
        <v>1479</v>
      </c>
      <c r="C630" s="1" t="s">
        <v>1481</v>
      </c>
      <c r="D630" s="4" t="e">
        <f>VLOOKUP(A630,المعطيات!$A$1:$J$3500,5,0)</f>
        <v>#N/A</v>
      </c>
      <c r="E630" s="1" t="s">
        <v>1482</v>
      </c>
      <c r="F630" s="5">
        <f t="shared" si="27"/>
        <v>0</v>
      </c>
      <c r="G630" s="5" t="s">
        <v>1483</v>
      </c>
      <c r="H630" s="4" t="e">
        <f>VLOOKUP(A630,المعطيات!$A$1:$J$3500,3,0)</f>
        <v>#N/A</v>
      </c>
      <c r="I630" s="1" t="s">
        <v>1484</v>
      </c>
      <c r="J630" s="1" t="s">
        <v>1485</v>
      </c>
      <c r="K630" s="4" t="e">
        <f>VLOOKUP(A630,المعطيات!$A$1:$J$3500,6,0)</f>
        <v>#N/A</v>
      </c>
      <c r="L630" s="1" t="s">
        <v>1486</v>
      </c>
      <c r="M630" s="1" t="s">
        <v>1487</v>
      </c>
      <c r="N630" s="4" t="e">
        <f t="shared" si="28"/>
        <v>#N/A</v>
      </c>
      <c r="O630" s="1" t="s">
        <v>1488</v>
      </c>
      <c r="P630" s="4" t="e">
        <f>VLOOKUP(A630,المعطيات!$A$1:$J$3500,4,0)</f>
        <v>#N/A</v>
      </c>
      <c r="Q630" s="1" t="s">
        <v>1489</v>
      </c>
      <c r="R630" s="1" t="s">
        <v>1480</v>
      </c>
      <c r="S630" s="6" t="e">
        <f t="shared" si="29"/>
        <v>#N/A</v>
      </c>
    </row>
    <row r="631" spans="2:19" x14ac:dyDescent="0.25">
      <c r="B631" s="1" t="s">
        <v>1479</v>
      </c>
      <c r="C631" s="1" t="s">
        <v>1481</v>
      </c>
      <c r="D631" s="4" t="e">
        <f>VLOOKUP(A631,المعطيات!$A$1:$J$3500,5,0)</f>
        <v>#N/A</v>
      </c>
      <c r="E631" s="1" t="s">
        <v>1482</v>
      </c>
      <c r="F631" s="5">
        <f t="shared" si="27"/>
        <v>0</v>
      </c>
      <c r="G631" s="5" t="s">
        <v>1483</v>
      </c>
      <c r="H631" s="4" t="e">
        <f>VLOOKUP(A631,المعطيات!$A$1:$J$3500,3,0)</f>
        <v>#N/A</v>
      </c>
      <c r="I631" s="1" t="s">
        <v>1484</v>
      </c>
      <c r="J631" s="1" t="s">
        <v>1485</v>
      </c>
      <c r="K631" s="4" t="e">
        <f>VLOOKUP(A631,المعطيات!$A$1:$J$3500,6,0)</f>
        <v>#N/A</v>
      </c>
      <c r="L631" s="1" t="s">
        <v>1486</v>
      </c>
      <c r="M631" s="1" t="s">
        <v>1487</v>
      </c>
      <c r="N631" s="4" t="e">
        <f t="shared" si="28"/>
        <v>#N/A</v>
      </c>
      <c r="O631" s="1" t="s">
        <v>1488</v>
      </c>
      <c r="P631" s="4" t="e">
        <f>VLOOKUP(A631,المعطيات!$A$1:$J$3500,4,0)</f>
        <v>#N/A</v>
      </c>
      <c r="Q631" s="1" t="s">
        <v>1489</v>
      </c>
      <c r="R631" s="1" t="s">
        <v>1480</v>
      </c>
      <c r="S631" s="6" t="e">
        <f t="shared" si="29"/>
        <v>#N/A</v>
      </c>
    </row>
    <row r="632" spans="2:19" x14ac:dyDescent="0.25">
      <c r="B632" s="1" t="s">
        <v>1479</v>
      </c>
      <c r="C632" s="1" t="s">
        <v>1481</v>
      </c>
      <c r="D632" s="4" t="e">
        <f>VLOOKUP(A632,المعطيات!$A$1:$J$3500,5,0)</f>
        <v>#N/A</v>
      </c>
      <c r="E632" s="1" t="s">
        <v>1482</v>
      </c>
      <c r="F632" s="5">
        <f t="shared" si="27"/>
        <v>0</v>
      </c>
      <c r="G632" s="5" t="s">
        <v>1483</v>
      </c>
      <c r="H632" s="4" t="e">
        <f>VLOOKUP(A632,المعطيات!$A$1:$J$3500,3,0)</f>
        <v>#N/A</v>
      </c>
      <c r="I632" s="1" t="s">
        <v>1484</v>
      </c>
      <c r="J632" s="1" t="s">
        <v>1485</v>
      </c>
      <c r="K632" s="4" t="e">
        <f>VLOOKUP(A632,المعطيات!$A$1:$J$3500,6,0)</f>
        <v>#N/A</v>
      </c>
      <c r="L632" s="1" t="s">
        <v>1486</v>
      </c>
      <c r="M632" s="1" t="s">
        <v>1487</v>
      </c>
      <c r="N632" s="4" t="e">
        <f t="shared" si="28"/>
        <v>#N/A</v>
      </c>
      <c r="O632" s="1" t="s">
        <v>1488</v>
      </c>
      <c r="P632" s="4" t="e">
        <f>VLOOKUP(A632,المعطيات!$A$1:$J$3500,4,0)</f>
        <v>#N/A</v>
      </c>
      <c r="Q632" s="1" t="s">
        <v>1489</v>
      </c>
      <c r="R632" s="1" t="s">
        <v>1480</v>
      </c>
      <c r="S632" s="6" t="e">
        <f t="shared" si="29"/>
        <v>#N/A</v>
      </c>
    </row>
    <row r="633" spans="2:19" x14ac:dyDescent="0.25">
      <c r="B633" s="1" t="s">
        <v>1479</v>
      </c>
      <c r="C633" s="1" t="s">
        <v>1481</v>
      </c>
      <c r="D633" s="4" t="e">
        <f>VLOOKUP(A633,المعطيات!$A$1:$J$3500,5,0)</f>
        <v>#N/A</v>
      </c>
      <c r="E633" s="1" t="s">
        <v>1482</v>
      </c>
      <c r="F633" s="5">
        <f t="shared" si="27"/>
        <v>0</v>
      </c>
      <c r="G633" s="5" t="s">
        <v>1483</v>
      </c>
      <c r="H633" s="4" t="e">
        <f>VLOOKUP(A633,المعطيات!$A$1:$J$3500,3,0)</f>
        <v>#N/A</v>
      </c>
      <c r="I633" s="1" t="s">
        <v>1484</v>
      </c>
      <c r="J633" s="1" t="s">
        <v>1485</v>
      </c>
      <c r="K633" s="4" t="e">
        <f>VLOOKUP(A633,المعطيات!$A$1:$J$3500,6,0)</f>
        <v>#N/A</v>
      </c>
      <c r="L633" s="1" t="s">
        <v>1486</v>
      </c>
      <c r="M633" s="1" t="s">
        <v>1487</v>
      </c>
      <c r="N633" s="4" t="e">
        <f t="shared" si="28"/>
        <v>#N/A</v>
      </c>
      <c r="O633" s="1" t="s">
        <v>1488</v>
      </c>
      <c r="P633" s="4" t="e">
        <f>VLOOKUP(A633,المعطيات!$A$1:$J$3500,4,0)</f>
        <v>#N/A</v>
      </c>
      <c r="Q633" s="1" t="s">
        <v>1489</v>
      </c>
      <c r="R633" s="1" t="s">
        <v>1480</v>
      </c>
      <c r="S633" s="6" t="e">
        <f t="shared" si="29"/>
        <v>#N/A</v>
      </c>
    </row>
    <row r="634" spans="2:19" x14ac:dyDescent="0.25">
      <c r="B634" s="1" t="s">
        <v>1479</v>
      </c>
      <c r="C634" s="1" t="s">
        <v>1481</v>
      </c>
      <c r="D634" s="4" t="e">
        <f>VLOOKUP(A634,المعطيات!$A$1:$J$3500,5,0)</f>
        <v>#N/A</v>
      </c>
      <c r="E634" s="1" t="s">
        <v>1482</v>
      </c>
      <c r="F634" s="5">
        <f t="shared" si="27"/>
        <v>0</v>
      </c>
      <c r="G634" s="5" t="s">
        <v>1483</v>
      </c>
      <c r="H634" s="4" t="e">
        <f>VLOOKUP(A634,المعطيات!$A$1:$J$3500,3,0)</f>
        <v>#N/A</v>
      </c>
      <c r="I634" s="1" t="s">
        <v>1484</v>
      </c>
      <c r="J634" s="1" t="s">
        <v>1485</v>
      </c>
      <c r="K634" s="4" t="e">
        <f>VLOOKUP(A634,المعطيات!$A$1:$J$3500,6,0)</f>
        <v>#N/A</v>
      </c>
      <c r="L634" s="1" t="s">
        <v>1486</v>
      </c>
      <c r="M634" s="1" t="s">
        <v>1487</v>
      </c>
      <c r="N634" s="4" t="e">
        <f t="shared" si="28"/>
        <v>#N/A</v>
      </c>
      <c r="O634" s="1" t="s">
        <v>1488</v>
      </c>
      <c r="P634" s="4" t="e">
        <f>VLOOKUP(A634,المعطيات!$A$1:$J$3500,4,0)</f>
        <v>#N/A</v>
      </c>
      <c r="Q634" s="1" t="s">
        <v>1489</v>
      </c>
      <c r="R634" s="1" t="s">
        <v>1480</v>
      </c>
      <c r="S634" s="6" t="e">
        <f t="shared" si="29"/>
        <v>#N/A</v>
      </c>
    </row>
    <row r="635" spans="2:19" x14ac:dyDescent="0.25">
      <c r="B635" s="1" t="s">
        <v>1479</v>
      </c>
      <c r="C635" s="1" t="s">
        <v>1481</v>
      </c>
      <c r="D635" s="4" t="e">
        <f>VLOOKUP(A635,المعطيات!$A$1:$J$3500,5,0)</f>
        <v>#N/A</v>
      </c>
      <c r="E635" s="1" t="s">
        <v>1482</v>
      </c>
      <c r="F635" s="5">
        <f t="shared" si="27"/>
        <v>0</v>
      </c>
      <c r="G635" s="5" t="s">
        <v>1483</v>
      </c>
      <c r="H635" s="4" t="e">
        <f>VLOOKUP(A635,المعطيات!$A$1:$J$3500,3,0)</f>
        <v>#N/A</v>
      </c>
      <c r="I635" s="1" t="s">
        <v>1484</v>
      </c>
      <c r="J635" s="1" t="s">
        <v>1485</v>
      </c>
      <c r="K635" s="4" t="e">
        <f>VLOOKUP(A635,المعطيات!$A$1:$J$3500,6,0)</f>
        <v>#N/A</v>
      </c>
      <c r="L635" s="1" t="s">
        <v>1486</v>
      </c>
      <c r="M635" s="1" t="s">
        <v>1487</v>
      </c>
      <c r="N635" s="4" t="e">
        <f t="shared" si="28"/>
        <v>#N/A</v>
      </c>
      <c r="O635" s="1" t="s">
        <v>1488</v>
      </c>
      <c r="P635" s="4" t="e">
        <f>VLOOKUP(A635,المعطيات!$A$1:$J$3500,4,0)</f>
        <v>#N/A</v>
      </c>
      <c r="Q635" s="1" t="s">
        <v>1489</v>
      </c>
      <c r="R635" s="1" t="s">
        <v>1480</v>
      </c>
      <c r="S635" s="6" t="e">
        <f t="shared" si="29"/>
        <v>#N/A</v>
      </c>
    </row>
    <row r="636" spans="2:19" x14ac:dyDescent="0.25">
      <c r="B636" s="1" t="s">
        <v>1479</v>
      </c>
      <c r="C636" s="1" t="s">
        <v>1481</v>
      </c>
      <c r="D636" s="4" t="e">
        <f>VLOOKUP(A636,المعطيات!$A$1:$J$3500,5,0)</f>
        <v>#N/A</v>
      </c>
      <c r="E636" s="1" t="s">
        <v>1482</v>
      </c>
      <c r="F636" s="5">
        <f t="shared" si="27"/>
        <v>0</v>
      </c>
      <c r="G636" s="5" t="s">
        <v>1483</v>
      </c>
      <c r="H636" s="4" t="e">
        <f>VLOOKUP(A636,المعطيات!$A$1:$J$3500,3,0)</f>
        <v>#N/A</v>
      </c>
      <c r="I636" s="1" t="s">
        <v>1484</v>
      </c>
      <c r="J636" s="1" t="s">
        <v>1485</v>
      </c>
      <c r="K636" s="4" t="e">
        <f>VLOOKUP(A636,المعطيات!$A$1:$J$3500,6,0)</f>
        <v>#N/A</v>
      </c>
      <c r="L636" s="1" t="s">
        <v>1486</v>
      </c>
      <c r="M636" s="1" t="s">
        <v>1487</v>
      </c>
      <c r="N636" s="4" t="e">
        <f t="shared" si="28"/>
        <v>#N/A</v>
      </c>
      <c r="O636" s="1" t="s">
        <v>1488</v>
      </c>
      <c r="P636" s="4" t="e">
        <f>VLOOKUP(A636,المعطيات!$A$1:$J$3500,4,0)</f>
        <v>#N/A</v>
      </c>
      <c r="Q636" s="1" t="s">
        <v>1489</v>
      </c>
      <c r="R636" s="1" t="s">
        <v>1480</v>
      </c>
      <c r="S636" s="6" t="e">
        <f t="shared" si="29"/>
        <v>#N/A</v>
      </c>
    </row>
    <row r="637" spans="2:19" x14ac:dyDescent="0.25">
      <c r="B637" s="1" t="s">
        <v>1479</v>
      </c>
      <c r="C637" s="1" t="s">
        <v>1481</v>
      </c>
      <c r="D637" s="4" t="e">
        <f>VLOOKUP(A637,المعطيات!$A$1:$J$3500,5,0)</f>
        <v>#N/A</v>
      </c>
      <c r="E637" s="1" t="s">
        <v>1482</v>
      </c>
      <c r="F637" s="5">
        <f t="shared" si="27"/>
        <v>0</v>
      </c>
      <c r="G637" s="5" t="s">
        <v>1483</v>
      </c>
      <c r="H637" s="4" t="e">
        <f>VLOOKUP(A637,المعطيات!$A$1:$J$3500,3,0)</f>
        <v>#N/A</v>
      </c>
      <c r="I637" s="1" t="s">
        <v>1484</v>
      </c>
      <c r="J637" s="1" t="s">
        <v>1485</v>
      </c>
      <c r="K637" s="4" t="e">
        <f>VLOOKUP(A637,المعطيات!$A$1:$J$3500,6,0)</f>
        <v>#N/A</v>
      </c>
      <c r="L637" s="1" t="s">
        <v>1486</v>
      </c>
      <c r="M637" s="1" t="s">
        <v>1487</v>
      </c>
      <c r="N637" s="4" t="e">
        <f t="shared" si="28"/>
        <v>#N/A</v>
      </c>
      <c r="O637" s="1" t="s">
        <v>1488</v>
      </c>
      <c r="P637" s="4" t="e">
        <f>VLOOKUP(A637,المعطيات!$A$1:$J$3500,4,0)</f>
        <v>#N/A</v>
      </c>
      <c r="Q637" s="1" t="s">
        <v>1489</v>
      </c>
      <c r="R637" s="1" t="s">
        <v>1480</v>
      </c>
      <c r="S637" s="6" t="e">
        <f t="shared" si="29"/>
        <v>#N/A</v>
      </c>
    </row>
    <row r="638" spans="2:19" x14ac:dyDescent="0.25">
      <c r="B638" s="1" t="s">
        <v>1479</v>
      </c>
      <c r="C638" s="1" t="s">
        <v>1481</v>
      </c>
      <c r="D638" s="4" t="e">
        <f>VLOOKUP(A638,المعطيات!$A$1:$J$3500,5,0)</f>
        <v>#N/A</v>
      </c>
      <c r="E638" s="1" t="s">
        <v>1482</v>
      </c>
      <c r="F638" s="5">
        <f t="shared" si="27"/>
        <v>0</v>
      </c>
      <c r="G638" s="5" t="s">
        <v>1483</v>
      </c>
      <c r="H638" s="4" t="e">
        <f>VLOOKUP(A638,المعطيات!$A$1:$J$3500,3,0)</f>
        <v>#N/A</v>
      </c>
      <c r="I638" s="1" t="s">
        <v>1484</v>
      </c>
      <c r="J638" s="1" t="s">
        <v>1485</v>
      </c>
      <c r="K638" s="4" t="e">
        <f>VLOOKUP(A638,المعطيات!$A$1:$J$3500,6,0)</f>
        <v>#N/A</v>
      </c>
      <c r="L638" s="1" t="s">
        <v>1486</v>
      </c>
      <c r="M638" s="1" t="s">
        <v>1487</v>
      </c>
      <c r="N638" s="4" t="e">
        <f t="shared" si="28"/>
        <v>#N/A</v>
      </c>
      <c r="O638" s="1" t="s">
        <v>1488</v>
      </c>
      <c r="P638" s="4" t="e">
        <f>VLOOKUP(A638,المعطيات!$A$1:$J$3500,4,0)</f>
        <v>#N/A</v>
      </c>
      <c r="Q638" s="1" t="s">
        <v>1489</v>
      </c>
      <c r="R638" s="1" t="s">
        <v>1480</v>
      </c>
      <c r="S638" s="6" t="e">
        <f t="shared" si="29"/>
        <v>#N/A</v>
      </c>
    </row>
    <row r="639" spans="2:19" x14ac:dyDescent="0.25">
      <c r="B639" s="1" t="s">
        <v>1479</v>
      </c>
      <c r="C639" s="1" t="s">
        <v>1481</v>
      </c>
      <c r="D639" s="4" t="e">
        <f>VLOOKUP(A639,المعطيات!$A$1:$J$3500,5,0)</f>
        <v>#N/A</v>
      </c>
      <c r="E639" s="1" t="s">
        <v>1482</v>
      </c>
      <c r="F639" s="5">
        <f t="shared" si="27"/>
        <v>0</v>
      </c>
      <c r="G639" s="5" t="s">
        <v>1483</v>
      </c>
      <c r="H639" s="4" t="e">
        <f>VLOOKUP(A639,المعطيات!$A$1:$J$3500,3,0)</f>
        <v>#N/A</v>
      </c>
      <c r="I639" s="1" t="s">
        <v>1484</v>
      </c>
      <c r="J639" s="1" t="s">
        <v>1485</v>
      </c>
      <c r="K639" s="4" t="e">
        <f>VLOOKUP(A639,المعطيات!$A$1:$J$3500,6,0)</f>
        <v>#N/A</v>
      </c>
      <c r="L639" s="1" t="s">
        <v>1486</v>
      </c>
      <c r="M639" s="1" t="s">
        <v>1487</v>
      </c>
      <c r="N639" s="4" t="e">
        <f t="shared" si="28"/>
        <v>#N/A</v>
      </c>
      <c r="O639" s="1" t="s">
        <v>1488</v>
      </c>
      <c r="P639" s="4" t="e">
        <f>VLOOKUP(A639,المعطيات!$A$1:$J$3500,4,0)</f>
        <v>#N/A</v>
      </c>
      <c r="Q639" s="1" t="s">
        <v>1489</v>
      </c>
      <c r="R639" s="1" t="s">
        <v>1480</v>
      </c>
      <c r="S639" s="6" t="e">
        <f t="shared" si="29"/>
        <v>#N/A</v>
      </c>
    </row>
    <row r="640" spans="2:19" x14ac:dyDescent="0.25">
      <c r="B640" s="1" t="s">
        <v>1479</v>
      </c>
      <c r="C640" s="1" t="s">
        <v>1481</v>
      </c>
      <c r="D640" s="4" t="e">
        <f>VLOOKUP(A640,المعطيات!$A$1:$J$3500,5,0)</f>
        <v>#N/A</v>
      </c>
      <c r="E640" s="1" t="s">
        <v>1482</v>
      </c>
      <c r="F640" s="5">
        <f t="shared" si="27"/>
        <v>0</v>
      </c>
      <c r="G640" s="5" t="s">
        <v>1483</v>
      </c>
      <c r="H640" s="4" t="e">
        <f>VLOOKUP(A640,المعطيات!$A$1:$J$3500,3,0)</f>
        <v>#N/A</v>
      </c>
      <c r="I640" s="1" t="s">
        <v>1484</v>
      </c>
      <c r="J640" s="1" t="s">
        <v>1485</v>
      </c>
      <c r="K640" s="4" t="e">
        <f>VLOOKUP(A640,المعطيات!$A$1:$J$3500,6,0)</f>
        <v>#N/A</v>
      </c>
      <c r="L640" s="1" t="s">
        <v>1486</v>
      </c>
      <c r="M640" s="1" t="s">
        <v>1487</v>
      </c>
      <c r="N640" s="4" t="e">
        <f t="shared" si="28"/>
        <v>#N/A</v>
      </c>
      <c r="O640" s="1" t="s">
        <v>1488</v>
      </c>
      <c r="P640" s="4" t="e">
        <f>VLOOKUP(A640,المعطيات!$A$1:$J$3500,4,0)</f>
        <v>#N/A</v>
      </c>
      <c r="Q640" s="1" t="s">
        <v>1489</v>
      </c>
      <c r="R640" s="1" t="s">
        <v>1480</v>
      </c>
      <c r="S640" s="6" t="e">
        <f t="shared" si="29"/>
        <v>#N/A</v>
      </c>
    </row>
    <row r="641" spans="2:19" x14ac:dyDescent="0.25">
      <c r="B641" s="1" t="s">
        <v>1479</v>
      </c>
      <c r="C641" s="1" t="s">
        <v>1481</v>
      </c>
      <c r="D641" s="4" t="e">
        <f>VLOOKUP(A641,المعطيات!$A$1:$J$3500,5,0)</f>
        <v>#N/A</v>
      </c>
      <c r="E641" s="1" t="s">
        <v>1482</v>
      </c>
      <c r="F641" s="5">
        <f t="shared" si="27"/>
        <v>0</v>
      </c>
      <c r="G641" s="5" t="s">
        <v>1483</v>
      </c>
      <c r="H641" s="4" t="e">
        <f>VLOOKUP(A641,المعطيات!$A$1:$J$3500,3,0)</f>
        <v>#N/A</v>
      </c>
      <c r="I641" s="1" t="s">
        <v>1484</v>
      </c>
      <c r="J641" s="1" t="s">
        <v>1485</v>
      </c>
      <c r="K641" s="4" t="e">
        <f>VLOOKUP(A641,المعطيات!$A$1:$J$3500,6,0)</f>
        <v>#N/A</v>
      </c>
      <c r="L641" s="1" t="s">
        <v>1486</v>
      </c>
      <c r="M641" s="1" t="s">
        <v>1487</v>
      </c>
      <c r="N641" s="4" t="e">
        <f t="shared" si="28"/>
        <v>#N/A</v>
      </c>
      <c r="O641" s="1" t="s">
        <v>1488</v>
      </c>
      <c r="P641" s="4" t="e">
        <f>VLOOKUP(A641,المعطيات!$A$1:$J$3500,4,0)</f>
        <v>#N/A</v>
      </c>
      <c r="Q641" s="1" t="s">
        <v>1489</v>
      </c>
      <c r="R641" s="1" t="s">
        <v>1480</v>
      </c>
      <c r="S641" s="6" t="e">
        <f t="shared" si="29"/>
        <v>#N/A</v>
      </c>
    </row>
    <row r="642" spans="2:19" x14ac:dyDescent="0.25">
      <c r="B642" s="1" t="s">
        <v>1479</v>
      </c>
      <c r="C642" s="1" t="s">
        <v>1481</v>
      </c>
      <c r="D642" s="4" t="e">
        <f>VLOOKUP(A642,المعطيات!$A$1:$J$3500,5,0)</f>
        <v>#N/A</v>
      </c>
      <c r="E642" s="1" t="s">
        <v>1482</v>
      </c>
      <c r="F642" s="5">
        <f t="shared" ref="F642:F705" si="30">A642</f>
        <v>0</v>
      </c>
      <c r="G642" s="5" t="s">
        <v>1483</v>
      </c>
      <c r="H642" s="4" t="e">
        <f>VLOOKUP(A642,المعطيات!$A$1:$J$3500,3,0)</f>
        <v>#N/A</v>
      </c>
      <c r="I642" s="1" t="s">
        <v>1484</v>
      </c>
      <c r="J642" s="1" t="s">
        <v>1485</v>
      </c>
      <c r="K642" s="4" t="e">
        <f>VLOOKUP(A642,المعطيات!$A$1:$J$3500,6,0)</f>
        <v>#N/A</v>
      </c>
      <c r="L642" s="1" t="s">
        <v>1486</v>
      </c>
      <c r="M642" s="1" t="s">
        <v>1487</v>
      </c>
      <c r="N642" s="4" t="e">
        <f t="shared" ref="N642:N705" si="31">D642</f>
        <v>#N/A</v>
      </c>
      <c r="O642" s="1" t="s">
        <v>1488</v>
      </c>
      <c r="P642" s="4" t="e">
        <f>VLOOKUP(A642,المعطيات!$A$1:$J$3500,4,0)</f>
        <v>#N/A</v>
      </c>
      <c r="Q642" s="1" t="s">
        <v>1489</v>
      </c>
      <c r="R642" s="1" t="s">
        <v>1480</v>
      </c>
      <c r="S642" s="6" t="e">
        <f t="shared" ref="S642:S705" si="32">B642&amp;""&amp;C642&amp;""&amp;D642&amp;""&amp;E642&amp;""&amp;F642&amp;""&amp;G642&amp;""&amp;H642&amp;""&amp;I642&amp;""&amp;J642&amp;""&amp;K642&amp;""&amp;L642&amp;""&amp;M642&amp;""&amp;N642&amp;""&amp;O642&amp;""&amp;P642&amp;""&amp;Q642&amp;""&amp;R642</f>
        <v>#N/A</v>
      </c>
    </row>
    <row r="643" spans="2:19" x14ac:dyDescent="0.25">
      <c r="B643" s="1" t="s">
        <v>1479</v>
      </c>
      <c r="C643" s="1" t="s">
        <v>1481</v>
      </c>
      <c r="D643" s="4" t="e">
        <f>VLOOKUP(A643,المعطيات!$A$1:$J$3500,5,0)</f>
        <v>#N/A</v>
      </c>
      <c r="E643" s="1" t="s">
        <v>1482</v>
      </c>
      <c r="F643" s="5">
        <f t="shared" si="30"/>
        <v>0</v>
      </c>
      <c r="G643" s="5" t="s">
        <v>1483</v>
      </c>
      <c r="H643" s="4" t="e">
        <f>VLOOKUP(A643,المعطيات!$A$1:$J$3500,3,0)</f>
        <v>#N/A</v>
      </c>
      <c r="I643" s="1" t="s">
        <v>1484</v>
      </c>
      <c r="J643" s="1" t="s">
        <v>1485</v>
      </c>
      <c r="K643" s="4" t="e">
        <f>VLOOKUP(A643,المعطيات!$A$1:$J$3500,6,0)</f>
        <v>#N/A</v>
      </c>
      <c r="L643" s="1" t="s">
        <v>1486</v>
      </c>
      <c r="M643" s="1" t="s">
        <v>1487</v>
      </c>
      <c r="N643" s="4" t="e">
        <f t="shared" si="31"/>
        <v>#N/A</v>
      </c>
      <c r="O643" s="1" t="s">
        <v>1488</v>
      </c>
      <c r="P643" s="4" t="e">
        <f>VLOOKUP(A643,المعطيات!$A$1:$J$3500,4,0)</f>
        <v>#N/A</v>
      </c>
      <c r="Q643" s="1" t="s">
        <v>1489</v>
      </c>
      <c r="R643" s="1" t="s">
        <v>1480</v>
      </c>
      <c r="S643" s="6" t="e">
        <f t="shared" si="32"/>
        <v>#N/A</v>
      </c>
    </row>
    <row r="644" spans="2:19" x14ac:dyDescent="0.25">
      <c r="B644" s="1" t="s">
        <v>1479</v>
      </c>
      <c r="C644" s="1" t="s">
        <v>1481</v>
      </c>
      <c r="D644" s="4" t="e">
        <f>VLOOKUP(A644,المعطيات!$A$1:$J$3500,5,0)</f>
        <v>#N/A</v>
      </c>
      <c r="E644" s="1" t="s">
        <v>1482</v>
      </c>
      <c r="F644" s="5">
        <f t="shared" si="30"/>
        <v>0</v>
      </c>
      <c r="G644" s="5" t="s">
        <v>1483</v>
      </c>
      <c r="H644" s="4" t="e">
        <f>VLOOKUP(A644,المعطيات!$A$1:$J$3500,3,0)</f>
        <v>#N/A</v>
      </c>
      <c r="I644" s="1" t="s">
        <v>1484</v>
      </c>
      <c r="J644" s="1" t="s">
        <v>1485</v>
      </c>
      <c r="K644" s="4" t="e">
        <f>VLOOKUP(A644,المعطيات!$A$1:$J$3500,6,0)</f>
        <v>#N/A</v>
      </c>
      <c r="L644" s="1" t="s">
        <v>1486</v>
      </c>
      <c r="M644" s="1" t="s">
        <v>1487</v>
      </c>
      <c r="N644" s="4" t="e">
        <f t="shared" si="31"/>
        <v>#N/A</v>
      </c>
      <c r="O644" s="1" t="s">
        <v>1488</v>
      </c>
      <c r="P644" s="4" t="e">
        <f>VLOOKUP(A644,المعطيات!$A$1:$J$3500,4,0)</f>
        <v>#N/A</v>
      </c>
      <c r="Q644" s="1" t="s">
        <v>1489</v>
      </c>
      <c r="R644" s="1" t="s">
        <v>1480</v>
      </c>
      <c r="S644" s="6" t="e">
        <f t="shared" si="32"/>
        <v>#N/A</v>
      </c>
    </row>
    <row r="645" spans="2:19" x14ac:dyDescent="0.25">
      <c r="B645" s="1" t="s">
        <v>1479</v>
      </c>
      <c r="C645" s="1" t="s">
        <v>1481</v>
      </c>
      <c r="D645" s="4" t="e">
        <f>VLOOKUP(A645,المعطيات!$A$1:$J$3500,5,0)</f>
        <v>#N/A</v>
      </c>
      <c r="E645" s="1" t="s">
        <v>1482</v>
      </c>
      <c r="F645" s="5">
        <f t="shared" si="30"/>
        <v>0</v>
      </c>
      <c r="G645" s="5" t="s">
        <v>1483</v>
      </c>
      <c r="H645" s="4" t="e">
        <f>VLOOKUP(A645,المعطيات!$A$1:$J$3500,3,0)</f>
        <v>#N/A</v>
      </c>
      <c r="I645" s="1" t="s">
        <v>1484</v>
      </c>
      <c r="J645" s="1" t="s">
        <v>1485</v>
      </c>
      <c r="K645" s="4" t="e">
        <f>VLOOKUP(A645,المعطيات!$A$1:$J$3500,6,0)</f>
        <v>#N/A</v>
      </c>
      <c r="L645" s="1" t="s">
        <v>1486</v>
      </c>
      <c r="M645" s="1" t="s">
        <v>1487</v>
      </c>
      <c r="N645" s="4" t="e">
        <f t="shared" si="31"/>
        <v>#N/A</v>
      </c>
      <c r="O645" s="1" t="s">
        <v>1488</v>
      </c>
      <c r="P645" s="4" t="e">
        <f>VLOOKUP(A645,المعطيات!$A$1:$J$3500,4,0)</f>
        <v>#N/A</v>
      </c>
      <c r="Q645" s="1" t="s">
        <v>1489</v>
      </c>
      <c r="R645" s="1" t="s">
        <v>1480</v>
      </c>
      <c r="S645" s="6" t="e">
        <f t="shared" si="32"/>
        <v>#N/A</v>
      </c>
    </row>
    <row r="646" spans="2:19" x14ac:dyDescent="0.25">
      <c r="B646" s="1" t="s">
        <v>1479</v>
      </c>
      <c r="C646" s="1" t="s">
        <v>1481</v>
      </c>
      <c r="D646" s="4" t="e">
        <f>VLOOKUP(A646,المعطيات!$A$1:$J$3500,5,0)</f>
        <v>#N/A</v>
      </c>
      <c r="E646" s="1" t="s">
        <v>1482</v>
      </c>
      <c r="F646" s="5">
        <f t="shared" si="30"/>
        <v>0</v>
      </c>
      <c r="G646" s="5" t="s">
        <v>1483</v>
      </c>
      <c r="H646" s="4" t="e">
        <f>VLOOKUP(A646,المعطيات!$A$1:$J$3500,3,0)</f>
        <v>#N/A</v>
      </c>
      <c r="I646" s="1" t="s">
        <v>1484</v>
      </c>
      <c r="J646" s="1" t="s">
        <v>1485</v>
      </c>
      <c r="K646" s="4" t="e">
        <f>VLOOKUP(A646,المعطيات!$A$1:$J$3500,6,0)</f>
        <v>#N/A</v>
      </c>
      <c r="L646" s="1" t="s">
        <v>1486</v>
      </c>
      <c r="M646" s="1" t="s">
        <v>1487</v>
      </c>
      <c r="N646" s="4" t="e">
        <f t="shared" si="31"/>
        <v>#N/A</v>
      </c>
      <c r="O646" s="1" t="s">
        <v>1488</v>
      </c>
      <c r="P646" s="4" t="e">
        <f>VLOOKUP(A646,المعطيات!$A$1:$J$3500,4,0)</f>
        <v>#N/A</v>
      </c>
      <c r="Q646" s="1" t="s">
        <v>1489</v>
      </c>
      <c r="R646" s="1" t="s">
        <v>1480</v>
      </c>
      <c r="S646" s="6" t="e">
        <f t="shared" si="32"/>
        <v>#N/A</v>
      </c>
    </row>
    <row r="647" spans="2:19" x14ac:dyDescent="0.25">
      <c r="B647" s="1" t="s">
        <v>1479</v>
      </c>
      <c r="C647" s="1" t="s">
        <v>1481</v>
      </c>
      <c r="D647" s="4" t="e">
        <f>VLOOKUP(A647,المعطيات!$A$1:$J$3500,5,0)</f>
        <v>#N/A</v>
      </c>
      <c r="E647" s="1" t="s">
        <v>1482</v>
      </c>
      <c r="F647" s="5">
        <f t="shared" si="30"/>
        <v>0</v>
      </c>
      <c r="G647" s="5" t="s">
        <v>1483</v>
      </c>
      <c r="H647" s="4" t="e">
        <f>VLOOKUP(A647,المعطيات!$A$1:$J$3500,3,0)</f>
        <v>#N/A</v>
      </c>
      <c r="I647" s="1" t="s">
        <v>1484</v>
      </c>
      <c r="J647" s="1" t="s">
        <v>1485</v>
      </c>
      <c r="K647" s="4" t="e">
        <f>VLOOKUP(A647,المعطيات!$A$1:$J$3500,6,0)</f>
        <v>#N/A</v>
      </c>
      <c r="L647" s="1" t="s">
        <v>1486</v>
      </c>
      <c r="M647" s="1" t="s">
        <v>1487</v>
      </c>
      <c r="N647" s="4" t="e">
        <f t="shared" si="31"/>
        <v>#N/A</v>
      </c>
      <c r="O647" s="1" t="s">
        <v>1488</v>
      </c>
      <c r="P647" s="4" t="e">
        <f>VLOOKUP(A647,المعطيات!$A$1:$J$3500,4,0)</f>
        <v>#N/A</v>
      </c>
      <c r="Q647" s="1" t="s">
        <v>1489</v>
      </c>
      <c r="R647" s="1" t="s">
        <v>1480</v>
      </c>
      <c r="S647" s="6" t="e">
        <f t="shared" si="32"/>
        <v>#N/A</v>
      </c>
    </row>
    <row r="648" spans="2:19" x14ac:dyDescent="0.25">
      <c r="B648" s="1" t="s">
        <v>1479</v>
      </c>
      <c r="C648" s="1" t="s">
        <v>1481</v>
      </c>
      <c r="D648" s="4" t="e">
        <f>VLOOKUP(A648,المعطيات!$A$1:$J$3500,5,0)</f>
        <v>#N/A</v>
      </c>
      <c r="E648" s="1" t="s">
        <v>1482</v>
      </c>
      <c r="F648" s="5">
        <f t="shared" si="30"/>
        <v>0</v>
      </c>
      <c r="G648" s="5" t="s">
        <v>1483</v>
      </c>
      <c r="H648" s="4" t="e">
        <f>VLOOKUP(A648,المعطيات!$A$1:$J$3500,3,0)</f>
        <v>#N/A</v>
      </c>
      <c r="I648" s="1" t="s">
        <v>1484</v>
      </c>
      <c r="J648" s="1" t="s">
        <v>1485</v>
      </c>
      <c r="K648" s="4" t="e">
        <f>VLOOKUP(A648,المعطيات!$A$1:$J$3500,6,0)</f>
        <v>#N/A</v>
      </c>
      <c r="L648" s="1" t="s">
        <v>1486</v>
      </c>
      <c r="M648" s="1" t="s">
        <v>1487</v>
      </c>
      <c r="N648" s="4" t="e">
        <f t="shared" si="31"/>
        <v>#N/A</v>
      </c>
      <c r="O648" s="1" t="s">
        <v>1488</v>
      </c>
      <c r="P648" s="4" t="e">
        <f>VLOOKUP(A648,المعطيات!$A$1:$J$3500,4,0)</f>
        <v>#N/A</v>
      </c>
      <c r="Q648" s="1" t="s">
        <v>1489</v>
      </c>
      <c r="R648" s="1" t="s">
        <v>1480</v>
      </c>
      <c r="S648" s="6" t="e">
        <f t="shared" si="32"/>
        <v>#N/A</v>
      </c>
    </row>
    <row r="649" spans="2:19" x14ac:dyDescent="0.25">
      <c r="B649" s="1" t="s">
        <v>1479</v>
      </c>
      <c r="C649" s="1" t="s">
        <v>1481</v>
      </c>
      <c r="D649" s="4" t="e">
        <f>VLOOKUP(A649,المعطيات!$A$1:$J$3500,5,0)</f>
        <v>#N/A</v>
      </c>
      <c r="E649" s="1" t="s">
        <v>1482</v>
      </c>
      <c r="F649" s="5">
        <f t="shared" si="30"/>
        <v>0</v>
      </c>
      <c r="G649" s="5" t="s">
        <v>1483</v>
      </c>
      <c r="H649" s="4" t="e">
        <f>VLOOKUP(A649,المعطيات!$A$1:$J$3500,3,0)</f>
        <v>#N/A</v>
      </c>
      <c r="I649" s="1" t="s">
        <v>1484</v>
      </c>
      <c r="J649" s="1" t="s">
        <v>1485</v>
      </c>
      <c r="K649" s="4" t="e">
        <f>VLOOKUP(A649,المعطيات!$A$1:$J$3500,6,0)</f>
        <v>#N/A</v>
      </c>
      <c r="L649" s="1" t="s">
        <v>1486</v>
      </c>
      <c r="M649" s="1" t="s">
        <v>1487</v>
      </c>
      <c r="N649" s="4" t="e">
        <f t="shared" si="31"/>
        <v>#N/A</v>
      </c>
      <c r="O649" s="1" t="s">
        <v>1488</v>
      </c>
      <c r="P649" s="4" t="e">
        <f>VLOOKUP(A649,المعطيات!$A$1:$J$3500,4,0)</f>
        <v>#N/A</v>
      </c>
      <c r="Q649" s="1" t="s">
        <v>1489</v>
      </c>
      <c r="R649" s="1" t="s">
        <v>1480</v>
      </c>
      <c r="S649" s="6" t="e">
        <f t="shared" si="32"/>
        <v>#N/A</v>
      </c>
    </row>
    <row r="650" spans="2:19" x14ac:dyDescent="0.25">
      <c r="B650" s="1" t="s">
        <v>1479</v>
      </c>
      <c r="C650" s="1" t="s">
        <v>1481</v>
      </c>
      <c r="D650" s="4" t="e">
        <f>VLOOKUP(A650,المعطيات!$A$1:$J$3500,5,0)</f>
        <v>#N/A</v>
      </c>
      <c r="E650" s="1" t="s">
        <v>1482</v>
      </c>
      <c r="F650" s="5">
        <f t="shared" si="30"/>
        <v>0</v>
      </c>
      <c r="G650" s="5" t="s">
        <v>1483</v>
      </c>
      <c r="H650" s="4" t="e">
        <f>VLOOKUP(A650,المعطيات!$A$1:$J$3500,3,0)</f>
        <v>#N/A</v>
      </c>
      <c r="I650" s="1" t="s">
        <v>1484</v>
      </c>
      <c r="J650" s="1" t="s">
        <v>1485</v>
      </c>
      <c r="K650" s="4" t="e">
        <f>VLOOKUP(A650,المعطيات!$A$1:$J$3500,6,0)</f>
        <v>#N/A</v>
      </c>
      <c r="L650" s="1" t="s">
        <v>1486</v>
      </c>
      <c r="M650" s="1" t="s">
        <v>1487</v>
      </c>
      <c r="N650" s="4" t="e">
        <f t="shared" si="31"/>
        <v>#N/A</v>
      </c>
      <c r="O650" s="1" t="s">
        <v>1488</v>
      </c>
      <c r="P650" s="4" t="e">
        <f>VLOOKUP(A650,المعطيات!$A$1:$J$3500,4,0)</f>
        <v>#N/A</v>
      </c>
      <c r="Q650" s="1" t="s">
        <v>1489</v>
      </c>
      <c r="R650" s="1" t="s">
        <v>1480</v>
      </c>
      <c r="S650" s="6" t="e">
        <f t="shared" si="32"/>
        <v>#N/A</v>
      </c>
    </row>
    <row r="651" spans="2:19" x14ac:dyDescent="0.25">
      <c r="B651" s="1" t="s">
        <v>1479</v>
      </c>
      <c r="C651" s="1" t="s">
        <v>1481</v>
      </c>
      <c r="D651" s="4" t="e">
        <f>VLOOKUP(A651,المعطيات!$A$1:$J$3500,5,0)</f>
        <v>#N/A</v>
      </c>
      <c r="E651" s="1" t="s">
        <v>1482</v>
      </c>
      <c r="F651" s="5">
        <f t="shared" si="30"/>
        <v>0</v>
      </c>
      <c r="G651" s="5" t="s">
        <v>1483</v>
      </c>
      <c r="H651" s="4" t="e">
        <f>VLOOKUP(A651,المعطيات!$A$1:$J$3500,3,0)</f>
        <v>#N/A</v>
      </c>
      <c r="I651" s="1" t="s">
        <v>1484</v>
      </c>
      <c r="J651" s="1" t="s">
        <v>1485</v>
      </c>
      <c r="K651" s="4" t="e">
        <f>VLOOKUP(A651,المعطيات!$A$1:$J$3500,6,0)</f>
        <v>#N/A</v>
      </c>
      <c r="L651" s="1" t="s">
        <v>1486</v>
      </c>
      <c r="M651" s="1" t="s">
        <v>1487</v>
      </c>
      <c r="N651" s="4" t="e">
        <f t="shared" si="31"/>
        <v>#N/A</v>
      </c>
      <c r="O651" s="1" t="s">
        <v>1488</v>
      </c>
      <c r="P651" s="4" t="e">
        <f>VLOOKUP(A651,المعطيات!$A$1:$J$3500,4,0)</f>
        <v>#N/A</v>
      </c>
      <c r="Q651" s="1" t="s">
        <v>1489</v>
      </c>
      <c r="R651" s="1" t="s">
        <v>1480</v>
      </c>
      <c r="S651" s="6" t="e">
        <f t="shared" si="32"/>
        <v>#N/A</v>
      </c>
    </row>
    <row r="652" spans="2:19" x14ac:dyDescent="0.25">
      <c r="B652" s="1" t="s">
        <v>1479</v>
      </c>
      <c r="C652" s="1" t="s">
        <v>1481</v>
      </c>
      <c r="D652" s="4" t="e">
        <f>VLOOKUP(A652,المعطيات!$A$1:$J$3500,5,0)</f>
        <v>#N/A</v>
      </c>
      <c r="E652" s="1" t="s">
        <v>1482</v>
      </c>
      <c r="F652" s="5">
        <f t="shared" si="30"/>
        <v>0</v>
      </c>
      <c r="G652" s="5" t="s">
        <v>1483</v>
      </c>
      <c r="H652" s="4" t="e">
        <f>VLOOKUP(A652,المعطيات!$A$1:$J$3500,3,0)</f>
        <v>#N/A</v>
      </c>
      <c r="I652" s="1" t="s">
        <v>1484</v>
      </c>
      <c r="J652" s="1" t="s">
        <v>1485</v>
      </c>
      <c r="K652" s="4" t="e">
        <f>VLOOKUP(A652,المعطيات!$A$1:$J$3500,6,0)</f>
        <v>#N/A</v>
      </c>
      <c r="L652" s="1" t="s">
        <v>1486</v>
      </c>
      <c r="M652" s="1" t="s">
        <v>1487</v>
      </c>
      <c r="N652" s="4" t="e">
        <f t="shared" si="31"/>
        <v>#N/A</v>
      </c>
      <c r="O652" s="1" t="s">
        <v>1488</v>
      </c>
      <c r="P652" s="4" t="e">
        <f>VLOOKUP(A652,المعطيات!$A$1:$J$3500,4,0)</f>
        <v>#N/A</v>
      </c>
      <c r="Q652" s="1" t="s">
        <v>1489</v>
      </c>
      <c r="R652" s="1" t="s">
        <v>1480</v>
      </c>
      <c r="S652" s="6" t="e">
        <f t="shared" si="32"/>
        <v>#N/A</v>
      </c>
    </row>
    <row r="653" spans="2:19" x14ac:dyDescent="0.25">
      <c r="B653" s="1" t="s">
        <v>1479</v>
      </c>
      <c r="C653" s="1" t="s">
        <v>1481</v>
      </c>
      <c r="D653" s="4" t="e">
        <f>VLOOKUP(A653,المعطيات!$A$1:$J$3500,5,0)</f>
        <v>#N/A</v>
      </c>
      <c r="E653" s="1" t="s">
        <v>1482</v>
      </c>
      <c r="F653" s="5">
        <f t="shared" si="30"/>
        <v>0</v>
      </c>
      <c r="G653" s="5" t="s">
        <v>1483</v>
      </c>
      <c r="H653" s="4" t="e">
        <f>VLOOKUP(A653,المعطيات!$A$1:$J$3500,3,0)</f>
        <v>#N/A</v>
      </c>
      <c r="I653" s="1" t="s">
        <v>1484</v>
      </c>
      <c r="J653" s="1" t="s">
        <v>1485</v>
      </c>
      <c r="K653" s="4" t="e">
        <f>VLOOKUP(A653,المعطيات!$A$1:$J$3500,6,0)</f>
        <v>#N/A</v>
      </c>
      <c r="L653" s="1" t="s">
        <v>1486</v>
      </c>
      <c r="M653" s="1" t="s">
        <v>1487</v>
      </c>
      <c r="N653" s="4" t="e">
        <f t="shared" si="31"/>
        <v>#N/A</v>
      </c>
      <c r="O653" s="1" t="s">
        <v>1488</v>
      </c>
      <c r="P653" s="4" t="e">
        <f>VLOOKUP(A653,المعطيات!$A$1:$J$3500,4,0)</f>
        <v>#N/A</v>
      </c>
      <c r="Q653" s="1" t="s">
        <v>1489</v>
      </c>
      <c r="R653" s="1" t="s">
        <v>1480</v>
      </c>
      <c r="S653" s="6" t="e">
        <f t="shared" si="32"/>
        <v>#N/A</v>
      </c>
    </row>
    <row r="654" spans="2:19" x14ac:dyDescent="0.25">
      <c r="B654" s="1" t="s">
        <v>1479</v>
      </c>
      <c r="C654" s="1" t="s">
        <v>1481</v>
      </c>
      <c r="D654" s="4" t="e">
        <f>VLOOKUP(A654,المعطيات!$A$1:$J$3500,5,0)</f>
        <v>#N/A</v>
      </c>
      <c r="E654" s="1" t="s">
        <v>1482</v>
      </c>
      <c r="F654" s="5">
        <f t="shared" si="30"/>
        <v>0</v>
      </c>
      <c r="G654" s="5" t="s">
        <v>1483</v>
      </c>
      <c r="H654" s="4" t="e">
        <f>VLOOKUP(A654,المعطيات!$A$1:$J$3500,3,0)</f>
        <v>#N/A</v>
      </c>
      <c r="I654" s="1" t="s">
        <v>1484</v>
      </c>
      <c r="J654" s="1" t="s">
        <v>1485</v>
      </c>
      <c r="K654" s="4" t="e">
        <f>VLOOKUP(A654,المعطيات!$A$1:$J$3500,6,0)</f>
        <v>#N/A</v>
      </c>
      <c r="L654" s="1" t="s">
        <v>1486</v>
      </c>
      <c r="M654" s="1" t="s">
        <v>1487</v>
      </c>
      <c r="N654" s="4" t="e">
        <f t="shared" si="31"/>
        <v>#N/A</v>
      </c>
      <c r="O654" s="1" t="s">
        <v>1488</v>
      </c>
      <c r="P654" s="4" t="e">
        <f>VLOOKUP(A654,المعطيات!$A$1:$J$3500,4,0)</f>
        <v>#N/A</v>
      </c>
      <c r="Q654" s="1" t="s">
        <v>1489</v>
      </c>
      <c r="R654" s="1" t="s">
        <v>1480</v>
      </c>
      <c r="S654" s="6" t="e">
        <f t="shared" si="32"/>
        <v>#N/A</v>
      </c>
    </row>
    <row r="655" spans="2:19" x14ac:dyDescent="0.25">
      <c r="B655" s="1" t="s">
        <v>1479</v>
      </c>
      <c r="C655" s="1" t="s">
        <v>1481</v>
      </c>
      <c r="D655" s="4" t="e">
        <f>VLOOKUP(A655,المعطيات!$A$1:$J$3500,5,0)</f>
        <v>#N/A</v>
      </c>
      <c r="E655" s="1" t="s">
        <v>1482</v>
      </c>
      <c r="F655" s="5">
        <f t="shared" si="30"/>
        <v>0</v>
      </c>
      <c r="G655" s="5" t="s">
        <v>1483</v>
      </c>
      <c r="H655" s="4" t="e">
        <f>VLOOKUP(A655,المعطيات!$A$1:$J$3500,3,0)</f>
        <v>#N/A</v>
      </c>
      <c r="I655" s="1" t="s">
        <v>1484</v>
      </c>
      <c r="J655" s="1" t="s">
        <v>1485</v>
      </c>
      <c r="K655" s="4" t="e">
        <f>VLOOKUP(A655,المعطيات!$A$1:$J$3500,6,0)</f>
        <v>#N/A</v>
      </c>
      <c r="L655" s="1" t="s">
        <v>1486</v>
      </c>
      <c r="M655" s="1" t="s">
        <v>1487</v>
      </c>
      <c r="N655" s="4" t="e">
        <f t="shared" si="31"/>
        <v>#N/A</v>
      </c>
      <c r="O655" s="1" t="s">
        <v>1488</v>
      </c>
      <c r="P655" s="4" t="e">
        <f>VLOOKUP(A655,المعطيات!$A$1:$J$3500,4,0)</f>
        <v>#N/A</v>
      </c>
      <c r="Q655" s="1" t="s">
        <v>1489</v>
      </c>
      <c r="R655" s="1" t="s">
        <v>1480</v>
      </c>
      <c r="S655" s="6" t="e">
        <f t="shared" si="32"/>
        <v>#N/A</v>
      </c>
    </row>
    <row r="656" spans="2:19" x14ac:dyDescent="0.25">
      <c r="B656" s="1" t="s">
        <v>1479</v>
      </c>
      <c r="C656" s="1" t="s">
        <v>1481</v>
      </c>
      <c r="D656" s="4" t="e">
        <f>VLOOKUP(A656,المعطيات!$A$1:$J$3500,5,0)</f>
        <v>#N/A</v>
      </c>
      <c r="E656" s="1" t="s">
        <v>1482</v>
      </c>
      <c r="F656" s="5">
        <f t="shared" si="30"/>
        <v>0</v>
      </c>
      <c r="G656" s="5" t="s">
        <v>1483</v>
      </c>
      <c r="H656" s="4" t="e">
        <f>VLOOKUP(A656,المعطيات!$A$1:$J$3500,3,0)</f>
        <v>#N/A</v>
      </c>
      <c r="I656" s="1" t="s">
        <v>1484</v>
      </c>
      <c r="J656" s="1" t="s">
        <v>1485</v>
      </c>
      <c r="K656" s="4" t="e">
        <f>VLOOKUP(A656,المعطيات!$A$1:$J$3500,6,0)</f>
        <v>#N/A</v>
      </c>
      <c r="L656" s="1" t="s">
        <v>1486</v>
      </c>
      <c r="M656" s="1" t="s">
        <v>1487</v>
      </c>
      <c r="N656" s="4" t="e">
        <f t="shared" si="31"/>
        <v>#N/A</v>
      </c>
      <c r="O656" s="1" t="s">
        <v>1488</v>
      </c>
      <c r="P656" s="4" t="e">
        <f>VLOOKUP(A656,المعطيات!$A$1:$J$3500,4,0)</f>
        <v>#N/A</v>
      </c>
      <c r="Q656" s="1" t="s">
        <v>1489</v>
      </c>
      <c r="R656" s="1" t="s">
        <v>1480</v>
      </c>
      <c r="S656" s="6" t="e">
        <f t="shared" si="32"/>
        <v>#N/A</v>
      </c>
    </row>
    <row r="657" spans="2:19" x14ac:dyDescent="0.25">
      <c r="B657" s="1" t="s">
        <v>1479</v>
      </c>
      <c r="C657" s="1" t="s">
        <v>1481</v>
      </c>
      <c r="D657" s="4" t="e">
        <f>VLOOKUP(A657,المعطيات!$A$1:$J$3500,5,0)</f>
        <v>#N/A</v>
      </c>
      <c r="E657" s="1" t="s">
        <v>1482</v>
      </c>
      <c r="F657" s="5">
        <f t="shared" si="30"/>
        <v>0</v>
      </c>
      <c r="G657" s="5" t="s">
        <v>1483</v>
      </c>
      <c r="H657" s="4" t="e">
        <f>VLOOKUP(A657,المعطيات!$A$1:$J$3500,3,0)</f>
        <v>#N/A</v>
      </c>
      <c r="I657" s="1" t="s">
        <v>1484</v>
      </c>
      <c r="J657" s="1" t="s">
        <v>1485</v>
      </c>
      <c r="K657" s="4" t="e">
        <f>VLOOKUP(A657,المعطيات!$A$1:$J$3500,6,0)</f>
        <v>#N/A</v>
      </c>
      <c r="L657" s="1" t="s">
        <v>1486</v>
      </c>
      <c r="M657" s="1" t="s">
        <v>1487</v>
      </c>
      <c r="N657" s="4" t="e">
        <f t="shared" si="31"/>
        <v>#N/A</v>
      </c>
      <c r="O657" s="1" t="s">
        <v>1488</v>
      </c>
      <c r="P657" s="4" t="e">
        <f>VLOOKUP(A657,المعطيات!$A$1:$J$3500,4,0)</f>
        <v>#N/A</v>
      </c>
      <c r="Q657" s="1" t="s">
        <v>1489</v>
      </c>
      <c r="R657" s="1" t="s">
        <v>1480</v>
      </c>
      <c r="S657" s="6" t="e">
        <f t="shared" si="32"/>
        <v>#N/A</v>
      </c>
    </row>
    <row r="658" spans="2:19" x14ac:dyDescent="0.25">
      <c r="B658" s="1" t="s">
        <v>1479</v>
      </c>
      <c r="C658" s="1" t="s">
        <v>1481</v>
      </c>
      <c r="D658" s="4" t="e">
        <f>VLOOKUP(A658,المعطيات!$A$1:$J$3500,5,0)</f>
        <v>#N/A</v>
      </c>
      <c r="E658" s="1" t="s">
        <v>1482</v>
      </c>
      <c r="F658" s="5">
        <f t="shared" si="30"/>
        <v>0</v>
      </c>
      <c r="G658" s="5" t="s">
        <v>1483</v>
      </c>
      <c r="H658" s="4" t="e">
        <f>VLOOKUP(A658,المعطيات!$A$1:$J$3500,3,0)</f>
        <v>#N/A</v>
      </c>
      <c r="I658" s="1" t="s">
        <v>1484</v>
      </c>
      <c r="J658" s="1" t="s">
        <v>1485</v>
      </c>
      <c r="K658" s="4" t="e">
        <f>VLOOKUP(A658,المعطيات!$A$1:$J$3500,6,0)</f>
        <v>#N/A</v>
      </c>
      <c r="L658" s="1" t="s">
        <v>1486</v>
      </c>
      <c r="M658" s="1" t="s">
        <v>1487</v>
      </c>
      <c r="N658" s="4" t="e">
        <f t="shared" si="31"/>
        <v>#N/A</v>
      </c>
      <c r="O658" s="1" t="s">
        <v>1488</v>
      </c>
      <c r="P658" s="4" t="e">
        <f>VLOOKUP(A658,المعطيات!$A$1:$J$3500,4,0)</f>
        <v>#N/A</v>
      </c>
      <c r="Q658" s="1" t="s">
        <v>1489</v>
      </c>
      <c r="R658" s="1" t="s">
        <v>1480</v>
      </c>
      <c r="S658" s="6" t="e">
        <f t="shared" si="32"/>
        <v>#N/A</v>
      </c>
    </row>
    <row r="659" spans="2:19" x14ac:dyDescent="0.25">
      <c r="B659" s="1" t="s">
        <v>1479</v>
      </c>
      <c r="C659" s="1" t="s">
        <v>1481</v>
      </c>
      <c r="D659" s="4" t="e">
        <f>VLOOKUP(A659,المعطيات!$A$1:$J$3500,5,0)</f>
        <v>#N/A</v>
      </c>
      <c r="E659" s="1" t="s">
        <v>1482</v>
      </c>
      <c r="F659" s="5">
        <f t="shared" si="30"/>
        <v>0</v>
      </c>
      <c r="G659" s="5" t="s">
        <v>1483</v>
      </c>
      <c r="H659" s="4" t="e">
        <f>VLOOKUP(A659,المعطيات!$A$1:$J$3500,3,0)</f>
        <v>#N/A</v>
      </c>
      <c r="I659" s="1" t="s">
        <v>1484</v>
      </c>
      <c r="J659" s="1" t="s">
        <v>1485</v>
      </c>
      <c r="K659" s="4" t="e">
        <f>VLOOKUP(A659,المعطيات!$A$1:$J$3500,6,0)</f>
        <v>#N/A</v>
      </c>
      <c r="L659" s="1" t="s">
        <v>1486</v>
      </c>
      <c r="M659" s="1" t="s">
        <v>1487</v>
      </c>
      <c r="N659" s="4" t="e">
        <f t="shared" si="31"/>
        <v>#N/A</v>
      </c>
      <c r="O659" s="1" t="s">
        <v>1488</v>
      </c>
      <c r="P659" s="4" t="e">
        <f>VLOOKUP(A659,المعطيات!$A$1:$J$3500,4,0)</f>
        <v>#N/A</v>
      </c>
      <c r="Q659" s="1" t="s">
        <v>1489</v>
      </c>
      <c r="R659" s="1" t="s">
        <v>1480</v>
      </c>
      <c r="S659" s="6" t="e">
        <f t="shared" si="32"/>
        <v>#N/A</v>
      </c>
    </row>
    <row r="660" spans="2:19" x14ac:dyDescent="0.25">
      <c r="B660" s="1" t="s">
        <v>1479</v>
      </c>
      <c r="C660" s="1" t="s">
        <v>1481</v>
      </c>
      <c r="D660" s="4" t="e">
        <f>VLOOKUP(A660,المعطيات!$A$1:$J$3500,5,0)</f>
        <v>#N/A</v>
      </c>
      <c r="E660" s="1" t="s">
        <v>1482</v>
      </c>
      <c r="F660" s="5">
        <f t="shared" si="30"/>
        <v>0</v>
      </c>
      <c r="G660" s="5" t="s">
        <v>1483</v>
      </c>
      <c r="H660" s="4" t="e">
        <f>VLOOKUP(A660,المعطيات!$A$1:$J$3500,3,0)</f>
        <v>#N/A</v>
      </c>
      <c r="I660" s="1" t="s">
        <v>1484</v>
      </c>
      <c r="J660" s="1" t="s">
        <v>1485</v>
      </c>
      <c r="K660" s="4" t="e">
        <f>VLOOKUP(A660,المعطيات!$A$1:$J$3500,6,0)</f>
        <v>#N/A</v>
      </c>
      <c r="L660" s="1" t="s">
        <v>1486</v>
      </c>
      <c r="M660" s="1" t="s">
        <v>1487</v>
      </c>
      <c r="N660" s="4" t="e">
        <f t="shared" si="31"/>
        <v>#N/A</v>
      </c>
      <c r="O660" s="1" t="s">
        <v>1488</v>
      </c>
      <c r="P660" s="4" t="e">
        <f>VLOOKUP(A660,المعطيات!$A$1:$J$3500,4,0)</f>
        <v>#N/A</v>
      </c>
      <c r="Q660" s="1" t="s">
        <v>1489</v>
      </c>
      <c r="R660" s="1" t="s">
        <v>1480</v>
      </c>
      <c r="S660" s="6" t="e">
        <f t="shared" si="32"/>
        <v>#N/A</v>
      </c>
    </row>
    <row r="661" spans="2:19" x14ac:dyDescent="0.25">
      <c r="B661" s="1" t="s">
        <v>1479</v>
      </c>
      <c r="C661" s="1" t="s">
        <v>1481</v>
      </c>
      <c r="D661" s="4" t="e">
        <f>VLOOKUP(A661,المعطيات!$A$1:$J$3500,5,0)</f>
        <v>#N/A</v>
      </c>
      <c r="E661" s="1" t="s">
        <v>1482</v>
      </c>
      <c r="F661" s="5">
        <f t="shared" si="30"/>
        <v>0</v>
      </c>
      <c r="G661" s="5" t="s">
        <v>1483</v>
      </c>
      <c r="H661" s="4" t="e">
        <f>VLOOKUP(A661,المعطيات!$A$1:$J$3500,3,0)</f>
        <v>#N/A</v>
      </c>
      <c r="I661" s="1" t="s">
        <v>1484</v>
      </c>
      <c r="J661" s="1" t="s">
        <v>1485</v>
      </c>
      <c r="K661" s="4" t="e">
        <f>VLOOKUP(A661,المعطيات!$A$1:$J$3500,6,0)</f>
        <v>#N/A</v>
      </c>
      <c r="L661" s="1" t="s">
        <v>1486</v>
      </c>
      <c r="M661" s="1" t="s">
        <v>1487</v>
      </c>
      <c r="N661" s="4" t="e">
        <f t="shared" si="31"/>
        <v>#N/A</v>
      </c>
      <c r="O661" s="1" t="s">
        <v>1488</v>
      </c>
      <c r="P661" s="4" t="e">
        <f>VLOOKUP(A661,المعطيات!$A$1:$J$3500,4,0)</f>
        <v>#N/A</v>
      </c>
      <c r="Q661" s="1" t="s">
        <v>1489</v>
      </c>
      <c r="R661" s="1" t="s">
        <v>1480</v>
      </c>
      <c r="S661" s="6" t="e">
        <f t="shared" si="32"/>
        <v>#N/A</v>
      </c>
    </row>
    <row r="662" spans="2:19" x14ac:dyDescent="0.25">
      <c r="B662" s="1" t="s">
        <v>1479</v>
      </c>
      <c r="C662" s="1" t="s">
        <v>1481</v>
      </c>
      <c r="D662" s="4" t="e">
        <f>VLOOKUP(A662,المعطيات!$A$1:$J$3500,5,0)</f>
        <v>#N/A</v>
      </c>
      <c r="E662" s="1" t="s">
        <v>1482</v>
      </c>
      <c r="F662" s="5">
        <f t="shared" si="30"/>
        <v>0</v>
      </c>
      <c r="G662" s="5" t="s">
        <v>1483</v>
      </c>
      <c r="H662" s="4" t="e">
        <f>VLOOKUP(A662,المعطيات!$A$1:$J$3500,3,0)</f>
        <v>#N/A</v>
      </c>
      <c r="I662" s="1" t="s">
        <v>1484</v>
      </c>
      <c r="J662" s="1" t="s">
        <v>1485</v>
      </c>
      <c r="K662" s="4" t="e">
        <f>VLOOKUP(A662,المعطيات!$A$1:$J$3500,6,0)</f>
        <v>#N/A</v>
      </c>
      <c r="L662" s="1" t="s">
        <v>1486</v>
      </c>
      <c r="M662" s="1" t="s">
        <v>1487</v>
      </c>
      <c r="N662" s="4" t="e">
        <f t="shared" si="31"/>
        <v>#N/A</v>
      </c>
      <c r="O662" s="1" t="s">
        <v>1488</v>
      </c>
      <c r="P662" s="4" t="e">
        <f>VLOOKUP(A662,المعطيات!$A$1:$J$3500,4,0)</f>
        <v>#N/A</v>
      </c>
      <c r="Q662" s="1" t="s">
        <v>1489</v>
      </c>
      <c r="R662" s="1" t="s">
        <v>1480</v>
      </c>
      <c r="S662" s="6" t="e">
        <f t="shared" si="32"/>
        <v>#N/A</v>
      </c>
    </row>
    <row r="663" spans="2:19" x14ac:dyDescent="0.25">
      <c r="B663" s="1" t="s">
        <v>1479</v>
      </c>
      <c r="C663" s="1" t="s">
        <v>1481</v>
      </c>
      <c r="D663" s="4" t="e">
        <f>VLOOKUP(A663,المعطيات!$A$1:$J$3500,5,0)</f>
        <v>#N/A</v>
      </c>
      <c r="E663" s="1" t="s">
        <v>1482</v>
      </c>
      <c r="F663" s="5">
        <f t="shared" si="30"/>
        <v>0</v>
      </c>
      <c r="G663" s="5" t="s">
        <v>1483</v>
      </c>
      <c r="H663" s="4" t="e">
        <f>VLOOKUP(A663,المعطيات!$A$1:$J$3500,3,0)</f>
        <v>#N/A</v>
      </c>
      <c r="I663" s="1" t="s">
        <v>1484</v>
      </c>
      <c r="J663" s="1" t="s">
        <v>1485</v>
      </c>
      <c r="K663" s="4" t="e">
        <f>VLOOKUP(A663,المعطيات!$A$1:$J$3500,6,0)</f>
        <v>#N/A</v>
      </c>
      <c r="L663" s="1" t="s">
        <v>1486</v>
      </c>
      <c r="M663" s="1" t="s">
        <v>1487</v>
      </c>
      <c r="N663" s="4" t="e">
        <f t="shared" si="31"/>
        <v>#N/A</v>
      </c>
      <c r="O663" s="1" t="s">
        <v>1488</v>
      </c>
      <c r="P663" s="4" t="e">
        <f>VLOOKUP(A663,المعطيات!$A$1:$J$3500,4,0)</f>
        <v>#N/A</v>
      </c>
      <c r="Q663" s="1" t="s">
        <v>1489</v>
      </c>
      <c r="R663" s="1" t="s">
        <v>1480</v>
      </c>
      <c r="S663" s="6" t="e">
        <f t="shared" si="32"/>
        <v>#N/A</v>
      </c>
    </row>
    <row r="664" spans="2:19" x14ac:dyDescent="0.25">
      <c r="B664" s="1" t="s">
        <v>1479</v>
      </c>
      <c r="C664" s="1" t="s">
        <v>1481</v>
      </c>
      <c r="D664" s="4" t="e">
        <f>VLOOKUP(A664,المعطيات!$A$1:$J$3500,5,0)</f>
        <v>#N/A</v>
      </c>
      <c r="E664" s="1" t="s">
        <v>1482</v>
      </c>
      <c r="F664" s="5">
        <f t="shared" si="30"/>
        <v>0</v>
      </c>
      <c r="G664" s="5" t="s">
        <v>1483</v>
      </c>
      <c r="H664" s="4" t="e">
        <f>VLOOKUP(A664,المعطيات!$A$1:$J$3500,3,0)</f>
        <v>#N/A</v>
      </c>
      <c r="I664" s="1" t="s">
        <v>1484</v>
      </c>
      <c r="J664" s="1" t="s">
        <v>1485</v>
      </c>
      <c r="K664" s="4" t="e">
        <f>VLOOKUP(A664,المعطيات!$A$1:$J$3500,6,0)</f>
        <v>#N/A</v>
      </c>
      <c r="L664" s="1" t="s">
        <v>1486</v>
      </c>
      <c r="M664" s="1" t="s">
        <v>1487</v>
      </c>
      <c r="N664" s="4" t="e">
        <f t="shared" si="31"/>
        <v>#N/A</v>
      </c>
      <c r="O664" s="1" t="s">
        <v>1488</v>
      </c>
      <c r="P664" s="4" t="e">
        <f>VLOOKUP(A664,المعطيات!$A$1:$J$3500,4,0)</f>
        <v>#N/A</v>
      </c>
      <c r="Q664" s="1" t="s">
        <v>1489</v>
      </c>
      <c r="R664" s="1" t="s">
        <v>1480</v>
      </c>
      <c r="S664" s="6" t="e">
        <f t="shared" si="32"/>
        <v>#N/A</v>
      </c>
    </row>
    <row r="665" spans="2:19" x14ac:dyDescent="0.25">
      <c r="B665" s="1" t="s">
        <v>1479</v>
      </c>
      <c r="C665" s="1" t="s">
        <v>1481</v>
      </c>
      <c r="D665" s="4" t="e">
        <f>VLOOKUP(A665,المعطيات!$A$1:$J$3500,5,0)</f>
        <v>#N/A</v>
      </c>
      <c r="E665" s="1" t="s">
        <v>1482</v>
      </c>
      <c r="F665" s="5">
        <f t="shared" si="30"/>
        <v>0</v>
      </c>
      <c r="G665" s="5" t="s">
        <v>1483</v>
      </c>
      <c r="H665" s="4" t="e">
        <f>VLOOKUP(A665,المعطيات!$A$1:$J$3500,3,0)</f>
        <v>#N/A</v>
      </c>
      <c r="I665" s="1" t="s">
        <v>1484</v>
      </c>
      <c r="J665" s="1" t="s">
        <v>1485</v>
      </c>
      <c r="K665" s="4" t="e">
        <f>VLOOKUP(A665,المعطيات!$A$1:$J$3500,6,0)</f>
        <v>#N/A</v>
      </c>
      <c r="L665" s="1" t="s">
        <v>1486</v>
      </c>
      <c r="M665" s="1" t="s">
        <v>1487</v>
      </c>
      <c r="N665" s="4" t="e">
        <f t="shared" si="31"/>
        <v>#N/A</v>
      </c>
      <c r="O665" s="1" t="s">
        <v>1488</v>
      </c>
      <c r="P665" s="4" t="e">
        <f>VLOOKUP(A665,المعطيات!$A$1:$J$3500,4,0)</f>
        <v>#N/A</v>
      </c>
      <c r="Q665" s="1" t="s">
        <v>1489</v>
      </c>
      <c r="R665" s="1" t="s">
        <v>1480</v>
      </c>
      <c r="S665" s="6" t="e">
        <f t="shared" si="32"/>
        <v>#N/A</v>
      </c>
    </row>
    <row r="666" spans="2:19" x14ac:dyDescent="0.25">
      <c r="B666" s="1" t="s">
        <v>1479</v>
      </c>
      <c r="C666" s="1" t="s">
        <v>1481</v>
      </c>
      <c r="D666" s="4" t="e">
        <f>VLOOKUP(A666,المعطيات!$A$1:$J$3500,5,0)</f>
        <v>#N/A</v>
      </c>
      <c r="E666" s="1" t="s">
        <v>1482</v>
      </c>
      <c r="F666" s="5">
        <f t="shared" si="30"/>
        <v>0</v>
      </c>
      <c r="G666" s="5" t="s">
        <v>1483</v>
      </c>
      <c r="H666" s="4" t="e">
        <f>VLOOKUP(A666,المعطيات!$A$1:$J$3500,3,0)</f>
        <v>#N/A</v>
      </c>
      <c r="I666" s="1" t="s">
        <v>1484</v>
      </c>
      <c r="J666" s="1" t="s">
        <v>1485</v>
      </c>
      <c r="K666" s="4" t="e">
        <f>VLOOKUP(A666,المعطيات!$A$1:$J$3500,6,0)</f>
        <v>#N/A</v>
      </c>
      <c r="L666" s="1" t="s">
        <v>1486</v>
      </c>
      <c r="M666" s="1" t="s">
        <v>1487</v>
      </c>
      <c r="N666" s="4" t="e">
        <f t="shared" si="31"/>
        <v>#N/A</v>
      </c>
      <c r="O666" s="1" t="s">
        <v>1488</v>
      </c>
      <c r="P666" s="4" t="e">
        <f>VLOOKUP(A666,المعطيات!$A$1:$J$3500,4,0)</f>
        <v>#N/A</v>
      </c>
      <c r="Q666" s="1" t="s">
        <v>1489</v>
      </c>
      <c r="R666" s="1" t="s">
        <v>1480</v>
      </c>
      <c r="S666" s="6" t="e">
        <f t="shared" si="32"/>
        <v>#N/A</v>
      </c>
    </row>
    <row r="667" spans="2:19" x14ac:dyDescent="0.25">
      <c r="B667" s="1" t="s">
        <v>1479</v>
      </c>
      <c r="C667" s="1" t="s">
        <v>1481</v>
      </c>
      <c r="D667" s="4" t="e">
        <f>VLOOKUP(A667,المعطيات!$A$1:$J$3500,5,0)</f>
        <v>#N/A</v>
      </c>
      <c r="E667" s="1" t="s">
        <v>1482</v>
      </c>
      <c r="F667" s="5">
        <f t="shared" si="30"/>
        <v>0</v>
      </c>
      <c r="G667" s="5" t="s">
        <v>1483</v>
      </c>
      <c r="H667" s="4" t="e">
        <f>VLOOKUP(A667,المعطيات!$A$1:$J$3500,3,0)</f>
        <v>#N/A</v>
      </c>
      <c r="I667" s="1" t="s">
        <v>1484</v>
      </c>
      <c r="J667" s="1" t="s">
        <v>1485</v>
      </c>
      <c r="K667" s="4" t="e">
        <f>VLOOKUP(A667,المعطيات!$A$1:$J$3500,6,0)</f>
        <v>#N/A</v>
      </c>
      <c r="L667" s="1" t="s">
        <v>1486</v>
      </c>
      <c r="M667" s="1" t="s">
        <v>1487</v>
      </c>
      <c r="N667" s="4" t="e">
        <f t="shared" si="31"/>
        <v>#N/A</v>
      </c>
      <c r="O667" s="1" t="s">
        <v>1488</v>
      </c>
      <c r="P667" s="4" t="e">
        <f>VLOOKUP(A667,المعطيات!$A$1:$J$3500,4,0)</f>
        <v>#N/A</v>
      </c>
      <c r="Q667" s="1" t="s">
        <v>1489</v>
      </c>
      <c r="R667" s="1" t="s">
        <v>1480</v>
      </c>
      <c r="S667" s="6" t="e">
        <f t="shared" si="32"/>
        <v>#N/A</v>
      </c>
    </row>
    <row r="668" spans="2:19" x14ac:dyDescent="0.25">
      <c r="B668" s="1" t="s">
        <v>1479</v>
      </c>
      <c r="C668" s="1" t="s">
        <v>1481</v>
      </c>
      <c r="D668" s="4" t="e">
        <f>VLOOKUP(A668,المعطيات!$A$1:$J$3500,5,0)</f>
        <v>#N/A</v>
      </c>
      <c r="E668" s="1" t="s">
        <v>1482</v>
      </c>
      <c r="F668" s="5">
        <f t="shared" si="30"/>
        <v>0</v>
      </c>
      <c r="G668" s="5" t="s">
        <v>1483</v>
      </c>
      <c r="H668" s="4" t="e">
        <f>VLOOKUP(A668,المعطيات!$A$1:$J$3500,3,0)</f>
        <v>#N/A</v>
      </c>
      <c r="I668" s="1" t="s">
        <v>1484</v>
      </c>
      <c r="J668" s="1" t="s">
        <v>1485</v>
      </c>
      <c r="K668" s="4" t="e">
        <f>VLOOKUP(A668,المعطيات!$A$1:$J$3500,6,0)</f>
        <v>#N/A</v>
      </c>
      <c r="L668" s="1" t="s">
        <v>1486</v>
      </c>
      <c r="M668" s="1" t="s">
        <v>1487</v>
      </c>
      <c r="N668" s="4" t="e">
        <f t="shared" si="31"/>
        <v>#N/A</v>
      </c>
      <c r="O668" s="1" t="s">
        <v>1488</v>
      </c>
      <c r="P668" s="4" t="e">
        <f>VLOOKUP(A668,المعطيات!$A$1:$J$3500,4,0)</f>
        <v>#N/A</v>
      </c>
      <c r="Q668" s="1" t="s">
        <v>1489</v>
      </c>
      <c r="R668" s="1" t="s">
        <v>1480</v>
      </c>
      <c r="S668" s="6" t="e">
        <f t="shared" si="32"/>
        <v>#N/A</v>
      </c>
    </row>
    <row r="669" spans="2:19" x14ac:dyDescent="0.25">
      <c r="B669" s="1" t="s">
        <v>1479</v>
      </c>
      <c r="C669" s="1" t="s">
        <v>1481</v>
      </c>
      <c r="D669" s="4" t="e">
        <f>VLOOKUP(A669,المعطيات!$A$1:$J$3500,5,0)</f>
        <v>#N/A</v>
      </c>
      <c r="E669" s="1" t="s">
        <v>1482</v>
      </c>
      <c r="F669" s="5">
        <f t="shared" si="30"/>
        <v>0</v>
      </c>
      <c r="G669" s="5" t="s">
        <v>1483</v>
      </c>
      <c r="H669" s="4" t="e">
        <f>VLOOKUP(A669,المعطيات!$A$1:$J$3500,3,0)</f>
        <v>#N/A</v>
      </c>
      <c r="I669" s="1" t="s">
        <v>1484</v>
      </c>
      <c r="J669" s="1" t="s">
        <v>1485</v>
      </c>
      <c r="K669" s="4" t="e">
        <f>VLOOKUP(A669,المعطيات!$A$1:$J$3500,6,0)</f>
        <v>#N/A</v>
      </c>
      <c r="L669" s="1" t="s">
        <v>1486</v>
      </c>
      <c r="M669" s="1" t="s">
        <v>1487</v>
      </c>
      <c r="N669" s="4" t="e">
        <f t="shared" si="31"/>
        <v>#N/A</v>
      </c>
      <c r="O669" s="1" t="s">
        <v>1488</v>
      </c>
      <c r="P669" s="4" t="e">
        <f>VLOOKUP(A669,المعطيات!$A$1:$J$3500,4,0)</f>
        <v>#N/A</v>
      </c>
      <c r="Q669" s="1" t="s">
        <v>1489</v>
      </c>
      <c r="R669" s="1" t="s">
        <v>1480</v>
      </c>
      <c r="S669" s="6" t="e">
        <f t="shared" si="32"/>
        <v>#N/A</v>
      </c>
    </row>
    <row r="670" spans="2:19" x14ac:dyDescent="0.25">
      <c r="B670" s="1" t="s">
        <v>1479</v>
      </c>
      <c r="C670" s="1" t="s">
        <v>1481</v>
      </c>
      <c r="D670" s="4" t="e">
        <f>VLOOKUP(A670,المعطيات!$A$1:$J$3500,5,0)</f>
        <v>#N/A</v>
      </c>
      <c r="E670" s="1" t="s">
        <v>1482</v>
      </c>
      <c r="F670" s="5">
        <f t="shared" si="30"/>
        <v>0</v>
      </c>
      <c r="G670" s="5" t="s">
        <v>1483</v>
      </c>
      <c r="H670" s="4" t="e">
        <f>VLOOKUP(A670,المعطيات!$A$1:$J$3500,3,0)</f>
        <v>#N/A</v>
      </c>
      <c r="I670" s="1" t="s">
        <v>1484</v>
      </c>
      <c r="J670" s="1" t="s">
        <v>1485</v>
      </c>
      <c r="K670" s="4" t="e">
        <f>VLOOKUP(A670,المعطيات!$A$1:$J$3500,6,0)</f>
        <v>#N/A</v>
      </c>
      <c r="L670" s="1" t="s">
        <v>1486</v>
      </c>
      <c r="M670" s="1" t="s">
        <v>1487</v>
      </c>
      <c r="N670" s="4" t="e">
        <f t="shared" si="31"/>
        <v>#N/A</v>
      </c>
      <c r="O670" s="1" t="s">
        <v>1488</v>
      </c>
      <c r="P670" s="4" t="e">
        <f>VLOOKUP(A670,المعطيات!$A$1:$J$3500,4,0)</f>
        <v>#N/A</v>
      </c>
      <c r="Q670" s="1" t="s">
        <v>1489</v>
      </c>
      <c r="R670" s="1" t="s">
        <v>1480</v>
      </c>
      <c r="S670" s="6" t="e">
        <f t="shared" si="32"/>
        <v>#N/A</v>
      </c>
    </row>
    <row r="671" spans="2:19" x14ac:dyDescent="0.25">
      <c r="B671" s="1" t="s">
        <v>1479</v>
      </c>
      <c r="C671" s="1" t="s">
        <v>1481</v>
      </c>
      <c r="D671" s="4" t="e">
        <f>VLOOKUP(A671,المعطيات!$A$1:$J$3500,5,0)</f>
        <v>#N/A</v>
      </c>
      <c r="E671" s="1" t="s">
        <v>1482</v>
      </c>
      <c r="F671" s="5">
        <f t="shared" si="30"/>
        <v>0</v>
      </c>
      <c r="G671" s="5" t="s">
        <v>1483</v>
      </c>
      <c r="H671" s="4" t="e">
        <f>VLOOKUP(A671,المعطيات!$A$1:$J$3500,3,0)</f>
        <v>#N/A</v>
      </c>
      <c r="I671" s="1" t="s">
        <v>1484</v>
      </c>
      <c r="J671" s="1" t="s">
        <v>1485</v>
      </c>
      <c r="K671" s="4" t="e">
        <f>VLOOKUP(A671,المعطيات!$A$1:$J$3500,6,0)</f>
        <v>#N/A</v>
      </c>
      <c r="L671" s="1" t="s">
        <v>1486</v>
      </c>
      <c r="M671" s="1" t="s">
        <v>1487</v>
      </c>
      <c r="N671" s="4" t="e">
        <f t="shared" si="31"/>
        <v>#N/A</v>
      </c>
      <c r="O671" s="1" t="s">
        <v>1488</v>
      </c>
      <c r="P671" s="4" t="e">
        <f>VLOOKUP(A671,المعطيات!$A$1:$J$3500,4,0)</f>
        <v>#N/A</v>
      </c>
      <c r="Q671" s="1" t="s">
        <v>1489</v>
      </c>
      <c r="R671" s="1" t="s">
        <v>1480</v>
      </c>
      <c r="S671" s="6" t="e">
        <f t="shared" si="32"/>
        <v>#N/A</v>
      </c>
    </row>
    <row r="672" spans="2:19" x14ac:dyDescent="0.25">
      <c r="B672" s="1" t="s">
        <v>1479</v>
      </c>
      <c r="C672" s="1" t="s">
        <v>1481</v>
      </c>
      <c r="D672" s="4" t="e">
        <f>VLOOKUP(A672,المعطيات!$A$1:$J$3500,5,0)</f>
        <v>#N/A</v>
      </c>
      <c r="E672" s="1" t="s">
        <v>1482</v>
      </c>
      <c r="F672" s="5">
        <f t="shared" si="30"/>
        <v>0</v>
      </c>
      <c r="G672" s="5" t="s">
        <v>1483</v>
      </c>
      <c r="H672" s="4" t="e">
        <f>VLOOKUP(A672,المعطيات!$A$1:$J$3500,3,0)</f>
        <v>#N/A</v>
      </c>
      <c r="I672" s="1" t="s">
        <v>1484</v>
      </c>
      <c r="J672" s="1" t="s">
        <v>1485</v>
      </c>
      <c r="K672" s="4" t="e">
        <f>VLOOKUP(A672,المعطيات!$A$1:$J$3500,6,0)</f>
        <v>#N/A</v>
      </c>
      <c r="L672" s="1" t="s">
        <v>1486</v>
      </c>
      <c r="M672" s="1" t="s">
        <v>1487</v>
      </c>
      <c r="N672" s="4" t="e">
        <f t="shared" si="31"/>
        <v>#N/A</v>
      </c>
      <c r="O672" s="1" t="s">
        <v>1488</v>
      </c>
      <c r="P672" s="4" t="e">
        <f>VLOOKUP(A672,المعطيات!$A$1:$J$3500,4,0)</f>
        <v>#N/A</v>
      </c>
      <c r="Q672" s="1" t="s">
        <v>1489</v>
      </c>
      <c r="R672" s="1" t="s">
        <v>1480</v>
      </c>
      <c r="S672" s="6" t="e">
        <f t="shared" si="32"/>
        <v>#N/A</v>
      </c>
    </row>
    <row r="673" spans="2:19" x14ac:dyDescent="0.25">
      <c r="B673" s="1" t="s">
        <v>1479</v>
      </c>
      <c r="C673" s="1" t="s">
        <v>1481</v>
      </c>
      <c r="D673" s="4" t="e">
        <f>VLOOKUP(A673,المعطيات!$A$1:$J$3500,5,0)</f>
        <v>#N/A</v>
      </c>
      <c r="E673" s="1" t="s">
        <v>1482</v>
      </c>
      <c r="F673" s="5">
        <f t="shared" si="30"/>
        <v>0</v>
      </c>
      <c r="G673" s="5" t="s">
        <v>1483</v>
      </c>
      <c r="H673" s="4" t="e">
        <f>VLOOKUP(A673,المعطيات!$A$1:$J$3500,3,0)</f>
        <v>#N/A</v>
      </c>
      <c r="I673" s="1" t="s">
        <v>1484</v>
      </c>
      <c r="J673" s="1" t="s">
        <v>1485</v>
      </c>
      <c r="K673" s="4" t="e">
        <f>VLOOKUP(A673,المعطيات!$A$1:$J$3500,6,0)</f>
        <v>#N/A</v>
      </c>
      <c r="L673" s="1" t="s">
        <v>1486</v>
      </c>
      <c r="M673" s="1" t="s">
        <v>1487</v>
      </c>
      <c r="N673" s="4" t="e">
        <f t="shared" si="31"/>
        <v>#N/A</v>
      </c>
      <c r="O673" s="1" t="s">
        <v>1488</v>
      </c>
      <c r="P673" s="4" t="e">
        <f>VLOOKUP(A673,المعطيات!$A$1:$J$3500,4,0)</f>
        <v>#N/A</v>
      </c>
      <c r="Q673" s="1" t="s">
        <v>1489</v>
      </c>
      <c r="R673" s="1" t="s">
        <v>1480</v>
      </c>
      <c r="S673" s="6" t="e">
        <f t="shared" si="32"/>
        <v>#N/A</v>
      </c>
    </row>
    <row r="674" spans="2:19" x14ac:dyDescent="0.25">
      <c r="B674" s="1" t="s">
        <v>1479</v>
      </c>
      <c r="C674" s="1" t="s">
        <v>1481</v>
      </c>
      <c r="D674" s="4" t="e">
        <f>VLOOKUP(A674,المعطيات!$A$1:$J$3500,5,0)</f>
        <v>#N/A</v>
      </c>
      <c r="E674" s="1" t="s">
        <v>1482</v>
      </c>
      <c r="F674" s="5">
        <f t="shared" si="30"/>
        <v>0</v>
      </c>
      <c r="G674" s="5" t="s">
        <v>1483</v>
      </c>
      <c r="H674" s="4" t="e">
        <f>VLOOKUP(A674,المعطيات!$A$1:$J$3500,3,0)</f>
        <v>#N/A</v>
      </c>
      <c r="I674" s="1" t="s">
        <v>1484</v>
      </c>
      <c r="J674" s="1" t="s">
        <v>1485</v>
      </c>
      <c r="K674" s="4" t="e">
        <f>VLOOKUP(A674,المعطيات!$A$1:$J$3500,6,0)</f>
        <v>#N/A</v>
      </c>
      <c r="L674" s="1" t="s">
        <v>1486</v>
      </c>
      <c r="M674" s="1" t="s">
        <v>1487</v>
      </c>
      <c r="N674" s="4" t="e">
        <f t="shared" si="31"/>
        <v>#N/A</v>
      </c>
      <c r="O674" s="1" t="s">
        <v>1488</v>
      </c>
      <c r="P674" s="4" t="e">
        <f>VLOOKUP(A674,المعطيات!$A$1:$J$3500,4,0)</f>
        <v>#N/A</v>
      </c>
      <c r="Q674" s="1" t="s">
        <v>1489</v>
      </c>
      <c r="R674" s="1" t="s">
        <v>1480</v>
      </c>
      <c r="S674" s="6" t="e">
        <f t="shared" si="32"/>
        <v>#N/A</v>
      </c>
    </row>
    <row r="675" spans="2:19" x14ac:dyDescent="0.25">
      <c r="B675" s="1" t="s">
        <v>1479</v>
      </c>
      <c r="C675" s="1" t="s">
        <v>1481</v>
      </c>
      <c r="D675" s="4" t="e">
        <f>VLOOKUP(A675,المعطيات!$A$1:$J$3500,5,0)</f>
        <v>#N/A</v>
      </c>
      <c r="E675" s="1" t="s">
        <v>1482</v>
      </c>
      <c r="F675" s="5">
        <f t="shared" si="30"/>
        <v>0</v>
      </c>
      <c r="G675" s="5" t="s">
        <v>1483</v>
      </c>
      <c r="H675" s="4" t="e">
        <f>VLOOKUP(A675,المعطيات!$A$1:$J$3500,3,0)</f>
        <v>#N/A</v>
      </c>
      <c r="I675" s="1" t="s">
        <v>1484</v>
      </c>
      <c r="J675" s="1" t="s">
        <v>1485</v>
      </c>
      <c r="K675" s="4" t="e">
        <f>VLOOKUP(A675,المعطيات!$A$1:$J$3500,6,0)</f>
        <v>#N/A</v>
      </c>
      <c r="L675" s="1" t="s">
        <v>1486</v>
      </c>
      <c r="M675" s="1" t="s">
        <v>1487</v>
      </c>
      <c r="N675" s="4" t="e">
        <f t="shared" si="31"/>
        <v>#N/A</v>
      </c>
      <c r="O675" s="1" t="s">
        <v>1488</v>
      </c>
      <c r="P675" s="4" t="e">
        <f>VLOOKUP(A675,المعطيات!$A$1:$J$3500,4,0)</f>
        <v>#N/A</v>
      </c>
      <c r="Q675" s="1" t="s">
        <v>1489</v>
      </c>
      <c r="R675" s="1" t="s">
        <v>1480</v>
      </c>
      <c r="S675" s="6" t="e">
        <f t="shared" si="32"/>
        <v>#N/A</v>
      </c>
    </row>
    <row r="676" spans="2:19" x14ac:dyDescent="0.25">
      <c r="B676" s="1" t="s">
        <v>1479</v>
      </c>
      <c r="C676" s="1" t="s">
        <v>1481</v>
      </c>
      <c r="D676" s="4" t="e">
        <f>VLOOKUP(A676,المعطيات!$A$1:$J$3500,5,0)</f>
        <v>#N/A</v>
      </c>
      <c r="E676" s="1" t="s">
        <v>1482</v>
      </c>
      <c r="F676" s="5">
        <f t="shared" si="30"/>
        <v>0</v>
      </c>
      <c r="G676" s="5" t="s">
        <v>1483</v>
      </c>
      <c r="H676" s="4" t="e">
        <f>VLOOKUP(A676,المعطيات!$A$1:$J$3500,3,0)</f>
        <v>#N/A</v>
      </c>
      <c r="I676" s="1" t="s">
        <v>1484</v>
      </c>
      <c r="J676" s="1" t="s">
        <v>1485</v>
      </c>
      <c r="K676" s="4" t="e">
        <f>VLOOKUP(A676,المعطيات!$A$1:$J$3500,6,0)</f>
        <v>#N/A</v>
      </c>
      <c r="L676" s="1" t="s">
        <v>1486</v>
      </c>
      <c r="M676" s="1" t="s">
        <v>1487</v>
      </c>
      <c r="N676" s="4" t="e">
        <f t="shared" si="31"/>
        <v>#N/A</v>
      </c>
      <c r="O676" s="1" t="s">
        <v>1488</v>
      </c>
      <c r="P676" s="4" t="e">
        <f>VLOOKUP(A676,المعطيات!$A$1:$J$3500,4,0)</f>
        <v>#N/A</v>
      </c>
      <c r="Q676" s="1" t="s">
        <v>1489</v>
      </c>
      <c r="R676" s="1" t="s">
        <v>1480</v>
      </c>
      <c r="S676" s="6" t="e">
        <f t="shared" si="32"/>
        <v>#N/A</v>
      </c>
    </row>
    <row r="677" spans="2:19" x14ac:dyDescent="0.25">
      <c r="B677" s="1" t="s">
        <v>1479</v>
      </c>
      <c r="C677" s="1" t="s">
        <v>1481</v>
      </c>
      <c r="D677" s="4" t="e">
        <f>VLOOKUP(A677,المعطيات!$A$1:$J$3500,5,0)</f>
        <v>#N/A</v>
      </c>
      <c r="E677" s="1" t="s">
        <v>1482</v>
      </c>
      <c r="F677" s="5">
        <f t="shared" si="30"/>
        <v>0</v>
      </c>
      <c r="G677" s="5" t="s">
        <v>1483</v>
      </c>
      <c r="H677" s="4" t="e">
        <f>VLOOKUP(A677,المعطيات!$A$1:$J$3500,3,0)</f>
        <v>#N/A</v>
      </c>
      <c r="I677" s="1" t="s">
        <v>1484</v>
      </c>
      <c r="J677" s="1" t="s">
        <v>1485</v>
      </c>
      <c r="K677" s="4" t="e">
        <f>VLOOKUP(A677,المعطيات!$A$1:$J$3500,6,0)</f>
        <v>#N/A</v>
      </c>
      <c r="L677" s="1" t="s">
        <v>1486</v>
      </c>
      <c r="M677" s="1" t="s">
        <v>1487</v>
      </c>
      <c r="N677" s="4" t="e">
        <f t="shared" si="31"/>
        <v>#N/A</v>
      </c>
      <c r="O677" s="1" t="s">
        <v>1488</v>
      </c>
      <c r="P677" s="4" t="e">
        <f>VLOOKUP(A677,المعطيات!$A$1:$J$3500,4,0)</f>
        <v>#N/A</v>
      </c>
      <c r="Q677" s="1" t="s">
        <v>1489</v>
      </c>
      <c r="R677" s="1" t="s">
        <v>1480</v>
      </c>
      <c r="S677" s="6" t="e">
        <f t="shared" si="32"/>
        <v>#N/A</v>
      </c>
    </row>
    <row r="678" spans="2:19" x14ac:dyDescent="0.25">
      <c r="B678" s="1" t="s">
        <v>1479</v>
      </c>
      <c r="C678" s="1" t="s">
        <v>1481</v>
      </c>
      <c r="D678" s="4" t="e">
        <f>VLOOKUP(A678,المعطيات!$A$1:$J$3500,5,0)</f>
        <v>#N/A</v>
      </c>
      <c r="E678" s="1" t="s">
        <v>1482</v>
      </c>
      <c r="F678" s="5">
        <f t="shared" si="30"/>
        <v>0</v>
      </c>
      <c r="G678" s="5" t="s">
        <v>1483</v>
      </c>
      <c r="H678" s="4" t="e">
        <f>VLOOKUP(A678,المعطيات!$A$1:$J$3500,3,0)</f>
        <v>#N/A</v>
      </c>
      <c r="I678" s="1" t="s">
        <v>1484</v>
      </c>
      <c r="J678" s="1" t="s">
        <v>1485</v>
      </c>
      <c r="K678" s="4" t="e">
        <f>VLOOKUP(A678,المعطيات!$A$1:$J$3500,6,0)</f>
        <v>#N/A</v>
      </c>
      <c r="L678" s="1" t="s">
        <v>1486</v>
      </c>
      <c r="M678" s="1" t="s">
        <v>1487</v>
      </c>
      <c r="N678" s="4" t="e">
        <f t="shared" si="31"/>
        <v>#N/A</v>
      </c>
      <c r="O678" s="1" t="s">
        <v>1488</v>
      </c>
      <c r="P678" s="4" t="e">
        <f>VLOOKUP(A678,المعطيات!$A$1:$J$3500,4,0)</f>
        <v>#N/A</v>
      </c>
      <c r="Q678" s="1" t="s">
        <v>1489</v>
      </c>
      <c r="R678" s="1" t="s">
        <v>1480</v>
      </c>
      <c r="S678" s="6" t="e">
        <f t="shared" si="32"/>
        <v>#N/A</v>
      </c>
    </row>
    <row r="679" spans="2:19" x14ac:dyDescent="0.25">
      <c r="B679" s="1" t="s">
        <v>1479</v>
      </c>
      <c r="C679" s="1" t="s">
        <v>1481</v>
      </c>
      <c r="D679" s="4" t="e">
        <f>VLOOKUP(A679,المعطيات!$A$1:$J$3500,5,0)</f>
        <v>#N/A</v>
      </c>
      <c r="E679" s="1" t="s">
        <v>1482</v>
      </c>
      <c r="F679" s="5">
        <f t="shared" si="30"/>
        <v>0</v>
      </c>
      <c r="G679" s="5" t="s">
        <v>1483</v>
      </c>
      <c r="H679" s="4" t="e">
        <f>VLOOKUP(A679,المعطيات!$A$1:$J$3500,3,0)</f>
        <v>#N/A</v>
      </c>
      <c r="I679" s="1" t="s">
        <v>1484</v>
      </c>
      <c r="J679" s="1" t="s">
        <v>1485</v>
      </c>
      <c r="K679" s="4" t="e">
        <f>VLOOKUP(A679,المعطيات!$A$1:$J$3500,6,0)</f>
        <v>#N/A</v>
      </c>
      <c r="L679" s="1" t="s">
        <v>1486</v>
      </c>
      <c r="M679" s="1" t="s">
        <v>1487</v>
      </c>
      <c r="N679" s="4" t="e">
        <f t="shared" si="31"/>
        <v>#N/A</v>
      </c>
      <c r="O679" s="1" t="s">
        <v>1488</v>
      </c>
      <c r="P679" s="4" t="e">
        <f>VLOOKUP(A679,المعطيات!$A$1:$J$3500,4,0)</f>
        <v>#N/A</v>
      </c>
      <c r="Q679" s="1" t="s">
        <v>1489</v>
      </c>
      <c r="R679" s="1" t="s">
        <v>1480</v>
      </c>
      <c r="S679" s="6" t="e">
        <f t="shared" si="32"/>
        <v>#N/A</v>
      </c>
    </row>
    <row r="680" spans="2:19" x14ac:dyDescent="0.25">
      <c r="B680" s="1" t="s">
        <v>1479</v>
      </c>
      <c r="C680" s="1" t="s">
        <v>1481</v>
      </c>
      <c r="D680" s="4" t="e">
        <f>VLOOKUP(A680,المعطيات!$A$1:$J$3500,5,0)</f>
        <v>#N/A</v>
      </c>
      <c r="E680" s="1" t="s">
        <v>1482</v>
      </c>
      <c r="F680" s="5">
        <f t="shared" si="30"/>
        <v>0</v>
      </c>
      <c r="G680" s="5" t="s">
        <v>1483</v>
      </c>
      <c r="H680" s="4" t="e">
        <f>VLOOKUP(A680,المعطيات!$A$1:$J$3500,3,0)</f>
        <v>#N/A</v>
      </c>
      <c r="I680" s="1" t="s">
        <v>1484</v>
      </c>
      <c r="J680" s="1" t="s">
        <v>1485</v>
      </c>
      <c r="K680" s="4" t="e">
        <f>VLOOKUP(A680,المعطيات!$A$1:$J$3500,6,0)</f>
        <v>#N/A</v>
      </c>
      <c r="L680" s="1" t="s">
        <v>1486</v>
      </c>
      <c r="M680" s="1" t="s">
        <v>1487</v>
      </c>
      <c r="N680" s="4" t="e">
        <f t="shared" si="31"/>
        <v>#N/A</v>
      </c>
      <c r="O680" s="1" t="s">
        <v>1488</v>
      </c>
      <c r="P680" s="4" t="e">
        <f>VLOOKUP(A680,المعطيات!$A$1:$J$3500,4,0)</f>
        <v>#N/A</v>
      </c>
      <c r="Q680" s="1" t="s">
        <v>1489</v>
      </c>
      <c r="R680" s="1" t="s">
        <v>1480</v>
      </c>
      <c r="S680" s="6" t="e">
        <f t="shared" si="32"/>
        <v>#N/A</v>
      </c>
    </row>
    <row r="681" spans="2:19" x14ac:dyDescent="0.25">
      <c r="B681" s="1" t="s">
        <v>1479</v>
      </c>
      <c r="C681" s="1" t="s">
        <v>1481</v>
      </c>
      <c r="D681" s="4" t="e">
        <f>VLOOKUP(A681,المعطيات!$A$1:$J$3500,5,0)</f>
        <v>#N/A</v>
      </c>
      <c r="E681" s="1" t="s">
        <v>1482</v>
      </c>
      <c r="F681" s="5">
        <f t="shared" si="30"/>
        <v>0</v>
      </c>
      <c r="G681" s="5" t="s">
        <v>1483</v>
      </c>
      <c r="H681" s="4" t="e">
        <f>VLOOKUP(A681,المعطيات!$A$1:$J$3500,3,0)</f>
        <v>#N/A</v>
      </c>
      <c r="I681" s="1" t="s">
        <v>1484</v>
      </c>
      <c r="J681" s="1" t="s">
        <v>1485</v>
      </c>
      <c r="K681" s="4" t="e">
        <f>VLOOKUP(A681,المعطيات!$A$1:$J$3500,6,0)</f>
        <v>#N/A</v>
      </c>
      <c r="L681" s="1" t="s">
        <v>1486</v>
      </c>
      <c r="M681" s="1" t="s">
        <v>1487</v>
      </c>
      <c r="N681" s="4" t="e">
        <f t="shared" si="31"/>
        <v>#N/A</v>
      </c>
      <c r="O681" s="1" t="s">
        <v>1488</v>
      </c>
      <c r="P681" s="4" t="e">
        <f>VLOOKUP(A681,المعطيات!$A$1:$J$3500,4,0)</f>
        <v>#N/A</v>
      </c>
      <c r="Q681" s="1" t="s">
        <v>1489</v>
      </c>
      <c r="R681" s="1" t="s">
        <v>1480</v>
      </c>
      <c r="S681" s="6" t="e">
        <f t="shared" si="32"/>
        <v>#N/A</v>
      </c>
    </row>
    <row r="682" spans="2:19" x14ac:dyDescent="0.25">
      <c r="B682" s="1" t="s">
        <v>1479</v>
      </c>
      <c r="C682" s="1" t="s">
        <v>1481</v>
      </c>
      <c r="D682" s="4" t="e">
        <f>VLOOKUP(A682,المعطيات!$A$1:$J$3500,5,0)</f>
        <v>#N/A</v>
      </c>
      <c r="E682" s="1" t="s">
        <v>1482</v>
      </c>
      <c r="F682" s="5">
        <f t="shared" si="30"/>
        <v>0</v>
      </c>
      <c r="G682" s="5" t="s">
        <v>1483</v>
      </c>
      <c r="H682" s="4" t="e">
        <f>VLOOKUP(A682,المعطيات!$A$1:$J$3500,3,0)</f>
        <v>#N/A</v>
      </c>
      <c r="I682" s="1" t="s">
        <v>1484</v>
      </c>
      <c r="J682" s="1" t="s">
        <v>1485</v>
      </c>
      <c r="K682" s="4" t="e">
        <f>VLOOKUP(A682,المعطيات!$A$1:$J$3500,6,0)</f>
        <v>#N/A</v>
      </c>
      <c r="L682" s="1" t="s">
        <v>1486</v>
      </c>
      <c r="M682" s="1" t="s">
        <v>1487</v>
      </c>
      <c r="N682" s="4" t="e">
        <f t="shared" si="31"/>
        <v>#N/A</v>
      </c>
      <c r="O682" s="1" t="s">
        <v>1488</v>
      </c>
      <c r="P682" s="4" t="e">
        <f>VLOOKUP(A682,المعطيات!$A$1:$J$3500,4,0)</f>
        <v>#N/A</v>
      </c>
      <c r="Q682" s="1" t="s">
        <v>1489</v>
      </c>
      <c r="R682" s="1" t="s">
        <v>1480</v>
      </c>
      <c r="S682" s="6" t="e">
        <f t="shared" si="32"/>
        <v>#N/A</v>
      </c>
    </row>
    <row r="683" spans="2:19" x14ac:dyDescent="0.25">
      <c r="B683" s="1" t="s">
        <v>1479</v>
      </c>
      <c r="C683" s="1" t="s">
        <v>1481</v>
      </c>
      <c r="D683" s="4" t="e">
        <f>VLOOKUP(A683,المعطيات!$A$1:$J$3500,5,0)</f>
        <v>#N/A</v>
      </c>
      <c r="E683" s="1" t="s">
        <v>1482</v>
      </c>
      <c r="F683" s="5">
        <f t="shared" si="30"/>
        <v>0</v>
      </c>
      <c r="G683" s="5" t="s">
        <v>1483</v>
      </c>
      <c r="H683" s="4" t="e">
        <f>VLOOKUP(A683,المعطيات!$A$1:$J$3500,3,0)</f>
        <v>#N/A</v>
      </c>
      <c r="I683" s="1" t="s">
        <v>1484</v>
      </c>
      <c r="J683" s="1" t="s">
        <v>1485</v>
      </c>
      <c r="K683" s="4" t="e">
        <f>VLOOKUP(A683,المعطيات!$A$1:$J$3500,6,0)</f>
        <v>#N/A</v>
      </c>
      <c r="L683" s="1" t="s">
        <v>1486</v>
      </c>
      <c r="M683" s="1" t="s">
        <v>1487</v>
      </c>
      <c r="N683" s="4" t="e">
        <f t="shared" si="31"/>
        <v>#N/A</v>
      </c>
      <c r="O683" s="1" t="s">
        <v>1488</v>
      </c>
      <c r="P683" s="4" t="e">
        <f>VLOOKUP(A683,المعطيات!$A$1:$J$3500,4,0)</f>
        <v>#N/A</v>
      </c>
      <c r="Q683" s="1" t="s">
        <v>1489</v>
      </c>
      <c r="R683" s="1" t="s">
        <v>1480</v>
      </c>
      <c r="S683" s="6" t="e">
        <f t="shared" si="32"/>
        <v>#N/A</v>
      </c>
    </row>
    <row r="684" spans="2:19" x14ac:dyDescent="0.25">
      <c r="B684" s="1" t="s">
        <v>1479</v>
      </c>
      <c r="C684" s="1" t="s">
        <v>1481</v>
      </c>
      <c r="D684" s="4" t="e">
        <f>VLOOKUP(A684,المعطيات!$A$1:$J$3500,5,0)</f>
        <v>#N/A</v>
      </c>
      <c r="E684" s="1" t="s">
        <v>1482</v>
      </c>
      <c r="F684" s="5">
        <f t="shared" si="30"/>
        <v>0</v>
      </c>
      <c r="G684" s="5" t="s">
        <v>1483</v>
      </c>
      <c r="H684" s="4" t="e">
        <f>VLOOKUP(A684,المعطيات!$A$1:$J$3500,3,0)</f>
        <v>#N/A</v>
      </c>
      <c r="I684" s="1" t="s">
        <v>1484</v>
      </c>
      <c r="J684" s="1" t="s">
        <v>1485</v>
      </c>
      <c r="K684" s="4" t="e">
        <f>VLOOKUP(A684,المعطيات!$A$1:$J$3500,6,0)</f>
        <v>#N/A</v>
      </c>
      <c r="L684" s="1" t="s">
        <v>1486</v>
      </c>
      <c r="M684" s="1" t="s">
        <v>1487</v>
      </c>
      <c r="N684" s="4" t="e">
        <f t="shared" si="31"/>
        <v>#N/A</v>
      </c>
      <c r="O684" s="1" t="s">
        <v>1488</v>
      </c>
      <c r="P684" s="4" t="e">
        <f>VLOOKUP(A684,المعطيات!$A$1:$J$3500,4,0)</f>
        <v>#N/A</v>
      </c>
      <c r="Q684" s="1" t="s">
        <v>1489</v>
      </c>
      <c r="R684" s="1" t="s">
        <v>1480</v>
      </c>
      <c r="S684" s="6" t="e">
        <f t="shared" si="32"/>
        <v>#N/A</v>
      </c>
    </row>
    <row r="685" spans="2:19" x14ac:dyDescent="0.25">
      <c r="B685" s="1" t="s">
        <v>1479</v>
      </c>
      <c r="C685" s="1" t="s">
        <v>1481</v>
      </c>
      <c r="D685" s="4" t="e">
        <f>VLOOKUP(A685,المعطيات!$A$1:$J$3500,5,0)</f>
        <v>#N/A</v>
      </c>
      <c r="E685" s="1" t="s">
        <v>1482</v>
      </c>
      <c r="F685" s="5">
        <f t="shared" si="30"/>
        <v>0</v>
      </c>
      <c r="G685" s="5" t="s">
        <v>1483</v>
      </c>
      <c r="H685" s="4" t="e">
        <f>VLOOKUP(A685,المعطيات!$A$1:$J$3500,3,0)</f>
        <v>#N/A</v>
      </c>
      <c r="I685" s="1" t="s">
        <v>1484</v>
      </c>
      <c r="J685" s="1" t="s">
        <v>1485</v>
      </c>
      <c r="K685" s="4" t="e">
        <f>VLOOKUP(A685,المعطيات!$A$1:$J$3500,6,0)</f>
        <v>#N/A</v>
      </c>
      <c r="L685" s="1" t="s">
        <v>1486</v>
      </c>
      <c r="M685" s="1" t="s">
        <v>1487</v>
      </c>
      <c r="N685" s="4" t="e">
        <f t="shared" si="31"/>
        <v>#N/A</v>
      </c>
      <c r="O685" s="1" t="s">
        <v>1488</v>
      </c>
      <c r="P685" s="4" t="e">
        <f>VLOOKUP(A685,المعطيات!$A$1:$J$3500,4,0)</f>
        <v>#N/A</v>
      </c>
      <c r="Q685" s="1" t="s">
        <v>1489</v>
      </c>
      <c r="R685" s="1" t="s">
        <v>1480</v>
      </c>
      <c r="S685" s="6" t="e">
        <f t="shared" si="32"/>
        <v>#N/A</v>
      </c>
    </row>
    <row r="686" spans="2:19" x14ac:dyDescent="0.25">
      <c r="B686" s="1" t="s">
        <v>1479</v>
      </c>
      <c r="C686" s="1" t="s">
        <v>1481</v>
      </c>
      <c r="D686" s="4" t="e">
        <f>VLOOKUP(A686,المعطيات!$A$1:$J$3500,5,0)</f>
        <v>#N/A</v>
      </c>
      <c r="E686" s="1" t="s">
        <v>1482</v>
      </c>
      <c r="F686" s="5">
        <f t="shared" si="30"/>
        <v>0</v>
      </c>
      <c r="G686" s="5" t="s">
        <v>1483</v>
      </c>
      <c r="H686" s="4" t="e">
        <f>VLOOKUP(A686,المعطيات!$A$1:$J$3500,3,0)</f>
        <v>#N/A</v>
      </c>
      <c r="I686" s="1" t="s">
        <v>1484</v>
      </c>
      <c r="J686" s="1" t="s">
        <v>1485</v>
      </c>
      <c r="K686" s="4" t="e">
        <f>VLOOKUP(A686,المعطيات!$A$1:$J$3500,6,0)</f>
        <v>#N/A</v>
      </c>
      <c r="L686" s="1" t="s">
        <v>1486</v>
      </c>
      <c r="M686" s="1" t="s">
        <v>1487</v>
      </c>
      <c r="N686" s="4" t="e">
        <f t="shared" si="31"/>
        <v>#N/A</v>
      </c>
      <c r="O686" s="1" t="s">
        <v>1488</v>
      </c>
      <c r="P686" s="4" t="e">
        <f>VLOOKUP(A686,المعطيات!$A$1:$J$3500,4,0)</f>
        <v>#N/A</v>
      </c>
      <c r="Q686" s="1" t="s">
        <v>1489</v>
      </c>
      <c r="R686" s="1" t="s">
        <v>1480</v>
      </c>
      <c r="S686" s="6" t="e">
        <f t="shared" si="32"/>
        <v>#N/A</v>
      </c>
    </row>
    <row r="687" spans="2:19" x14ac:dyDescent="0.25">
      <c r="B687" s="1" t="s">
        <v>1479</v>
      </c>
      <c r="C687" s="1" t="s">
        <v>1481</v>
      </c>
      <c r="D687" s="4" t="e">
        <f>VLOOKUP(A687,المعطيات!$A$1:$J$3500,5,0)</f>
        <v>#N/A</v>
      </c>
      <c r="E687" s="1" t="s">
        <v>1482</v>
      </c>
      <c r="F687" s="5">
        <f t="shared" si="30"/>
        <v>0</v>
      </c>
      <c r="G687" s="5" t="s">
        <v>1483</v>
      </c>
      <c r="H687" s="4" t="e">
        <f>VLOOKUP(A687,المعطيات!$A$1:$J$3500,3,0)</f>
        <v>#N/A</v>
      </c>
      <c r="I687" s="1" t="s">
        <v>1484</v>
      </c>
      <c r="J687" s="1" t="s">
        <v>1485</v>
      </c>
      <c r="K687" s="4" t="e">
        <f>VLOOKUP(A687,المعطيات!$A$1:$J$3500,6,0)</f>
        <v>#N/A</v>
      </c>
      <c r="L687" s="1" t="s">
        <v>1486</v>
      </c>
      <c r="M687" s="1" t="s">
        <v>1487</v>
      </c>
      <c r="N687" s="4" t="e">
        <f t="shared" si="31"/>
        <v>#N/A</v>
      </c>
      <c r="O687" s="1" t="s">
        <v>1488</v>
      </c>
      <c r="P687" s="4" t="e">
        <f>VLOOKUP(A687,المعطيات!$A$1:$J$3500,4,0)</f>
        <v>#N/A</v>
      </c>
      <c r="Q687" s="1" t="s">
        <v>1489</v>
      </c>
      <c r="R687" s="1" t="s">
        <v>1480</v>
      </c>
      <c r="S687" s="6" t="e">
        <f t="shared" si="32"/>
        <v>#N/A</v>
      </c>
    </row>
    <row r="688" spans="2:19" x14ac:dyDescent="0.25">
      <c r="B688" s="1" t="s">
        <v>1479</v>
      </c>
      <c r="C688" s="1" t="s">
        <v>1481</v>
      </c>
      <c r="D688" s="4" t="e">
        <f>VLOOKUP(A688,المعطيات!$A$1:$J$3500,5,0)</f>
        <v>#N/A</v>
      </c>
      <c r="E688" s="1" t="s">
        <v>1482</v>
      </c>
      <c r="F688" s="5">
        <f t="shared" si="30"/>
        <v>0</v>
      </c>
      <c r="G688" s="5" t="s">
        <v>1483</v>
      </c>
      <c r="H688" s="4" t="e">
        <f>VLOOKUP(A688,المعطيات!$A$1:$J$3500,3,0)</f>
        <v>#N/A</v>
      </c>
      <c r="I688" s="1" t="s">
        <v>1484</v>
      </c>
      <c r="J688" s="1" t="s">
        <v>1485</v>
      </c>
      <c r="K688" s="4" t="e">
        <f>VLOOKUP(A688,المعطيات!$A$1:$J$3500,6,0)</f>
        <v>#N/A</v>
      </c>
      <c r="L688" s="1" t="s">
        <v>1486</v>
      </c>
      <c r="M688" s="1" t="s">
        <v>1487</v>
      </c>
      <c r="N688" s="4" t="e">
        <f t="shared" si="31"/>
        <v>#N/A</v>
      </c>
      <c r="O688" s="1" t="s">
        <v>1488</v>
      </c>
      <c r="P688" s="4" t="e">
        <f>VLOOKUP(A688,المعطيات!$A$1:$J$3500,4,0)</f>
        <v>#N/A</v>
      </c>
      <c r="Q688" s="1" t="s">
        <v>1489</v>
      </c>
      <c r="R688" s="1" t="s">
        <v>1480</v>
      </c>
      <c r="S688" s="6" t="e">
        <f t="shared" si="32"/>
        <v>#N/A</v>
      </c>
    </row>
    <row r="689" spans="2:19" x14ac:dyDescent="0.25">
      <c r="B689" s="1" t="s">
        <v>1479</v>
      </c>
      <c r="C689" s="1" t="s">
        <v>1481</v>
      </c>
      <c r="D689" s="4" t="e">
        <f>VLOOKUP(A689,المعطيات!$A$1:$J$3500,5,0)</f>
        <v>#N/A</v>
      </c>
      <c r="E689" s="1" t="s">
        <v>1482</v>
      </c>
      <c r="F689" s="5">
        <f t="shared" si="30"/>
        <v>0</v>
      </c>
      <c r="G689" s="5" t="s">
        <v>1483</v>
      </c>
      <c r="H689" s="4" t="e">
        <f>VLOOKUP(A689,المعطيات!$A$1:$J$3500,3,0)</f>
        <v>#N/A</v>
      </c>
      <c r="I689" s="1" t="s">
        <v>1484</v>
      </c>
      <c r="J689" s="1" t="s">
        <v>1485</v>
      </c>
      <c r="K689" s="4" t="e">
        <f>VLOOKUP(A689,المعطيات!$A$1:$J$3500,6,0)</f>
        <v>#N/A</v>
      </c>
      <c r="L689" s="1" t="s">
        <v>1486</v>
      </c>
      <c r="M689" s="1" t="s">
        <v>1487</v>
      </c>
      <c r="N689" s="4" t="e">
        <f t="shared" si="31"/>
        <v>#N/A</v>
      </c>
      <c r="O689" s="1" t="s">
        <v>1488</v>
      </c>
      <c r="P689" s="4" t="e">
        <f>VLOOKUP(A689,المعطيات!$A$1:$J$3500,4,0)</f>
        <v>#N/A</v>
      </c>
      <c r="Q689" s="1" t="s">
        <v>1489</v>
      </c>
      <c r="R689" s="1" t="s">
        <v>1480</v>
      </c>
      <c r="S689" s="6" t="e">
        <f t="shared" si="32"/>
        <v>#N/A</v>
      </c>
    </row>
    <row r="690" spans="2:19" x14ac:dyDescent="0.25">
      <c r="B690" s="1" t="s">
        <v>1479</v>
      </c>
      <c r="C690" s="1" t="s">
        <v>1481</v>
      </c>
      <c r="D690" s="4" t="e">
        <f>VLOOKUP(A690,المعطيات!$A$1:$J$3500,5,0)</f>
        <v>#N/A</v>
      </c>
      <c r="E690" s="1" t="s">
        <v>1482</v>
      </c>
      <c r="F690" s="5">
        <f t="shared" si="30"/>
        <v>0</v>
      </c>
      <c r="G690" s="5" t="s">
        <v>1483</v>
      </c>
      <c r="H690" s="4" t="e">
        <f>VLOOKUP(A690,المعطيات!$A$1:$J$3500,3,0)</f>
        <v>#N/A</v>
      </c>
      <c r="I690" s="1" t="s">
        <v>1484</v>
      </c>
      <c r="J690" s="1" t="s">
        <v>1485</v>
      </c>
      <c r="K690" s="4" t="e">
        <f>VLOOKUP(A690,المعطيات!$A$1:$J$3500,6,0)</f>
        <v>#N/A</v>
      </c>
      <c r="L690" s="1" t="s">
        <v>1486</v>
      </c>
      <c r="M690" s="1" t="s">
        <v>1487</v>
      </c>
      <c r="N690" s="4" t="e">
        <f t="shared" si="31"/>
        <v>#N/A</v>
      </c>
      <c r="O690" s="1" t="s">
        <v>1488</v>
      </c>
      <c r="P690" s="4" t="e">
        <f>VLOOKUP(A690,المعطيات!$A$1:$J$3500,4,0)</f>
        <v>#N/A</v>
      </c>
      <c r="Q690" s="1" t="s">
        <v>1489</v>
      </c>
      <c r="R690" s="1" t="s">
        <v>1480</v>
      </c>
      <c r="S690" s="6" t="e">
        <f t="shared" si="32"/>
        <v>#N/A</v>
      </c>
    </row>
    <row r="691" spans="2:19" x14ac:dyDescent="0.25">
      <c r="B691" s="1" t="s">
        <v>1479</v>
      </c>
      <c r="C691" s="1" t="s">
        <v>1481</v>
      </c>
      <c r="D691" s="4" t="e">
        <f>VLOOKUP(A691,المعطيات!$A$1:$J$3500,5,0)</f>
        <v>#N/A</v>
      </c>
      <c r="E691" s="1" t="s">
        <v>1482</v>
      </c>
      <c r="F691" s="5">
        <f t="shared" si="30"/>
        <v>0</v>
      </c>
      <c r="G691" s="5" t="s">
        <v>1483</v>
      </c>
      <c r="H691" s="4" t="e">
        <f>VLOOKUP(A691,المعطيات!$A$1:$J$3500,3,0)</f>
        <v>#N/A</v>
      </c>
      <c r="I691" s="1" t="s">
        <v>1484</v>
      </c>
      <c r="J691" s="1" t="s">
        <v>1485</v>
      </c>
      <c r="K691" s="4" t="e">
        <f>VLOOKUP(A691,المعطيات!$A$1:$J$3500,6,0)</f>
        <v>#N/A</v>
      </c>
      <c r="L691" s="1" t="s">
        <v>1486</v>
      </c>
      <c r="M691" s="1" t="s">
        <v>1487</v>
      </c>
      <c r="N691" s="4" t="e">
        <f t="shared" si="31"/>
        <v>#N/A</v>
      </c>
      <c r="O691" s="1" t="s">
        <v>1488</v>
      </c>
      <c r="P691" s="4" t="e">
        <f>VLOOKUP(A691,المعطيات!$A$1:$J$3500,4,0)</f>
        <v>#N/A</v>
      </c>
      <c r="Q691" s="1" t="s">
        <v>1489</v>
      </c>
      <c r="R691" s="1" t="s">
        <v>1480</v>
      </c>
      <c r="S691" s="6" t="e">
        <f t="shared" si="32"/>
        <v>#N/A</v>
      </c>
    </row>
    <row r="692" spans="2:19" x14ac:dyDescent="0.25">
      <c r="B692" s="1" t="s">
        <v>1479</v>
      </c>
      <c r="C692" s="1" t="s">
        <v>1481</v>
      </c>
      <c r="D692" s="4" t="e">
        <f>VLOOKUP(A692,المعطيات!$A$1:$J$3500,5,0)</f>
        <v>#N/A</v>
      </c>
      <c r="E692" s="1" t="s">
        <v>1482</v>
      </c>
      <c r="F692" s="5">
        <f t="shared" si="30"/>
        <v>0</v>
      </c>
      <c r="G692" s="5" t="s">
        <v>1483</v>
      </c>
      <c r="H692" s="4" t="e">
        <f>VLOOKUP(A692,المعطيات!$A$1:$J$3500,3,0)</f>
        <v>#N/A</v>
      </c>
      <c r="I692" s="1" t="s">
        <v>1484</v>
      </c>
      <c r="J692" s="1" t="s">
        <v>1485</v>
      </c>
      <c r="K692" s="4" t="e">
        <f>VLOOKUP(A692,المعطيات!$A$1:$J$3500,6,0)</f>
        <v>#N/A</v>
      </c>
      <c r="L692" s="1" t="s">
        <v>1486</v>
      </c>
      <c r="M692" s="1" t="s">
        <v>1487</v>
      </c>
      <c r="N692" s="4" t="e">
        <f t="shared" si="31"/>
        <v>#N/A</v>
      </c>
      <c r="O692" s="1" t="s">
        <v>1488</v>
      </c>
      <c r="P692" s="4" t="e">
        <f>VLOOKUP(A692,المعطيات!$A$1:$J$3500,4,0)</f>
        <v>#N/A</v>
      </c>
      <c r="Q692" s="1" t="s">
        <v>1489</v>
      </c>
      <c r="R692" s="1" t="s">
        <v>1480</v>
      </c>
      <c r="S692" s="6" t="e">
        <f t="shared" si="32"/>
        <v>#N/A</v>
      </c>
    </row>
    <row r="693" spans="2:19" x14ac:dyDescent="0.25">
      <c r="B693" s="1" t="s">
        <v>1479</v>
      </c>
      <c r="C693" s="1" t="s">
        <v>1481</v>
      </c>
      <c r="D693" s="4" t="e">
        <f>VLOOKUP(A693,المعطيات!$A$1:$J$3500,5,0)</f>
        <v>#N/A</v>
      </c>
      <c r="E693" s="1" t="s">
        <v>1482</v>
      </c>
      <c r="F693" s="5">
        <f t="shared" si="30"/>
        <v>0</v>
      </c>
      <c r="G693" s="5" t="s">
        <v>1483</v>
      </c>
      <c r="H693" s="4" t="e">
        <f>VLOOKUP(A693,المعطيات!$A$1:$J$3500,3,0)</f>
        <v>#N/A</v>
      </c>
      <c r="I693" s="1" t="s">
        <v>1484</v>
      </c>
      <c r="J693" s="1" t="s">
        <v>1485</v>
      </c>
      <c r="K693" s="4" t="e">
        <f>VLOOKUP(A693,المعطيات!$A$1:$J$3500,6,0)</f>
        <v>#N/A</v>
      </c>
      <c r="L693" s="1" t="s">
        <v>1486</v>
      </c>
      <c r="M693" s="1" t="s">
        <v>1487</v>
      </c>
      <c r="N693" s="4" t="e">
        <f t="shared" si="31"/>
        <v>#N/A</v>
      </c>
      <c r="O693" s="1" t="s">
        <v>1488</v>
      </c>
      <c r="P693" s="4" t="e">
        <f>VLOOKUP(A693,المعطيات!$A$1:$J$3500,4,0)</f>
        <v>#N/A</v>
      </c>
      <c r="Q693" s="1" t="s">
        <v>1489</v>
      </c>
      <c r="R693" s="1" t="s">
        <v>1480</v>
      </c>
      <c r="S693" s="6" t="e">
        <f t="shared" si="32"/>
        <v>#N/A</v>
      </c>
    </row>
    <row r="694" spans="2:19" x14ac:dyDescent="0.25">
      <c r="B694" s="1" t="s">
        <v>1479</v>
      </c>
      <c r="C694" s="1" t="s">
        <v>1481</v>
      </c>
      <c r="D694" s="4" t="e">
        <f>VLOOKUP(A694,المعطيات!$A$1:$J$3500,5,0)</f>
        <v>#N/A</v>
      </c>
      <c r="E694" s="1" t="s">
        <v>1482</v>
      </c>
      <c r="F694" s="5">
        <f t="shared" si="30"/>
        <v>0</v>
      </c>
      <c r="G694" s="5" t="s">
        <v>1483</v>
      </c>
      <c r="H694" s="4" t="e">
        <f>VLOOKUP(A694,المعطيات!$A$1:$J$3500,3,0)</f>
        <v>#N/A</v>
      </c>
      <c r="I694" s="1" t="s">
        <v>1484</v>
      </c>
      <c r="J694" s="1" t="s">
        <v>1485</v>
      </c>
      <c r="K694" s="4" t="e">
        <f>VLOOKUP(A694,المعطيات!$A$1:$J$3500,6,0)</f>
        <v>#N/A</v>
      </c>
      <c r="L694" s="1" t="s">
        <v>1486</v>
      </c>
      <c r="M694" s="1" t="s">
        <v>1487</v>
      </c>
      <c r="N694" s="4" t="e">
        <f t="shared" si="31"/>
        <v>#N/A</v>
      </c>
      <c r="O694" s="1" t="s">
        <v>1488</v>
      </c>
      <c r="P694" s="4" t="e">
        <f>VLOOKUP(A694,المعطيات!$A$1:$J$3500,4,0)</f>
        <v>#N/A</v>
      </c>
      <c r="Q694" s="1" t="s">
        <v>1489</v>
      </c>
      <c r="R694" s="1" t="s">
        <v>1480</v>
      </c>
      <c r="S694" s="6" t="e">
        <f t="shared" si="32"/>
        <v>#N/A</v>
      </c>
    </row>
    <row r="695" spans="2:19" x14ac:dyDescent="0.25">
      <c r="B695" s="1" t="s">
        <v>1479</v>
      </c>
      <c r="C695" s="1" t="s">
        <v>1481</v>
      </c>
      <c r="D695" s="4" t="e">
        <f>VLOOKUP(A695,المعطيات!$A$1:$J$3500,5,0)</f>
        <v>#N/A</v>
      </c>
      <c r="E695" s="1" t="s">
        <v>1482</v>
      </c>
      <c r="F695" s="5">
        <f t="shared" si="30"/>
        <v>0</v>
      </c>
      <c r="G695" s="5" t="s">
        <v>1483</v>
      </c>
      <c r="H695" s="4" t="e">
        <f>VLOOKUP(A695,المعطيات!$A$1:$J$3500,3,0)</f>
        <v>#N/A</v>
      </c>
      <c r="I695" s="1" t="s">
        <v>1484</v>
      </c>
      <c r="J695" s="1" t="s">
        <v>1485</v>
      </c>
      <c r="K695" s="4" t="e">
        <f>VLOOKUP(A695,المعطيات!$A$1:$J$3500,6,0)</f>
        <v>#N/A</v>
      </c>
      <c r="L695" s="1" t="s">
        <v>1486</v>
      </c>
      <c r="M695" s="1" t="s">
        <v>1487</v>
      </c>
      <c r="N695" s="4" t="e">
        <f t="shared" si="31"/>
        <v>#N/A</v>
      </c>
      <c r="O695" s="1" t="s">
        <v>1488</v>
      </c>
      <c r="P695" s="4" t="e">
        <f>VLOOKUP(A695,المعطيات!$A$1:$J$3500,4,0)</f>
        <v>#N/A</v>
      </c>
      <c r="Q695" s="1" t="s">
        <v>1489</v>
      </c>
      <c r="R695" s="1" t="s">
        <v>1480</v>
      </c>
      <c r="S695" s="6" t="e">
        <f t="shared" si="32"/>
        <v>#N/A</v>
      </c>
    </row>
    <row r="696" spans="2:19" x14ac:dyDescent="0.25">
      <c r="B696" s="1" t="s">
        <v>1479</v>
      </c>
      <c r="C696" s="1" t="s">
        <v>1481</v>
      </c>
      <c r="D696" s="4" t="e">
        <f>VLOOKUP(A696,المعطيات!$A$1:$J$3500,5,0)</f>
        <v>#N/A</v>
      </c>
      <c r="E696" s="1" t="s">
        <v>1482</v>
      </c>
      <c r="F696" s="5">
        <f t="shared" si="30"/>
        <v>0</v>
      </c>
      <c r="G696" s="5" t="s">
        <v>1483</v>
      </c>
      <c r="H696" s="4" t="e">
        <f>VLOOKUP(A696,المعطيات!$A$1:$J$3500,3,0)</f>
        <v>#N/A</v>
      </c>
      <c r="I696" s="1" t="s">
        <v>1484</v>
      </c>
      <c r="J696" s="1" t="s">
        <v>1485</v>
      </c>
      <c r="K696" s="4" t="e">
        <f>VLOOKUP(A696,المعطيات!$A$1:$J$3500,6,0)</f>
        <v>#N/A</v>
      </c>
      <c r="L696" s="1" t="s">
        <v>1486</v>
      </c>
      <c r="M696" s="1" t="s">
        <v>1487</v>
      </c>
      <c r="N696" s="4" t="e">
        <f t="shared" si="31"/>
        <v>#N/A</v>
      </c>
      <c r="O696" s="1" t="s">
        <v>1488</v>
      </c>
      <c r="P696" s="4" t="e">
        <f>VLOOKUP(A696,المعطيات!$A$1:$J$3500,4,0)</f>
        <v>#N/A</v>
      </c>
      <c r="Q696" s="1" t="s">
        <v>1489</v>
      </c>
      <c r="R696" s="1" t="s">
        <v>1480</v>
      </c>
      <c r="S696" s="6" t="e">
        <f t="shared" si="32"/>
        <v>#N/A</v>
      </c>
    </row>
    <row r="697" spans="2:19" x14ac:dyDescent="0.25">
      <c r="B697" s="1" t="s">
        <v>1479</v>
      </c>
      <c r="C697" s="1" t="s">
        <v>1481</v>
      </c>
      <c r="D697" s="4" t="e">
        <f>VLOOKUP(A697,المعطيات!$A$1:$J$3500,5,0)</f>
        <v>#N/A</v>
      </c>
      <c r="E697" s="1" t="s">
        <v>1482</v>
      </c>
      <c r="F697" s="5">
        <f t="shared" si="30"/>
        <v>0</v>
      </c>
      <c r="G697" s="5" t="s">
        <v>1483</v>
      </c>
      <c r="H697" s="4" t="e">
        <f>VLOOKUP(A697,المعطيات!$A$1:$J$3500,3,0)</f>
        <v>#N/A</v>
      </c>
      <c r="I697" s="1" t="s">
        <v>1484</v>
      </c>
      <c r="J697" s="1" t="s">
        <v>1485</v>
      </c>
      <c r="K697" s="4" t="e">
        <f>VLOOKUP(A697,المعطيات!$A$1:$J$3500,6,0)</f>
        <v>#N/A</v>
      </c>
      <c r="L697" s="1" t="s">
        <v>1486</v>
      </c>
      <c r="M697" s="1" t="s">
        <v>1487</v>
      </c>
      <c r="N697" s="4" t="e">
        <f t="shared" si="31"/>
        <v>#N/A</v>
      </c>
      <c r="O697" s="1" t="s">
        <v>1488</v>
      </c>
      <c r="P697" s="4" t="e">
        <f>VLOOKUP(A697,المعطيات!$A$1:$J$3500,4,0)</f>
        <v>#N/A</v>
      </c>
      <c r="Q697" s="1" t="s">
        <v>1489</v>
      </c>
      <c r="R697" s="1" t="s">
        <v>1480</v>
      </c>
      <c r="S697" s="6" t="e">
        <f t="shared" si="32"/>
        <v>#N/A</v>
      </c>
    </row>
    <row r="698" spans="2:19" x14ac:dyDescent="0.25">
      <c r="B698" s="1" t="s">
        <v>1479</v>
      </c>
      <c r="C698" s="1" t="s">
        <v>1481</v>
      </c>
      <c r="D698" s="4" t="e">
        <f>VLOOKUP(A698,المعطيات!$A$1:$J$3500,5,0)</f>
        <v>#N/A</v>
      </c>
      <c r="E698" s="1" t="s">
        <v>1482</v>
      </c>
      <c r="F698" s="5">
        <f t="shared" si="30"/>
        <v>0</v>
      </c>
      <c r="G698" s="5" t="s">
        <v>1483</v>
      </c>
      <c r="H698" s="4" t="e">
        <f>VLOOKUP(A698,المعطيات!$A$1:$J$3500,3,0)</f>
        <v>#N/A</v>
      </c>
      <c r="I698" s="1" t="s">
        <v>1484</v>
      </c>
      <c r="J698" s="1" t="s">
        <v>1485</v>
      </c>
      <c r="K698" s="4" t="e">
        <f>VLOOKUP(A698,المعطيات!$A$1:$J$3500,6,0)</f>
        <v>#N/A</v>
      </c>
      <c r="L698" s="1" t="s">
        <v>1486</v>
      </c>
      <c r="M698" s="1" t="s">
        <v>1487</v>
      </c>
      <c r="N698" s="4" t="e">
        <f t="shared" si="31"/>
        <v>#N/A</v>
      </c>
      <c r="O698" s="1" t="s">
        <v>1488</v>
      </c>
      <c r="P698" s="4" t="e">
        <f>VLOOKUP(A698,المعطيات!$A$1:$J$3500,4,0)</f>
        <v>#N/A</v>
      </c>
      <c r="Q698" s="1" t="s">
        <v>1489</v>
      </c>
      <c r="R698" s="1" t="s">
        <v>1480</v>
      </c>
      <c r="S698" s="6" t="e">
        <f t="shared" si="32"/>
        <v>#N/A</v>
      </c>
    </row>
    <row r="699" spans="2:19" x14ac:dyDescent="0.25">
      <c r="B699" s="1" t="s">
        <v>1479</v>
      </c>
      <c r="C699" s="1" t="s">
        <v>1481</v>
      </c>
      <c r="D699" s="4" t="e">
        <f>VLOOKUP(A699,المعطيات!$A$1:$J$3500,5,0)</f>
        <v>#N/A</v>
      </c>
      <c r="E699" s="1" t="s">
        <v>1482</v>
      </c>
      <c r="F699" s="5">
        <f t="shared" si="30"/>
        <v>0</v>
      </c>
      <c r="G699" s="5" t="s">
        <v>1483</v>
      </c>
      <c r="H699" s="4" t="e">
        <f>VLOOKUP(A699,المعطيات!$A$1:$J$3500,3,0)</f>
        <v>#N/A</v>
      </c>
      <c r="I699" s="1" t="s">
        <v>1484</v>
      </c>
      <c r="J699" s="1" t="s">
        <v>1485</v>
      </c>
      <c r="K699" s="4" t="e">
        <f>VLOOKUP(A699,المعطيات!$A$1:$J$3500,6,0)</f>
        <v>#N/A</v>
      </c>
      <c r="L699" s="1" t="s">
        <v>1486</v>
      </c>
      <c r="M699" s="1" t="s">
        <v>1487</v>
      </c>
      <c r="N699" s="4" t="e">
        <f t="shared" si="31"/>
        <v>#N/A</v>
      </c>
      <c r="O699" s="1" t="s">
        <v>1488</v>
      </c>
      <c r="P699" s="4" t="e">
        <f>VLOOKUP(A699,المعطيات!$A$1:$J$3500,4,0)</f>
        <v>#N/A</v>
      </c>
      <c r="Q699" s="1" t="s">
        <v>1489</v>
      </c>
      <c r="R699" s="1" t="s">
        <v>1480</v>
      </c>
      <c r="S699" s="6" t="e">
        <f t="shared" si="32"/>
        <v>#N/A</v>
      </c>
    </row>
    <row r="700" spans="2:19" x14ac:dyDescent="0.25">
      <c r="B700" s="1" t="s">
        <v>1479</v>
      </c>
      <c r="C700" s="1" t="s">
        <v>1481</v>
      </c>
      <c r="D700" s="4" t="e">
        <f>VLOOKUP(A700,المعطيات!$A$1:$J$3500,5,0)</f>
        <v>#N/A</v>
      </c>
      <c r="E700" s="1" t="s">
        <v>1482</v>
      </c>
      <c r="F700" s="5">
        <f t="shared" si="30"/>
        <v>0</v>
      </c>
      <c r="G700" s="5" t="s">
        <v>1483</v>
      </c>
      <c r="H700" s="4" t="e">
        <f>VLOOKUP(A700,المعطيات!$A$1:$J$3500,3,0)</f>
        <v>#N/A</v>
      </c>
      <c r="I700" s="1" t="s">
        <v>1484</v>
      </c>
      <c r="J700" s="1" t="s">
        <v>1485</v>
      </c>
      <c r="K700" s="4" t="e">
        <f>VLOOKUP(A700,المعطيات!$A$1:$J$3500,6,0)</f>
        <v>#N/A</v>
      </c>
      <c r="L700" s="1" t="s">
        <v>1486</v>
      </c>
      <c r="M700" s="1" t="s">
        <v>1487</v>
      </c>
      <c r="N700" s="4" t="e">
        <f t="shared" si="31"/>
        <v>#N/A</v>
      </c>
      <c r="O700" s="1" t="s">
        <v>1488</v>
      </c>
      <c r="P700" s="4" t="e">
        <f>VLOOKUP(A700,المعطيات!$A$1:$J$3500,4,0)</f>
        <v>#N/A</v>
      </c>
      <c r="Q700" s="1" t="s">
        <v>1489</v>
      </c>
      <c r="R700" s="1" t="s">
        <v>1480</v>
      </c>
      <c r="S700" s="6" t="e">
        <f t="shared" si="32"/>
        <v>#N/A</v>
      </c>
    </row>
    <row r="701" spans="2:19" x14ac:dyDescent="0.25">
      <c r="B701" s="1" t="s">
        <v>1479</v>
      </c>
      <c r="C701" s="1" t="s">
        <v>1481</v>
      </c>
      <c r="D701" s="4" t="e">
        <f>VLOOKUP(A701,المعطيات!$A$1:$J$3500,5,0)</f>
        <v>#N/A</v>
      </c>
      <c r="E701" s="1" t="s">
        <v>1482</v>
      </c>
      <c r="F701" s="5">
        <f t="shared" si="30"/>
        <v>0</v>
      </c>
      <c r="G701" s="5" t="s">
        <v>1483</v>
      </c>
      <c r="H701" s="4" t="e">
        <f>VLOOKUP(A701,المعطيات!$A$1:$J$3500,3,0)</f>
        <v>#N/A</v>
      </c>
      <c r="I701" s="1" t="s">
        <v>1484</v>
      </c>
      <c r="J701" s="1" t="s">
        <v>1485</v>
      </c>
      <c r="K701" s="4" t="e">
        <f>VLOOKUP(A701,المعطيات!$A$1:$J$3500,6,0)</f>
        <v>#N/A</v>
      </c>
      <c r="L701" s="1" t="s">
        <v>1486</v>
      </c>
      <c r="M701" s="1" t="s">
        <v>1487</v>
      </c>
      <c r="N701" s="4" t="e">
        <f t="shared" si="31"/>
        <v>#N/A</v>
      </c>
      <c r="O701" s="1" t="s">
        <v>1488</v>
      </c>
      <c r="P701" s="4" t="e">
        <f>VLOOKUP(A701,المعطيات!$A$1:$J$3500,4,0)</f>
        <v>#N/A</v>
      </c>
      <c r="Q701" s="1" t="s">
        <v>1489</v>
      </c>
      <c r="R701" s="1" t="s">
        <v>1480</v>
      </c>
      <c r="S701" s="6" t="e">
        <f t="shared" si="32"/>
        <v>#N/A</v>
      </c>
    </row>
    <row r="702" spans="2:19" x14ac:dyDescent="0.25">
      <c r="B702" s="1" t="s">
        <v>1479</v>
      </c>
      <c r="C702" s="1" t="s">
        <v>1481</v>
      </c>
      <c r="D702" s="4" t="e">
        <f>VLOOKUP(A702,المعطيات!$A$1:$J$3500,5,0)</f>
        <v>#N/A</v>
      </c>
      <c r="E702" s="1" t="s">
        <v>1482</v>
      </c>
      <c r="F702" s="5">
        <f t="shared" si="30"/>
        <v>0</v>
      </c>
      <c r="G702" s="5" t="s">
        <v>1483</v>
      </c>
      <c r="H702" s="4" t="e">
        <f>VLOOKUP(A702,المعطيات!$A$1:$J$3500,3,0)</f>
        <v>#N/A</v>
      </c>
      <c r="I702" s="1" t="s">
        <v>1484</v>
      </c>
      <c r="J702" s="1" t="s">
        <v>1485</v>
      </c>
      <c r="K702" s="4" t="e">
        <f>VLOOKUP(A702,المعطيات!$A$1:$J$3500,6,0)</f>
        <v>#N/A</v>
      </c>
      <c r="L702" s="1" t="s">
        <v>1486</v>
      </c>
      <c r="M702" s="1" t="s">
        <v>1487</v>
      </c>
      <c r="N702" s="4" t="e">
        <f t="shared" si="31"/>
        <v>#N/A</v>
      </c>
      <c r="O702" s="1" t="s">
        <v>1488</v>
      </c>
      <c r="P702" s="4" t="e">
        <f>VLOOKUP(A702,المعطيات!$A$1:$J$3500,4,0)</f>
        <v>#N/A</v>
      </c>
      <c r="Q702" s="1" t="s">
        <v>1489</v>
      </c>
      <c r="R702" s="1" t="s">
        <v>1480</v>
      </c>
      <c r="S702" s="6" t="e">
        <f t="shared" si="32"/>
        <v>#N/A</v>
      </c>
    </row>
    <row r="703" spans="2:19" x14ac:dyDescent="0.25">
      <c r="B703" s="1" t="s">
        <v>1479</v>
      </c>
      <c r="C703" s="1" t="s">
        <v>1481</v>
      </c>
      <c r="D703" s="4" t="e">
        <f>VLOOKUP(A703,المعطيات!$A$1:$J$3500,5,0)</f>
        <v>#N/A</v>
      </c>
      <c r="E703" s="1" t="s">
        <v>1482</v>
      </c>
      <c r="F703" s="5">
        <f t="shared" si="30"/>
        <v>0</v>
      </c>
      <c r="G703" s="5" t="s">
        <v>1483</v>
      </c>
      <c r="H703" s="4" t="e">
        <f>VLOOKUP(A703,المعطيات!$A$1:$J$3500,3,0)</f>
        <v>#N/A</v>
      </c>
      <c r="I703" s="1" t="s">
        <v>1484</v>
      </c>
      <c r="J703" s="1" t="s">
        <v>1485</v>
      </c>
      <c r="K703" s="4" t="e">
        <f>VLOOKUP(A703,المعطيات!$A$1:$J$3500,6,0)</f>
        <v>#N/A</v>
      </c>
      <c r="L703" s="1" t="s">
        <v>1486</v>
      </c>
      <c r="M703" s="1" t="s">
        <v>1487</v>
      </c>
      <c r="N703" s="4" t="e">
        <f t="shared" si="31"/>
        <v>#N/A</v>
      </c>
      <c r="O703" s="1" t="s">
        <v>1488</v>
      </c>
      <c r="P703" s="4" t="e">
        <f>VLOOKUP(A703,المعطيات!$A$1:$J$3500,4,0)</f>
        <v>#N/A</v>
      </c>
      <c r="Q703" s="1" t="s">
        <v>1489</v>
      </c>
      <c r="R703" s="1" t="s">
        <v>1480</v>
      </c>
      <c r="S703" s="6" t="e">
        <f t="shared" si="32"/>
        <v>#N/A</v>
      </c>
    </row>
    <row r="704" spans="2:19" x14ac:dyDescent="0.25">
      <c r="B704" s="1" t="s">
        <v>1479</v>
      </c>
      <c r="C704" s="1" t="s">
        <v>1481</v>
      </c>
      <c r="D704" s="4" t="e">
        <f>VLOOKUP(A704,المعطيات!$A$1:$J$3500,5,0)</f>
        <v>#N/A</v>
      </c>
      <c r="E704" s="1" t="s">
        <v>1482</v>
      </c>
      <c r="F704" s="5">
        <f t="shared" si="30"/>
        <v>0</v>
      </c>
      <c r="G704" s="5" t="s">
        <v>1483</v>
      </c>
      <c r="H704" s="4" t="e">
        <f>VLOOKUP(A704,المعطيات!$A$1:$J$3500,3,0)</f>
        <v>#N/A</v>
      </c>
      <c r="I704" s="1" t="s">
        <v>1484</v>
      </c>
      <c r="J704" s="1" t="s">
        <v>1485</v>
      </c>
      <c r="K704" s="4" t="e">
        <f>VLOOKUP(A704,المعطيات!$A$1:$J$3500,6,0)</f>
        <v>#N/A</v>
      </c>
      <c r="L704" s="1" t="s">
        <v>1486</v>
      </c>
      <c r="M704" s="1" t="s">
        <v>1487</v>
      </c>
      <c r="N704" s="4" t="e">
        <f t="shared" si="31"/>
        <v>#N/A</v>
      </c>
      <c r="O704" s="1" t="s">
        <v>1488</v>
      </c>
      <c r="P704" s="4" t="e">
        <f>VLOOKUP(A704,المعطيات!$A$1:$J$3500,4,0)</f>
        <v>#N/A</v>
      </c>
      <c r="Q704" s="1" t="s">
        <v>1489</v>
      </c>
      <c r="R704" s="1" t="s">
        <v>1480</v>
      </c>
      <c r="S704" s="6" t="e">
        <f t="shared" si="32"/>
        <v>#N/A</v>
      </c>
    </row>
    <row r="705" spans="2:19" x14ac:dyDescent="0.25">
      <c r="B705" s="1" t="s">
        <v>1479</v>
      </c>
      <c r="C705" s="1" t="s">
        <v>1481</v>
      </c>
      <c r="D705" s="4" t="e">
        <f>VLOOKUP(A705,المعطيات!$A$1:$J$3500,5,0)</f>
        <v>#N/A</v>
      </c>
      <c r="E705" s="1" t="s">
        <v>1482</v>
      </c>
      <c r="F705" s="5">
        <f t="shared" si="30"/>
        <v>0</v>
      </c>
      <c r="G705" s="5" t="s">
        <v>1483</v>
      </c>
      <c r="H705" s="4" t="e">
        <f>VLOOKUP(A705,المعطيات!$A$1:$J$3500,3,0)</f>
        <v>#N/A</v>
      </c>
      <c r="I705" s="1" t="s">
        <v>1484</v>
      </c>
      <c r="J705" s="1" t="s">
        <v>1485</v>
      </c>
      <c r="K705" s="4" t="e">
        <f>VLOOKUP(A705,المعطيات!$A$1:$J$3500,6,0)</f>
        <v>#N/A</v>
      </c>
      <c r="L705" s="1" t="s">
        <v>1486</v>
      </c>
      <c r="M705" s="1" t="s">
        <v>1487</v>
      </c>
      <c r="N705" s="4" t="e">
        <f t="shared" si="31"/>
        <v>#N/A</v>
      </c>
      <c r="O705" s="1" t="s">
        <v>1488</v>
      </c>
      <c r="P705" s="4" t="e">
        <f>VLOOKUP(A705,المعطيات!$A$1:$J$3500,4,0)</f>
        <v>#N/A</v>
      </c>
      <c r="Q705" s="1" t="s">
        <v>1489</v>
      </c>
      <c r="R705" s="1" t="s">
        <v>1480</v>
      </c>
      <c r="S705" s="6" t="e">
        <f t="shared" si="32"/>
        <v>#N/A</v>
      </c>
    </row>
    <row r="706" spans="2:19" x14ac:dyDescent="0.25">
      <c r="B706" s="1" t="s">
        <v>1479</v>
      </c>
      <c r="C706" s="1" t="s">
        <v>1481</v>
      </c>
      <c r="D706" s="4" t="e">
        <f>VLOOKUP(A706,المعطيات!$A$1:$J$3500,5,0)</f>
        <v>#N/A</v>
      </c>
      <c r="E706" s="1" t="s">
        <v>1482</v>
      </c>
      <c r="F706" s="5">
        <f t="shared" ref="F706:F769" si="33">A706</f>
        <v>0</v>
      </c>
      <c r="G706" s="5" t="s">
        <v>1483</v>
      </c>
      <c r="H706" s="4" t="e">
        <f>VLOOKUP(A706,المعطيات!$A$1:$J$3500,3,0)</f>
        <v>#N/A</v>
      </c>
      <c r="I706" s="1" t="s">
        <v>1484</v>
      </c>
      <c r="J706" s="1" t="s">
        <v>1485</v>
      </c>
      <c r="K706" s="4" t="e">
        <f>VLOOKUP(A706,المعطيات!$A$1:$J$3500,6,0)</f>
        <v>#N/A</v>
      </c>
      <c r="L706" s="1" t="s">
        <v>1486</v>
      </c>
      <c r="M706" s="1" t="s">
        <v>1487</v>
      </c>
      <c r="N706" s="4" t="e">
        <f t="shared" ref="N706:N769" si="34">D706</f>
        <v>#N/A</v>
      </c>
      <c r="O706" s="1" t="s">
        <v>1488</v>
      </c>
      <c r="P706" s="4" t="e">
        <f>VLOOKUP(A706,المعطيات!$A$1:$J$3500,4,0)</f>
        <v>#N/A</v>
      </c>
      <c r="Q706" s="1" t="s">
        <v>1489</v>
      </c>
      <c r="R706" s="1" t="s">
        <v>1480</v>
      </c>
      <c r="S706" s="6" t="e">
        <f t="shared" ref="S706:S769" si="35">B706&amp;""&amp;C706&amp;""&amp;D706&amp;""&amp;E706&amp;""&amp;F706&amp;""&amp;G706&amp;""&amp;H706&amp;""&amp;I706&amp;""&amp;J706&amp;""&amp;K706&amp;""&amp;L706&amp;""&amp;M706&amp;""&amp;N706&amp;""&amp;O706&amp;""&amp;P706&amp;""&amp;Q706&amp;""&amp;R706</f>
        <v>#N/A</v>
      </c>
    </row>
    <row r="707" spans="2:19" x14ac:dyDescent="0.25">
      <c r="B707" s="1" t="s">
        <v>1479</v>
      </c>
      <c r="C707" s="1" t="s">
        <v>1481</v>
      </c>
      <c r="D707" s="4" t="e">
        <f>VLOOKUP(A707,المعطيات!$A$1:$J$3500,5,0)</f>
        <v>#N/A</v>
      </c>
      <c r="E707" s="1" t="s">
        <v>1482</v>
      </c>
      <c r="F707" s="5">
        <f t="shared" si="33"/>
        <v>0</v>
      </c>
      <c r="G707" s="5" t="s">
        <v>1483</v>
      </c>
      <c r="H707" s="4" t="e">
        <f>VLOOKUP(A707,المعطيات!$A$1:$J$3500,3,0)</f>
        <v>#N/A</v>
      </c>
      <c r="I707" s="1" t="s">
        <v>1484</v>
      </c>
      <c r="J707" s="1" t="s">
        <v>1485</v>
      </c>
      <c r="K707" s="4" t="e">
        <f>VLOOKUP(A707,المعطيات!$A$1:$J$3500,6,0)</f>
        <v>#N/A</v>
      </c>
      <c r="L707" s="1" t="s">
        <v>1486</v>
      </c>
      <c r="M707" s="1" t="s">
        <v>1487</v>
      </c>
      <c r="N707" s="4" t="e">
        <f t="shared" si="34"/>
        <v>#N/A</v>
      </c>
      <c r="O707" s="1" t="s">
        <v>1488</v>
      </c>
      <c r="P707" s="4" t="e">
        <f>VLOOKUP(A707,المعطيات!$A$1:$J$3500,4,0)</f>
        <v>#N/A</v>
      </c>
      <c r="Q707" s="1" t="s">
        <v>1489</v>
      </c>
      <c r="R707" s="1" t="s">
        <v>1480</v>
      </c>
      <c r="S707" s="6" t="e">
        <f t="shared" si="35"/>
        <v>#N/A</v>
      </c>
    </row>
    <row r="708" spans="2:19" x14ac:dyDescent="0.25">
      <c r="B708" s="1" t="s">
        <v>1479</v>
      </c>
      <c r="C708" s="1" t="s">
        <v>1481</v>
      </c>
      <c r="D708" s="4" t="e">
        <f>VLOOKUP(A708,المعطيات!$A$1:$J$3500,5,0)</f>
        <v>#N/A</v>
      </c>
      <c r="E708" s="1" t="s">
        <v>1482</v>
      </c>
      <c r="F708" s="5">
        <f t="shared" si="33"/>
        <v>0</v>
      </c>
      <c r="G708" s="5" t="s">
        <v>1483</v>
      </c>
      <c r="H708" s="4" t="e">
        <f>VLOOKUP(A708,المعطيات!$A$1:$J$3500,3,0)</f>
        <v>#N/A</v>
      </c>
      <c r="I708" s="1" t="s">
        <v>1484</v>
      </c>
      <c r="J708" s="1" t="s">
        <v>1485</v>
      </c>
      <c r="K708" s="4" t="e">
        <f>VLOOKUP(A708,المعطيات!$A$1:$J$3500,6,0)</f>
        <v>#N/A</v>
      </c>
      <c r="L708" s="1" t="s">
        <v>1486</v>
      </c>
      <c r="M708" s="1" t="s">
        <v>1487</v>
      </c>
      <c r="N708" s="4" t="e">
        <f t="shared" si="34"/>
        <v>#N/A</v>
      </c>
      <c r="O708" s="1" t="s">
        <v>1488</v>
      </c>
      <c r="P708" s="4" t="e">
        <f>VLOOKUP(A708,المعطيات!$A$1:$J$3500,4,0)</f>
        <v>#N/A</v>
      </c>
      <c r="Q708" s="1" t="s">
        <v>1489</v>
      </c>
      <c r="R708" s="1" t="s">
        <v>1480</v>
      </c>
      <c r="S708" s="6" t="e">
        <f t="shared" si="35"/>
        <v>#N/A</v>
      </c>
    </row>
    <row r="709" spans="2:19" x14ac:dyDescent="0.25">
      <c r="B709" s="1" t="s">
        <v>1479</v>
      </c>
      <c r="C709" s="1" t="s">
        <v>1481</v>
      </c>
      <c r="D709" s="4" t="e">
        <f>VLOOKUP(A709,المعطيات!$A$1:$J$3500,5,0)</f>
        <v>#N/A</v>
      </c>
      <c r="E709" s="1" t="s">
        <v>1482</v>
      </c>
      <c r="F709" s="5">
        <f t="shared" si="33"/>
        <v>0</v>
      </c>
      <c r="G709" s="5" t="s">
        <v>1483</v>
      </c>
      <c r="H709" s="4" t="e">
        <f>VLOOKUP(A709,المعطيات!$A$1:$J$3500,3,0)</f>
        <v>#N/A</v>
      </c>
      <c r="I709" s="1" t="s">
        <v>1484</v>
      </c>
      <c r="J709" s="1" t="s">
        <v>1485</v>
      </c>
      <c r="K709" s="4" t="e">
        <f>VLOOKUP(A709,المعطيات!$A$1:$J$3500,6,0)</f>
        <v>#N/A</v>
      </c>
      <c r="L709" s="1" t="s">
        <v>1486</v>
      </c>
      <c r="M709" s="1" t="s">
        <v>1487</v>
      </c>
      <c r="N709" s="4" t="e">
        <f t="shared" si="34"/>
        <v>#N/A</v>
      </c>
      <c r="O709" s="1" t="s">
        <v>1488</v>
      </c>
      <c r="P709" s="4" t="e">
        <f>VLOOKUP(A709,المعطيات!$A$1:$J$3500,4,0)</f>
        <v>#N/A</v>
      </c>
      <c r="Q709" s="1" t="s">
        <v>1489</v>
      </c>
      <c r="R709" s="1" t="s">
        <v>1480</v>
      </c>
      <c r="S709" s="6" t="e">
        <f t="shared" si="35"/>
        <v>#N/A</v>
      </c>
    </row>
    <row r="710" spans="2:19" x14ac:dyDescent="0.25">
      <c r="B710" s="1" t="s">
        <v>1479</v>
      </c>
      <c r="C710" s="1" t="s">
        <v>1481</v>
      </c>
      <c r="D710" s="4" t="e">
        <f>VLOOKUP(A710,المعطيات!$A$1:$J$3500,5,0)</f>
        <v>#N/A</v>
      </c>
      <c r="E710" s="1" t="s">
        <v>1482</v>
      </c>
      <c r="F710" s="5">
        <f t="shared" si="33"/>
        <v>0</v>
      </c>
      <c r="G710" s="5" t="s">
        <v>1483</v>
      </c>
      <c r="H710" s="4" t="e">
        <f>VLOOKUP(A710,المعطيات!$A$1:$J$3500,3,0)</f>
        <v>#N/A</v>
      </c>
      <c r="I710" s="1" t="s">
        <v>1484</v>
      </c>
      <c r="J710" s="1" t="s">
        <v>1485</v>
      </c>
      <c r="K710" s="4" t="e">
        <f>VLOOKUP(A710,المعطيات!$A$1:$J$3500,6,0)</f>
        <v>#N/A</v>
      </c>
      <c r="L710" s="1" t="s">
        <v>1486</v>
      </c>
      <c r="M710" s="1" t="s">
        <v>1487</v>
      </c>
      <c r="N710" s="4" t="e">
        <f t="shared" si="34"/>
        <v>#N/A</v>
      </c>
      <c r="O710" s="1" t="s">
        <v>1488</v>
      </c>
      <c r="P710" s="4" t="e">
        <f>VLOOKUP(A710,المعطيات!$A$1:$J$3500,4,0)</f>
        <v>#N/A</v>
      </c>
      <c r="Q710" s="1" t="s">
        <v>1489</v>
      </c>
      <c r="R710" s="1" t="s">
        <v>1480</v>
      </c>
      <c r="S710" s="6" t="e">
        <f t="shared" si="35"/>
        <v>#N/A</v>
      </c>
    </row>
    <row r="711" spans="2:19" x14ac:dyDescent="0.25">
      <c r="B711" s="1" t="s">
        <v>1479</v>
      </c>
      <c r="C711" s="1" t="s">
        <v>1481</v>
      </c>
      <c r="D711" s="4" t="e">
        <f>VLOOKUP(A711,المعطيات!$A$1:$J$3500,5,0)</f>
        <v>#N/A</v>
      </c>
      <c r="E711" s="1" t="s">
        <v>1482</v>
      </c>
      <c r="F711" s="5">
        <f t="shared" si="33"/>
        <v>0</v>
      </c>
      <c r="G711" s="5" t="s">
        <v>1483</v>
      </c>
      <c r="H711" s="4" t="e">
        <f>VLOOKUP(A711,المعطيات!$A$1:$J$3500,3,0)</f>
        <v>#N/A</v>
      </c>
      <c r="I711" s="1" t="s">
        <v>1484</v>
      </c>
      <c r="J711" s="1" t="s">
        <v>1485</v>
      </c>
      <c r="K711" s="4" t="e">
        <f>VLOOKUP(A711,المعطيات!$A$1:$J$3500,6,0)</f>
        <v>#N/A</v>
      </c>
      <c r="L711" s="1" t="s">
        <v>1486</v>
      </c>
      <c r="M711" s="1" t="s">
        <v>1487</v>
      </c>
      <c r="N711" s="4" t="e">
        <f t="shared" si="34"/>
        <v>#N/A</v>
      </c>
      <c r="O711" s="1" t="s">
        <v>1488</v>
      </c>
      <c r="P711" s="4" t="e">
        <f>VLOOKUP(A711,المعطيات!$A$1:$J$3500,4,0)</f>
        <v>#N/A</v>
      </c>
      <c r="Q711" s="1" t="s">
        <v>1489</v>
      </c>
      <c r="R711" s="1" t="s">
        <v>1480</v>
      </c>
      <c r="S711" s="6" t="e">
        <f t="shared" si="35"/>
        <v>#N/A</v>
      </c>
    </row>
    <row r="712" spans="2:19" x14ac:dyDescent="0.25">
      <c r="B712" s="1" t="s">
        <v>1479</v>
      </c>
      <c r="C712" s="1" t="s">
        <v>1481</v>
      </c>
      <c r="D712" s="4" t="e">
        <f>VLOOKUP(A712,المعطيات!$A$1:$J$3500,5,0)</f>
        <v>#N/A</v>
      </c>
      <c r="E712" s="1" t="s">
        <v>1482</v>
      </c>
      <c r="F712" s="5">
        <f t="shared" si="33"/>
        <v>0</v>
      </c>
      <c r="G712" s="5" t="s">
        <v>1483</v>
      </c>
      <c r="H712" s="4" t="e">
        <f>VLOOKUP(A712,المعطيات!$A$1:$J$3500,3,0)</f>
        <v>#N/A</v>
      </c>
      <c r="I712" s="1" t="s">
        <v>1484</v>
      </c>
      <c r="J712" s="1" t="s">
        <v>1485</v>
      </c>
      <c r="K712" s="4" t="e">
        <f>VLOOKUP(A712,المعطيات!$A$1:$J$3500,6,0)</f>
        <v>#N/A</v>
      </c>
      <c r="L712" s="1" t="s">
        <v>1486</v>
      </c>
      <c r="M712" s="1" t="s">
        <v>1487</v>
      </c>
      <c r="N712" s="4" t="e">
        <f t="shared" si="34"/>
        <v>#N/A</v>
      </c>
      <c r="O712" s="1" t="s">
        <v>1488</v>
      </c>
      <c r="P712" s="4" t="e">
        <f>VLOOKUP(A712,المعطيات!$A$1:$J$3500,4,0)</f>
        <v>#N/A</v>
      </c>
      <c r="Q712" s="1" t="s">
        <v>1489</v>
      </c>
      <c r="R712" s="1" t="s">
        <v>1480</v>
      </c>
      <c r="S712" s="6" t="e">
        <f t="shared" si="35"/>
        <v>#N/A</v>
      </c>
    </row>
    <row r="713" spans="2:19" x14ac:dyDescent="0.25">
      <c r="B713" s="1" t="s">
        <v>1479</v>
      </c>
      <c r="C713" s="1" t="s">
        <v>1481</v>
      </c>
      <c r="D713" s="4" t="e">
        <f>VLOOKUP(A713,المعطيات!$A$1:$J$3500,5,0)</f>
        <v>#N/A</v>
      </c>
      <c r="E713" s="1" t="s">
        <v>1482</v>
      </c>
      <c r="F713" s="5">
        <f t="shared" si="33"/>
        <v>0</v>
      </c>
      <c r="G713" s="5" t="s">
        <v>1483</v>
      </c>
      <c r="H713" s="4" t="e">
        <f>VLOOKUP(A713,المعطيات!$A$1:$J$3500,3,0)</f>
        <v>#N/A</v>
      </c>
      <c r="I713" s="1" t="s">
        <v>1484</v>
      </c>
      <c r="J713" s="1" t="s">
        <v>1485</v>
      </c>
      <c r="K713" s="4" t="e">
        <f>VLOOKUP(A713,المعطيات!$A$1:$J$3500,6,0)</f>
        <v>#N/A</v>
      </c>
      <c r="L713" s="1" t="s">
        <v>1486</v>
      </c>
      <c r="M713" s="1" t="s">
        <v>1487</v>
      </c>
      <c r="N713" s="4" t="e">
        <f t="shared" si="34"/>
        <v>#N/A</v>
      </c>
      <c r="O713" s="1" t="s">
        <v>1488</v>
      </c>
      <c r="P713" s="4" t="e">
        <f>VLOOKUP(A713,المعطيات!$A$1:$J$3500,4,0)</f>
        <v>#N/A</v>
      </c>
      <c r="Q713" s="1" t="s">
        <v>1489</v>
      </c>
      <c r="R713" s="1" t="s">
        <v>1480</v>
      </c>
      <c r="S713" s="6" t="e">
        <f t="shared" si="35"/>
        <v>#N/A</v>
      </c>
    </row>
    <row r="714" spans="2:19" x14ac:dyDescent="0.25">
      <c r="B714" s="1" t="s">
        <v>1479</v>
      </c>
      <c r="C714" s="1" t="s">
        <v>1481</v>
      </c>
      <c r="D714" s="4" t="e">
        <f>VLOOKUP(A714,المعطيات!$A$1:$J$3500,5,0)</f>
        <v>#N/A</v>
      </c>
      <c r="E714" s="1" t="s">
        <v>1482</v>
      </c>
      <c r="F714" s="5">
        <f t="shared" si="33"/>
        <v>0</v>
      </c>
      <c r="G714" s="5" t="s">
        <v>1483</v>
      </c>
      <c r="H714" s="4" t="e">
        <f>VLOOKUP(A714,المعطيات!$A$1:$J$3500,3,0)</f>
        <v>#N/A</v>
      </c>
      <c r="I714" s="1" t="s">
        <v>1484</v>
      </c>
      <c r="J714" s="1" t="s">
        <v>1485</v>
      </c>
      <c r="K714" s="4" t="e">
        <f>VLOOKUP(A714,المعطيات!$A$1:$J$3500,6,0)</f>
        <v>#N/A</v>
      </c>
      <c r="L714" s="1" t="s">
        <v>1486</v>
      </c>
      <c r="M714" s="1" t="s">
        <v>1487</v>
      </c>
      <c r="N714" s="4" t="e">
        <f t="shared" si="34"/>
        <v>#N/A</v>
      </c>
      <c r="O714" s="1" t="s">
        <v>1488</v>
      </c>
      <c r="P714" s="4" t="e">
        <f>VLOOKUP(A714,المعطيات!$A$1:$J$3500,4,0)</f>
        <v>#N/A</v>
      </c>
      <c r="Q714" s="1" t="s">
        <v>1489</v>
      </c>
      <c r="R714" s="1" t="s">
        <v>1480</v>
      </c>
      <c r="S714" s="6" t="e">
        <f t="shared" si="35"/>
        <v>#N/A</v>
      </c>
    </row>
    <row r="715" spans="2:19" x14ac:dyDescent="0.25">
      <c r="B715" s="1" t="s">
        <v>1479</v>
      </c>
      <c r="C715" s="1" t="s">
        <v>1481</v>
      </c>
      <c r="D715" s="4" t="e">
        <f>VLOOKUP(A715,المعطيات!$A$1:$J$3500,5,0)</f>
        <v>#N/A</v>
      </c>
      <c r="E715" s="1" t="s">
        <v>1482</v>
      </c>
      <c r="F715" s="5">
        <f t="shared" si="33"/>
        <v>0</v>
      </c>
      <c r="G715" s="5" t="s">
        <v>1483</v>
      </c>
      <c r="H715" s="4" t="e">
        <f>VLOOKUP(A715,المعطيات!$A$1:$J$3500,3,0)</f>
        <v>#N/A</v>
      </c>
      <c r="I715" s="1" t="s">
        <v>1484</v>
      </c>
      <c r="J715" s="1" t="s">
        <v>1485</v>
      </c>
      <c r="K715" s="4" t="e">
        <f>VLOOKUP(A715,المعطيات!$A$1:$J$3500,6,0)</f>
        <v>#N/A</v>
      </c>
      <c r="L715" s="1" t="s">
        <v>1486</v>
      </c>
      <c r="M715" s="1" t="s">
        <v>1487</v>
      </c>
      <c r="N715" s="4" t="e">
        <f t="shared" si="34"/>
        <v>#N/A</v>
      </c>
      <c r="O715" s="1" t="s">
        <v>1488</v>
      </c>
      <c r="P715" s="4" t="e">
        <f>VLOOKUP(A715,المعطيات!$A$1:$J$3500,4,0)</f>
        <v>#N/A</v>
      </c>
      <c r="Q715" s="1" t="s">
        <v>1489</v>
      </c>
      <c r="R715" s="1" t="s">
        <v>1480</v>
      </c>
      <c r="S715" s="6" t="e">
        <f t="shared" si="35"/>
        <v>#N/A</v>
      </c>
    </row>
    <row r="716" spans="2:19" x14ac:dyDescent="0.25">
      <c r="B716" s="1" t="s">
        <v>1479</v>
      </c>
      <c r="C716" s="1" t="s">
        <v>1481</v>
      </c>
      <c r="D716" s="4" t="e">
        <f>VLOOKUP(A716,المعطيات!$A$1:$J$3500,5,0)</f>
        <v>#N/A</v>
      </c>
      <c r="E716" s="1" t="s">
        <v>1482</v>
      </c>
      <c r="F716" s="5">
        <f t="shared" si="33"/>
        <v>0</v>
      </c>
      <c r="G716" s="5" t="s">
        <v>1483</v>
      </c>
      <c r="H716" s="4" t="e">
        <f>VLOOKUP(A716,المعطيات!$A$1:$J$3500,3,0)</f>
        <v>#N/A</v>
      </c>
      <c r="I716" s="1" t="s">
        <v>1484</v>
      </c>
      <c r="J716" s="1" t="s">
        <v>1485</v>
      </c>
      <c r="K716" s="4" t="e">
        <f>VLOOKUP(A716,المعطيات!$A$1:$J$3500,6,0)</f>
        <v>#N/A</v>
      </c>
      <c r="L716" s="1" t="s">
        <v>1486</v>
      </c>
      <c r="M716" s="1" t="s">
        <v>1487</v>
      </c>
      <c r="N716" s="4" t="e">
        <f t="shared" si="34"/>
        <v>#N/A</v>
      </c>
      <c r="O716" s="1" t="s">
        <v>1488</v>
      </c>
      <c r="P716" s="4" t="e">
        <f>VLOOKUP(A716,المعطيات!$A$1:$J$3500,4,0)</f>
        <v>#N/A</v>
      </c>
      <c r="Q716" s="1" t="s">
        <v>1489</v>
      </c>
      <c r="R716" s="1" t="s">
        <v>1480</v>
      </c>
      <c r="S716" s="6" t="e">
        <f t="shared" si="35"/>
        <v>#N/A</v>
      </c>
    </row>
    <row r="717" spans="2:19" x14ac:dyDescent="0.25">
      <c r="B717" s="1" t="s">
        <v>1479</v>
      </c>
      <c r="C717" s="1" t="s">
        <v>1481</v>
      </c>
      <c r="D717" s="4" t="e">
        <f>VLOOKUP(A717,المعطيات!$A$1:$J$3500,5,0)</f>
        <v>#N/A</v>
      </c>
      <c r="E717" s="1" t="s">
        <v>1482</v>
      </c>
      <c r="F717" s="5">
        <f t="shared" si="33"/>
        <v>0</v>
      </c>
      <c r="G717" s="5" t="s">
        <v>1483</v>
      </c>
      <c r="H717" s="4" t="e">
        <f>VLOOKUP(A717,المعطيات!$A$1:$J$3500,3,0)</f>
        <v>#N/A</v>
      </c>
      <c r="I717" s="1" t="s">
        <v>1484</v>
      </c>
      <c r="J717" s="1" t="s">
        <v>1485</v>
      </c>
      <c r="K717" s="4" t="e">
        <f>VLOOKUP(A717,المعطيات!$A$1:$J$3500,6,0)</f>
        <v>#N/A</v>
      </c>
      <c r="L717" s="1" t="s">
        <v>1486</v>
      </c>
      <c r="M717" s="1" t="s">
        <v>1487</v>
      </c>
      <c r="N717" s="4" t="e">
        <f t="shared" si="34"/>
        <v>#N/A</v>
      </c>
      <c r="O717" s="1" t="s">
        <v>1488</v>
      </c>
      <c r="P717" s="4" t="e">
        <f>VLOOKUP(A717,المعطيات!$A$1:$J$3500,4,0)</f>
        <v>#N/A</v>
      </c>
      <c r="Q717" s="1" t="s">
        <v>1489</v>
      </c>
      <c r="R717" s="1" t="s">
        <v>1480</v>
      </c>
      <c r="S717" s="6" t="e">
        <f t="shared" si="35"/>
        <v>#N/A</v>
      </c>
    </row>
    <row r="718" spans="2:19" x14ac:dyDescent="0.25">
      <c r="B718" s="1" t="s">
        <v>1479</v>
      </c>
      <c r="C718" s="1" t="s">
        <v>1481</v>
      </c>
      <c r="D718" s="4" t="e">
        <f>VLOOKUP(A718,المعطيات!$A$1:$J$3500,5,0)</f>
        <v>#N/A</v>
      </c>
      <c r="E718" s="1" t="s">
        <v>1482</v>
      </c>
      <c r="F718" s="5">
        <f t="shared" si="33"/>
        <v>0</v>
      </c>
      <c r="G718" s="5" t="s">
        <v>1483</v>
      </c>
      <c r="H718" s="4" t="e">
        <f>VLOOKUP(A718,المعطيات!$A$1:$J$3500,3,0)</f>
        <v>#N/A</v>
      </c>
      <c r="I718" s="1" t="s">
        <v>1484</v>
      </c>
      <c r="J718" s="1" t="s">
        <v>1485</v>
      </c>
      <c r="K718" s="4" t="e">
        <f>VLOOKUP(A718,المعطيات!$A$1:$J$3500,6,0)</f>
        <v>#N/A</v>
      </c>
      <c r="L718" s="1" t="s">
        <v>1486</v>
      </c>
      <c r="M718" s="1" t="s">
        <v>1487</v>
      </c>
      <c r="N718" s="4" t="e">
        <f t="shared" si="34"/>
        <v>#N/A</v>
      </c>
      <c r="O718" s="1" t="s">
        <v>1488</v>
      </c>
      <c r="P718" s="4" t="e">
        <f>VLOOKUP(A718,المعطيات!$A$1:$J$3500,4,0)</f>
        <v>#N/A</v>
      </c>
      <c r="Q718" s="1" t="s">
        <v>1489</v>
      </c>
      <c r="R718" s="1" t="s">
        <v>1480</v>
      </c>
      <c r="S718" s="6" t="e">
        <f t="shared" si="35"/>
        <v>#N/A</v>
      </c>
    </row>
    <row r="719" spans="2:19" x14ac:dyDescent="0.25">
      <c r="B719" s="1" t="s">
        <v>1479</v>
      </c>
      <c r="C719" s="1" t="s">
        <v>1481</v>
      </c>
      <c r="D719" s="4" t="e">
        <f>VLOOKUP(A719,المعطيات!$A$1:$J$3500,5,0)</f>
        <v>#N/A</v>
      </c>
      <c r="E719" s="1" t="s">
        <v>1482</v>
      </c>
      <c r="F719" s="5">
        <f t="shared" si="33"/>
        <v>0</v>
      </c>
      <c r="G719" s="5" t="s">
        <v>1483</v>
      </c>
      <c r="H719" s="4" t="e">
        <f>VLOOKUP(A719,المعطيات!$A$1:$J$3500,3,0)</f>
        <v>#N/A</v>
      </c>
      <c r="I719" s="1" t="s">
        <v>1484</v>
      </c>
      <c r="J719" s="1" t="s">
        <v>1485</v>
      </c>
      <c r="K719" s="4" t="e">
        <f>VLOOKUP(A719,المعطيات!$A$1:$J$3500,6,0)</f>
        <v>#N/A</v>
      </c>
      <c r="L719" s="1" t="s">
        <v>1486</v>
      </c>
      <c r="M719" s="1" t="s">
        <v>1487</v>
      </c>
      <c r="N719" s="4" t="e">
        <f t="shared" si="34"/>
        <v>#N/A</v>
      </c>
      <c r="O719" s="1" t="s">
        <v>1488</v>
      </c>
      <c r="P719" s="4" t="e">
        <f>VLOOKUP(A719,المعطيات!$A$1:$J$3500,4,0)</f>
        <v>#N/A</v>
      </c>
      <c r="Q719" s="1" t="s">
        <v>1489</v>
      </c>
      <c r="R719" s="1" t="s">
        <v>1480</v>
      </c>
      <c r="S719" s="6" t="e">
        <f t="shared" si="35"/>
        <v>#N/A</v>
      </c>
    </row>
    <row r="720" spans="2:19" x14ac:dyDescent="0.25">
      <c r="B720" s="1" t="s">
        <v>1479</v>
      </c>
      <c r="C720" s="1" t="s">
        <v>1481</v>
      </c>
      <c r="D720" s="4" t="e">
        <f>VLOOKUP(A720,المعطيات!$A$1:$J$3500,5,0)</f>
        <v>#N/A</v>
      </c>
      <c r="E720" s="1" t="s">
        <v>1482</v>
      </c>
      <c r="F720" s="5">
        <f t="shared" si="33"/>
        <v>0</v>
      </c>
      <c r="G720" s="5" t="s">
        <v>1483</v>
      </c>
      <c r="H720" s="4" t="e">
        <f>VLOOKUP(A720,المعطيات!$A$1:$J$3500,3,0)</f>
        <v>#N/A</v>
      </c>
      <c r="I720" s="1" t="s">
        <v>1484</v>
      </c>
      <c r="J720" s="1" t="s">
        <v>1485</v>
      </c>
      <c r="K720" s="4" t="e">
        <f>VLOOKUP(A720,المعطيات!$A$1:$J$3500,6,0)</f>
        <v>#N/A</v>
      </c>
      <c r="L720" s="1" t="s">
        <v>1486</v>
      </c>
      <c r="M720" s="1" t="s">
        <v>1487</v>
      </c>
      <c r="N720" s="4" t="e">
        <f t="shared" si="34"/>
        <v>#N/A</v>
      </c>
      <c r="O720" s="1" t="s">
        <v>1488</v>
      </c>
      <c r="P720" s="4" t="e">
        <f>VLOOKUP(A720,المعطيات!$A$1:$J$3500,4,0)</f>
        <v>#N/A</v>
      </c>
      <c r="Q720" s="1" t="s">
        <v>1489</v>
      </c>
      <c r="R720" s="1" t="s">
        <v>1480</v>
      </c>
      <c r="S720" s="6" t="e">
        <f t="shared" si="35"/>
        <v>#N/A</v>
      </c>
    </row>
    <row r="721" spans="2:19" x14ac:dyDescent="0.25">
      <c r="B721" s="1" t="s">
        <v>1479</v>
      </c>
      <c r="C721" s="1" t="s">
        <v>1481</v>
      </c>
      <c r="D721" s="4" t="e">
        <f>VLOOKUP(A721,المعطيات!$A$1:$J$3500,5,0)</f>
        <v>#N/A</v>
      </c>
      <c r="E721" s="1" t="s">
        <v>1482</v>
      </c>
      <c r="F721" s="5">
        <f t="shared" si="33"/>
        <v>0</v>
      </c>
      <c r="G721" s="5" t="s">
        <v>1483</v>
      </c>
      <c r="H721" s="4" t="e">
        <f>VLOOKUP(A721,المعطيات!$A$1:$J$3500,3,0)</f>
        <v>#N/A</v>
      </c>
      <c r="I721" s="1" t="s">
        <v>1484</v>
      </c>
      <c r="J721" s="1" t="s">
        <v>1485</v>
      </c>
      <c r="K721" s="4" t="e">
        <f>VLOOKUP(A721,المعطيات!$A$1:$J$3500,6,0)</f>
        <v>#N/A</v>
      </c>
      <c r="L721" s="1" t="s">
        <v>1486</v>
      </c>
      <c r="M721" s="1" t="s">
        <v>1487</v>
      </c>
      <c r="N721" s="4" t="e">
        <f t="shared" si="34"/>
        <v>#N/A</v>
      </c>
      <c r="O721" s="1" t="s">
        <v>1488</v>
      </c>
      <c r="P721" s="4" t="e">
        <f>VLOOKUP(A721,المعطيات!$A$1:$J$3500,4,0)</f>
        <v>#N/A</v>
      </c>
      <c r="Q721" s="1" t="s">
        <v>1489</v>
      </c>
      <c r="R721" s="1" t="s">
        <v>1480</v>
      </c>
      <c r="S721" s="6" t="e">
        <f t="shared" si="35"/>
        <v>#N/A</v>
      </c>
    </row>
    <row r="722" spans="2:19" x14ac:dyDescent="0.25">
      <c r="B722" s="1" t="s">
        <v>1479</v>
      </c>
      <c r="C722" s="1" t="s">
        <v>1481</v>
      </c>
      <c r="D722" s="4" t="e">
        <f>VLOOKUP(A722,المعطيات!$A$1:$J$3500,5,0)</f>
        <v>#N/A</v>
      </c>
      <c r="E722" s="1" t="s">
        <v>1482</v>
      </c>
      <c r="F722" s="5">
        <f t="shared" si="33"/>
        <v>0</v>
      </c>
      <c r="G722" s="5" t="s">
        <v>1483</v>
      </c>
      <c r="H722" s="4" t="e">
        <f>VLOOKUP(A722,المعطيات!$A$1:$J$3500,3,0)</f>
        <v>#N/A</v>
      </c>
      <c r="I722" s="1" t="s">
        <v>1484</v>
      </c>
      <c r="J722" s="1" t="s">
        <v>1485</v>
      </c>
      <c r="K722" s="4" t="e">
        <f>VLOOKUP(A722,المعطيات!$A$1:$J$3500,6,0)</f>
        <v>#N/A</v>
      </c>
      <c r="L722" s="1" t="s">
        <v>1486</v>
      </c>
      <c r="M722" s="1" t="s">
        <v>1487</v>
      </c>
      <c r="N722" s="4" t="e">
        <f t="shared" si="34"/>
        <v>#N/A</v>
      </c>
      <c r="O722" s="1" t="s">
        <v>1488</v>
      </c>
      <c r="P722" s="4" t="e">
        <f>VLOOKUP(A722,المعطيات!$A$1:$J$3500,4,0)</f>
        <v>#N/A</v>
      </c>
      <c r="Q722" s="1" t="s">
        <v>1489</v>
      </c>
      <c r="R722" s="1" t="s">
        <v>1480</v>
      </c>
      <c r="S722" s="6" t="e">
        <f t="shared" si="35"/>
        <v>#N/A</v>
      </c>
    </row>
    <row r="723" spans="2:19" x14ac:dyDescent="0.25">
      <c r="B723" s="1" t="s">
        <v>1479</v>
      </c>
      <c r="C723" s="1" t="s">
        <v>1481</v>
      </c>
      <c r="D723" s="4" t="e">
        <f>VLOOKUP(A723,المعطيات!$A$1:$J$3500,5,0)</f>
        <v>#N/A</v>
      </c>
      <c r="E723" s="1" t="s">
        <v>1482</v>
      </c>
      <c r="F723" s="5">
        <f t="shared" si="33"/>
        <v>0</v>
      </c>
      <c r="G723" s="5" t="s">
        <v>1483</v>
      </c>
      <c r="H723" s="4" t="e">
        <f>VLOOKUP(A723,المعطيات!$A$1:$J$3500,3,0)</f>
        <v>#N/A</v>
      </c>
      <c r="I723" s="1" t="s">
        <v>1484</v>
      </c>
      <c r="J723" s="1" t="s">
        <v>1485</v>
      </c>
      <c r="K723" s="4" t="e">
        <f>VLOOKUP(A723,المعطيات!$A$1:$J$3500,6,0)</f>
        <v>#N/A</v>
      </c>
      <c r="L723" s="1" t="s">
        <v>1486</v>
      </c>
      <c r="M723" s="1" t="s">
        <v>1487</v>
      </c>
      <c r="N723" s="4" t="e">
        <f t="shared" si="34"/>
        <v>#N/A</v>
      </c>
      <c r="O723" s="1" t="s">
        <v>1488</v>
      </c>
      <c r="P723" s="4" t="e">
        <f>VLOOKUP(A723,المعطيات!$A$1:$J$3500,4,0)</f>
        <v>#N/A</v>
      </c>
      <c r="Q723" s="1" t="s">
        <v>1489</v>
      </c>
      <c r="R723" s="1" t="s">
        <v>1480</v>
      </c>
      <c r="S723" s="6" t="e">
        <f t="shared" si="35"/>
        <v>#N/A</v>
      </c>
    </row>
    <row r="724" spans="2:19" x14ac:dyDescent="0.25">
      <c r="B724" s="1" t="s">
        <v>1479</v>
      </c>
      <c r="C724" s="1" t="s">
        <v>1481</v>
      </c>
      <c r="D724" s="4" t="e">
        <f>VLOOKUP(A724,المعطيات!$A$1:$J$3500,5,0)</f>
        <v>#N/A</v>
      </c>
      <c r="E724" s="1" t="s">
        <v>1482</v>
      </c>
      <c r="F724" s="5">
        <f t="shared" si="33"/>
        <v>0</v>
      </c>
      <c r="G724" s="5" t="s">
        <v>1483</v>
      </c>
      <c r="H724" s="4" t="e">
        <f>VLOOKUP(A724,المعطيات!$A$1:$J$3500,3,0)</f>
        <v>#N/A</v>
      </c>
      <c r="I724" s="1" t="s">
        <v>1484</v>
      </c>
      <c r="J724" s="1" t="s">
        <v>1485</v>
      </c>
      <c r="K724" s="4" t="e">
        <f>VLOOKUP(A724,المعطيات!$A$1:$J$3500,6,0)</f>
        <v>#N/A</v>
      </c>
      <c r="L724" s="1" t="s">
        <v>1486</v>
      </c>
      <c r="M724" s="1" t="s">
        <v>1487</v>
      </c>
      <c r="N724" s="4" t="e">
        <f t="shared" si="34"/>
        <v>#N/A</v>
      </c>
      <c r="O724" s="1" t="s">
        <v>1488</v>
      </c>
      <c r="P724" s="4" t="e">
        <f>VLOOKUP(A724,المعطيات!$A$1:$J$3500,4,0)</f>
        <v>#N/A</v>
      </c>
      <c r="Q724" s="1" t="s">
        <v>1489</v>
      </c>
      <c r="R724" s="1" t="s">
        <v>1480</v>
      </c>
      <c r="S724" s="6" t="e">
        <f t="shared" si="35"/>
        <v>#N/A</v>
      </c>
    </row>
    <row r="725" spans="2:19" x14ac:dyDescent="0.25">
      <c r="B725" s="1" t="s">
        <v>1479</v>
      </c>
      <c r="C725" s="1" t="s">
        <v>1481</v>
      </c>
      <c r="D725" s="4" t="e">
        <f>VLOOKUP(A725,المعطيات!$A$1:$J$3500,5,0)</f>
        <v>#N/A</v>
      </c>
      <c r="E725" s="1" t="s">
        <v>1482</v>
      </c>
      <c r="F725" s="5">
        <f t="shared" si="33"/>
        <v>0</v>
      </c>
      <c r="G725" s="5" t="s">
        <v>1483</v>
      </c>
      <c r="H725" s="4" t="e">
        <f>VLOOKUP(A725,المعطيات!$A$1:$J$3500,3,0)</f>
        <v>#N/A</v>
      </c>
      <c r="I725" s="1" t="s">
        <v>1484</v>
      </c>
      <c r="J725" s="1" t="s">
        <v>1485</v>
      </c>
      <c r="K725" s="4" t="e">
        <f>VLOOKUP(A725,المعطيات!$A$1:$J$3500,6,0)</f>
        <v>#N/A</v>
      </c>
      <c r="L725" s="1" t="s">
        <v>1486</v>
      </c>
      <c r="M725" s="1" t="s">
        <v>1487</v>
      </c>
      <c r="N725" s="4" t="e">
        <f t="shared" si="34"/>
        <v>#N/A</v>
      </c>
      <c r="O725" s="1" t="s">
        <v>1488</v>
      </c>
      <c r="P725" s="4" t="e">
        <f>VLOOKUP(A725,المعطيات!$A$1:$J$3500,4,0)</f>
        <v>#N/A</v>
      </c>
      <c r="Q725" s="1" t="s">
        <v>1489</v>
      </c>
      <c r="R725" s="1" t="s">
        <v>1480</v>
      </c>
      <c r="S725" s="6" t="e">
        <f t="shared" si="35"/>
        <v>#N/A</v>
      </c>
    </row>
    <row r="726" spans="2:19" x14ac:dyDescent="0.25">
      <c r="B726" s="1" t="s">
        <v>1479</v>
      </c>
      <c r="C726" s="1" t="s">
        <v>1481</v>
      </c>
      <c r="D726" s="4" t="e">
        <f>VLOOKUP(A726,المعطيات!$A$1:$J$3500,5,0)</f>
        <v>#N/A</v>
      </c>
      <c r="E726" s="1" t="s">
        <v>1482</v>
      </c>
      <c r="F726" s="5">
        <f t="shared" si="33"/>
        <v>0</v>
      </c>
      <c r="G726" s="5" t="s">
        <v>1483</v>
      </c>
      <c r="H726" s="4" t="e">
        <f>VLOOKUP(A726,المعطيات!$A$1:$J$3500,3,0)</f>
        <v>#N/A</v>
      </c>
      <c r="I726" s="1" t="s">
        <v>1484</v>
      </c>
      <c r="J726" s="1" t="s">
        <v>1485</v>
      </c>
      <c r="K726" s="4" t="e">
        <f>VLOOKUP(A726,المعطيات!$A$1:$J$3500,6,0)</f>
        <v>#N/A</v>
      </c>
      <c r="L726" s="1" t="s">
        <v>1486</v>
      </c>
      <c r="M726" s="1" t="s">
        <v>1487</v>
      </c>
      <c r="N726" s="4" t="e">
        <f t="shared" si="34"/>
        <v>#N/A</v>
      </c>
      <c r="O726" s="1" t="s">
        <v>1488</v>
      </c>
      <c r="P726" s="4" t="e">
        <f>VLOOKUP(A726,المعطيات!$A$1:$J$3500,4,0)</f>
        <v>#N/A</v>
      </c>
      <c r="Q726" s="1" t="s">
        <v>1489</v>
      </c>
      <c r="R726" s="1" t="s">
        <v>1480</v>
      </c>
      <c r="S726" s="6" t="e">
        <f t="shared" si="35"/>
        <v>#N/A</v>
      </c>
    </row>
    <row r="727" spans="2:19" x14ac:dyDescent="0.25">
      <c r="B727" s="1" t="s">
        <v>1479</v>
      </c>
      <c r="C727" s="1" t="s">
        <v>1481</v>
      </c>
      <c r="D727" s="4" t="e">
        <f>VLOOKUP(A727,المعطيات!$A$1:$J$3500,5,0)</f>
        <v>#N/A</v>
      </c>
      <c r="E727" s="1" t="s">
        <v>1482</v>
      </c>
      <c r="F727" s="5">
        <f t="shared" si="33"/>
        <v>0</v>
      </c>
      <c r="G727" s="5" t="s">
        <v>1483</v>
      </c>
      <c r="H727" s="4" t="e">
        <f>VLOOKUP(A727,المعطيات!$A$1:$J$3500,3,0)</f>
        <v>#N/A</v>
      </c>
      <c r="I727" s="1" t="s">
        <v>1484</v>
      </c>
      <c r="J727" s="1" t="s">
        <v>1485</v>
      </c>
      <c r="K727" s="4" t="e">
        <f>VLOOKUP(A727,المعطيات!$A$1:$J$3500,6,0)</f>
        <v>#N/A</v>
      </c>
      <c r="L727" s="1" t="s">
        <v>1486</v>
      </c>
      <c r="M727" s="1" t="s">
        <v>1487</v>
      </c>
      <c r="N727" s="4" t="e">
        <f t="shared" si="34"/>
        <v>#N/A</v>
      </c>
      <c r="O727" s="1" t="s">
        <v>1488</v>
      </c>
      <c r="P727" s="4" t="e">
        <f>VLOOKUP(A727,المعطيات!$A$1:$J$3500,4,0)</f>
        <v>#N/A</v>
      </c>
      <c r="Q727" s="1" t="s">
        <v>1489</v>
      </c>
      <c r="R727" s="1" t="s">
        <v>1480</v>
      </c>
      <c r="S727" s="6" t="e">
        <f t="shared" si="35"/>
        <v>#N/A</v>
      </c>
    </row>
    <row r="728" spans="2:19" x14ac:dyDescent="0.25">
      <c r="B728" s="1" t="s">
        <v>1479</v>
      </c>
      <c r="C728" s="1" t="s">
        <v>1481</v>
      </c>
      <c r="D728" s="4" t="e">
        <f>VLOOKUP(A728,المعطيات!$A$1:$J$3500,5,0)</f>
        <v>#N/A</v>
      </c>
      <c r="E728" s="1" t="s">
        <v>1482</v>
      </c>
      <c r="F728" s="5">
        <f t="shared" si="33"/>
        <v>0</v>
      </c>
      <c r="G728" s="5" t="s">
        <v>1483</v>
      </c>
      <c r="H728" s="4" t="e">
        <f>VLOOKUP(A728,المعطيات!$A$1:$J$3500,3,0)</f>
        <v>#N/A</v>
      </c>
      <c r="I728" s="1" t="s">
        <v>1484</v>
      </c>
      <c r="J728" s="1" t="s">
        <v>1485</v>
      </c>
      <c r="K728" s="4" t="e">
        <f>VLOOKUP(A728,المعطيات!$A$1:$J$3500,6,0)</f>
        <v>#N/A</v>
      </c>
      <c r="L728" s="1" t="s">
        <v>1486</v>
      </c>
      <c r="M728" s="1" t="s">
        <v>1487</v>
      </c>
      <c r="N728" s="4" t="e">
        <f t="shared" si="34"/>
        <v>#N/A</v>
      </c>
      <c r="O728" s="1" t="s">
        <v>1488</v>
      </c>
      <c r="P728" s="4" t="e">
        <f>VLOOKUP(A728,المعطيات!$A$1:$J$3500,4,0)</f>
        <v>#N/A</v>
      </c>
      <c r="Q728" s="1" t="s">
        <v>1489</v>
      </c>
      <c r="R728" s="1" t="s">
        <v>1480</v>
      </c>
      <c r="S728" s="6" t="e">
        <f t="shared" si="35"/>
        <v>#N/A</v>
      </c>
    </row>
    <row r="729" spans="2:19" x14ac:dyDescent="0.25">
      <c r="B729" s="1" t="s">
        <v>1479</v>
      </c>
      <c r="C729" s="1" t="s">
        <v>1481</v>
      </c>
      <c r="D729" s="4" t="e">
        <f>VLOOKUP(A729,المعطيات!$A$1:$J$3500,5,0)</f>
        <v>#N/A</v>
      </c>
      <c r="E729" s="1" t="s">
        <v>1482</v>
      </c>
      <c r="F729" s="5">
        <f t="shared" si="33"/>
        <v>0</v>
      </c>
      <c r="G729" s="5" t="s">
        <v>1483</v>
      </c>
      <c r="H729" s="4" t="e">
        <f>VLOOKUP(A729,المعطيات!$A$1:$J$3500,3,0)</f>
        <v>#N/A</v>
      </c>
      <c r="I729" s="1" t="s">
        <v>1484</v>
      </c>
      <c r="J729" s="1" t="s">
        <v>1485</v>
      </c>
      <c r="K729" s="4" t="e">
        <f>VLOOKUP(A729,المعطيات!$A$1:$J$3500,6,0)</f>
        <v>#N/A</v>
      </c>
      <c r="L729" s="1" t="s">
        <v>1486</v>
      </c>
      <c r="M729" s="1" t="s">
        <v>1487</v>
      </c>
      <c r="N729" s="4" t="e">
        <f t="shared" si="34"/>
        <v>#N/A</v>
      </c>
      <c r="O729" s="1" t="s">
        <v>1488</v>
      </c>
      <c r="P729" s="4" t="e">
        <f>VLOOKUP(A729,المعطيات!$A$1:$J$3500,4,0)</f>
        <v>#N/A</v>
      </c>
      <c r="Q729" s="1" t="s">
        <v>1489</v>
      </c>
      <c r="R729" s="1" t="s">
        <v>1480</v>
      </c>
      <c r="S729" s="6" t="e">
        <f t="shared" si="35"/>
        <v>#N/A</v>
      </c>
    </row>
    <row r="730" spans="2:19" x14ac:dyDescent="0.25">
      <c r="B730" s="1" t="s">
        <v>1479</v>
      </c>
      <c r="C730" s="1" t="s">
        <v>1481</v>
      </c>
      <c r="D730" s="4" t="e">
        <f>VLOOKUP(A730,المعطيات!$A$1:$J$3500,5,0)</f>
        <v>#N/A</v>
      </c>
      <c r="E730" s="1" t="s">
        <v>1482</v>
      </c>
      <c r="F730" s="5">
        <f t="shared" si="33"/>
        <v>0</v>
      </c>
      <c r="G730" s="5" t="s">
        <v>1483</v>
      </c>
      <c r="H730" s="4" t="e">
        <f>VLOOKUP(A730,المعطيات!$A$1:$J$3500,3,0)</f>
        <v>#N/A</v>
      </c>
      <c r="I730" s="1" t="s">
        <v>1484</v>
      </c>
      <c r="J730" s="1" t="s">
        <v>1485</v>
      </c>
      <c r="K730" s="4" t="e">
        <f>VLOOKUP(A730,المعطيات!$A$1:$J$3500,6,0)</f>
        <v>#N/A</v>
      </c>
      <c r="L730" s="1" t="s">
        <v>1486</v>
      </c>
      <c r="M730" s="1" t="s">
        <v>1487</v>
      </c>
      <c r="N730" s="4" t="e">
        <f t="shared" si="34"/>
        <v>#N/A</v>
      </c>
      <c r="O730" s="1" t="s">
        <v>1488</v>
      </c>
      <c r="P730" s="4" t="e">
        <f>VLOOKUP(A730,المعطيات!$A$1:$J$3500,4,0)</f>
        <v>#N/A</v>
      </c>
      <c r="Q730" s="1" t="s">
        <v>1489</v>
      </c>
      <c r="R730" s="1" t="s">
        <v>1480</v>
      </c>
      <c r="S730" s="6" t="e">
        <f t="shared" si="35"/>
        <v>#N/A</v>
      </c>
    </row>
    <row r="731" spans="2:19" x14ac:dyDescent="0.25">
      <c r="B731" s="1" t="s">
        <v>1479</v>
      </c>
      <c r="C731" s="1" t="s">
        <v>1481</v>
      </c>
      <c r="D731" s="4" t="e">
        <f>VLOOKUP(A731,المعطيات!$A$1:$J$3500,5,0)</f>
        <v>#N/A</v>
      </c>
      <c r="E731" s="1" t="s">
        <v>1482</v>
      </c>
      <c r="F731" s="5">
        <f t="shared" si="33"/>
        <v>0</v>
      </c>
      <c r="G731" s="5" t="s">
        <v>1483</v>
      </c>
      <c r="H731" s="4" t="e">
        <f>VLOOKUP(A731,المعطيات!$A$1:$J$3500,3,0)</f>
        <v>#N/A</v>
      </c>
      <c r="I731" s="1" t="s">
        <v>1484</v>
      </c>
      <c r="J731" s="1" t="s">
        <v>1485</v>
      </c>
      <c r="K731" s="4" t="e">
        <f>VLOOKUP(A731,المعطيات!$A$1:$J$3500,6,0)</f>
        <v>#N/A</v>
      </c>
      <c r="L731" s="1" t="s">
        <v>1486</v>
      </c>
      <c r="M731" s="1" t="s">
        <v>1487</v>
      </c>
      <c r="N731" s="4" t="e">
        <f t="shared" si="34"/>
        <v>#N/A</v>
      </c>
      <c r="O731" s="1" t="s">
        <v>1488</v>
      </c>
      <c r="P731" s="4" t="e">
        <f>VLOOKUP(A731,المعطيات!$A$1:$J$3500,4,0)</f>
        <v>#N/A</v>
      </c>
      <c r="Q731" s="1" t="s">
        <v>1489</v>
      </c>
      <c r="R731" s="1" t="s">
        <v>1480</v>
      </c>
      <c r="S731" s="6" t="e">
        <f t="shared" si="35"/>
        <v>#N/A</v>
      </c>
    </row>
    <row r="732" spans="2:19" x14ac:dyDescent="0.25">
      <c r="B732" s="1" t="s">
        <v>1479</v>
      </c>
      <c r="C732" s="1" t="s">
        <v>1481</v>
      </c>
      <c r="D732" s="4" t="e">
        <f>VLOOKUP(A732,المعطيات!$A$1:$J$3500,5,0)</f>
        <v>#N/A</v>
      </c>
      <c r="E732" s="1" t="s">
        <v>1482</v>
      </c>
      <c r="F732" s="5">
        <f t="shared" si="33"/>
        <v>0</v>
      </c>
      <c r="G732" s="5" t="s">
        <v>1483</v>
      </c>
      <c r="H732" s="4" t="e">
        <f>VLOOKUP(A732,المعطيات!$A$1:$J$3500,3,0)</f>
        <v>#N/A</v>
      </c>
      <c r="I732" s="1" t="s">
        <v>1484</v>
      </c>
      <c r="J732" s="1" t="s">
        <v>1485</v>
      </c>
      <c r="K732" s="4" t="e">
        <f>VLOOKUP(A732,المعطيات!$A$1:$J$3500,6,0)</f>
        <v>#N/A</v>
      </c>
      <c r="L732" s="1" t="s">
        <v>1486</v>
      </c>
      <c r="M732" s="1" t="s">
        <v>1487</v>
      </c>
      <c r="N732" s="4" t="e">
        <f t="shared" si="34"/>
        <v>#N/A</v>
      </c>
      <c r="O732" s="1" t="s">
        <v>1488</v>
      </c>
      <c r="P732" s="4" t="e">
        <f>VLOOKUP(A732,المعطيات!$A$1:$J$3500,4,0)</f>
        <v>#N/A</v>
      </c>
      <c r="Q732" s="1" t="s">
        <v>1489</v>
      </c>
      <c r="R732" s="1" t="s">
        <v>1480</v>
      </c>
      <c r="S732" s="6" t="e">
        <f t="shared" si="35"/>
        <v>#N/A</v>
      </c>
    </row>
    <row r="733" spans="2:19" x14ac:dyDescent="0.25">
      <c r="B733" s="1" t="s">
        <v>1479</v>
      </c>
      <c r="C733" s="1" t="s">
        <v>1481</v>
      </c>
      <c r="D733" s="4" t="e">
        <f>VLOOKUP(A733,المعطيات!$A$1:$J$3500,5,0)</f>
        <v>#N/A</v>
      </c>
      <c r="E733" s="1" t="s">
        <v>1482</v>
      </c>
      <c r="F733" s="5">
        <f t="shared" si="33"/>
        <v>0</v>
      </c>
      <c r="G733" s="5" t="s">
        <v>1483</v>
      </c>
      <c r="H733" s="4" t="e">
        <f>VLOOKUP(A733,المعطيات!$A$1:$J$3500,3,0)</f>
        <v>#N/A</v>
      </c>
      <c r="I733" s="1" t="s">
        <v>1484</v>
      </c>
      <c r="J733" s="1" t="s">
        <v>1485</v>
      </c>
      <c r="K733" s="4" t="e">
        <f>VLOOKUP(A733,المعطيات!$A$1:$J$3500,6,0)</f>
        <v>#N/A</v>
      </c>
      <c r="L733" s="1" t="s">
        <v>1486</v>
      </c>
      <c r="M733" s="1" t="s">
        <v>1487</v>
      </c>
      <c r="N733" s="4" t="e">
        <f t="shared" si="34"/>
        <v>#N/A</v>
      </c>
      <c r="O733" s="1" t="s">
        <v>1488</v>
      </c>
      <c r="P733" s="4" t="e">
        <f>VLOOKUP(A733,المعطيات!$A$1:$J$3500,4,0)</f>
        <v>#N/A</v>
      </c>
      <c r="Q733" s="1" t="s">
        <v>1489</v>
      </c>
      <c r="R733" s="1" t="s">
        <v>1480</v>
      </c>
      <c r="S733" s="6" t="e">
        <f t="shared" si="35"/>
        <v>#N/A</v>
      </c>
    </row>
    <row r="734" spans="2:19" x14ac:dyDescent="0.25">
      <c r="B734" s="1" t="s">
        <v>1479</v>
      </c>
      <c r="C734" s="1" t="s">
        <v>1481</v>
      </c>
      <c r="D734" s="4" t="e">
        <f>VLOOKUP(A734,المعطيات!$A$1:$J$3500,5,0)</f>
        <v>#N/A</v>
      </c>
      <c r="E734" s="1" t="s">
        <v>1482</v>
      </c>
      <c r="F734" s="5">
        <f t="shared" si="33"/>
        <v>0</v>
      </c>
      <c r="G734" s="5" t="s">
        <v>1483</v>
      </c>
      <c r="H734" s="4" t="e">
        <f>VLOOKUP(A734,المعطيات!$A$1:$J$3500,3,0)</f>
        <v>#N/A</v>
      </c>
      <c r="I734" s="1" t="s">
        <v>1484</v>
      </c>
      <c r="J734" s="1" t="s">
        <v>1485</v>
      </c>
      <c r="K734" s="4" t="e">
        <f>VLOOKUP(A734,المعطيات!$A$1:$J$3500,6,0)</f>
        <v>#N/A</v>
      </c>
      <c r="L734" s="1" t="s">
        <v>1486</v>
      </c>
      <c r="M734" s="1" t="s">
        <v>1487</v>
      </c>
      <c r="N734" s="4" t="e">
        <f t="shared" si="34"/>
        <v>#N/A</v>
      </c>
      <c r="O734" s="1" t="s">
        <v>1488</v>
      </c>
      <c r="P734" s="4" t="e">
        <f>VLOOKUP(A734,المعطيات!$A$1:$J$3500,4,0)</f>
        <v>#N/A</v>
      </c>
      <c r="Q734" s="1" t="s">
        <v>1489</v>
      </c>
      <c r="R734" s="1" t="s">
        <v>1480</v>
      </c>
      <c r="S734" s="6" t="e">
        <f t="shared" si="35"/>
        <v>#N/A</v>
      </c>
    </row>
    <row r="735" spans="2:19" x14ac:dyDescent="0.25">
      <c r="B735" s="1" t="s">
        <v>1479</v>
      </c>
      <c r="C735" s="1" t="s">
        <v>1481</v>
      </c>
      <c r="D735" s="4" t="e">
        <f>VLOOKUP(A735,المعطيات!$A$1:$J$3500,5,0)</f>
        <v>#N/A</v>
      </c>
      <c r="E735" s="1" t="s">
        <v>1482</v>
      </c>
      <c r="F735" s="5">
        <f t="shared" si="33"/>
        <v>0</v>
      </c>
      <c r="G735" s="5" t="s">
        <v>1483</v>
      </c>
      <c r="H735" s="4" t="e">
        <f>VLOOKUP(A735,المعطيات!$A$1:$J$3500,3,0)</f>
        <v>#N/A</v>
      </c>
      <c r="I735" s="1" t="s">
        <v>1484</v>
      </c>
      <c r="J735" s="1" t="s">
        <v>1485</v>
      </c>
      <c r="K735" s="4" t="e">
        <f>VLOOKUP(A735,المعطيات!$A$1:$J$3500,6,0)</f>
        <v>#N/A</v>
      </c>
      <c r="L735" s="1" t="s">
        <v>1486</v>
      </c>
      <c r="M735" s="1" t="s">
        <v>1487</v>
      </c>
      <c r="N735" s="4" t="e">
        <f t="shared" si="34"/>
        <v>#N/A</v>
      </c>
      <c r="O735" s="1" t="s">
        <v>1488</v>
      </c>
      <c r="P735" s="4" t="e">
        <f>VLOOKUP(A735,المعطيات!$A$1:$J$3500,4,0)</f>
        <v>#N/A</v>
      </c>
      <c r="Q735" s="1" t="s">
        <v>1489</v>
      </c>
      <c r="R735" s="1" t="s">
        <v>1480</v>
      </c>
      <c r="S735" s="6" t="e">
        <f t="shared" si="35"/>
        <v>#N/A</v>
      </c>
    </row>
    <row r="736" spans="2:19" x14ac:dyDescent="0.25">
      <c r="B736" s="1" t="s">
        <v>1479</v>
      </c>
      <c r="C736" s="1" t="s">
        <v>1481</v>
      </c>
      <c r="D736" s="4" t="e">
        <f>VLOOKUP(A736,المعطيات!$A$1:$J$3500,5,0)</f>
        <v>#N/A</v>
      </c>
      <c r="E736" s="1" t="s">
        <v>1482</v>
      </c>
      <c r="F736" s="5">
        <f t="shared" si="33"/>
        <v>0</v>
      </c>
      <c r="G736" s="5" t="s">
        <v>1483</v>
      </c>
      <c r="H736" s="4" t="e">
        <f>VLOOKUP(A736,المعطيات!$A$1:$J$3500,3,0)</f>
        <v>#N/A</v>
      </c>
      <c r="I736" s="1" t="s">
        <v>1484</v>
      </c>
      <c r="J736" s="1" t="s">
        <v>1485</v>
      </c>
      <c r="K736" s="4" t="e">
        <f>VLOOKUP(A736,المعطيات!$A$1:$J$3500,6,0)</f>
        <v>#N/A</v>
      </c>
      <c r="L736" s="1" t="s">
        <v>1486</v>
      </c>
      <c r="M736" s="1" t="s">
        <v>1487</v>
      </c>
      <c r="N736" s="4" t="e">
        <f t="shared" si="34"/>
        <v>#N/A</v>
      </c>
      <c r="O736" s="1" t="s">
        <v>1488</v>
      </c>
      <c r="P736" s="4" t="e">
        <f>VLOOKUP(A736,المعطيات!$A$1:$J$3500,4,0)</f>
        <v>#N/A</v>
      </c>
      <c r="Q736" s="1" t="s">
        <v>1489</v>
      </c>
      <c r="R736" s="1" t="s">
        <v>1480</v>
      </c>
      <c r="S736" s="6" t="e">
        <f t="shared" si="35"/>
        <v>#N/A</v>
      </c>
    </row>
    <row r="737" spans="2:19" x14ac:dyDescent="0.25">
      <c r="B737" s="1" t="s">
        <v>1479</v>
      </c>
      <c r="C737" s="1" t="s">
        <v>1481</v>
      </c>
      <c r="D737" s="4" t="e">
        <f>VLOOKUP(A737,المعطيات!$A$1:$J$3500,5,0)</f>
        <v>#N/A</v>
      </c>
      <c r="E737" s="1" t="s">
        <v>1482</v>
      </c>
      <c r="F737" s="5">
        <f t="shared" si="33"/>
        <v>0</v>
      </c>
      <c r="G737" s="5" t="s">
        <v>1483</v>
      </c>
      <c r="H737" s="4" t="e">
        <f>VLOOKUP(A737,المعطيات!$A$1:$J$3500,3,0)</f>
        <v>#N/A</v>
      </c>
      <c r="I737" s="1" t="s">
        <v>1484</v>
      </c>
      <c r="J737" s="1" t="s">
        <v>1485</v>
      </c>
      <c r="K737" s="4" t="e">
        <f>VLOOKUP(A737,المعطيات!$A$1:$J$3500,6,0)</f>
        <v>#N/A</v>
      </c>
      <c r="L737" s="1" t="s">
        <v>1486</v>
      </c>
      <c r="M737" s="1" t="s">
        <v>1487</v>
      </c>
      <c r="N737" s="4" t="e">
        <f t="shared" si="34"/>
        <v>#N/A</v>
      </c>
      <c r="O737" s="1" t="s">
        <v>1488</v>
      </c>
      <c r="P737" s="4" t="e">
        <f>VLOOKUP(A737,المعطيات!$A$1:$J$3500,4,0)</f>
        <v>#N/A</v>
      </c>
      <c r="Q737" s="1" t="s">
        <v>1489</v>
      </c>
      <c r="R737" s="1" t="s">
        <v>1480</v>
      </c>
      <c r="S737" s="6" t="e">
        <f t="shared" si="35"/>
        <v>#N/A</v>
      </c>
    </row>
    <row r="738" spans="2:19" x14ac:dyDescent="0.25">
      <c r="B738" s="1" t="s">
        <v>1479</v>
      </c>
      <c r="C738" s="1" t="s">
        <v>1481</v>
      </c>
      <c r="D738" s="4" t="e">
        <f>VLOOKUP(A738,المعطيات!$A$1:$J$3500,5,0)</f>
        <v>#N/A</v>
      </c>
      <c r="E738" s="1" t="s">
        <v>1482</v>
      </c>
      <c r="F738" s="5">
        <f t="shared" si="33"/>
        <v>0</v>
      </c>
      <c r="G738" s="5" t="s">
        <v>1483</v>
      </c>
      <c r="H738" s="4" t="e">
        <f>VLOOKUP(A738,المعطيات!$A$1:$J$3500,3,0)</f>
        <v>#N/A</v>
      </c>
      <c r="I738" s="1" t="s">
        <v>1484</v>
      </c>
      <c r="J738" s="1" t="s">
        <v>1485</v>
      </c>
      <c r="K738" s="4" t="e">
        <f>VLOOKUP(A738,المعطيات!$A$1:$J$3500,6,0)</f>
        <v>#N/A</v>
      </c>
      <c r="L738" s="1" t="s">
        <v>1486</v>
      </c>
      <c r="M738" s="1" t="s">
        <v>1487</v>
      </c>
      <c r="N738" s="4" t="e">
        <f t="shared" si="34"/>
        <v>#N/A</v>
      </c>
      <c r="O738" s="1" t="s">
        <v>1488</v>
      </c>
      <c r="P738" s="4" t="e">
        <f>VLOOKUP(A738,المعطيات!$A$1:$J$3500,4,0)</f>
        <v>#N/A</v>
      </c>
      <c r="Q738" s="1" t="s">
        <v>1489</v>
      </c>
      <c r="R738" s="1" t="s">
        <v>1480</v>
      </c>
      <c r="S738" s="6" t="e">
        <f t="shared" si="35"/>
        <v>#N/A</v>
      </c>
    </row>
    <row r="739" spans="2:19" x14ac:dyDescent="0.25">
      <c r="B739" s="1" t="s">
        <v>1479</v>
      </c>
      <c r="C739" s="1" t="s">
        <v>1481</v>
      </c>
      <c r="D739" s="4" t="e">
        <f>VLOOKUP(A739,المعطيات!$A$1:$J$3500,5,0)</f>
        <v>#N/A</v>
      </c>
      <c r="E739" s="1" t="s">
        <v>1482</v>
      </c>
      <c r="F739" s="5">
        <f t="shared" si="33"/>
        <v>0</v>
      </c>
      <c r="G739" s="5" t="s">
        <v>1483</v>
      </c>
      <c r="H739" s="4" t="e">
        <f>VLOOKUP(A739,المعطيات!$A$1:$J$3500,3,0)</f>
        <v>#N/A</v>
      </c>
      <c r="I739" s="1" t="s">
        <v>1484</v>
      </c>
      <c r="J739" s="1" t="s">
        <v>1485</v>
      </c>
      <c r="K739" s="4" t="e">
        <f>VLOOKUP(A739,المعطيات!$A$1:$J$3500,6,0)</f>
        <v>#N/A</v>
      </c>
      <c r="L739" s="1" t="s">
        <v>1486</v>
      </c>
      <c r="M739" s="1" t="s">
        <v>1487</v>
      </c>
      <c r="N739" s="4" t="e">
        <f t="shared" si="34"/>
        <v>#N/A</v>
      </c>
      <c r="O739" s="1" t="s">
        <v>1488</v>
      </c>
      <c r="P739" s="4" t="e">
        <f>VLOOKUP(A739,المعطيات!$A$1:$J$3500,4,0)</f>
        <v>#N/A</v>
      </c>
      <c r="Q739" s="1" t="s">
        <v>1489</v>
      </c>
      <c r="R739" s="1" t="s">
        <v>1480</v>
      </c>
      <c r="S739" s="6" t="e">
        <f t="shared" si="35"/>
        <v>#N/A</v>
      </c>
    </row>
    <row r="740" spans="2:19" x14ac:dyDescent="0.25">
      <c r="B740" s="1" t="s">
        <v>1479</v>
      </c>
      <c r="C740" s="1" t="s">
        <v>1481</v>
      </c>
      <c r="D740" s="4" t="e">
        <f>VLOOKUP(A740,المعطيات!$A$1:$J$3500,5,0)</f>
        <v>#N/A</v>
      </c>
      <c r="E740" s="1" t="s">
        <v>1482</v>
      </c>
      <c r="F740" s="5">
        <f t="shared" si="33"/>
        <v>0</v>
      </c>
      <c r="G740" s="5" t="s">
        <v>1483</v>
      </c>
      <c r="H740" s="4" t="e">
        <f>VLOOKUP(A740,المعطيات!$A$1:$J$3500,3,0)</f>
        <v>#N/A</v>
      </c>
      <c r="I740" s="1" t="s">
        <v>1484</v>
      </c>
      <c r="J740" s="1" t="s">
        <v>1485</v>
      </c>
      <c r="K740" s="4" t="e">
        <f>VLOOKUP(A740,المعطيات!$A$1:$J$3500,6,0)</f>
        <v>#N/A</v>
      </c>
      <c r="L740" s="1" t="s">
        <v>1486</v>
      </c>
      <c r="M740" s="1" t="s">
        <v>1487</v>
      </c>
      <c r="N740" s="4" t="e">
        <f t="shared" si="34"/>
        <v>#N/A</v>
      </c>
      <c r="O740" s="1" t="s">
        <v>1488</v>
      </c>
      <c r="P740" s="4" t="e">
        <f>VLOOKUP(A740,المعطيات!$A$1:$J$3500,4,0)</f>
        <v>#N/A</v>
      </c>
      <c r="Q740" s="1" t="s">
        <v>1489</v>
      </c>
      <c r="R740" s="1" t="s">
        <v>1480</v>
      </c>
      <c r="S740" s="6" t="e">
        <f t="shared" si="35"/>
        <v>#N/A</v>
      </c>
    </row>
    <row r="741" spans="2:19" x14ac:dyDescent="0.25">
      <c r="B741" s="1" t="s">
        <v>1479</v>
      </c>
      <c r="C741" s="1" t="s">
        <v>1481</v>
      </c>
      <c r="D741" s="4" t="e">
        <f>VLOOKUP(A741,المعطيات!$A$1:$J$3500,5,0)</f>
        <v>#N/A</v>
      </c>
      <c r="E741" s="1" t="s">
        <v>1482</v>
      </c>
      <c r="F741" s="5">
        <f t="shared" si="33"/>
        <v>0</v>
      </c>
      <c r="G741" s="5" t="s">
        <v>1483</v>
      </c>
      <c r="H741" s="4" t="e">
        <f>VLOOKUP(A741,المعطيات!$A$1:$J$3500,3,0)</f>
        <v>#N/A</v>
      </c>
      <c r="I741" s="1" t="s">
        <v>1484</v>
      </c>
      <c r="J741" s="1" t="s">
        <v>1485</v>
      </c>
      <c r="K741" s="4" t="e">
        <f>VLOOKUP(A741,المعطيات!$A$1:$J$3500,6,0)</f>
        <v>#N/A</v>
      </c>
      <c r="L741" s="1" t="s">
        <v>1486</v>
      </c>
      <c r="M741" s="1" t="s">
        <v>1487</v>
      </c>
      <c r="N741" s="4" t="e">
        <f t="shared" si="34"/>
        <v>#N/A</v>
      </c>
      <c r="O741" s="1" t="s">
        <v>1488</v>
      </c>
      <c r="P741" s="4" t="e">
        <f>VLOOKUP(A741,المعطيات!$A$1:$J$3500,4,0)</f>
        <v>#N/A</v>
      </c>
      <c r="Q741" s="1" t="s">
        <v>1489</v>
      </c>
      <c r="R741" s="1" t="s">
        <v>1480</v>
      </c>
      <c r="S741" s="6" t="e">
        <f t="shared" si="35"/>
        <v>#N/A</v>
      </c>
    </row>
    <row r="742" spans="2:19" x14ac:dyDescent="0.25">
      <c r="B742" s="1" t="s">
        <v>1479</v>
      </c>
      <c r="C742" s="1" t="s">
        <v>1481</v>
      </c>
      <c r="D742" s="4" t="e">
        <f>VLOOKUP(A742,المعطيات!$A$1:$J$3500,5,0)</f>
        <v>#N/A</v>
      </c>
      <c r="E742" s="1" t="s">
        <v>1482</v>
      </c>
      <c r="F742" s="5">
        <f t="shared" si="33"/>
        <v>0</v>
      </c>
      <c r="G742" s="5" t="s">
        <v>1483</v>
      </c>
      <c r="H742" s="4" t="e">
        <f>VLOOKUP(A742,المعطيات!$A$1:$J$3500,3,0)</f>
        <v>#N/A</v>
      </c>
      <c r="I742" s="1" t="s">
        <v>1484</v>
      </c>
      <c r="J742" s="1" t="s">
        <v>1485</v>
      </c>
      <c r="K742" s="4" t="e">
        <f>VLOOKUP(A742,المعطيات!$A$1:$J$3500,6,0)</f>
        <v>#N/A</v>
      </c>
      <c r="L742" s="1" t="s">
        <v>1486</v>
      </c>
      <c r="M742" s="1" t="s">
        <v>1487</v>
      </c>
      <c r="N742" s="4" t="e">
        <f t="shared" si="34"/>
        <v>#N/A</v>
      </c>
      <c r="O742" s="1" t="s">
        <v>1488</v>
      </c>
      <c r="P742" s="4" t="e">
        <f>VLOOKUP(A742,المعطيات!$A$1:$J$3500,4,0)</f>
        <v>#N/A</v>
      </c>
      <c r="Q742" s="1" t="s">
        <v>1489</v>
      </c>
      <c r="R742" s="1" t="s">
        <v>1480</v>
      </c>
      <c r="S742" s="6" t="e">
        <f t="shared" si="35"/>
        <v>#N/A</v>
      </c>
    </row>
    <row r="743" spans="2:19" x14ac:dyDescent="0.25">
      <c r="B743" s="1" t="s">
        <v>1479</v>
      </c>
      <c r="C743" s="1" t="s">
        <v>1481</v>
      </c>
      <c r="D743" s="4" t="e">
        <f>VLOOKUP(A743,المعطيات!$A$1:$J$3500,5,0)</f>
        <v>#N/A</v>
      </c>
      <c r="E743" s="1" t="s">
        <v>1482</v>
      </c>
      <c r="F743" s="5">
        <f t="shared" si="33"/>
        <v>0</v>
      </c>
      <c r="G743" s="5" t="s">
        <v>1483</v>
      </c>
      <c r="H743" s="4" t="e">
        <f>VLOOKUP(A743,المعطيات!$A$1:$J$3500,3,0)</f>
        <v>#N/A</v>
      </c>
      <c r="I743" s="1" t="s">
        <v>1484</v>
      </c>
      <c r="J743" s="1" t="s">
        <v>1485</v>
      </c>
      <c r="K743" s="4" t="e">
        <f>VLOOKUP(A743,المعطيات!$A$1:$J$3500,6,0)</f>
        <v>#N/A</v>
      </c>
      <c r="L743" s="1" t="s">
        <v>1486</v>
      </c>
      <c r="M743" s="1" t="s">
        <v>1487</v>
      </c>
      <c r="N743" s="4" t="e">
        <f t="shared" si="34"/>
        <v>#N/A</v>
      </c>
      <c r="O743" s="1" t="s">
        <v>1488</v>
      </c>
      <c r="P743" s="4" t="e">
        <f>VLOOKUP(A743,المعطيات!$A$1:$J$3500,4,0)</f>
        <v>#N/A</v>
      </c>
      <c r="Q743" s="1" t="s">
        <v>1489</v>
      </c>
      <c r="R743" s="1" t="s">
        <v>1480</v>
      </c>
      <c r="S743" s="6" t="e">
        <f t="shared" si="35"/>
        <v>#N/A</v>
      </c>
    </row>
    <row r="744" spans="2:19" x14ac:dyDescent="0.25">
      <c r="B744" s="1" t="s">
        <v>1479</v>
      </c>
      <c r="C744" s="1" t="s">
        <v>1481</v>
      </c>
      <c r="D744" s="4" t="e">
        <f>VLOOKUP(A744,المعطيات!$A$1:$J$3500,5,0)</f>
        <v>#N/A</v>
      </c>
      <c r="E744" s="1" t="s">
        <v>1482</v>
      </c>
      <c r="F744" s="5">
        <f t="shared" si="33"/>
        <v>0</v>
      </c>
      <c r="G744" s="5" t="s">
        <v>1483</v>
      </c>
      <c r="H744" s="4" t="e">
        <f>VLOOKUP(A744,المعطيات!$A$1:$J$3500,3,0)</f>
        <v>#N/A</v>
      </c>
      <c r="I744" s="1" t="s">
        <v>1484</v>
      </c>
      <c r="J744" s="1" t="s">
        <v>1485</v>
      </c>
      <c r="K744" s="4" t="e">
        <f>VLOOKUP(A744,المعطيات!$A$1:$J$3500,6,0)</f>
        <v>#N/A</v>
      </c>
      <c r="L744" s="1" t="s">
        <v>1486</v>
      </c>
      <c r="M744" s="1" t="s">
        <v>1487</v>
      </c>
      <c r="N744" s="4" t="e">
        <f t="shared" si="34"/>
        <v>#N/A</v>
      </c>
      <c r="O744" s="1" t="s">
        <v>1488</v>
      </c>
      <c r="P744" s="4" t="e">
        <f>VLOOKUP(A744,المعطيات!$A$1:$J$3500,4,0)</f>
        <v>#N/A</v>
      </c>
      <c r="Q744" s="1" t="s">
        <v>1489</v>
      </c>
      <c r="R744" s="1" t="s">
        <v>1480</v>
      </c>
      <c r="S744" s="6" t="e">
        <f t="shared" si="35"/>
        <v>#N/A</v>
      </c>
    </row>
    <row r="745" spans="2:19" x14ac:dyDescent="0.25">
      <c r="B745" s="1" t="s">
        <v>1479</v>
      </c>
      <c r="C745" s="1" t="s">
        <v>1481</v>
      </c>
      <c r="D745" s="4" t="e">
        <f>VLOOKUP(A745,المعطيات!$A$1:$J$3500,5,0)</f>
        <v>#N/A</v>
      </c>
      <c r="E745" s="1" t="s">
        <v>1482</v>
      </c>
      <c r="F745" s="5">
        <f t="shared" si="33"/>
        <v>0</v>
      </c>
      <c r="G745" s="5" t="s">
        <v>1483</v>
      </c>
      <c r="H745" s="4" t="e">
        <f>VLOOKUP(A745,المعطيات!$A$1:$J$3500,3,0)</f>
        <v>#N/A</v>
      </c>
      <c r="I745" s="1" t="s">
        <v>1484</v>
      </c>
      <c r="J745" s="1" t="s">
        <v>1485</v>
      </c>
      <c r="K745" s="4" t="e">
        <f>VLOOKUP(A745,المعطيات!$A$1:$J$3500,6,0)</f>
        <v>#N/A</v>
      </c>
      <c r="L745" s="1" t="s">
        <v>1486</v>
      </c>
      <c r="M745" s="1" t="s">
        <v>1487</v>
      </c>
      <c r="N745" s="4" t="e">
        <f t="shared" si="34"/>
        <v>#N/A</v>
      </c>
      <c r="O745" s="1" t="s">
        <v>1488</v>
      </c>
      <c r="P745" s="4" t="e">
        <f>VLOOKUP(A745,المعطيات!$A$1:$J$3500,4,0)</f>
        <v>#N/A</v>
      </c>
      <c r="Q745" s="1" t="s">
        <v>1489</v>
      </c>
      <c r="R745" s="1" t="s">
        <v>1480</v>
      </c>
      <c r="S745" s="6" t="e">
        <f t="shared" si="35"/>
        <v>#N/A</v>
      </c>
    </row>
    <row r="746" spans="2:19" x14ac:dyDescent="0.25">
      <c r="B746" s="1" t="s">
        <v>1479</v>
      </c>
      <c r="C746" s="1" t="s">
        <v>1481</v>
      </c>
      <c r="D746" s="4" t="e">
        <f>VLOOKUP(A746,المعطيات!$A$1:$J$3500,5,0)</f>
        <v>#N/A</v>
      </c>
      <c r="E746" s="1" t="s">
        <v>1482</v>
      </c>
      <c r="F746" s="5">
        <f t="shared" si="33"/>
        <v>0</v>
      </c>
      <c r="G746" s="5" t="s">
        <v>1483</v>
      </c>
      <c r="H746" s="4" t="e">
        <f>VLOOKUP(A746,المعطيات!$A$1:$J$3500,3,0)</f>
        <v>#N/A</v>
      </c>
      <c r="I746" s="1" t="s">
        <v>1484</v>
      </c>
      <c r="J746" s="1" t="s">
        <v>1485</v>
      </c>
      <c r="K746" s="4" t="e">
        <f>VLOOKUP(A746,المعطيات!$A$1:$J$3500,6,0)</f>
        <v>#N/A</v>
      </c>
      <c r="L746" s="1" t="s">
        <v>1486</v>
      </c>
      <c r="M746" s="1" t="s">
        <v>1487</v>
      </c>
      <c r="N746" s="4" t="e">
        <f t="shared" si="34"/>
        <v>#N/A</v>
      </c>
      <c r="O746" s="1" t="s">
        <v>1488</v>
      </c>
      <c r="P746" s="4" t="e">
        <f>VLOOKUP(A746,المعطيات!$A$1:$J$3500,4,0)</f>
        <v>#N/A</v>
      </c>
      <c r="Q746" s="1" t="s">
        <v>1489</v>
      </c>
      <c r="R746" s="1" t="s">
        <v>1480</v>
      </c>
      <c r="S746" s="6" t="e">
        <f t="shared" si="35"/>
        <v>#N/A</v>
      </c>
    </row>
    <row r="747" spans="2:19" x14ac:dyDescent="0.25">
      <c r="B747" s="1" t="s">
        <v>1479</v>
      </c>
      <c r="C747" s="1" t="s">
        <v>1481</v>
      </c>
      <c r="D747" s="4" t="e">
        <f>VLOOKUP(A747,المعطيات!$A$1:$J$3500,5,0)</f>
        <v>#N/A</v>
      </c>
      <c r="E747" s="1" t="s">
        <v>1482</v>
      </c>
      <c r="F747" s="5">
        <f t="shared" si="33"/>
        <v>0</v>
      </c>
      <c r="G747" s="5" t="s">
        <v>1483</v>
      </c>
      <c r="H747" s="4" t="e">
        <f>VLOOKUP(A747,المعطيات!$A$1:$J$3500,3,0)</f>
        <v>#N/A</v>
      </c>
      <c r="I747" s="1" t="s">
        <v>1484</v>
      </c>
      <c r="J747" s="1" t="s">
        <v>1485</v>
      </c>
      <c r="K747" s="4" t="e">
        <f>VLOOKUP(A747,المعطيات!$A$1:$J$3500,6,0)</f>
        <v>#N/A</v>
      </c>
      <c r="L747" s="1" t="s">
        <v>1486</v>
      </c>
      <c r="M747" s="1" t="s">
        <v>1487</v>
      </c>
      <c r="N747" s="4" t="e">
        <f t="shared" si="34"/>
        <v>#N/A</v>
      </c>
      <c r="O747" s="1" t="s">
        <v>1488</v>
      </c>
      <c r="P747" s="4" t="e">
        <f>VLOOKUP(A747,المعطيات!$A$1:$J$3500,4,0)</f>
        <v>#N/A</v>
      </c>
      <c r="Q747" s="1" t="s">
        <v>1489</v>
      </c>
      <c r="R747" s="1" t="s">
        <v>1480</v>
      </c>
      <c r="S747" s="6" t="e">
        <f t="shared" si="35"/>
        <v>#N/A</v>
      </c>
    </row>
    <row r="748" spans="2:19" x14ac:dyDescent="0.25">
      <c r="B748" s="1" t="s">
        <v>1479</v>
      </c>
      <c r="C748" s="1" t="s">
        <v>1481</v>
      </c>
      <c r="D748" s="4" t="e">
        <f>VLOOKUP(A748,المعطيات!$A$1:$J$3500,5,0)</f>
        <v>#N/A</v>
      </c>
      <c r="E748" s="1" t="s">
        <v>1482</v>
      </c>
      <c r="F748" s="5">
        <f t="shared" si="33"/>
        <v>0</v>
      </c>
      <c r="G748" s="5" t="s">
        <v>1483</v>
      </c>
      <c r="H748" s="4" t="e">
        <f>VLOOKUP(A748,المعطيات!$A$1:$J$3500,3,0)</f>
        <v>#N/A</v>
      </c>
      <c r="I748" s="1" t="s">
        <v>1484</v>
      </c>
      <c r="J748" s="1" t="s">
        <v>1485</v>
      </c>
      <c r="K748" s="4" t="e">
        <f>VLOOKUP(A748,المعطيات!$A$1:$J$3500,6,0)</f>
        <v>#N/A</v>
      </c>
      <c r="L748" s="1" t="s">
        <v>1486</v>
      </c>
      <c r="M748" s="1" t="s">
        <v>1487</v>
      </c>
      <c r="N748" s="4" t="e">
        <f t="shared" si="34"/>
        <v>#N/A</v>
      </c>
      <c r="O748" s="1" t="s">
        <v>1488</v>
      </c>
      <c r="P748" s="4" t="e">
        <f>VLOOKUP(A748,المعطيات!$A$1:$J$3500,4,0)</f>
        <v>#N/A</v>
      </c>
      <c r="Q748" s="1" t="s">
        <v>1489</v>
      </c>
      <c r="R748" s="1" t="s">
        <v>1480</v>
      </c>
      <c r="S748" s="6" t="e">
        <f t="shared" si="35"/>
        <v>#N/A</v>
      </c>
    </row>
    <row r="749" spans="2:19" x14ac:dyDescent="0.25">
      <c r="B749" s="1" t="s">
        <v>1479</v>
      </c>
      <c r="C749" s="1" t="s">
        <v>1481</v>
      </c>
      <c r="D749" s="4" t="e">
        <f>VLOOKUP(A749,المعطيات!$A$1:$J$3500,5,0)</f>
        <v>#N/A</v>
      </c>
      <c r="E749" s="1" t="s">
        <v>1482</v>
      </c>
      <c r="F749" s="5">
        <f t="shared" si="33"/>
        <v>0</v>
      </c>
      <c r="G749" s="5" t="s">
        <v>1483</v>
      </c>
      <c r="H749" s="4" t="e">
        <f>VLOOKUP(A749,المعطيات!$A$1:$J$3500,3,0)</f>
        <v>#N/A</v>
      </c>
      <c r="I749" s="1" t="s">
        <v>1484</v>
      </c>
      <c r="J749" s="1" t="s">
        <v>1485</v>
      </c>
      <c r="K749" s="4" t="e">
        <f>VLOOKUP(A749,المعطيات!$A$1:$J$3500,6,0)</f>
        <v>#N/A</v>
      </c>
      <c r="L749" s="1" t="s">
        <v>1486</v>
      </c>
      <c r="M749" s="1" t="s">
        <v>1487</v>
      </c>
      <c r="N749" s="4" t="e">
        <f t="shared" si="34"/>
        <v>#N/A</v>
      </c>
      <c r="O749" s="1" t="s">
        <v>1488</v>
      </c>
      <c r="P749" s="4" t="e">
        <f>VLOOKUP(A749,المعطيات!$A$1:$J$3500,4,0)</f>
        <v>#N/A</v>
      </c>
      <c r="Q749" s="1" t="s">
        <v>1489</v>
      </c>
      <c r="R749" s="1" t="s">
        <v>1480</v>
      </c>
      <c r="S749" s="6" t="e">
        <f t="shared" si="35"/>
        <v>#N/A</v>
      </c>
    </row>
    <row r="750" spans="2:19" x14ac:dyDescent="0.25">
      <c r="B750" s="1" t="s">
        <v>1479</v>
      </c>
      <c r="C750" s="1" t="s">
        <v>1481</v>
      </c>
      <c r="D750" s="4" t="e">
        <f>VLOOKUP(A750,المعطيات!$A$1:$J$3500,5,0)</f>
        <v>#N/A</v>
      </c>
      <c r="E750" s="1" t="s">
        <v>1482</v>
      </c>
      <c r="F750" s="5">
        <f t="shared" si="33"/>
        <v>0</v>
      </c>
      <c r="G750" s="5" t="s">
        <v>1483</v>
      </c>
      <c r="H750" s="4" t="e">
        <f>VLOOKUP(A750,المعطيات!$A$1:$J$3500,3,0)</f>
        <v>#N/A</v>
      </c>
      <c r="I750" s="1" t="s">
        <v>1484</v>
      </c>
      <c r="J750" s="1" t="s">
        <v>1485</v>
      </c>
      <c r="K750" s="4" t="e">
        <f>VLOOKUP(A750,المعطيات!$A$1:$J$3500,6,0)</f>
        <v>#N/A</v>
      </c>
      <c r="L750" s="1" t="s">
        <v>1486</v>
      </c>
      <c r="M750" s="1" t="s">
        <v>1487</v>
      </c>
      <c r="N750" s="4" t="e">
        <f t="shared" si="34"/>
        <v>#N/A</v>
      </c>
      <c r="O750" s="1" t="s">
        <v>1488</v>
      </c>
      <c r="P750" s="4" t="e">
        <f>VLOOKUP(A750,المعطيات!$A$1:$J$3500,4,0)</f>
        <v>#N/A</v>
      </c>
      <c r="Q750" s="1" t="s">
        <v>1489</v>
      </c>
      <c r="R750" s="1" t="s">
        <v>1480</v>
      </c>
      <c r="S750" s="6" t="e">
        <f t="shared" si="35"/>
        <v>#N/A</v>
      </c>
    </row>
    <row r="751" spans="2:19" x14ac:dyDescent="0.25">
      <c r="B751" s="1" t="s">
        <v>1479</v>
      </c>
      <c r="C751" s="1" t="s">
        <v>1481</v>
      </c>
      <c r="D751" s="4" t="e">
        <f>VLOOKUP(A751,المعطيات!$A$1:$J$3500,5,0)</f>
        <v>#N/A</v>
      </c>
      <c r="E751" s="1" t="s">
        <v>1482</v>
      </c>
      <c r="F751" s="5">
        <f t="shared" si="33"/>
        <v>0</v>
      </c>
      <c r="G751" s="5" t="s">
        <v>1483</v>
      </c>
      <c r="H751" s="4" t="e">
        <f>VLOOKUP(A751,المعطيات!$A$1:$J$3500,3,0)</f>
        <v>#N/A</v>
      </c>
      <c r="I751" s="1" t="s">
        <v>1484</v>
      </c>
      <c r="J751" s="1" t="s">
        <v>1485</v>
      </c>
      <c r="K751" s="4" t="e">
        <f>VLOOKUP(A751,المعطيات!$A$1:$J$3500,6,0)</f>
        <v>#N/A</v>
      </c>
      <c r="L751" s="1" t="s">
        <v>1486</v>
      </c>
      <c r="M751" s="1" t="s">
        <v>1487</v>
      </c>
      <c r="N751" s="4" t="e">
        <f t="shared" si="34"/>
        <v>#N/A</v>
      </c>
      <c r="O751" s="1" t="s">
        <v>1488</v>
      </c>
      <c r="P751" s="4" t="e">
        <f>VLOOKUP(A751,المعطيات!$A$1:$J$3500,4,0)</f>
        <v>#N/A</v>
      </c>
      <c r="Q751" s="1" t="s">
        <v>1489</v>
      </c>
      <c r="R751" s="1" t="s">
        <v>1480</v>
      </c>
      <c r="S751" s="6" t="e">
        <f t="shared" si="35"/>
        <v>#N/A</v>
      </c>
    </row>
    <row r="752" spans="2:19" x14ac:dyDescent="0.25">
      <c r="B752" s="1" t="s">
        <v>1479</v>
      </c>
      <c r="C752" s="1" t="s">
        <v>1481</v>
      </c>
      <c r="D752" s="4" t="e">
        <f>VLOOKUP(A752,المعطيات!$A$1:$J$3500,5,0)</f>
        <v>#N/A</v>
      </c>
      <c r="E752" s="1" t="s">
        <v>1482</v>
      </c>
      <c r="F752" s="5">
        <f t="shared" si="33"/>
        <v>0</v>
      </c>
      <c r="G752" s="5" t="s">
        <v>1483</v>
      </c>
      <c r="H752" s="4" t="e">
        <f>VLOOKUP(A752,المعطيات!$A$1:$J$3500,3,0)</f>
        <v>#N/A</v>
      </c>
      <c r="I752" s="1" t="s">
        <v>1484</v>
      </c>
      <c r="J752" s="1" t="s">
        <v>1485</v>
      </c>
      <c r="K752" s="4" t="e">
        <f>VLOOKUP(A752,المعطيات!$A$1:$J$3500,6,0)</f>
        <v>#N/A</v>
      </c>
      <c r="L752" s="1" t="s">
        <v>1486</v>
      </c>
      <c r="M752" s="1" t="s">
        <v>1487</v>
      </c>
      <c r="N752" s="4" t="e">
        <f t="shared" si="34"/>
        <v>#N/A</v>
      </c>
      <c r="O752" s="1" t="s">
        <v>1488</v>
      </c>
      <c r="P752" s="4" t="e">
        <f>VLOOKUP(A752,المعطيات!$A$1:$J$3500,4,0)</f>
        <v>#N/A</v>
      </c>
      <c r="Q752" s="1" t="s">
        <v>1489</v>
      </c>
      <c r="R752" s="1" t="s">
        <v>1480</v>
      </c>
      <c r="S752" s="6" t="e">
        <f t="shared" si="35"/>
        <v>#N/A</v>
      </c>
    </row>
    <row r="753" spans="2:19" x14ac:dyDescent="0.25">
      <c r="B753" s="1" t="s">
        <v>1479</v>
      </c>
      <c r="C753" s="1" t="s">
        <v>1481</v>
      </c>
      <c r="D753" s="4" t="e">
        <f>VLOOKUP(A753,المعطيات!$A$1:$J$3500,5,0)</f>
        <v>#N/A</v>
      </c>
      <c r="E753" s="1" t="s">
        <v>1482</v>
      </c>
      <c r="F753" s="5">
        <f t="shared" si="33"/>
        <v>0</v>
      </c>
      <c r="G753" s="5" t="s">
        <v>1483</v>
      </c>
      <c r="H753" s="4" t="e">
        <f>VLOOKUP(A753,المعطيات!$A$1:$J$3500,3,0)</f>
        <v>#N/A</v>
      </c>
      <c r="I753" s="1" t="s">
        <v>1484</v>
      </c>
      <c r="J753" s="1" t="s">
        <v>1485</v>
      </c>
      <c r="K753" s="4" t="e">
        <f>VLOOKUP(A753,المعطيات!$A$1:$J$3500,6,0)</f>
        <v>#N/A</v>
      </c>
      <c r="L753" s="1" t="s">
        <v>1486</v>
      </c>
      <c r="M753" s="1" t="s">
        <v>1487</v>
      </c>
      <c r="N753" s="4" t="e">
        <f t="shared" si="34"/>
        <v>#N/A</v>
      </c>
      <c r="O753" s="1" t="s">
        <v>1488</v>
      </c>
      <c r="P753" s="4" t="e">
        <f>VLOOKUP(A753,المعطيات!$A$1:$J$3500,4,0)</f>
        <v>#N/A</v>
      </c>
      <c r="Q753" s="1" t="s">
        <v>1489</v>
      </c>
      <c r="R753" s="1" t="s">
        <v>1480</v>
      </c>
      <c r="S753" s="6" t="e">
        <f t="shared" si="35"/>
        <v>#N/A</v>
      </c>
    </row>
    <row r="754" spans="2:19" x14ac:dyDescent="0.25">
      <c r="B754" s="1" t="s">
        <v>1479</v>
      </c>
      <c r="C754" s="1" t="s">
        <v>1481</v>
      </c>
      <c r="D754" s="4" t="e">
        <f>VLOOKUP(A754,المعطيات!$A$1:$J$3500,5,0)</f>
        <v>#N/A</v>
      </c>
      <c r="E754" s="1" t="s">
        <v>1482</v>
      </c>
      <c r="F754" s="5">
        <f t="shared" si="33"/>
        <v>0</v>
      </c>
      <c r="G754" s="5" t="s">
        <v>1483</v>
      </c>
      <c r="H754" s="4" t="e">
        <f>VLOOKUP(A754,المعطيات!$A$1:$J$3500,3,0)</f>
        <v>#N/A</v>
      </c>
      <c r="I754" s="1" t="s">
        <v>1484</v>
      </c>
      <c r="J754" s="1" t="s">
        <v>1485</v>
      </c>
      <c r="K754" s="4" t="e">
        <f>VLOOKUP(A754,المعطيات!$A$1:$J$3500,6,0)</f>
        <v>#N/A</v>
      </c>
      <c r="L754" s="1" t="s">
        <v>1486</v>
      </c>
      <c r="M754" s="1" t="s">
        <v>1487</v>
      </c>
      <c r="N754" s="4" t="e">
        <f t="shared" si="34"/>
        <v>#N/A</v>
      </c>
      <c r="O754" s="1" t="s">
        <v>1488</v>
      </c>
      <c r="P754" s="4" t="e">
        <f>VLOOKUP(A754,المعطيات!$A$1:$J$3500,4,0)</f>
        <v>#N/A</v>
      </c>
      <c r="Q754" s="1" t="s">
        <v>1489</v>
      </c>
      <c r="R754" s="1" t="s">
        <v>1480</v>
      </c>
      <c r="S754" s="6" t="e">
        <f t="shared" si="35"/>
        <v>#N/A</v>
      </c>
    </row>
    <row r="755" spans="2:19" x14ac:dyDescent="0.25">
      <c r="B755" s="1" t="s">
        <v>1479</v>
      </c>
      <c r="C755" s="1" t="s">
        <v>1481</v>
      </c>
      <c r="D755" s="4" t="e">
        <f>VLOOKUP(A755,المعطيات!$A$1:$J$3500,5,0)</f>
        <v>#N/A</v>
      </c>
      <c r="E755" s="1" t="s">
        <v>1482</v>
      </c>
      <c r="F755" s="5">
        <f t="shared" si="33"/>
        <v>0</v>
      </c>
      <c r="G755" s="5" t="s">
        <v>1483</v>
      </c>
      <c r="H755" s="4" t="e">
        <f>VLOOKUP(A755,المعطيات!$A$1:$J$3500,3,0)</f>
        <v>#N/A</v>
      </c>
      <c r="I755" s="1" t="s">
        <v>1484</v>
      </c>
      <c r="J755" s="1" t="s">
        <v>1485</v>
      </c>
      <c r="K755" s="4" t="e">
        <f>VLOOKUP(A755,المعطيات!$A$1:$J$3500,6,0)</f>
        <v>#N/A</v>
      </c>
      <c r="L755" s="1" t="s">
        <v>1486</v>
      </c>
      <c r="M755" s="1" t="s">
        <v>1487</v>
      </c>
      <c r="N755" s="4" t="e">
        <f t="shared" si="34"/>
        <v>#N/A</v>
      </c>
      <c r="O755" s="1" t="s">
        <v>1488</v>
      </c>
      <c r="P755" s="4" t="e">
        <f>VLOOKUP(A755,المعطيات!$A$1:$J$3500,4,0)</f>
        <v>#N/A</v>
      </c>
      <c r="Q755" s="1" t="s">
        <v>1489</v>
      </c>
      <c r="R755" s="1" t="s">
        <v>1480</v>
      </c>
      <c r="S755" s="6" t="e">
        <f t="shared" si="35"/>
        <v>#N/A</v>
      </c>
    </row>
    <row r="756" spans="2:19" x14ac:dyDescent="0.25">
      <c r="B756" s="1" t="s">
        <v>1479</v>
      </c>
      <c r="C756" s="1" t="s">
        <v>1481</v>
      </c>
      <c r="D756" s="4" t="e">
        <f>VLOOKUP(A756,المعطيات!$A$1:$J$3500,5,0)</f>
        <v>#N/A</v>
      </c>
      <c r="E756" s="1" t="s">
        <v>1482</v>
      </c>
      <c r="F756" s="5">
        <f t="shared" si="33"/>
        <v>0</v>
      </c>
      <c r="G756" s="5" t="s">
        <v>1483</v>
      </c>
      <c r="H756" s="4" t="e">
        <f>VLOOKUP(A756,المعطيات!$A$1:$J$3500,3,0)</f>
        <v>#N/A</v>
      </c>
      <c r="I756" s="1" t="s">
        <v>1484</v>
      </c>
      <c r="J756" s="1" t="s">
        <v>1485</v>
      </c>
      <c r="K756" s="4" t="e">
        <f>VLOOKUP(A756,المعطيات!$A$1:$J$3500,6,0)</f>
        <v>#N/A</v>
      </c>
      <c r="L756" s="1" t="s">
        <v>1486</v>
      </c>
      <c r="M756" s="1" t="s">
        <v>1487</v>
      </c>
      <c r="N756" s="4" t="e">
        <f t="shared" si="34"/>
        <v>#N/A</v>
      </c>
      <c r="O756" s="1" t="s">
        <v>1488</v>
      </c>
      <c r="P756" s="4" t="e">
        <f>VLOOKUP(A756,المعطيات!$A$1:$J$3500,4,0)</f>
        <v>#N/A</v>
      </c>
      <c r="Q756" s="1" t="s">
        <v>1489</v>
      </c>
      <c r="R756" s="1" t="s">
        <v>1480</v>
      </c>
      <c r="S756" s="6" t="e">
        <f t="shared" si="35"/>
        <v>#N/A</v>
      </c>
    </row>
    <row r="757" spans="2:19" x14ac:dyDescent="0.25">
      <c r="B757" s="1" t="s">
        <v>1479</v>
      </c>
      <c r="C757" s="1" t="s">
        <v>1481</v>
      </c>
      <c r="D757" s="4" t="e">
        <f>VLOOKUP(A757,المعطيات!$A$1:$J$3500,5,0)</f>
        <v>#N/A</v>
      </c>
      <c r="E757" s="1" t="s">
        <v>1482</v>
      </c>
      <c r="F757" s="5">
        <f t="shared" si="33"/>
        <v>0</v>
      </c>
      <c r="G757" s="5" t="s">
        <v>1483</v>
      </c>
      <c r="H757" s="4" t="e">
        <f>VLOOKUP(A757,المعطيات!$A$1:$J$3500,3,0)</f>
        <v>#N/A</v>
      </c>
      <c r="I757" s="1" t="s">
        <v>1484</v>
      </c>
      <c r="J757" s="1" t="s">
        <v>1485</v>
      </c>
      <c r="K757" s="4" t="e">
        <f>VLOOKUP(A757,المعطيات!$A$1:$J$3500,6,0)</f>
        <v>#N/A</v>
      </c>
      <c r="L757" s="1" t="s">
        <v>1486</v>
      </c>
      <c r="M757" s="1" t="s">
        <v>1487</v>
      </c>
      <c r="N757" s="4" t="e">
        <f t="shared" si="34"/>
        <v>#N/A</v>
      </c>
      <c r="O757" s="1" t="s">
        <v>1488</v>
      </c>
      <c r="P757" s="4" t="e">
        <f>VLOOKUP(A757,المعطيات!$A$1:$J$3500,4,0)</f>
        <v>#N/A</v>
      </c>
      <c r="Q757" s="1" t="s">
        <v>1489</v>
      </c>
      <c r="R757" s="1" t="s">
        <v>1480</v>
      </c>
      <c r="S757" s="6" t="e">
        <f t="shared" si="35"/>
        <v>#N/A</v>
      </c>
    </row>
    <row r="758" spans="2:19" x14ac:dyDescent="0.25">
      <c r="B758" s="1" t="s">
        <v>1479</v>
      </c>
      <c r="C758" s="1" t="s">
        <v>1481</v>
      </c>
      <c r="D758" s="4" t="e">
        <f>VLOOKUP(A758,المعطيات!$A$1:$J$3500,5,0)</f>
        <v>#N/A</v>
      </c>
      <c r="E758" s="1" t="s">
        <v>1482</v>
      </c>
      <c r="F758" s="5">
        <f t="shared" si="33"/>
        <v>0</v>
      </c>
      <c r="G758" s="5" t="s">
        <v>1483</v>
      </c>
      <c r="H758" s="4" t="e">
        <f>VLOOKUP(A758,المعطيات!$A$1:$J$3500,3,0)</f>
        <v>#N/A</v>
      </c>
      <c r="I758" s="1" t="s">
        <v>1484</v>
      </c>
      <c r="J758" s="1" t="s">
        <v>1485</v>
      </c>
      <c r="K758" s="4" t="e">
        <f>VLOOKUP(A758,المعطيات!$A$1:$J$3500,6,0)</f>
        <v>#N/A</v>
      </c>
      <c r="L758" s="1" t="s">
        <v>1486</v>
      </c>
      <c r="M758" s="1" t="s">
        <v>1487</v>
      </c>
      <c r="N758" s="4" t="e">
        <f t="shared" si="34"/>
        <v>#N/A</v>
      </c>
      <c r="O758" s="1" t="s">
        <v>1488</v>
      </c>
      <c r="P758" s="4" t="e">
        <f>VLOOKUP(A758,المعطيات!$A$1:$J$3500,4,0)</f>
        <v>#N/A</v>
      </c>
      <c r="Q758" s="1" t="s">
        <v>1489</v>
      </c>
      <c r="R758" s="1" t="s">
        <v>1480</v>
      </c>
      <c r="S758" s="6" t="e">
        <f t="shared" si="35"/>
        <v>#N/A</v>
      </c>
    </row>
    <row r="759" spans="2:19" x14ac:dyDescent="0.25">
      <c r="B759" s="1" t="s">
        <v>1479</v>
      </c>
      <c r="C759" s="1" t="s">
        <v>1481</v>
      </c>
      <c r="D759" s="4" t="e">
        <f>VLOOKUP(A759,المعطيات!$A$1:$J$3500,5,0)</f>
        <v>#N/A</v>
      </c>
      <c r="E759" s="1" t="s">
        <v>1482</v>
      </c>
      <c r="F759" s="5">
        <f t="shared" si="33"/>
        <v>0</v>
      </c>
      <c r="G759" s="5" t="s">
        <v>1483</v>
      </c>
      <c r="H759" s="4" t="e">
        <f>VLOOKUP(A759,المعطيات!$A$1:$J$3500,3,0)</f>
        <v>#N/A</v>
      </c>
      <c r="I759" s="1" t="s">
        <v>1484</v>
      </c>
      <c r="J759" s="1" t="s">
        <v>1485</v>
      </c>
      <c r="K759" s="4" t="e">
        <f>VLOOKUP(A759,المعطيات!$A$1:$J$3500,6,0)</f>
        <v>#N/A</v>
      </c>
      <c r="L759" s="1" t="s">
        <v>1486</v>
      </c>
      <c r="M759" s="1" t="s">
        <v>1487</v>
      </c>
      <c r="N759" s="4" t="e">
        <f t="shared" si="34"/>
        <v>#N/A</v>
      </c>
      <c r="O759" s="1" t="s">
        <v>1488</v>
      </c>
      <c r="P759" s="4" t="e">
        <f>VLOOKUP(A759,المعطيات!$A$1:$J$3500,4,0)</f>
        <v>#N/A</v>
      </c>
      <c r="Q759" s="1" t="s">
        <v>1489</v>
      </c>
      <c r="R759" s="1" t="s">
        <v>1480</v>
      </c>
      <c r="S759" s="6" t="e">
        <f t="shared" si="35"/>
        <v>#N/A</v>
      </c>
    </row>
    <row r="760" spans="2:19" x14ac:dyDescent="0.25">
      <c r="B760" s="1" t="s">
        <v>1479</v>
      </c>
      <c r="C760" s="1" t="s">
        <v>1481</v>
      </c>
      <c r="D760" s="4" t="e">
        <f>VLOOKUP(A760,المعطيات!$A$1:$J$3500,5,0)</f>
        <v>#N/A</v>
      </c>
      <c r="E760" s="1" t="s">
        <v>1482</v>
      </c>
      <c r="F760" s="5">
        <f t="shared" si="33"/>
        <v>0</v>
      </c>
      <c r="G760" s="5" t="s">
        <v>1483</v>
      </c>
      <c r="H760" s="4" t="e">
        <f>VLOOKUP(A760,المعطيات!$A$1:$J$3500,3,0)</f>
        <v>#N/A</v>
      </c>
      <c r="I760" s="1" t="s">
        <v>1484</v>
      </c>
      <c r="J760" s="1" t="s">
        <v>1485</v>
      </c>
      <c r="K760" s="4" t="e">
        <f>VLOOKUP(A760,المعطيات!$A$1:$J$3500,6,0)</f>
        <v>#N/A</v>
      </c>
      <c r="L760" s="1" t="s">
        <v>1486</v>
      </c>
      <c r="M760" s="1" t="s">
        <v>1487</v>
      </c>
      <c r="N760" s="4" t="e">
        <f t="shared" si="34"/>
        <v>#N/A</v>
      </c>
      <c r="O760" s="1" t="s">
        <v>1488</v>
      </c>
      <c r="P760" s="4" t="e">
        <f>VLOOKUP(A760,المعطيات!$A$1:$J$3500,4,0)</f>
        <v>#N/A</v>
      </c>
      <c r="Q760" s="1" t="s">
        <v>1489</v>
      </c>
      <c r="R760" s="1" t="s">
        <v>1480</v>
      </c>
      <c r="S760" s="6" t="e">
        <f t="shared" si="35"/>
        <v>#N/A</v>
      </c>
    </row>
    <row r="761" spans="2:19" x14ac:dyDescent="0.25">
      <c r="B761" s="1" t="s">
        <v>1479</v>
      </c>
      <c r="C761" s="1" t="s">
        <v>1481</v>
      </c>
      <c r="D761" s="4" t="e">
        <f>VLOOKUP(A761,المعطيات!$A$1:$J$3500,5,0)</f>
        <v>#N/A</v>
      </c>
      <c r="E761" s="1" t="s">
        <v>1482</v>
      </c>
      <c r="F761" s="5">
        <f t="shared" si="33"/>
        <v>0</v>
      </c>
      <c r="G761" s="5" t="s">
        <v>1483</v>
      </c>
      <c r="H761" s="4" t="e">
        <f>VLOOKUP(A761,المعطيات!$A$1:$J$3500,3,0)</f>
        <v>#N/A</v>
      </c>
      <c r="I761" s="1" t="s">
        <v>1484</v>
      </c>
      <c r="J761" s="1" t="s">
        <v>1485</v>
      </c>
      <c r="K761" s="4" t="e">
        <f>VLOOKUP(A761,المعطيات!$A$1:$J$3500,6,0)</f>
        <v>#N/A</v>
      </c>
      <c r="L761" s="1" t="s">
        <v>1486</v>
      </c>
      <c r="M761" s="1" t="s">
        <v>1487</v>
      </c>
      <c r="N761" s="4" t="e">
        <f t="shared" si="34"/>
        <v>#N/A</v>
      </c>
      <c r="O761" s="1" t="s">
        <v>1488</v>
      </c>
      <c r="P761" s="4" t="e">
        <f>VLOOKUP(A761,المعطيات!$A$1:$J$3500,4,0)</f>
        <v>#N/A</v>
      </c>
      <c r="Q761" s="1" t="s">
        <v>1489</v>
      </c>
      <c r="R761" s="1" t="s">
        <v>1480</v>
      </c>
      <c r="S761" s="6" t="e">
        <f t="shared" si="35"/>
        <v>#N/A</v>
      </c>
    </row>
    <row r="762" spans="2:19" x14ac:dyDescent="0.25">
      <c r="B762" s="1" t="s">
        <v>1479</v>
      </c>
      <c r="C762" s="1" t="s">
        <v>1481</v>
      </c>
      <c r="D762" s="4" t="e">
        <f>VLOOKUP(A762,المعطيات!$A$1:$J$3500,5,0)</f>
        <v>#N/A</v>
      </c>
      <c r="E762" s="1" t="s">
        <v>1482</v>
      </c>
      <c r="F762" s="5">
        <f t="shared" si="33"/>
        <v>0</v>
      </c>
      <c r="G762" s="5" t="s">
        <v>1483</v>
      </c>
      <c r="H762" s="4" t="e">
        <f>VLOOKUP(A762,المعطيات!$A$1:$J$3500,3,0)</f>
        <v>#N/A</v>
      </c>
      <c r="I762" s="1" t="s">
        <v>1484</v>
      </c>
      <c r="J762" s="1" t="s">
        <v>1485</v>
      </c>
      <c r="K762" s="4" t="e">
        <f>VLOOKUP(A762,المعطيات!$A$1:$J$3500,6,0)</f>
        <v>#N/A</v>
      </c>
      <c r="L762" s="1" t="s">
        <v>1486</v>
      </c>
      <c r="M762" s="1" t="s">
        <v>1487</v>
      </c>
      <c r="N762" s="4" t="e">
        <f t="shared" si="34"/>
        <v>#N/A</v>
      </c>
      <c r="O762" s="1" t="s">
        <v>1488</v>
      </c>
      <c r="P762" s="4" t="e">
        <f>VLOOKUP(A762,المعطيات!$A$1:$J$3500,4,0)</f>
        <v>#N/A</v>
      </c>
      <c r="Q762" s="1" t="s">
        <v>1489</v>
      </c>
      <c r="R762" s="1" t="s">
        <v>1480</v>
      </c>
      <c r="S762" s="6" t="e">
        <f t="shared" si="35"/>
        <v>#N/A</v>
      </c>
    </row>
    <row r="763" spans="2:19" x14ac:dyDescent="0.25">
      <c r="B763" s="1" t="s">
        <v>1479</v>
      </c>
      <c r="C763" s="1" t="s">
        <v>1481</v>
      </c>
      <c r="D763" s="4" t="e">
        <f>VLOOKUP(A763,المعطيات!$A$1:$J$3500,5,0)</f>
        <v>#N/A</v>
      </c>
      <c r="E763" s="1" t="s">
        <v>1482</v>
      </c>
      <c r="F763" s="5">
        <f t="shared" si="33"/>
        <v>0</v>
      </c>
      <c r="G763" s="5" t="s">
        <v>1483</v>
      </c>
      <c r="H763" s="4" t="e">
        <f>VLOOKUP(A763,المعطيات!$A$1:$J$3500,3,0)</f>
        <v>#N/A</v>
      </c>
      <c r="I763" s="1" t="s">
        <v>1484</v>
      </c>
      <c r="J763" s="1" t="s">
        <v>1485</v>
      </c>
      <c r="K763" s="4" t="e">
        <f>VLOOKUP(A763,المعطيات!$A$1:$J$3500,6,0)</f>
        <v>#N/A</v>
      </c>
      <c r="L763" s="1" t="s">
        <v>1486</v>
      </c>
      <c r="M763" s="1" t="s">
        <v>1487</v>
      </c>
      <c r="N763" s="4" t="e">
        <f t="shared" si="34"/>
        <v>#N/A</v>
      </c>
      <c r="O763" s="1" t="s">
        <v>1488</v>
      </c>
      <c r="P763" s="4" t="e">
        <f>VLOOKUP(A763,المعطيات!$A$1:$J$3500,4,0)</f>
        <v>#N/A</v>
      </c>
      <c r="Q763" s="1" t="s">
        <v>1489</v>
      </c>
      <c r="R763" s="1" t="s">
        <v>1480</v>
      </c>
      <c r="S763" s="6" t="e">
        <f t="shared" si="35"/>
        <v>#N/A</v>
      </c>
    </row>
    <row r="764" spans="2:19" x14ac:dyDescent="0.25">
      <c r="B764" s="1" t="s">
        <v>1479</v>
      </c>
      <c r="C764" s="1" t="s">
        <v>1481</v>
      </c>
      <c r="D764" s="4" t="e">
        <f>VLOOKUP(A764,المعطيات!$A$1:$J$3500,5,0)</f>
        <v>#N/A</v>
      </c>
      <c r="E764" s="1" t="s">
        <v>1482</v>
      </c>
      <c r="F764" s="5">
        <f t="shared" si="33"/>
        <v>0</v>
      </c>
      <c r="G764" s="5" t="s">
        <v>1483</v>
      </c>
      <c r="H764" s="4" t="e">
        <f>VLOOKUP(A764,المعطيات!$A$1:$J$3500,3,0)</f>
        <v>#N/A</v>
      </c>
      <c r="I764" s="1" t="s">
        <v>1484</v>
      </c>
      <c r="J764" s="1" t="s">
        <v>1485</v>
      </c>
      <c r="K764" s="4" t="e">
        <f>VLOOKUP(A764,المعطيات!$A$1:$J$3500,6,0)</f>
        <v>#N/A</v>
      </c>
      <c r="L764" s="1" t="s">
        <v>1486</v>
      </c>
      <c r="M764" s="1" t="s">
        <v>1487</v>
      </c>
      <c r="N764" s="4" t="e">
        <f t="shared" si="34"/>
        <v>#N/A</v>
      </c>
      <c r="O764" s="1" t="s">
        <v>1488</v>
      </c>
      <c r="P764" s="4" t="e">
        <f>VLOOKUP(A764,المعطيات!$A$1:$J$3500,4,0)</f>
        <v>#N/A</v>
      </c>
      <c r="Q764" s="1" t="s">
        <v>1489</v>
      </c>
      <c r="R764" s="1" t="s">
        <v>1480</v>
      </c>
      <c r="S764" s="6" t="e">
        <f t="shared" si="35"/>
        <v>#N/A</v>
      </c>
    </row>
    <row r="765" spans="2:19" x14ac:dyDescent="0.25">
      <c r="B765" s="1" t="s">
        <v>1479</v>
      </c>
      <c r="C765" s="1" t="s">
        <v>1481</v>
      </c>
      <c r="D765" s="4" t="e">
        <f>VLOOKUP(A765,المعطيات!$A$1:$J$3500,5,0)</f>
        <v>#N/A</v>
      </c>
      <c r="E765" s="1" t="s">
        <v>1482</v>
      </c>
      <c r="F765" s="5">
        <f t="shared" si="33"/>
        <v>0</v>
      </c>
      <c r="G765" s="5" t="s">
        <v>1483</v>
      </c>
      <c r="H765" s="4" t="e">
        <f>VLOOKUP(A765,المعطيات!$A$1:$J$3500,3,0)</f>
        <v>#N/A</v>
      </c>
      <c r="I765" s="1" t="s">
        <v>1484</v>
      </c>
      <c r="J765" s="1" t="s">
        <v>1485</v>
      </c>
      <c r="K765" s="4" t="e">
        <f>VLOOKUP(A765,المعطيات!$A$1:$J$3500,6,0)</f>
        <v>#N/A</v>
      </c>
      <c r="L765" s="1" t="s">
        <v>1486</v>
      </c>
      <c r="M765" s="1" t="s">
        <v>1487</v>
      </c>
      <c r="N765" s="4" t="e">
        <f t="shared" si="34"/>
        <v>#N/A</v>
      </c>
      <c r="O765" s="1" t="s">
        <v>1488</v>
      </c>
      <c r="P765" s="4" t="e">
        <f>VLOOKUP(A765,المعطيات!$A$1:$J$3500,4,0)</f>
        <v>#N/A</v>
      </c>
      <c r="Q765" s="1" t="s">
        <v>1489</v>
      </c>
      <c r="R765" s="1" t="s">
        <v>1480</v>
      </c>
      <c r="S765" s="6" t="e">
        <f t="shared" si="35"/>
        <v>#N/A</v>
      </c>
    </row>
    <row r="766" spans="2:19" x14ac:dyDescent="0.25">
      <c r="B766" s="1" t="s">
        <v>1479</v>
      </c>
      <c r="C766" s="1" t="s">
        <v>1481</v>
      </c>
      <c r="D766" s="4" t="e">
        <f>VLOOKUP(A766,المعطيات!$A$1:$J$3500,5,0)</f>
        <v>#N/A</v>
      </c>
      <c r="E766" s="1" t="s">
        <v>1482</v>
      </c>
      <c r="F766" s="5">
        <f t="shared" si="33"/>
        <v>0</v>
      </c>
      <c r="G766" s="5" t="s">
        <v>1483</v>
      </c>
      <c r="H766" s="4" t="e">
        <f>VLOOKUP(A766,المعطيات!$A$1:$J$3500,3,0)</f>
        <v>#N/A</v>
      </c>
      <c r="I766" s="1" t="s">
        <v>1484</v>
      </c>
      <c r="J766" s="1" t="s">
        <v>1485</v>
      </c>
      <c r="K766" s="4" t="e">
        <f>VLOOKUP(A766,المعطيات!$A$1:$J$3500,6,0)</f>
        <v>#N/A</v>
      </c>
      <c r="L766" s="1" t="s">
        <v>1486</v>
      </c>
      <c r="M766" s="1" t="s">
        <v>1487</v>
      </c>
      <c r="N766" s="4" t="e">
        <f t="shared" si="34"/>
        <v>#N/A</v>
      </c>
      <c r="O766" s="1" t="s">
        <v>1488</v>
      </c>
      <c r="P766" s="4" t="e">
        <f>VLOOKUP(A766,المعطيات!$A$1:$J$3500,4,0)</f>
        <v>#N/A</v>
      </c>
      <c r="Q766" s="1" t="s">
        <v>1489</v>
      </c>
      <c r="R766" s="1" t="s">
        <v>1480</v>
      </c>
      <c r="S766" s="6" t="e">
        <f t="shared" si="35"/>
        <v>#N/A</v>
      </c>
    </row>
    <row r="767" spans="2:19" x14ac:dyDescent="0.25">
      <c r="B767" s="1" t="s">
        <v>1479</v>
      </c>
      <c r="C767" s="1" t="s">
        <v>1481</v>
      </c>
      <c r="D767" s="4" t="e">
        <f>VLOOKUP(A767,المعطيات!$A$1:$J$3500,5,0)</f>
        <v>#N/A</v>
      </c>
      <c r="E767" s="1" t="s">
        <v>1482</v>
      </c>
      <c r="F767" s="5">
        <f t="shared" si="33"/>
        <v>0</v>
      </c>
      <c r="G767" s="5" t="s">
        <v>1483</v>
      </c>
      <c r="H767" s="4" t="e">
        <f>VLOOKUP(A767,المعطيات!$A$1:$J$3500,3,0)</f>
        <v>#N/A</v>
      </c>
      <c r="I767" s="1" t="s">
        <v>1484</v>
      </c>
      <c r="J767" s="1" t="s">
        <v>1485</v>
      </c>
      <c r="K767" s="4" t="e">
        <f>VLOOKUP(A767,المعطيات!$A$1:$J$3500,6,0)</f>
        <v>#N/A</v>
      </c>
      <c r="L767" s="1" t="s">
        <v>1486</v>
      </c>
      <c r="M767" s="1" t="s">
        <v>1487</v>
      </c>
      <c r="N767" s="4" t="e">
        <f t="shared" si="34"/>
        <v>#N/A</v>
      </c>
      <c r="O767" s="1" t="s">
        <v>1488</v>
      </c>
      <c r="P767" s="4" t="e">
        <f>VLOOKUP(A767,المعطيات!$A$1:$J$3500,4,0)</f>
        <v>#N/A</v>
      </c>
      <c r="Q767" s="1" t="s">
        <v>1489</v>
      </c>
      <c r="R767" s="1" t="s">
        <v>1480</v>
      </c>
      <c r="S767" s="6" t="e">
        <f t="shared" si="35"/>
        <v>#N/A</v>
      </c>
    </row>
    <row r="768" spans="2:19" x14ac:dyDescent="0.25">
      <c r="B768" s="1" t="s">
        <v>1479</v>
      </c>
      <c r="C768" s="1" t="s">
        <v>1481</v>
      </c>
      <c r="D768" s="4" t="e">
        <f>VLOOKUP(A768,المعطيات!$A$1:$J$3500,5,0)</f>
        <v>#N/A</v>
      </c>
      <c r="E768" s="1" t="s">
        <v>1482</v>
      </c>
      <c r="F768" s="5">
        <f t="shared" si="33"/>
        <v>0</v>
      </c>
      <c r="G768" s="5" t="s">
        <v>1483</v>
      </c>
      <c r="H768" s="4" t="e">
        <f>VLOOKUP(A768,المعطيات!$A$1:$J$3500,3,0)</f>
        <v>#N/A</v>
      </c>
      <c r="I768" s="1" t="s">
        <v>1484</v>
      </c>
      <c r="J768" s="1" t="s">
        <v>1485</v>
      </c>
      <c r="K768" s="4" t="e">
        <f>VLOOKUP(A768,المعطيات!$A$1:$J$3500,6,0)</f>
        <v>#N/A</v>
      </c>
      <c r="L768" s="1" t="s">
        <v>1486</v>
      </c>
      <c r="M768" s="1" t="s">
        <v>1487</v>
      </c>
      <c r="N768" s="4" t="e">
        <f t="shared" si="34"/>
        <v>#N/A</v>
      </c>
      <c r="O768" s="1" t="s">
        <v>1488</v>
      </c>
      <c r="P768" s="4" t="e">
        <f>VLOOKUP(A768,المعطيات!$A$1:$J$3500,4,0)</f>
        <v>#N/A</v>
      </c>
      <c r="Q768" s="1" t="s">
        <v>1489</v>
      </c>
      <c r="R768" s="1" t="s">
        <v>1480</v>
      </c>
      <c r="S768" s="6" t="e">
        <f t="shared" si="35"/>
        <v>#N/A</v>
      </c>
    </row>
    <row r="769" spans="2:19" x14ac:dyDescent="0.25">
      <c r="B769" s="1" t="s">
        <v>1479</v>
      </c>
      <c r="C769" s="1" t="s">
        <v>1481</v>
      </c>
      <c r="D769" s="4" t="e">
        <f>VLOOKUP(A769,المعطيات!$A$1:$J$3500,5,0)</f>
        <v>#N/A</v>
      </c>
      <c r="E769" s="1" t="s">
        <v>1482</v>
      </c>
      <c r="F769" s="5">
        <f t="shared" si="33"/>
        <v>0</v>
      </c>
      <c r="G769" s="5" t="s">
        <v>1483</v>
      </c>
      <c r="H769" s="4" t="e">
        <f>VLOOKUP(A769,المعطيات!$A$1:$J$3500,3,0)</f>
        <v>#N/A</v>
      </c>
      <c r="I769" s="1" t="s">
        <v>1484</v>
      </c>
      <c r="J769" s="1" t="s">
        <v>1485</v>
      </c>
      <c r="K769" s="4" t="e">
        <f>VLOOKUP(A769,المعطيات!$A$1:$J$3500,6,0)</f>
        <v>#N/A</v>
      </c>
      <c r="L769" s="1" t="s">
        <v>1486</v>
      </c>
      <c r="M769" s="1" t="s">
        <v>1487</v>
      </c>
      <c r="N769" s="4" t="e">
        <f t="shared" si="34"/>
        <v>#N/A</v>
      </c>
      <c r="O769" s="1" t="s">
        <v>1488</v>
      </c>
      <c r="P769" s="4" t="e">
        <f>VLOOKUP(A769,المعطيات!$A$1:$J$3500,4,0)</f>
        <v>#N/A</v>
      </c>
      <c r="Q769" s="1" t="s">
        <v>1489</v>
      </c>
      <c r="R769" s="1" t="s">
        <v>1480</v>
      </c>
      <c r="S769" s="6" t="e">
        <f t="shared" si="35"/>
        <v>#N/A</v>
      </c>
    </row>
    <row r="770" spans="2:19" x14ac:dyDescent="0.25">
      <c r="B770" s="1" t="s">
        <v>1479</v>
      </c>
      <c r="C770" s="1" t="s">
        <v>1481</v>
      </c>
      <c r="D770" s="4" t="e">
        <f>VLOOKUP(A770,المعطيات!$A$1:$J$3500,5,0)</f>
        <v>#N/A</v>
      </c>
      <c r="E770" s="1" t="s">
        <v>1482</v>
      </c>
      <c r="F770" s="5">
        <f t="shared" ref="F770:F833" si="36">A770</f>
        <v>0</v>
      </c>
      <c r="G770" s="5" t="s">
        <v>1483</v>
      </c>
      <c r="H770" s="4" t="e">
        <f>VLOOKUP(A770,المعطيات!$A$1:$J$3500,3,0)</f>
        <v>#N/A</v>
      </c>
      <c r="I770" s="1" t="s">
        <v>1484</v>
      </c>
      <c r="J770" s="1" t="s">
        <v>1485</v>
      </c>
      <c r="K770" s="4" t="e">
        <f>VLOOKUP(A770,المعطيات!$A$1:$J$3500,6,0)</f>
        <v>#N/A</v>
      </c>
      <c r="L770" s="1" t="s">
        <v>1486</v>
      </c>
      <c r="M770" s="1" t="s">
        <v>1487</v>
      </c>
      <c r="N770" s="4" t="e">
        <f t="shared" ref="N770:N833" si="37">D770</f>
        <v>#N/A</v>
      </c>
      <c r="O770" s="1" t="s">
        <v>1488</v>
      </c>
      <c r="P770" s="4" t="e">
        <f>VLOOKUP(A770,المعطيات!$A$1:$J$3500,4,0)</f>
        <v>#N/A</v>
      </c>
      <c r="Q770" s="1" t="s">
        <v>1489</v>
      </c>
      <c r="R770" s="1" t="s">
        <v>1480</v>
      </c>
      <c r="S770" s="6" t="e">
        <f t="shared" ref="S770:S833" si="38">B770&amp;""&amp;C770&amp;""&amp;D770&amp;""&amp;E770&amp;""&amp;F770&amp;""&amp;G770&amp;""&amp;H770&amp;""&amp;I770&amp;""&amp;J770&amp;""&amp;K770&amp;""&amp;L770&amp;""&amp;M770&amp;""&amp;N770&amp;""&amp;O770&amp;""&amp;P770&amp;""&amp;Q770&amp;""&amp;R770</f>
        <v>#N/A</v>
      </c>
    </row>
    <row r="771" spans="2:19" x14ac:dyDescent="0.25">
      <c r="B771" s="1" t="s">
        <v>1479</v>
      </c>
      <c r="C771" s="1" t="s">
        <v>1481</v>
      </c>
      <c r="D771" s="4" t="e">
        <f>VLOOKUP(A771,المعطيات!$A$1:$J$3500,5,0)</f>
        <v>#N/A</v>
      </c>
      <c r="E771" s="1" t="s">
        <v>1482</v>
      </c>
      <c r="F771" s="5">
        <f t="shared" si="36"/>
        <v>0</v>
      </c>
      <c r="G771" s="5" t="s">
        <v>1483</v>
      </c>
      <c r="H771" s="4" t="e">
        <f>VLOOKUP(A771,المعطيات!$A$1:$J$3500,3,0)</f>
        <v>#N/A</v>
      </c>
      <c r="I771" s="1" t="s">
        <v>1484</v>
      </c>
      <c r="J771" s="1" t="s">
        <v>1485</v>
      </c>
      <c r="K771" s="4" t="e">
        <f>VLOOKUP(A771,المعطيات!$A$1:$J$3500,6,0)</f>
        <v>#N/A</v>
      </c>
      <c r="L771" s="1" t="s">
        <v>1486</v>
      </c>
      <c r="M771" s="1" t="s">
        <v>1487</v>
      </c>
      <c r="N771" s="4" t="e">
        <f t="shared" si="37"/>
        <v>#N/A</v>
      </c>
      <c r="O771" s="1" t="s">
        <v>1488</v>
      </c>
      <c r="P771" s="4" t="e">
        <f>VLOOKUP(A771,المعطيات!$A$1:$J$3500,4,0)</f>
        <v>#N/A</v>
      </c>
      <c r="Q771" s="1" t="s">
        <v>1489</v>
      </c>
      <c r="R771" s="1" t="s">
        <v>1480</v>
      </c>
      <c r="S771" s="6" t="e">
        <f t="shared" si="38"/>
        <v>#N/A</v>
      </c>
    </row>
    <row r="772" spans="2:19" x14ac:dyDescent="0.25">
      <c r="B772" s="1" t="s">
        <v>1479</v>
      </c>
      <c r="C772" s="1" t="s">
        <v>1481</v>
      </c>
      <c r="D772" s="4" t="e">
        <f>VLOOKUP(A772,المعطيات!$A$1:$J$3500,5,0)</f>
        <v>#N/A</v>
      </c>
      <c r="E772" s="1" t="s">
        <v>1482</v>
      </c>
      <c r="F772" s="5">
        <f t="shared" si="36"/>
        <v>0</v>
      </c>
      <c r="G772" s="5" t="s">
        <v>1483</v>
      </c>
      <c r="H772" s="4" t="e">
        <f>VLOOKUP(A772,المعطيات!$A$1:$J$3500,3,0)</f>
        <v>#N/A</v>
      </c>
      <c r="I772" s="1" t="s">
        <v>1484</v>
      </c>
      <c r="J772" s="1" t="s">
        <v>1485</v>
      </c>
      <c r="K772" s="4" t="e">
        <f>VLOOKUP(A772,المعطيات!$A$1:$J$3500,6,0)</f>
        <v>#N/A</v>
      </c>
      <c r="L772" s="1" t="s">
        <v>1486</v>
      </c>
      <c r="M772" s="1" t="s">
        <v>1487</v>
      </c>
      <c r="N772" s="4" t="e">
        <f t="shared" si="37"/>
        <v>#N/A</v>
      </c>
      <c r="O772" s="1" t="s">
        <v>1488</v>
      </c>
      <c r="P772" s="4" t="e">
        <f>VLOOKUP(A772,المعطيات!$A$1:$J$3500,4,0)</f>
        <v>#N/A</v>
      </c>
      <c r="Q772" s="1" t="s">
        <v>1489</v>
      </c>
      <c r="R772" s="1" t="s">
        <v>1480</v>
      </c>
      <c r="S772" s="6" t="e">
        <f t="shared" si="38"/>
        <v>#N/A</v>
      </c>
    </row>
    <row r="773" spans="2:19" x14ac:dyDescent="0.25">
      <c r="B773" s="1" t="s">
        <v>1479</v>
      </c>
      <c r="C773" s="1" t="s">
        <v>1481</v>
      </c>
      <c r="D773" s="4" t="e">
        <f>VLOOKUP(A773,المعطيات!$A$1:$J$3500,5,0)</f>
        <v>#N/A</v>
      </c>
      <c r="E773" s="1" t="s">
        <v>1482</v>
      </c>
      <c r="F773" s="5">
        <f t="shared" si="36"/>
        <v>0</v>
      </c>
      <c r="G773" s="5" t="s">
        <v>1483</v>
      </c>
      <c r="H773" s="4" t="e">
        <f>VLOOKUP(A773,المعطيات!$A$1:$J$3500,3,0)</f>
        <v>#N/A</v>
      </c>
      <c r="I773" s="1" t="s">
        <v>1484</v>
      </c>
      <c r="J773" s="1" t="s">
        <v>1485</v>
      </c>
      <c r="K773" s="4" t="e">
        <f>VLOOKUP(A773,المعطيات!$A$1:$J$3500,6,0)</f>
        <v>#N/A</v>
      </c>
      <c r="L773" s="1" t="s">
        <v>1486</v>
      </c>
      <c r="M773" s="1" t="s">
        <v>1487</v>
      </c>
      <c r="N773" s="4" t="e">
        <f t="shared" si="37"/>
        <v>#N/A</v>
      </c>
      <c r="O773" s="1" t="s">
        <v>1488</v>
      </c>
      <c r="P773" s="4" t="e">
        <f>VLOOKUP(A773,المعطيات!$A$1:$J$3500,4,0)</f>
        <v>#N/A</v>
      </c>
      <c r="Q773" s="1" t="s">
        <v>1489</v>
      </c>
      <c r="R773" s="1" t="s">
        <v>1480</v>
      </c>
      <c r="S773" s="6" t="e">
        <f t="shared" si="38"/>
        <v>#N/A</v>
      </c>
    </row>
    <row r="774" spans="2:19" x14ac:dyDescent="0.25">
      <c r="B774" s="1" t="s">
        <v>1479</v>
      </c>
      <c r="C774" s="1" t="s">
        <v>1481</v>
      </c>
      <c r="D774" s="4" t="e">
        <f>VLOOKUP(A774,المعطيات!$A$1:$J$3500,5,0)</f>
        <v>#N/A</v>
      </c>
      <c r="E774" s="1" t="s">
        <v>1482</v>
      </c>
      <c r="F774" s="5">
        <f t="shared" si="36"/>
        <v>0</v>
      </c>
      <c r="G774" s="5" t="s">
        <v>1483</v>
      </c>
      <c r="H774" s="4" t="e">
        <f>VLOOKUP(A774,المعطيات!$A$1:$J$3500,3,0)</f>
        <v>#N/A</v>
      </c>
      <c r="I774" s="1" t="s">
        <v>1484</v>
      </c>
      <c r="J774" s="1" t="s">
        <v>1485</v>
      </c>
      <c r="K774" s="4" t="e">
        <f>VLOOKUP(A774,المعطيات!$A$1:$J$3500,6,0)</f>
        <v>#N/A</v>
      </c>
      <c r="L774" s="1" t="s">
        <v>1486</v>
      </c>
      <c r="M774" s="1" t="s">
        <v>1487</v>
      </c>
      <c r="N774" s="4" t="e">
        <f t="shared" si="37"/>
        <v>#N/A</v>
      </c>
      <c r="O774" s="1" t="s">
        <v>1488</v>
      </c>
      <c r="P774" s="4" t="e">
        <f>VLOOKUP(A774,المعطيات!$A$1:$J$3500,4,0)</f>
        <v>#N/A</v>
      </c>
      <c r="Q774" s="1" t="s">
        <v>1489</v>
      </c>
      <c r="R774" s="1" t="s">
        <v>1480</v>
      </c>
      <c r="S774" s="6" t="e">
        <f t="shared" si="38"/>
        <v>#N/A</v>
      </c>
    </row>
    <row r="775" spans="2:19" x14ac:dyDescent="0.25">
      <c r="B775" s="1" t="s">
        <v>1479</v>
      </c>
      <c r="C775" s="1" t="s">
        <v>1481</v>
      </c>
      <c r="D775" s="4" t="e">
        <f>VLOOKUP(A775,المعطيات!$A$1:$J$3500,5,0)</f>
        <v>#N/A</v>
      </c>
      <c r="E775" s="1" t="s">
        <v>1482</v>
      </c>
      <c r="F775" s="5">
        <f t="shared" si="36"/>
        <v>0</v>
      </c>
      <c r="G775" s="5" t="s">
        <v>1483</v>
      </c>
      <c r="H775" s="4" t="e">
        <f>VLOOKUP(A775,المعطيات!$A$1:$J$3500,3,0)</f>
        <v>#N/A</v>
      </c>
      <c r="I775" s="1" t="s">
        <v>1484</v>
      </c>
      <c r="J775" s="1" t="s">
        <v>1485</v>
      </c>
      <c r="K775" s="4" t="e">
        <f>VLOOKUP(A775,المعطيات!$A$1:$J$3500,6,0)</f>
        <v>#N/A</v>
      </c>
      <c r="L775" s="1" t="s">
        <v>1486</v>
      </c>
      <c r="M775" s="1" t="s">
        <v>1487</v>
      </c>
      <c r="N775" s="4" t="e">
        <f t="shared" si="37"/>
        <v>#N/A</v>
      </c>
      <c r="O775" s="1" t="s">
        <v>1488</v>
      </c>
      <c r="P775" s="4" t="e">
        <f>VLOOKUP(A775,المعطيات!$A$1:$J$3500,4,0)</f>
        <v>#N/A</v>
      </c>
      <c r="Q775" s="1" t="s">
        <v>1489</v>
      </c>
      <c r="R775" s="1" t="s">
        <v>1480</v>
      </c>
      <c r="S775" s="6" t="e">
        <f t="shared" si="38"/>
        <v>#N/A</v>
      </c>
    </row>
    <row r="776" spans="2:19" x14ac:dyDescent="0.25">
      <c r="B776" s="1" t="s">
        <v>1479</v>
      </c>
      <c r="C776" s="1" t="s">
        <v>1481</v>
      </c>
      <c r="D776" s="4" t="e">
        <f>VLOOKUP(A776,المعطيات!$A$1:$J$3500,5,0)</f>
        <v>#N/A</v>
      </c>
      <c r="E776" s="1" t="s">
        <v>1482</v>
      </c>
      <c r="F776" s="5">
        <f t="shared" si="36"/>
        <v>0</v>
      </c>
      <c r="G776" s="5" t="s">
        <v>1483</v>
      </c>
      <c r="H776" s="4" t="e">
        <f>VLOOKUP(A776,المعطيات!$A$1:$J$3500,3,0)</f>
        <v>#N/A</v>
      </c>
      <c r="I776" s="1" t="s">
        <v>1484</v>
      </c>
      <c r="J776" s="1" t="s">
        <v>1485</v>
      </c>
      <c r="K776" s="4" t="e">
        <f>VLOOKUP(A776,المعطيات!$A$1:$J$3500,6,0)</f>
        <v>#N/A</v>
      </c>
      <c r="L776" s="1" t="s">
        <v>1486</v>
      </c>
      <c r="M776" s="1" t="s">
        <v>1487</v>
      </c>
      <c r="N776" s="4" t="e">
        <f t="shared" si="37"/>
        <v>#N/A</v>
      </c>
      <c r="O776" s="1" t="s">
        <v>1488</v>
      </c>
      <c r="P776" s="4" t="e">
        <f>VLOOKUP(A776,المعطيات!$A$1:$J$3500,4,0)</f>
        <v>#N/A</v>
      </c>
      <c r="Q776" s="1" t="s">
        <v>1489</v>
      </c>
      <c r="R776" s="1" t="s">
        <v>1480</v>
      </c>
      <c r="S776" s="6" t="e">
        <f t="shared" si="38"/>
        <v>#N/A</v>
      </c>
    </row>
    <row r="777" spans="2:19" x14ac:dyDescent="0.25">
      <c r="B777" s="1" t="s">
        <v>1479</v>
      </c>
      <c r="C777" s="1" t="s">
        <v>1481</v>
      </c>
      <c r="D777" s="4" t="e">
        <f>VLOOKUP(A777,المعطيات!$A$1:$J$3500,5,0)</f>
        <v>#N/A</v>
      </c>
      <c r="E777" s="1" t="s">
        <v>1482</v>
      </c>
      <c r="F777" s="5">
        <f t="shared" si="36"/>
        <v>0</v>
      </c>
      <c r="G777" s="5" t="s">
        <v>1483</v>
      </c>
      <c r="H777" s="4" t="e">
        <f>VLOOKUP(A777,المعطيات!$A$1:$J$3500,3,0)</f>
        <v>#N/A</v>
      </c>
      <c r="I777" s="1" t="s">
        <v>1484</v>
      </c>
      <c r="J777" s="1" t="s">
        <v>1485</v>
      </c>
      <c r="K777" s="4" t="e">
        <f>VLOOKUP(A777,المعطيات!$A$1:$J$3500,6,0)</f>
        <v>#N/A</v>
      </c>
      <c r="L777" s="1" t="s">
        <v>1486</v>
      </c>
      <c r="M777" s="1" t="s">
        <v>1487</v>
      </c>
      <c r="N777" s="4" t="e">
        <f t="shared" si="37"/>
        <v>#N/A</v>
      </c>
      <c r="O777" s="1" t="s">
        <v>1488</v>
      </c>
      <c r="P777" s="4" t="e">
        <f>VLOOKUP(A777,المعطيات!$A$1:$J$3500,4,0)</f>
        <v>#N/A</v>
      </c>
      <c r="Q777" s="1" t="s">
        <v>1489</v>
      </c>
      <c r="R777" s="1" t="s">
        <v>1480</v>
      </c>
      <c r="S777" s="6" t="e">
        <f t="shared" si="38"/>
        <v>#N/A</v>
      </c>
    </row>
    <row r="778" spans="2:19" x14ac:dyDescent="0.25">
      <c r="B778" s="1" t="s">
        <v>1479</v>
      </c>
      <c r="C778" s="1" t="s">
        <v>1481</v>
      </c>
      <c r="D778" s="4" t="e">
        <f>VLOOKUP(A778,المعطيات!$A$1:$J$3500,5,0)</f>
        <v>#N/A</v>
      </c>
      <c r="E778" s="1" t="s">
        <v>1482</v>
      </c>
      <c r="F778" s="5">
        <f t="shared" si="36"/>
        <v>0</v>
      </c>
      <c r="G778" s="5" t="s">
        <v>1483</v>
      </c>
      <c r="H778" s="4" t="e">
        <f>VLOOKUP(A778,المعطيات!$A$1:$J$3500,3,0)</f>
        <v>#N/A</v>
      </c>
      <c r="I778" s="1" t="s">
        <v>1484</v>
      </c>
      <c r="J778" s="1" t="s">
        <v>1485</v>
      </c>
      <c r="K778" s="4" t="e">
        <f>VLOOKUP(A778,المعطيات!$A$1:$J$3500,6,0)</f>
        <v>#N/A</v>
      </c>
      <c r="L778" s="1" t="s">
        <v>1486</v>
      </c>
      <c r="M778" s="1" t="s">
        <v>1487</v>
      </c>
      <c r="N778" s="4" t="e">
        <f t="shared" si="37"/>
        <v>#N/A</v>
      </c>
      <c r="O778" s="1" t="s">
        <v>1488</v>
      </c>
      <c r="P778" s="4" t="e">
        <f>VLOOKUP(A778,المعطيات!$A$1:$J$3500,4,0)</f>
        <v>#N/A</v>
      </c>
      <c r="Q778" s="1" t="s">
        <v>1489</v>
      </c>
      <c r="R778" s="1" t="s">
        <v>1480</v>
      </c>
      <c r="S778" s="6" t="e">
        <f t="shared" si="38"/>
        <v>#N/A</v>
      </c>
    </row>
    <row r="779" spans="2:19" x14ac:dyDescent="0.25">
      <c r="B779" s="1" t="s">
        <v>1479</v>
      </c>
      <c r="C779" s="1" t="s">
        <v>1481</v>
      </c>
      <c r="D779" s="4" t="e">
        <f>VLOOKUP(A779,المعطيات!$A$1:$J$3500,5,0)</f>
        <v>#N/A</v>
      </c>
      <c r="E779" s="1" t="s">
        <v>1482</v>
      </c>
      <c r="F779" s="5">
        <f t="shared" si="36"/>
        <v>0</v>
      </c>
      <c r="G779" s="5" t="s">
        <v>1483</v>
      </c>
      <c r="H779" s="4" t="e">
        <f>VLOOKUP(A779,المعطيات!$A$1:$J$3500,3,0)</f>
        <v>#N/A</v>
      </c>
      <c r="I779" s="1" t="s">
        <v>1484</v>
      </c>
      <c r="J779" s="1" t="s">
        <v>1485</v>
      </c>
      <c r="K779" s="4" t="e">
        <f>VLOOKUP(A779,المعطيات!$A$1:$J$3500,6,0)</f>
        <v>#N/A</v>
      </c>
      <c r="L779" s="1" t="s">
        <v>1486</v>
      </c>
      <c r="M779" s="1" t="s">
        <v>1487</v>
      </c>
      <c r="N779" s="4" t="e">
        <f t="shared" si="37"/>
        <v>#N/A</v>
      </c>
      <c r="O779" s="1" t="s">
        <v>1488</v>
      </c>
      <c r="P779" s="4" t="e">
        <f>VLOOKUP(A779,المعطيات!$A$1:$J$3500,4,0)</f>
        <v>#N/A</v>
      </c>
      <c r="Q779" s="1" t="s">
        <v>1489</v>
      </c>
      <c r="R779" s="1" t="s">
        <v>1480</v>
      </c>
      <c r="S779" s="6" t="e">
        <f t="shared" si="38"/>
        <v>#N/A</v>
      </c>
    </row>
    <row r="780" spans="2:19" x14ac:dyDescent="0.25">
      <c r="B780" s="1" t="s">
        <v>1479</v>
      </c>
      <c r="C780" s="1" t="s">
        <v>1481</v>
      </c>
      <c r="D780" s="4" t="e">
        <f>VLOOKUP(A780,المعطيات!$A$1:$J$3500,5,0)</f>
        <v>#N/A</v>
      </c>
      <c r="E780" s="1" t="s">
        <v>1482</v>
      </c>
      <c r="F780" s="5">
        <f t="shared" si="36"/>
        <v>0</v>
      </c>
      <c r="G780" s="5" t="s">
        <v>1483</v>
      </c>
      <c r="H780" s="4" t="e">
        <f>VLOOKUP(A780,المعطيات!$A$1:$J$3500,3,0)</f>
        <v>#N/A</v>
      </c>
      <c r="I780" s="1" t="s">
        <v>1484</v>
      </c>
      <c r="J780" s="1" t="s">
        <v>1485</v>
      </c>
      <c r="K780" s="4" t="e">
        <f>VLOOKUP(A780,المعطيات!$A$1:$J$3500,6,0)</f>
        <v>#N/A</v>
      </c>
      <c r="L780" s="1" t="s">
        <v>1486</v>
      </c>
      <c r="M780" s="1" t="s">
        <v>1487</v>
      </c>
      <c r="N780" s="4" t="e">
        <f t="shared" si="37"/>
        <v>#N/A</v>
      </c>
      <c r="O780" s="1" t="s">
        <v>1488</v>
      </c>
      <c r="P780" s="4" t="e">
        <f>VLOOKUP(A780,المعطيات!$A$1:$J$3500,4,0)</f>
        <v>#N/A</v>
      </c>
      <c r="Q780" s="1" t="s">
        <v>1489</v>
      </c>
      <c r="R780" s="1" t="s">
        <v>1480</v>
      </c>
      <c r="S780" s="6" t="e">
        <f t="shared" si="38"/>
        <v>#N/A</v>
      </c>
    </row>
    <row r="781" spans="2:19" x14ac:dyDescent="0.25">
      <c r="B781" s="1" t="s">
        <v>1479</v>
      </c>
      <c r="C781" s="1" t="s">
        <v>1481</v>
      </c>
      <c r="D781" s="4" t="e">
        <f>VLOOKUP(A781,المعطيات!$A$1:$J$3500,5,0)</f>
        <v>#N/A</v>
      </c>
      <c r="E781" s="1" t="s">
        <v>1482</v>
      </c>
      <c r="F781" s="5">
        <f t="shared" si="36"/>
        <v>0</v>
      </c>
      <c r="G781" s="5" t="s">
        <v>1483</v>
      </c>
      <c r="H781" s="4" t="e">
        <f>VLOOKUP(A781,المعطيات!$A$1:$J$3500,3,0)</f>
        <v>#N/A</v>
      </c>
      <c r="I781" s="1" t="s">
        <v>1484</v>
      </c>
      <c r="J781" s="1" t="s">
        <v>1485</v>
      </c>
      <c r="K781" s="4" t="e">
        <f>VLOOKUP(A781,المعطيات!$A$1:$J$3500,6,0)</f>
        <v>#N/A</v>
      </c>
      <c r="L781" s="1" t="s">
        <v>1486</v>
      </c>
      <c r="M781" s="1" t="s">
        <v>1487</v>
      </c>
      <c r="N781" s="4" t="e">
        <f t="shared" si="37"/>
        <v>#N/A</v>
      </c>
      <c r="O781" s="1" t="s">
        <v>1488</v>
      </c>
      <c r="P781" s="4" t="e">
        <f>VLOOKUP(A781,المعطيات!$A$1:$J$3500,4,0)</f>
        <v>#N/A</v>
      </c>
      <c r="Q781" s="1" t="s">
        <v>1489</v>
      </c>
      <c r="R781" s="1" t="s">
        <v>1480</v>
      </c>
      <c r="S781" s="6" t="e">
        <f t="shared" si="38"/>
        <v>#N/A</v>
      </c>
    </row>
    <row r="782" spans="2:19" x14ac:dyDescent="0.25">
      <c r="B782" s="1" t="s">
        <v>1479</v>
      </c>
      <c r="C782" s="1" t="s">
        <v>1481</v>
      </c>
      <c r="D782" s="4" t="e">
        <f>VLOOKUP(A782,المعطيات!$A$1:$J$3500,5,0)</f>
        <v>#N/A</v>
      </c>
      <c r="E782" s="1" t="s">
        <v>1482</v>
      </c>
      <c r="F782" s="5">
        <f t="shared" si="36"/>
        <v>0</v>
      </c>
      <c r="G782" s="5" t="s">
        <v>1483</v>
      </c>
      <c r="H782" s="4" t="e">
        <f>VLOOKUP(A782,المعطيات!$A$1:$J$3500,3,0)</f>
        <v>#N/A</v>
      </c>
      <c r="I782" s="1" t="s">
        <v>1484</v>
      </c>
      <c r="J782" s="1" t="s">
        <v>1485</v>
      </c>
      <c r="K782" s="4" t="e">
        <f>VLOOKUP(A782,المعطيات!$A$1:$J$3500,6,0)</f>
        <v>#N/A</v>
      </c>
      <c r="L782" s="1" t="s">
        <v>1486</v>
      </c>
      <c r="M782" s="1" t="s">
        <v>1487</v>
      </c>
      <c r="N782" s="4" t="e">
        <f t="shared" si="37"/>
        <v>#N/A</v>
      </c>
      <c r="O782" s="1" t="s">
        <v>1488</v>
      </c>
      <c r="P782" s="4" t="e">
        <f>VLOOKUP(A782,المعطيات!$A$1:$J$3500,4,0)</f>
        <v>#N/A</v>
      </c>
      <c r="Q782" s="1" t="s">
        <v>1489</v>
      </c>
      <c r="R782" s="1" t="s">
        <v>1480</v>
      </c>
      <c r="S782" s="6" t="e">
        <f t="shared" si="38"/>
        <v>#N/A</v>
      </c>
    </row>
    <row r="783" spans="2:19" x14ac:dyDescent="0.25">
      <c r="B783" s="1" t="s">
        <v>1479</v>
      </c>
      <c r="C783" s="1" t="s">
        <v>1481</v>
      </c>
      <c r="D783" s="4" t="e">
        <f>VLOOKUP(A783,المعطيات!$A$1:$J$3500,5,0)</f>
        <v>#N/A</v>
      </c>
      <c r="E783" s="1" t="s">
        <v>1482</v>
      </c>
      <c r="F783" s="5">
        <f t="shared" si="36"/>
        <v>0</v>
      </c>
      <c r="G783" s="5" t="s">
        <v>1483</v>
      </c>
      <c r="H783" s="4" t="e">
        <f>VLOOKUP(A783,المعطيات!$A$1:$J$3500,3,0)</f>
        <v>#N/A</v>
      </c>
      <c r="I783" s="1" t="s">
        <v>1484</v>
      </c>
      <c r="J783" s="1" t="s">
        <v>1485</v>
      </c>
      <c r="K783" s="4" t="e">
        <f>VLOOKUP(A783,المعطيات!$A$1:$J$3500,6,0)</f>
        <v>#N/A</v>
      </c>
      <c r="L783" s="1" t="s">
        <v>1486</v>
      </c>
      <c r="M783" s="1" t="s">
        <v>1487</v>
      </c>
      <c r="N783" s="4" t="e">
        <f t="shared" si="37"/>
        <v>#N/A</v>
      </c>
      <c r="O783" s="1" t="s">
        <v>1488</v>
      </c>
      <c r="P783" s="4" t="e">
        <f>VLOOKUP(A783,المعطيات!$A$1:$J$3500,4,0)</f>
        <v>#N/A</v>
      </c>
      <c r="Q783" s="1" t="s">
        <v>1489</v>
      </c>
      <c r="R783" s="1" t="s">
        <v>1480</v>
      </c>
      <c r="S783" s="6" t="e">
        <f t="shared" si="38"/>
        <v>#N/A</v>
      </c>
    </row>
    <row r="784" spans="2:19" x14ac:dyDescent="0.25">
      <c r="B784" s="1" t="s">
        <v>1479</v>
      </c>
      <c r="C784" s="1" t="s">
        <v>1481</v>
      </c>
      <c r="D784" s="4" t="e">
        <f>VLOOKUP(A784,المعطيات!$A$1:$J$3500,5,0)</f>
        <v>#N/A</v>
      </c>
      <c r="E784" s="1" t="s">
        <v>1482</v>
      </c>
      <c r="F784" s="5">
        <f t="shared" si="36"/>
        <v>0</v>
      </c>
      <c r="G784" s="5" t="s">
        <v>1483</v>
      </c>
      <c r="H784" s="4" t="e">
        <f>VLOOKUP(A784,المعطيات!$A$1:$J$3500,3,0)</f>
        <v>#N/A</v>
      </c>
      <c r="I784" s="1" t="s">
        <v>1484</v>
      </c>
      <c r="J784" s="1" t="s">
        <v>1485</v>
      </c>
      <c r="K784" s="4" t="e">
        <f>VLOOKUP(A784,المعطيات!$A$1:$J$3500,6,0)</f>
        <v>#N/A</v>
      </c>
      <c r="L784" s="1" t="s">
        <v>1486</v>
      </c>
      <c r="M784" s="1" t="s">
        <v>1487</v>
      </c>
      <c r="N784" s="4" t="e">
        <f t="shared" si="37"/>
        <v>#N/A</v>
      </c>
      <c r="O784" s="1" t="s">
        <v>1488</v>
      </c>
      <c r="P784" s="4" t="e">
        <f>VLOOKUP(A784,المعطيات!$A$1:$J$3500,4,0)</f>
        <v>#N/A</v>
      </c>
      <c r="Q784" s="1" t="s">
        <v>1489</v>
      </c>
      <c r="R784" s="1" t="s">
        <v>1480</v>
      </c>
      <c r="S784" s="6" t="e">
        <f t="shared" si="38"/>
        <v>#N/A</v>
      </c>
    </row>
    <row r="785" spans="2:19" x14ac:dyDescent="0.25">
      <c r="B785" s="1" t="s">
        <v>1479</v>
      </c>
      <c r="C785" s="1" t="s">
        <v>1481</v>
      </c>
      <c r="D785" s="4" t="e">
        <f>VLOOKUP(A785,المعطيات!$A$1:$J$3500,5,0)</f>
        <v>#N/A</v>
      </c>
      <c r="E785" s="1" t="s">
        <v>1482</v>
      </c>
      <c r="F785" s="5">
        <f t="shared" si="36"/>
        <v>0</v>
      </c>
      <c r="G785" s="5" t="s">
        <v>1483</v>
      </c>
      <c r="H785" s="4" t="e">
        <f>VLOOKUP(A785,المعطيات!$A$1:$J$3500,3,0)</f>
        <v>#N/A</v>
      </c>
      <c r="I785" s="1" t="s">
        <v>1484</v>
      </c>
      <c r="J785" s="1" t="s">
        <v>1485</v>
      </c>
      <c r="K785" s="4" t="e">
        <f>VLOOKUP(A785,المعطيات!$A$1:$J$3500,6,0)</f>
        <v>#N/A</v>
      </c>
      <c r="L785" s="1" t="s">
        <v>1486</v>
      </c>
      <c r="M785" s="1" t="s">
        <v>1487</v>
      </c>
      <c r="N785" s="4" t="e">
        <f t="shared" si="37"/>
        <v>#N/A</v>
      </c>
      <c r="O785" s="1" t="s">
        <v>1488</v>
      </c>
      <c r="P785" s="4" t="e">
        <f>VLOOKUP(A785,المعطيات!$A$1:$J$3500,4,0)</f>
        <v>#N/A</v>
      </c>
      <c r="Q785" s="1" t="s">
        <v>1489</v>
      </c>
      <c r="R785" s="1" t="s">
        <v>1480</v>
      </c>
      <c r="S785" s="6" t="e">
        <f t="shared" si="38"/>
        <v>#N/A</v>
      </c>
    </row>
    <row r="786" spans="2:19" x14ac:dyDescent="0.25">
      <c r="B786" s="1" t="s">
        <v>1479</v>
      </c>
      <c r="C786" s="1" t="s">
        <v>1481</v>
      </c>
      <c r="D786" s="4" t="e">
        <f>VLOOKUP(A786,المعطيات!$A$1:$J$3500,5,0)</f>
        <v>#N/A</v>
      </c>
      <c r="E786" s="1" t="s">
        <v>1482</v>
      </c>
      <c r="F786" s="5">
        <f t="shared" si="36"/>
        <v>0</v>
      </c>
      <c r="G786" s="5" t="s">
        <v>1483</v>
      </c>
      <c r="H786" s="4" t="e">
        <f>VLOOKUP(A786,المعطيات!$A$1:$J$3500,3,0)</f>
        <v>#N/A</v>
      </c>
      <c r="I786" s="1" t="s">
        <v>1484</v>
      </c>
      <c r="J786" s="1" t="s">
        <v>1485</v>
      </c>
      <c r="K786" s="4" t="e">
        <f>VLOOKUP(A786,المعطيات!$A$1:$J$3500,6,0)</f>
        <v>#N/A</v>
      </c>
      <c r="L786" s="1" t="s">
        <v>1486</v>
      </c>
      <c r="M786" s="1" t="s">
        <v>1487</v>
      </c>
      <c r="N786" s="4" t="e">
        <f t="shared" si="37"/>
        <v>#N/A</v>
      </c>
      <c r="O786" s="1" t="s">
        <v>1488</v>
      </c>
      <c r="P786" s="4" t="e">
        <f>VLOOKUP(A786,المعطيات!$A$1:$J$3500,4,0)</f>
        <v>#N/A</v>
      </c>
      <c r="Q786" s="1" t="s">
        <v>1489</v>
      </c>
      <c r="R786" s="1" t="s">
        <v>1480</v>
      </c>
      <c r="S786" s="6" t="e">
        <f t="shared" si="38"/>
        <v>#N/A</v>
      </c>
    </row>
    <row r="787" spans="2:19" x14ac:dyDescent="0.25">
      <c r="B787" s="1" t="s">
        <v>1479</v>
      </c>
      <c r="C787" s="1" t="s">
        <v>1481</v>
      </c>
      <c r="D787" s="4" t="e">
        <f>VLOOKUP(A787,المعطيات!$A$1:$J$3500,5,0)</f>
        <v>#N/A</v>
      </c>
      <c r="E787" s="1" t="s">
        <v>1482</v>
      </c>
      <c r="F787" s="5">
        <f t="shared" si="36"/>
        <v>0</v>
      </c>
      <c r="G787" s="5" t="s">
        <v>1483</v>
      </c>
      <c r="H787" s="4" t="e">
        <f>VLOOKUP(A787,المعطيات!$A$1:$J$3500,3,0)</f>
        <v>#N/A</v>
      </c>
      <c r="I787" s="1" t="s">
        <v>1484</v>
      </c>
      <c r="J787" s="1" t="s">
        <v>1485</v>
      </c>
      <c r="K787" s="4" t="e">
        <f>VLOOKUP(A787,المعطيات!$A$1:$J$3500,6,0)</f>
        <v>#N/A</v>
      </c>
      <c r="L787" s="1" t="s">
        <v>1486</v>
      </c>
      <c r="M787" s="1" t="s">
        <v>1487</v>
      </c>
      <c r="N787" s="4" t="e">
        <f t="shared" si="37"/>
        <v>#N/A</v>
      </c>
      <c r="O787" s="1" t="s">
        <v>1488</v>
      </c>
      <c r="P787" s="4" t="e">
        <f>VLOOKUP(A787,المعطيات!$A$1:$J$3500,4,0)</f>
        <v>#N/A</v>
      </c>
      <c r="Q787" s="1" t="s">
        <v>1489</v>
      </c>
      <c r="R787" s="1" t="s">
        <v>1480</v>
      </c>
      <c r="S787" s="6" t="e">
        <f t="shared" si="38"/>
        <v>#N/A</v>
      </c>
    </row>
    <row r="788" spans="2:19" x14ac:dyDescent="0.25">
      <c r="B788" s="1" t="s">
        <v>1479</v>
      </c>
      <c r="C788" s="1" t="s">
        <v>1481</v>
      </c>
      <c r="D788" s="4" t="e">
        <f>VLOOKUP(A788,المعطيات!$A$1:$J$3500,5,0)</f>
        <v>#N/A</v>
      </c>
      <c r="E788" s="1" t="s">
        <v>1482</v>
      </c>
      <c r="F788" s="5">
        <f t="shared" si="36"/>
        <v>0</v>
      </c>
      <c r="G788" s="5" t="s">
        <v>1483</v>
      </c>
      <c r="H788" s="4" t="e">
        <f>VLOOKUP(A788,المعطيات!$A$1:$J$3500,3,0)</f>
        <v>#N/A</v>
      </c>
      <c r="I788" s="1" t="s">
        <v>1484</v>
      </c>
      <c r="J788" s="1" t="s">
        <v>1485</v>
      </c>
      <c r="K788" s="4" t="e">
        <f>VLOOKUP(A788,المعطيات!$A$1:$J$3500,6,0)</f>
        <v>#N/A</v>
      </c>
      <c r="L788" s="1" t="s">
        <v>1486</v>
      </c>
      <c r="M788" s="1" t="s">
        <v>1487</v>
      </c>
      <c r="N788" s="4" t="e">
        <f t="shared" si="37"/>
        <v>#N/A</v>
      </c>
      <c r="O788" s="1" t="s">
        <v>1488</v>
      </c>
      <c r="P788" s="4" t="e">
        <f>VLOOKUP(A788,المعطيات!$A$1:$J$3500,4,0)</f>
        <v>#N/A</v>
      </c>
      <c r="Q788" s="1" t="s">
        <v>1489</v>
      </c>
      <c r="R788" s="1" t="s">
        <v>1480</v>
      </c>
      <c r="S788" s="6" t="e">
        <f t="shared" si="38"/>
        <v>#N/A</v>
      </c>
    </row>
    <row r="789" spans="2:19" x14ac:dyDescent="0.25">
      <c r="B789" s="1" t="s">
        <v>1479</v>
      </c>
      <c r="C789" s="1" t="s">
        <v>1481</v>
      </c>
      <c r="D789" s="4" t="e">
        <f>VLOOKUP(A789,المعطيات!$A$1:$J$3500,5,0)</f>
        <v>#N/A</v>
      </c>
      <c r="E789" s="1" t="s">
        <v>1482</v>
      </c>
      <c r="F789" s="5">
        <f t="shared" si="36"/>
        <v>0</v>
      </c>
      <c r="G789" s="5" t="s">
        <v>1483</v>
      </c>
      <c r="H789" s="4" t="e">
        <f>VLOOKUP(A789,المعطيات!$A$1:$J$3500,3,0)</f>
        <v>#N/A</v>
      </c>
      <c r="I789" s="1" t="s">
        <v>1484</v>
      </c>
      <c r="J789" s="1" t="s">
        <v>1485</v>
      </c>
      <c r="K789" s="4" t="e">
        <f>VLOOKUP(A789,المعطيات!$A$1:$J$3500,6,0)</f>
        <v>#N/A</v>
      </c>
      <c r="L789" s="1" t="s">
        <v>1486</v>
      </c>
      <c r="M789" s="1" t="s">
        <v>1487</v>
      </c>
      <c r="N789" s="4" t="e">
        <f t="shared" si="37"/>
        <v>#N/A</v>
      </c>
      <c r="O789" s="1" t="s">
        <v>1488</v>
      </c>
      <c r="P789" s="4" t="e">
        <f>VLOOKUP(A789,المعطيات!$A$1:$J$3500,4,0)</f>
        <v>#N/A</v>
      </c>
      <c r="Q789" s="1" t="s">
        <v>1489</v>
      </c>
      <c r="R789" s="1" t="s">
        <v>1480</v>
      </c>
      <c r="S789" s="6" t="e">
        <f t="shared" si="38"/>
        <v>#N/A</v>
      </c>
    </row>
    <row r="790" spans="2:19" x14ac:dyDescent="0.25">
      <c r="B790" s="1" t="s">
        <v>1479</v>
      </c>
      <c r="C790" s="1" t="s">
        <v>1481</v>
      </c>
      <c r="D790" s="4" t="e">
        <f>VLOOKUP(A790,المعطيات!$A$1:$J$3500,5,0)</f>
        <v>#N/A</v>
      </c>
      <c r="E790" s="1" t="s">
        <v>1482</v>
      </c>
      <c r="F790" s="5">
        <f t="shared" si="36"/>
        <v>0</v>
      </c>
      <c r="G790" s="5" t="s">
        <v>1483</v>
      </c>
      <c r="H790" s="4" t="e">
        <f>VLOOKUP(A790,المعطيات!$A$1:$J$3500,3,0)</f>
        <v>#N/A</v>
      </c>
      <c r="I790" s="1" t="s">
        <v>1484</v>
      </c>
      <c r="J790" s="1" t="s">
        <v>1485</v>
      </c>
      <c r="K790" s="4" t="e">
        <f>VLOOKUP(A790,المعطيات!$A$1:$J$3500,6,0)</f>
        <v>#N/A</v>
      </c>
      <c r="L790" s="1" t="s">
        <v>1486</v>
      </c>
      <c r="M790" s="1" t="s">
        <v>1487</v>
      </c>
      <c r="N790" s="4" t="e">
        <f t="shared" si="37"/>
        <v>#N/A</v>
      </c>
      <c r="O790" s="1" t="s">
        <v>1488</v>
      </c>
      <c r="P790" s="4" t="e">
        <f>VLOOKUP(A790,المعطيات!$A$1:$J$3500,4,0)</f>
        <v>#N/A</v>
      </c>
      <c r="Q790" s="1" t="s">
        <v>1489</v>
      </c>
      <c r="R790" s="1" t="s">
        <v>1480</v>
      </c>
      <c r="S790" s="6" t="e">
        <f t="shared" si="38"/>
        <v>#N/A</v>
      </c>
    </row>
    <row r="791" spans="2:19" x14ac:dyDescent="0.25">
      <c r="B791" s="1" t="s">
        <v>1479</v>
      </c>
      <c r="C791" s="1" t="s">
        <v>1481</v>
      </c>
      <c r="D791" s="4" t="e">
        <f>VLOOKUP(A791,المعطيات!$A$1:$J$3500,5,0)</f>
        <v>#N/A</v>
      </c>
      <c r="E791" s="1" t="s">
        <v>1482</v>
      </c>
      <c r="F791" s="5">
        <f t="shared" si="36"/>
        <v>0</v>
      </c>
      <c r="G791" s="5" t="s">
        <v>1483</v>
      </c>
      <c r="H791" s="4" t="e">
        <f>VLOOKUP(A791,المعطيات!$A$1:$J$3500,3,0)</f>
        <v>#N/A</v>
      </c>
      <c r="I791" s="1" t="s">
        <v>1484</v>
      </c>
      <c r="J791" s="1" t="s">
        <v>1485</v>
      </c>
      <c r="K791" s="4" t="e">
        <f>VLOOKUP(A791,المعطيات!$A$1:$J$3500,6,0)</f>
        <v>#N/A</v>
      </c>
      <c r="L791" s="1" t="s">
        <v>1486</v>
      </c>
      <c r="M791" s="1" t="s">
        <v>1487</v>
      </c>
      <c r="N791" s="4" t="e">
        <f t="shared" si="37"/>
        <v>#N/A</v>
      </c>
      <c r="O791" s="1" t="s">
        <v>1488</v>
      </c>
      <c r="P791" s="4" t="e">
        <f>VLOOKUP(A791,المعطيات!$A$1:$J$3500,4,0)</f>
        <v>#N/A</v>
      </c>
      <c r="Q791" s="1" t="s">
        <v>1489</v>
      </c>
      <c r="R791" s="1" t="s">
        <v>1480</v>
      </c>
      <c r="S791" s="6" t="e">
        <f t="shared" si="38"/>
        <v>#N/A</v>
      </c>
    </row>
    <row r="792" spans="2:19" x14ac:dyDescent="0.25">
      <c r="B792" s="1" t="s">
        <v>1479</v>
      </c>
      <c r="C792" s="1" t="s">
        <v>1481</v>
      </c>
      <c r="D792" s="4" t="e">
        <f>VLOOKUP(A792,المعطيات!$A$1:$J$3500,5,0)</f>
        <v>#N/A</v>
      </c>
      <c r="E792" s="1" t="s">
        <v>1482</v>
      </c>
      <c r="F792" s="5">
        <f t="shared" si="36"/>
        <v>0</v>
      </c>
      <c r="G792" s="5" t="s">
        <v>1483</v>
      </c>
      <c r="H792" s="4" t="e">
        <f>VLOOKUP(A792,المعطيات!$A$1:$J$3500,3,0)</f>
        <v>#N/A</v>
      </c>
      <c r="I792" s="1" t="s">
        <v>1484</v>
      </c>
      <c r="J792" s="1" t="s">
        <v>1485</v>
      </c>
      <c r="K792" s="4" t="e">
        <f>VLOOKUP(A792,المعطيات!$A$1:$J$3500,6,0)</f>
        <v>#N/A</v>
      </c>
      <c r="L792" s="1" t="s">
        <v>1486</v>
      </c>
      <c r="M792" s="1" t="s">
        <v>1487</v>
      </c>
      <c r="N792" s="4" t="e">
        <f t="shared" si="37"/>
        <v>#N/A</v>
      </c>
      <c r="O792" s="1" t="s">
        <v>1488</v>
      </c>
      <c r="P792" s="4" t="e">
        <f>VLOOKUP(A792,المعطيات!$A$1:$J$3500,4,0)</f>
        <v>#N/A</v>
      </c>
      <c r="Q792" s="1" t="s">
        <v>1489</v>
      </c>
      <c r="R792" s="1" t="s">
        <v>1480</v>
      </c>
      <c r="S792" s="6" t="e">
        <f t="shared" si="38"/>
        <v>#N/A</v>
      </c>
    </row>
    <row r="793" spans="2:19" x14ac:dyDescent="0.25">
      <c r="B793" s="1" t="s">
        <v>1479</v>
      </c>
      <c r="C793" s="1" t="s">
        <v>1481</v>
      </c>
      <c r="D793" s="4" t="e">
        <f>VLOOKUP(A793,المعطيات!$A$1:$J$3500,5,0)</f>
        <v>#N/A</v>
      </c>
      <c r="E793" s="1" t="s">
        <v>1482</v>
      </c>
      <c r="F793" s="5">
        <f t="shared" si="36"/>
        <v>0</v>
      </c>
      <c r="G793" s="5" t="s">
        <v>1483</v>
      </c>
      <c r="H793" s="4" t="e">
        <f>VLOOKUP(A793,المعطيات!$A$1:$J$3500,3,0)</f>
        <v>#N/A</v>
      </c>
      <c r="I793" s="1" t="s">
        <v>1484</v>
      </c>
      <c r="J793" s="1" t="s">
        <v>1485</v>
      </c>
      <c r="K793" s="4" t="e">
        <f>VLOOKUP(A793,المعطيات!$A$1:$J$3500,6,0)</f>
        <v>#N/A</v>
      </c>
      <c r="L793" s="1" t="s">
        <v>1486</v>
      </c>
      <c r="M793" s="1" t="s">
        <v>1487</v>
      </c>
      <c r="N793" s="4" t="e">
        <f t="shared" si="37"/>
        <v>#N/A</v>
      </c>
      <c r="O793" s="1" t="s">
        <v>1488</v>
      </c>
      <c r="P793" s="4" t="e">
        <f>VLOOKUP(A793,المعطيات!$A$1:$J$3500,4,0)</f>
        <v>#N/A</v>
      </c>
      <c r="Q793" s="1" t="s">
        <v>1489</v>
      </c>
      <c r="R793" s="1" t="s">
        <v>1480</v>
      </c>
      <c r="S793" s="6" t="e">
        <f t="shared" si="38"/>
        <v>#N/A</v>
      </c>
    </row>
    <row r="794" spans="2:19" x14ac:dyDescent="0.25">
      <c r="B794" s="1" t="s">
        <v>1479</v>
      </c>
      <c r="C794" s="1" t="s">
        <v>1481</v>
      </c>
      <c r="D794" s="4" t="e">
        <f>VLOOKUP(A794,المعطيات!$A$1:$J$3500,5,0)</f>
        <v>#N/A</v>
      </c>
      <c r="E794" s="1" t="s">
        <v>1482</v>
      </c>
      <c r="F794" s="5">
        <f t="shared" si="36"/>
        <v>0</v>
      </c>
      <c r="G794" s="5" t="s">
        <v>1483</v>
      </c>
      <c r="H794" s="4" t="e">
        <f>VLOOKUP(A794,المعطيات!$A$1:$J$3500,3,0)</f>
        <v>#N/A</v>
      </c>
      <c r="I794" s="1" t="s">
        <v>1484</v>
      </c>
      <c r="J794" s="1" t="s">
        <v>1485</v>
      </c>
      <c r="K794" s="4" t="e">
        <f>VLOOKUP(A794,المعطيات!$A$1:$J$3500,6,0)</f>
        <v>#N/A</v>
      </c>
      <c r="L794" s="1" t="s">
        <v>1486</v>
      </c>
      <c r="M794" s="1" t="s">
        <v>1487</v>
      </c>
      <c r="N794" s="4" t="e">
        <f t="shared" si="37"/>
        <v>#N/A</v>
      </c>
      <c r="O794" s="1" t="s">
        <v>1488</v>
      </c>
      <c r="P794" s="4" t="e">
        <f>VLOOKUP(A794,المعطيات!$A$1:$J$3500,4,0)</f>
        <v>#N/A</v>
      </c>
      <c r="Q794" s="1" t="s">
        <v>1489</v>
      </c>
      <c r="R794" s="1" t="s">
        <v>1480</v>
      </c>
      <c r="S794" s="6" t="e">
        <f t="shared" si="38"/>
        <v>#N/A</v>
      </c>
    </row>
    <row r="795" spans="2:19" x14ac:dyDescent="0.25">
      <c r="B795" s="1" t="s">
        <v>1479</v>
      </c>
      <c r="C795" s="1" t="s">
        <v>1481</v>
      </c>
      <c r="D795" s="4" t="e">
        <f>VLOOKUP(A795,المعطيات!$A$1:$J$3500,5,0)</f>
        <v>#N/A</v>
      </c>
      <c r="E795" s="1" t="s">
        <v>1482</v>
      </c>
      <c r="F795" s="5">
        <f t="shared" si="36"/>
        <v>0</v>
      </c>
      <c r="G795" s="5" t="s">
        <v>1483</v>
      </c>
      <c r="H795" s="4" t="e">
        <f>VLOOKUP(A795,المعطيات!$A$1:$J$3500,3,0)</f>
        <v>#N/A</v>
      </c>
      <c r="I795" s="1" t="s">
        <v>1484</v>
      </c>
      <c r="J795" s="1" t="s">
        <v>1485</v>
      </c>
      <c r="K795" s="4" t="e">
        <f>VLOOKUP(A795,المعطيات!$A$1:$J$3500,6,0)</f>
        <v>#N/A</v>
      </c>
      <c r="L795" s="1" t="s">
        <v>1486</v>
      </c>
      <c r="M795" s="1" t="s">
        <v>1487</v>
      </c>
      <c r="N795" s="4" t="e">
        <f t="shared" si="37"/>
        <v>#N/A</v>
      </c>
      <c r="O795" s="1" t="s">
        <v>1488</v>
      </c>
      <c r="P795" s="4" t="e">
        <f>VLOOKUP(A795,المعطيات!$A$1:$J$3500,4,0)</f>
        <v>#N/A</v>
      </c>
      <c r="Q795" s="1" t="s">
        <v>1489</v>
      </c>
      <c r="R795" s="1" t="s">
        <v>1480</v>
      </c>
      <c r="S795" s="6" t="e">
        <f t="shared" si="38"/>
        <v>#N/A</v>
      </c>
    </row>
    <row r="796" spans="2:19" x14ac:dyDescent="0.25">
      <c r="B796" s="1" t="s">
        <v>1479</v>
      </c>
      <c r="C796" s="1" t="s">
        <v>1481</v>
      </c>
      <c r="D796" s="4" t="e">
        <f>VLOOKUP(A796,المعطيات!$A$1:$J$3500,5,0)</f>
        <v>#N/A</v>
      </c>
      <c r="E796" s="1" t="s">
        <v>1482</v>
      </c>
      <c r="F796" s="5">
        <f t="shared" si="36"/>
        <v>0</v>
      </c>
      <c r="G796" s="5" t="s">
        <v>1483</v>
      </c>
      <c r="H796" s="4" t="e">
        <f>VLOOKUP(A796,المعطيات!$A$1:$J$3500,3,0)</f>
        <v>#N/A</v>
      </c>
      <c r="I796" s="1" t="s">
        <v>1484</v>
      </c>
      <c r="J796" s="1" t="s">
        <v>1485</v>
      </c>
      <c r="K796" s="4" t="e">
        <f>VLOOKUP(A796,المعطيات!$A$1:$J$3500,6,0)</f>
        <v>#N/A</v>
      </c>
      <c r="L796" s="1" t="s">
        <v>1486</v>
      </c>
      <c r="M796" s="1" t="s">
        <v>1487</v>
      </c>
      <c r="N796" s="4" t="e">
        <f t="shared" si="37"/>
        <v>#N/A</v>
      </c>
      <c r="O796" s="1" t="s">
        <v>1488</v>
      </c>
      <c r="P796" s="4" t="e">
        <f>VLOOKUP(A796,المعطيات!$A$1:$J$3500,4,0)</f>
        <v>#N/A</v>
      </c>
      <c r="Q796" s="1" t="s">
        <v>1489</v>
      </c>
      <c r="R796" s="1" t="s">
        <v>1480</v>
      </c>
      <c r="S796" s="6" t="e">
        <f t="shared" si="38"/>
        <v>#N/A</v>
      </c>
    </row>
    <row r="797" spans="2:19" x14ac:dyDescent="0.25">
      <c r="B797" s="1" t="s">
        <v>1479</v>
      </c>
      <c r="C797" s="1" t="s">
        <v>1481</v>
      </c>
      <c r="D797" s="4" t="e">
        <f>VLOOKUP(A797,المعطيات!$A$1:$J$3500,5,0)</f>
        <v>#N/A</v>
      </c>
      <c r="E797" s="1" t="s">
        <v>1482</v>
      </c>
      <c r="F797" s="5">
        <f t="shared" si="36"/>
        <v>0</v>
      </c>
      <c r="G797" s="5" t="s">
        <v>1483</v>
      </c>
      <c r="H797" s="4" t="e">
        <f>VLOOKUP(A797,المعطيات!$A$1:$J$3500,3,0)</f>
        <v>#N/A</v>
      </c>
      <c r="I797" s="1" t="s">
        <v>1484</v>
      </c>
      <c r="J797" s="1" t="s">
        <v>1485</v>
      </c>
      <c r="K797" s="4" t="e">
        <f>VLOOKUP(A797,المعطيات!$A$1:$J$3500,6,0)</f>
        <v>#N/A</v>
      </c>
      <c r="L797" s="1" t="s">
        <v>1486</v>
      </c>
      <c r="M797" s="1" t="s">
        <v>1487</v>
      </c>
      <c r="N797" s="4" t="e">
        <f t="shared" si="37"/>
        <v>#N/A</v>
      </c>
      <c r="O797" s="1" t="s">
        <v>1488</v>
      </c>
      <c r="P797" s="4" t="e">
        <f>VLOOKUP(A797,المعطيات!$A$1:$J$3500,4,0)</f>
        <v>#N/A</v>
      </c>
      <c r="Q797" s="1" t="s">
        <v>1489</v>
      </c>
      <c r="R797" s="1" t="s">
        <v>1480</v>
      </c>
      <c r="S797" s="6" t="e">
        <f t="shared" si="38"/>
        <v>#N/A</v>
      </c>
    </row>
    <row r="798" spans="2:19" x14ac:dyDescent="0.25">
      <c r="B798" s="1" t="s">
        <v>1479</v>
      </c>
      <c r="C798" s="1" t="s">
        <v>1481</v>
      </c>
      <c r="D798" s="4" t="e">
        <f>VLOOKUP(A798,المعطيات!$A$1:$J$3500,5,0)</f>
        <v>#N/A</v>
      </c>
      <c r="E798" s="1" t="s">
        <v>1482</v>
      </c>
      <c r="F798" s="5">
        <f t="shared" si="36"/>
        <v>0</v>
      </c>
      <c r="G798" s="5" t="s">
        <v>1483</v>
      </c>
      <c r="H798" s="4" t="e">
        <f>VLOOKUP(A798,المعطيات!$A$1:$J$3500,3,0)</f>
        <v>#N/A</v>
      </c>
      <c r="I798" s="1" t="s">
        <v>1484</v>
      </c>
      <c r="J798" s="1" t="s">
        <v>1485</v>
      </c>
      <c r="K798" s="4" t="e">
        <f>VLOOKUP(A798,المعطيات!$A$1:$J$3500,6,0)</f>
        <v>#N/A</v>
      </c>
      <c r="L798" s="1" t="s">
        <v>1486</v>
      </c>
      <c r="M798" s="1" t="s">
        <v>1487</v>
      </c>
      <c r="N798" s="4" t="e">
        <f t="shared" si="37"/>
        <v>#N/A</v>
      </c>
      <c r="O798" s="1" t="s">
        <v>1488</v>
      </c>
      <c r="P798" s="4" t="e">
        <f>VLOOKUP(A798,المعطيات!$A$1:$J$3500,4,0)</f>
        <v>#N/A</v>
      </c>
      <c r="Q798" s="1" t="s">
        <v>1489</v>
      </c>
      <c r="R798" s="1" t="s">
        <v>1480</v>
      </c>
      <c r="S798" s="6" t="e">
        <f t="shared" si="38"/>
        <v>#N/A</v>
      </c>
    </row>
    <row r="799" spans="2:19" x14ac:dyDescent="0.25">
      <c r="B799" s="1" t="s">
        <v>1479</v>
      </c>
      <c r="C799" s="1" t="s">
        <v>1481</v>
      </c>
      <c r="D799" s="4" t="e">
        <f>VLOOKUP(A799,المعطيات!$A$1:$J$3500,5,0)</f>
        <v>#N/A</v>
      </c>
      <c r="E799" s="1" t="s">
        <v>1482</v>
      </c>
      <c r="F799" s="5">
        <f t="shared" si="36"/>
        <v>0</v>
      </c>
      <c r="G799" s="5" t="s">
        <v>1483</v>
      </c>
      <c r="H799" s="4" t="e">
        <f>VLOOKUP(A799,المعطيات!$A$1:$J$3500,3,0)</f>
        <v>#N/A</v>
      </c>
      <c r="I799" s="1" t="s">
        <v>1484</v>
      </c>
      <c r="J799" s="1" t="s">
        <v>1485</v>
      </c>
      <c r="K799" s="4" t="e">
        <f>VLOOKUP(A799,المعطيات!$A$1:$J$3500,6,0)</f>
        <v>#N/A</v>
      </c>
      <c r="L799" s="1" t="s">
        <v>1486</v>
      </c>
      <c r="M799" s="1" t="s">
        <v>1487</v>
      </c>
      <c r="N799" s="4" t="e">
        <f t="shared" si="37"/>
        <v>#N/A</v>
      </c>
      <c r="O799" s="1" t="s">
        <v>1488</v>
      </c>
      <c r="P799" s="4" t="e">
        <f>VLOOKUP(A799,المعطيات!$A$1:$J$3500,4,0)</f>
        <v>#N/A</v>
      </c>
      <c r="Q799" s="1" t="s">
        <v>1489</v>
      </c>
      <c r="R799" s="1" t="s">
        <v>1480</v>
      </c>
      <c r="S799" s="6" t="e">
        <f t="shared" si="38"/>
        <v>#N/A</v>
      </c>
    </row>
    <row r="800" spans="2:19" x14ac:dyDescent="0.25">
      <c r="B800" s="1" t="s">
        <v>1479</v>
      </c>
      <c r="C800" s="1" t="s">
        <v>1481</v>
      </c>
      <c r="D800" s="4" t="e">
        <f>VLOOKUP(A800,المعطيات!$A$1:$J$3500,5,0)</f>
        <v>#N/A</v>
      </c>
      <c r="E800" s="1" t="s">
        <v>1482</v>
      </c>
      <c r="F800" s="5">
        <f t="shared" si="36"/>
        <v>0</v>
      </c>
      <c r="G800" s="5" t="s">
        <v>1483</v>
      </c>
      <c r="H800" s="4" t="e">
        <f>VLOOKUP(A800,المعطيات!$A$1:$J$3500,3,0)</f>
        <v>#N/A</v>
      </c>
      <c r="I800" s="1" t="s">
        <v>1484</v>
      </c>
      <c r="J800" s="1" t="s">
        <v>1485</v>
      </c>
      <c r="K800" s="4" t="e">
        <f>VLOOKUP(A800,المعطيات!$A$1:$J$3500,6,0)</f>
        <v>#N/A</v>
      </c>
      <c r="L800" s="1" t="s">
        <v>1486</v>
      </c>
      <c r="M800" s="1" t="s">
        <v>1487</v>
      </c>
      <c r="N800" s="4" t="e">
        <f t="shared" si="37"/>
        <v>#N/A</v>
      </c>
      <c r="O800" s="1" t="s">
        <v>1488</v>
      </c>
      <c r="P800" s="4" t="e">
        <f>VLOOKUP(A800,المعطيات!$A$1:$J$3500,4,0)</f>
        <v>#N/A</v>
      </c>
      <c r="Q800" s="1" t="s">
        <v>1489</v>
      </c>
      <c r="R800" s="1" t="s">
        <v>1480</v>
      </c>
      <c r="S800" s="6" t="e">
        <f t="shared" si="38"/>
        <v>#N/A</v>
      </c>
    </row>
    <row r="801" spans="2:19" x14ac:dyDescent="0.25">
      <c r="B801" s="1" t="s">
        <v>1479</v>
      </c>
      <c r="C801" s="1" t="s">
        <v>1481</v>
      </c>
      <c r="D801" s="4" t="e">
        <f>VLOOKUP(A801,المعطيات!$A$1:$J$3500,5,0)</f>
        <v>#N/A</v>
      </c>
      <c r="E801" s="1" t="s">
        <v>1482</v>
      </c>
      <c r="F801" s="5">
        <f t="shared" si="36"/>
        <v>0</v>
      </c>
      <c r="G801" s="5" t="s">
        <v>1483</v>
      </c>
      <c r="H801" s="4" t="e">
        <f>VLOOKUP(A801,المعطيات!$A$1:$J$3500,3,0)</f>
        <v>#N/A</v>
      </c>
      <c r="I801" s="1" t="s">
        <v>1484</v>
      </c>
      <c r="J801" s="1" t="s">
        <v>1485</v>
      </c>
      <c r="K801" s="4" t="e">
        <f>VLOOKUP(A801,المعطيات!$A$1:$J$3500,6,0)</f>
        <v>#N/A</v>
      </c>
      <c r="L801" s="1" t="s">
        <v>1486</v>
      </c>
      <c r="M801" s="1" t="s">
        <v>1487</v>
      </c>
      <c r="N801" s="4" t="e">
        <f t="shared" si="37"/>
        <v>#N/A</v>
      </c>
      <c r="O801" s="1" t="s">
        <v>1488</v>
      </c>
      <c r="P801" s="4" t="e">
        <f>VLOOKUP(A801,المعطيات!$A$1:$J$3500,4,0)</f>
        <v>#N/A</v>
      </c>
      <c r="Q801" s="1" t="s">
        <v>1489</v>
      </c>
      <c r="R801" s="1" t="s">
        <v>1480</v>
      </c>
      <c r="S801" s="6" t="e">
        <f t="shared" si="38"/>
        <v>#N/A</v>
      </c>
    </row>
    <row r="802" spans="2:19" x14ac:dyDescent="0.25">
      <c r="B802" s="1" t="s">
        <v>1479</v>
      </c>
      <c r="C802" s="1" t="s">
        <v>1481</v>
      </c>
      <c r="D802" s="4" t="e">
        <f>VLOOKUP(A802,المعطيات!$A$1:$J$3500,5,0)</f>
        <v>#N/A</v>
      </c>
      <c r="E802" s="1" t="s">
        <v>1482</v>
      </c>
      <c r="F802" s="5">
        <f t="shared" si="36"/>
        <v>0</v>
      </c>
      <c r="G802" s="5" t="s">
        <v>1483</v>
      </c>
      <c r="H802" s="4" t="e">
        <f>VLOOKUP(A802,المعطيات!$A$1:$J$3500,3,0)</f>
        <v>#N/A</v>
      </c>
      <c r="I802" s="1" t="s">
        <v>1484</v>
      </c>
      <c r="J802" s="1" t="s">
        <v>1485</v>
      </c>
      <c r="K802" s="4" t="e">
        <f>VLOOKUP(A802,المعطيات!$A$1:$J$3500,6,0)</f>
        <v>#N/A</v>
      </c>
      <c r="L802" s="1" t="s">
        <v>1486</v>
      </c>
      <c r="M802" s="1" t="s">
        <v>1487</v>
      </c>
      <c r="N802" s="4" t="e">
        <f t="shared" si="37"/>
        <v>#N/A</v>
      </c>
      <c r="O802" s="1" t="s">
        <v>1488</v>
      </c>
      <c r="P802" s="4" t="e">
        <f>VLOOKUP(A802,المعطيات!$A$1:$J$3500,4,0)</f>
        <v>#N/A</v>
      </c>
      <c r="Q802" s="1" t="s">
        <v>1489</v>
      </c>
      <c r="R802" s="1" t="s">
        <v>1480</v>
      </c>
      <c r="S802" s="6" t="e">
        <f t="shared" si="38"/>
        <v>#N/A</v>
      </c>
    </row>
    <row r="803" spans="2:19" x14ac:dyDescent="0.25">
      <c r="B803" s="1" t="s">
        <v>1479</v>
      </c>
      <c r="C803" s="1" t="s">
        <v>1481</v>
      </c>
      <c r="D803" s="4" t="e">
        <f>VLOOKUP(A803,المعطيات!$A$1:$J$3500,5,0)</f>
        <v>#N/A</v>
      </c>
      <c r="E803" s="1" t="s">
        <v>1482</v>
      </c>
      <c r="F803" s="5">
        <f t="shared" si="36"/>
        <v>0</v>
      </c>
      <c r="G803" s="5" t="s">
        <v>1483</v>
      </c>
      <c r="H803" s="4" t="e">
        <f>VLOOKUP(A803,المعطيات!$A$1:$J$3500,3,0)</f>
        <v>#N/A</v>
      </c>
      <c r="I803" s="1" t="s">
        <v>1484</v>
      </c>
      <c r="J803" s="1" t="s">
        <v>1485</v>
      </c>
      <c r="K803" s="4" t="e">
        <f>VLOOKUP(A803,المعطيات!$A$1:$J$3500,6,0)</f>
        <v>#N/A</v>
      </c>
      <c r="L803" s="1" t="s">
        <v>1486</v>
      </c>
      <c r="M803" s="1" t="s">
        <v>1487</v>
      </c>
      <c r="N803" s="4" t="e">
        <f t="shared" si="37"/>
        <v>#N/A</v>
      </c>
      <c r="O803" s="1" t="s">
        <v>1488</v>
      </c>
      <c r="P803" s="4" t="e">
        <f>VLOOKUP(A803,المعطيات!$A$1:$J$3500,4,0)</f>
        <v>#N/A</v>
      </c>
      <c r="Q803" s="1" t="s">
        <v>1489</v>
      </c>
      <c r="R803" s="1" t="s">
        <v>1480</v>
      </c>
      <c r="S803" s="6" t="e">
        <f t="shared" si="38"/>
        <v>#N/A</v>
      </c>
    </row>
    <row r="804" spans="2:19" x14ac:dyDescent="0.25">
      <c r="B804" s="1" t="s">
        <v>1479</v>
      </c>
      <c r="C804" s="1" t="s">
        <v>1481</v>
      </c>
      <c r="D804" s="4" t="e">
        <f>VLOOKUP(A804,المعطيات!$A$1:$J$3500,5,0)</f>
        <v>#N/A</v>
      </c>
      <c r="E804" s="1" t="s">
        <v>1482</v>
      </c>
      <c r="F804" s="5">
        <f t="shared" si="36"/>
        <v>0</v>
      </c>
      <c r="G804" s="5" t="s">
        <v>1483</v>
      </c>
      <c r="H804" s="4" t="e">
        <f>VLOOKUP(A804,المعطيات!$A$1:$J$3500,3,0)</f>
        <v>#N/A</v>
      </c>
      <c r="I804" s="1" t="s">
        <v>1484</v>
      </c>
      <c r="J804" s="1" t="s">
        <v>1485</v>
      </c>
      <c r="K804" s="4" t="e">
        <f>VLOOKUP(A804,المعطيات!$A$1:$J$3500,6,0)</f>
        <v>#N/A</v>
      </c>
      <c r="L804" s="1" t="s">
        <v>1486</v>
      </c>
      <c r="M804" s="1" t="s">
        <v>1487</v>
      </c>
      <c r="N804" s="4" t="e">
        <f t="shared" si="37"/>
        <v>#N/A</v>
      </c>
      <c r="O804" s="1" t="s">
        <v>1488</v>
      </c>
      <c r="P804" s="4" t="e">
        <f>VLOOKUP(A804,المعطيات!$A$1:$J$3500,4,0)</f>
        <v>#N/A</v>
      </c>
      <c r="Q804" s="1" t="s">
        <v>1489</v>
      </c>
      <c r="R804" s="1" t="s">
        <v>1480</v>
      </c>
      <c r="S804" s="6" t="e">
        <f t="shared" si="38"/>
        <v>#N/A</v>
      </c>
    </row>
    <row r="805" spans="2:19" x14ac:dyDescent="0.25">
      <c r="B805" s="1" t="s">
        <v>1479</v>
      </c>
      <c r="C805" s="1" t="s">
        <v>1481</v>
      </c>
      <c r="D805" s="4" t="e">
        <f>VLOOKUP(A805,المعطيات!$A$1:$J$3500,5,0)</f>
        <v>#N/A</v>
      </c>
      <c r="E805" s="1" t="s">
        <v>1482</v>
      </c>
      <c r="F805" s="5">
        <f t="shared" si="36"/>
        <v>0</v>
      </c>
      <c r="G805" s="5" t="s">
        <v>1483</v>
      </c>
      <c r="H805" s="4" t="e">
        <f>VLOOKUP(A805,المعطيات!$A$1:$J$3500,3,0)</f>
        <v>#N/A</v>
      </c>
      <c r="I805" s="1" t="s">
        <v>1484</v>
      </c>
      <c r="J805" s="1" t="s">
        <v>1485</v>
      </c>
      <c r="K805" s="4" t="e">
        <f>VLOOKUP(A805,المعطيات!$A$1:$J$3500,6,0)</f>
        <v>#N/A</v>
      </c>
      <c r="L805" s="1" t="s">
        <v>1486</v>
      </c>
      <c r="M805" s="1" t="s">
        <v>1487</v>
      </c>
      <c r="N805" s="4" t="e">
        <f t="shared" si="37"/>
        <v>#N/A</v>
      </c>
      <c r="O805" s="1" t="s">
        <v>1488</v>
      </c>
      <c r="P805" s="4" t="e">
        <f>VLOOKUP(A805,المعطيات!$A$1:$J$3500,4,0)</f>
        <v>#N/A</v>
      </c>
      <c r="Q805" s="1" t="s">
        <v>1489</v>
      </c>
      <c r="R805" s="1" t="s">
        <v>1480</v>
      </c>
      <c r="S805" s="6" t="e">
        <f t="shared" si="38"/>
        <v>#N/A</v>
      </c>
    </row>
    <row r="806" spans="2:19" x14ac:dyDescent="0.25">
      <c r="B806" s="1" t="s">
        <v>1479</v>
      </c>
      <c r="C806" s="1" t="s">
        <v>1481</v>
      </c>
      <c r="D806" s="4" t="e">
        <f>VLOOKUP(A806,المعطيات!$A$1:$J$3500,5,0)</f>
        <v>#N/A</v>
      </c>
      <c r="E806" s="1" t="s">
        <v>1482</v>
      </c>
      <c r="F806" s="5">
        <f t="shared" si="36"/>
        <v>0</v>
      </c>
      <c r="G806" s="5" t="s">
        <v>1483</v>
      </c>
      <c r="H806" s="4" t="e">
        <f>VLOOKUP(A806,المعطيات!$A$1:$J$3500,3,0)</f>
        <v>#N/A</v>
      </c>
      <c r="I806" s="1" t="s">
        <v>1484</v>
      </c>
      <c r="J806" s="1" t="s">
        <v>1485</v>
      </c>
      <c r="K806" s="4" t="e">
        <f>VLOOKUP(A806,المعطيات!$A$1:$J$3500,6,0)</f>
        <v>#N/A</v>
      </c>
      <c r="L806" s="1" t="s">
        <v>1486</v>
      </c>
      <c r="M806" s="1" t="s">
        <v>1487</v>
      </c>
      <c r="N806" s="4" t="e">
        <f t="shared" si="37"/>
        <v>#N/A</v>
      </c>
      <c r="O806" s="1" t="s">
        <v>1488</v>
      </c>
      <c r="P806" s="4" t="e">
        <f>VLOOKUP(A806,المعطيات!$A$1:$J$3500,4,0)</f>
        <v>#N/A</v>
      </c>
      <c r="Q806" s="1" t="s">
        <v>1489</v>
      </c>
      <c r="R806" s="1" t="s">
        <v>1480</v>
      </c>
      <c r="S806" s="6" t="e">
        <f t="shared" si="38"/>
        <v>#N/A</v>
      </c>
    </row>
    <row r="807" spans="2:19" x14ac:dyDescent="0.25">
      <c r="B807" s="1" t="s">
        <v>1479</v>
      </c>
      <c r="C807" s="1" t="s">
        <v>1481</v>
      </c>
      <c r="D807" s="4" t="e">
        <f>VLOOKUP(A807,المعطيات!$A$1:$J$3500,5,0)</f>
        <v>#N/A</v>
      </c>
      <c r="E807" s="1" t="s">
        <v>1482</v>
      </c>
      <c r="F807" s="5">
        <f t="shared" si="36"/>
        <v>0</v>
      </c>
      <c r="G807" s="5" t="s">
        <v>1483</v>
      </c>
      <c r="H807" s="4" t="e">
        <f>VLOOKUP(A807,المعطيات!$A$1:$J$3500,3,0)</f>
        <v>#N/A</v>
      </c>
      <c r="I807" s="1" t="s">
        <v>1484</v>
      </c>
      <c r="J807" s="1" t="s">
        <v>1485</v>
      </c>
      <c r="K807" s="4" t="e">
        <f>VLOOKUP(A807,المعطيات!$A$1:$J$3500,6,0)</f>
        <v>#N/A</v>
      </c>
      <c r="L807" s="1" t="s">
        <v>1486</v>
      </c>
      <c r="M807" s="1" t="s">
        <v>1487</v>
      </c>
      <c r="N807" s="4" t="e">
        <f t="shared" si="37"/>
        <v>#N/A</v>
      </c>
      <c r="O807" s="1" t="s">
        <v>1488</v>
      </c>
      <c r="P807" s="4" t="e">
        <f>VLOOKUP(A807,المعطيات!$A$1:$J$3500,4,0)</f>
        <v>#N/A</v>
      </c>
      <c r="Q807" s="1" t="s">
        <v>1489</v>
      </c>
      <c r="R807" s="1" t="s">
        <v>1480</v>
      </c>
      <c r="S807" s="6" t="e">
        <f t="shared" si="38"/>
        <v>#N/A</v>
      </c>
    </row>
    <row r="808" spans="2:19" x14ac:dyDescent="0.25">
      <c r="B808" s="1" t="s">
        <v>1479</v>
      </c>
      <c r="C808" s="1" t="s">
        <v>1481</v>
      </c>
      <c r="D808" s="4" t="e">
        <f>VLOOKUP(A808,المعطيات!$A$1:$J$3500,5,0)</f>
        <v>#N/A</v>
      </c>
      <c r="E808" s="1" t="s">
        <v>1482</v>
      </c>
      <c r="F808" s="5">
        <f t="shared" si="36"/>
        <v>0</v>
      </c>
      <c r="G808" s="5" t="s">
        <v>1483</v>
      </c>
      <c r="H808" s="4" t="e">
        <f>VLOOKUP(A808,المعطيات!$A$1:$J$3500,3,0)</f>
        <v>#N/A</v>
      </c>
      <c r="I808" s="1" t="s">
        <v>1484</v>
      </c>
      <c r="J808" s="1" t="s">
        <v>1485</v>
      </c>
      <c r="K808" s="4" t="e">
        <f>VLOOKUP(A808,المعطيات!$A$1:$J$3500,6,0)</f>
        <v>#N/A</v>
      </c>
      <c r="L808" s="1" t="s">
        <v>1486</v>
      </c>
      <c r="M808" s="1" t="s">
        <v>1487</v>
      </c>
      <c r="N808" s="4" t="e">
        <f t="shared" si="37"/>
        <v>#N/A</v>
      </c>
      <c r="O808" s="1" t="s">
        <v>1488</v>
      </c>
      <c r="P808" s="4" t="e">
        <f>VLOOKUP(A808,المعطيات!$A$1:$J$3500,4,0)</f>
        <v>#N/A</v>
      </c>
      <c r="Q808" s="1" t="s">
        <v>1489</v>
      </c>
      <c r="R808" s="1" t="s">
        <v>1480</v>
      </c>
      <c r="S808" s="6" t="e">
        <f t="shared" si="38"/>
        <v>#N/A</v>
      </c>
    </row>
    <row r="809" spans="2:19" x14ac:dyDescent="0.25">
      <c r="B809" s="1" t="s">
        <v>1479</v>
      </c>
      <c r="C809" s="1" t="s">
        <v>1481</v>
      </c>
      <c r="D809" s="4" t="e">
        <f>VLOOKUP(A809,المعطيات!$A$1:$J$3500,5,0)</f>
        <v>#N/A</v>
      </c>
      <c r="E809" s="1" t="s">
        <v>1482</v>
      </c>
      <c r="F809" s="5">
        <f t="shared" si="36"/>
        <v>0</v>
      </c>
      <c r="G809" s="5" t="s">
        <v>1483</v>
      </c>
      <c r="H809" s="4" t="e">
        <f>VLOOKUP(A809,المعطيات!$A$1:$J$3500,3,0)</f>
        <v>#N/A</v>
      </c>
      <c r="I809" s="1" t="s">
        <v>1484</v>
      </c>
      <c r="J809" s="1" t="s">
        <v>1485</v>
      </c>
      <c r="K809" s="4" t="e">
        <f>VLOOKUP(A809,المعطيات!$A$1:$J$3500,6,0)</f>
        <v>#N/A</v>
      </c>
      <c r="L809" s="1" t="s">
        <v>1486</v>
      </c>
      <c r="M809" s="1" t="s">
        <v>1487</v>
      </c>
      <c r="N809" s="4" t="e">
        <f t="shared" si="37"/>
        <v>#N/A</v>
      </c>
      <c r="O809" s="1" t="s">
        <v>1488</v>
      </c>
      <c r="P809" s="4" t="e">
        <f>VLOOKUP(A809,المعطيات!$A$1:$J$3500,4,0)</f>
        <v>#N/A</v>
      </c>
      <c r="Q809" s="1" t="s">
        <v>1489</v>
      </c>
      <c r="R809" s="1" t="s">
        <v>1480</v>
      </c>
      <c r="S809" s="6" t="e">
        <f t="shared" si="38"/>
        <v>#N/A</v>
      </c>
    </row>
    <row r="810" spans="2:19" x14ac:dyDescent="0.25">
      <c r="B810" s="1" t="s">
        <v>1479</v>
      </c>
      <c r="C810" s="1" t="s">
        <v>1481</v>
      </c>
      <c r="D810" s="4" t="e">
        <f>VLOOKUP(A810,المعطيات!$A$1:$J$3500,5,0)</f>
        <v>#N/A</v>
      </c>
      <c r="E810" s="1" t="s">
        <v>1482</v>
      </c>
      <c r="F810" s="5">
        <f t="shared" si="36"/>
        <v>0</v>
      </c>
      <c r="G810" s="5" t="s">
        <v>1483</v>
      </c>
      <c r="H810" s="4" t="e">
        <f>VLOOKUP(A810,المعطيات!$A$1:$J$3500,3,0)</f>
        <v>#N/A</v>
      </c>
      <c r="I810" s="1" t="s">
        <v>1484</v>
      </c>
      <c r="J810" s="1" t="s">
        <v>1485</v>
      </c>
      <c r="K810" s="4" t="e">
        <f>VLOOKUP(A810,المعطيات!$A$1:$J$3500,6,0)</f>
        <v>#N/A</v>
      </c>
      <c r="L810" s="1" t="s">
        <v>1486</v>
      </c>
      <c r="M810" s="1" t="s">
        <v>1487</v>
      </c>
      <c r="N810" s="4" t="e">
        <f t="shared" si="37"/>
        <v>#N/A</v>
      </c>
      <c r="O810" s="1" t="s">
        <v>1488</v>
      </c>
      <c r="P810" s="4" t="e">
        <f>VLOOKUP(A810,المعطيات!$A$1:$J$3500,4,0)</f>
        <v>#N/A</v>
      </c>
      <c r="Q810" s="1" t="s">
        <v>1489</v>
      </c>
      <c r="R810" s="1" t="s">
        <v>1480</v>
      </c>
      <c r="S810" s="6" t="e">
        <f t="shared" si="38"/>
        <v>#N/A</v>
      </c>
    </row>
    <row r="811" spans="2:19" x14ac:dyDescent="0.25">
      <c r="B811" s="1" t="s">
        <v>1479</v>
      </c>
      <c r="C811" s="1" t="s">
        <v>1481</v>
      </c>
      <c r="D811" s="4" t="e">
        <f>VLOOKUP(A811,المعطيات!$A$1:$J$3500,5,0)</f>
        <v>#N/A</v>
      </c>
      <c r="E811" s="1" t="s">
        <v>1482</v>
      </c>
      <c r="F811" s="5">
        <f t="shared" si="36"/>
        <v>0</v>
      </c>
      <c r="G811" s="5" t="s">
        <v>1483</v>
      </c>
      <c r="H811" s="4" t="e">
        <f>VLOOKUP(A811,المعطيات!$A$1:$J$3500,3,0)</f>
        <v>#N/A</v>
      </c>
      <c r="I811" s="1" t="s">
        <v>1484</v>
      </c>
      <c r="J811" s="1" t="s">
        <v>1485</v>
      </c>
      <c r="K811" s="4" t="e">
        <f>VLOOKUP(A811,المعطيات!$A$1:$J$3500,6,0)</f>
        <v>#N/A</v>
      </c>
      <c r="L811" s="1" t="s">
        <v>1486</v>
      </c>
      <c r="M811" s="1" t="s">
        <v>1487</v>
      </c>
      <c r="N811" s="4" t="e">
        <f t="shared" si="37"/>
        <v>#N/A</v>
      </c>
      <c r="O811" s="1" t="s">
        <v>1488</v>
      </c>
      <c r="P811" s="4" t="e">
        <f>VLOOKUP(A811,المعطيات!$A$1:$J$3500,4,0)</f>
        <v>#N/A</v>
      </c>
      <c r="Q811" s="1" t="s">
        <v>1489</v>
      </c>
      <c r="R811" s="1" t="s">
        <v>1480</v>
      </c>
      <c r="S811" s="6" t="e">
        <f t="shared" si="38"/>
        <v>#N/A</v>
      </c>
    </row>
    <row r="812" spans="2:19" x14ac:dyDescent="0.25">
      <c r="B812" s="1" t="s">
        <v>1479</v>
      </c>
      <c r="C812" s="1" t="s">
        <v>1481</v>
      </c>
      <c r="D812" s="4" t="e">
        <f>VLOOKUP(A812,المعطيات!$A$1:$J$3500,5,0)</f>
        <v>#N/A</v>
      </c>
      <c r="E812" s="1" t="s">
        <v>1482</v>
      </c>
      <c r="F812" s="5">
        <f t="shared" si="36"/>
        <v>0</v>
      </c>
      <c r="G812" s="5" t="s">
        <v>1483</v>
      </c>
      <c r="H812" s="4" t="e">
        <f>VLOOKUP(A812,المعطيات!$A$1:$J$3500,3,0)</f>
        <v>#N/A</v>
      </c>
      <c r="I812" s="1" t="s">
        <v>1484</v>
      </c>
      <c r="J812" s="1" t="s">
        <v>1485</v>
      </c>
      <c r="K812" s="4" t="e">
        <f>VLOOKUP(A812,المعطيات!$A$1:$J$3500,6,0)</f>
        <v>#N/A</v>
      </c>
      <c r="L812" s="1" t="s">
        <v>1486</v>
      </c>
      <c r="M812" s="1" t="s">
        <v>1487</v>
      </c>
      <c r="N812" s="4" t="e">
        <f t="shared" si="37"/>
        <v>#N/A</v>
      </c>
      <c r="O812" s="1" t="s">
        <v>1488</v>
      </c>
      <c r="P812" s="4" t="e">
        <f>VLOOKUP(A812,المعطيات!$A$1:$J$3500,4,0)</f>
        <v>#N/A</v>
      </c>
      <c r="Q812" s="1" t="s">
        <v>1489</v>
      </c>
      <c r="R812" s="1" t="s">
        <v>1480</v>
      </c>
      <c r="S812" s="6" t="e">
        <f t="shared" si="38"/>
        <v>#N/A</v>
      </c>
    </row>
    <row r="813" spans="2:19" x14ac:dyDescent="0.25">
      <c r="B813" s="1" t="s">
        <v>1479</v>
      </c>
      <c r="C813" s="1" t="s">
        <v>1481</v>
      </c>
      <c r="D813" s="4" t="e">
        <f>VLOOKUP(A813,المعطيات!$A$1:$J$3500,5,0)</f>
        <v>#N/A</v>
      </c>
      <c r="E813" s="1" t="s">
        <v>1482</v>
      </c>
      <c r="F813" s="5">
        <f t="shared" si="36"/>
        <v>0</v>
      </c>
      <c r="G813" s="5" t="s">
        <v>1483</v>
      </c>
      <c r="H813" s="4" t="e">
        <f>VLOOKUP(A813,المعطيات!$A$1:$J$3500,3,0)</f>
        <v>#N/A</v>
      </c>
      <c r="I813" s="1" t="s">
        <v>1484</v>
      </c>
      <c r="J813" s="1" t="s">
        <v>1485</v>
      </c>
      <c r="K813" s="4" t="e">
        <f>VLOOKUP(A813,المعطيات!$A$1:$J$3500,6,0)</f>
        <v>#N/A</v>
      </c>
      <c r="L813" s="1" t="s">
        <v>1486</v>
      </c>
      <c r="M813" s="1" t="s">
        <v>1487</v>
      </c>
      <c r="N813" s="4" t="e">
        <f t="shared" si="37"/>
        <v>#N/A</v>
      </c>
      <c r="O813" s="1" t="s">
        <v>1488</v>
      </c>
      <c r="P813" s="4" t="e">
        <f>VLOOKUP(A813,المعطيات!$A$1:$J$3500,4,0)</f>
        <v>#N/A</v>
      </c>
      <c r="Q813" s="1" t="s">
        <v>1489</v>
      </c>
      <c r="R813" s="1" t="s">
        <v>1480</v>
      </c>
      <c r="S813" s="6" t="e">
        <f t="shared" si="38"/>
        <v>#N/A</v>
      </c>
    </row>
    <row r="814" spans="2:19" x14ac:dyDescent="0.25">
      <c r="B814" s="1" t="s">
        <v>1479</v>
      </c>
      <c r="C814" s="1" t="s">
        <v>1481</v>
      </c>
      <c r="D814" s="4" t="e">
        <f>VLOOKUP(A814,المعطيات!$A$1:$J$3500,5,0)</f>
        <v>#N/A</v>
      </c>
      <c r="E814" s="1" t="s">
        <v>1482</v>
      </c>
      <c r="F814" s="5">
        <f t="shared" si="36"/>
        <v>0</v>
      </c>
      <c r="G814" s="5" t="s">
        <v>1483</v>
      </c>
      <c r="H814" s="4" t="e">
        <f>VLOOKUP(A814,المعطيات!$A$1:$J$3500,3,0)</f>
        <v>#N/A</v>
      </c>
      <c r="I814" s="1" t="s">
        <v>1484</v>
      </c>
      <c r="J814" s="1" t="s">
        <v>1485</v>
      </c>
      <c r="K814" s="4" t="e">
        <f>VLOOKUP(A814,المعطيات!$A$1:$J$3500,6,0)</f>
        <v>#N/A</v>
      </c>
      <c r="L814" s="1" t="s">
        <v>1486</v>
      </c>
      <c r="M814" s="1" t="s">
        <v>1487</v>
      </c>
      <c r="N814" s="4" t="e">
        <f t="shared" si="37"/>
        <v>#N/A</v>
      </c>
      <c r="O814" s="1" t="s">
        <v>1488</v>
      </c>
      <c r="P814" s="4" t="e">
        <f>VLOOKUP(A814,المعطيات!$A$1:$J$3500,4,0)</f>
        <v>#N/A</v>
      </c>
      <c r="Q814" s="1" t="s">
        <v>1489</v>
      </c>
      <c r="R814" s="1" t="s">
        <v>1480</v>
      </c>
      <c r="S814" s="6" t="e">
        <f t="shared" si="38"/>
        <v>#N/A</v>
      </c>
    </row>
    <row r="815" spans="2:19" x14ac:dyDescent="0.25">
      <c r="B815" s="1" t="s">
        <v>1479</v>
      </c>
      <c r="C815" s="1" t="s">
        <v>1481</v>
      </c>
      <c r="D815" s="4" t="e">
        <f>VLOOKUP(A815,المعطيات!$A$1:$J$3500,5,0)</f>
        <v>#N/A</v>
      </c>
      <c r="E815" s="1" t="s">
        <v>1482</v>
      </c>
      <c r="F815" s="5">
        <f t="shared" si="36"/>
        <v>0</v>
      </c>
      <c r="G815" s="5" t="s">
        <v>1483</v>
      </c>
      <c r="H815" s="4" t="e">
        <f>VLOOKUP(A815,المعطيات!$A$1:$J$3500,3,0)</f>
        <v>#N/A</v>
      </c>
      <c r="I815" s="1" t="s">
        <v>1484</v>
      </c>
      <c r="J815" s="1" t="s">
        <v>1485</v>
      </c>
      <c r="K815" s="4" t="e">
        <f>VLOOKUP(A815,المعطيات!$A$1:$J$3500,6,0)</f>
        <v>#N/A</v>
      </c>
      <c r="L815" s="1" t="s">
        <v>1486</v>
      </c>
      <c r="M815" s="1" t="s">
        <v>1487</v>
      </c>
      <c r="N815" s="4" t="e">
        <f t="shared" si="37"/>
        <v>#N/A</v>
      </c>
      <c r="O815" s="1" t="s">
        <v>1488</v>
      </c>
      <c r="P815" s="4" t="e">
        <f>VLOOKUP(A815,المعطيات!$A$1:$J$3500,4,0)</f>
        <v>#N/A</v>
      </c>
      <c r="Q815" s="1" t="s">
        <v>1489</v>
      </c>
      <c r="R815" s="1" t="s">
        <v>1480</v>
      </c>
      <c r="S815" s="6" t="e">
        <f t="shared" si="38"/>
        <v>#N/A</v>
      </c>
    </row>
    <row r="816" spans="2:19" x14ac:dyDescent="0.25">
      <c r="B816" s="1" t="s">
        <v>1479</v>
      </c>
      <c r="C816" s="1" t="s">
        <v>1481</v>
      </c>
      <c r="D816" s="4" t="e">
        <f>VLOOKUP(A816,المعطيات!$A$1:$J$3500,5,0)</f>
        <v>#N/A</v>
      </c>
      <c r="E816" s="1" t="s">
        <v>1482</v>
      </c>
      <c r="F816" s="5">
        <f t="shared" si="36"/>
        <v>0</v>
      </c>
      <c r="G816" s="5" t="s">
        <v>1483</v>
      </c>
      <c r="H816" s="4" t="e">
        <f>VLOOKUP(A816,المعطيات!$A$1:$J$3500,3,0)</f>
        <v>#N/A</v>
      </c>
      <c r="I816" s="1" t="s">
        <v>1484</v>
      </c>
      <c r="J816" s="1" t="s">
        <v>1485</v>
      </c>
      <c r="K816" s="4" t="e">
        <f>VLOOKUP(A816,المعطيات!$A$1:$J$3500,6,0)</f>
        <v>#N/A</v>
      </c>
      <c r="L816" s="1" t="s">
        <v>1486</v>
      </c>
      <c r="M816" s="1" t="s">
        <v>1487</v>
      </c>
      <c r="N816" s="4" t="e">
        <f t="shared" si="37"/>
        <v>#N/A</v>
      </c>
      <c r="O816" s="1" t="s">
        <v>1488</v>
      </c>
      <c r="P816" s="4" t="e">
        <f>VLOOKUP(A816,المعطيات!$A$1:$J$3500,4,0)</f>
        <v>#N/A</v>
      </c>
      <c r="Q816" s="1" t="s">
        <v>1489</v>
      </c>
      <c r="R816" s="1" t="s">
        <v>1480</v>
      </c>
      <c r="S816" s="6" t="e">
        <f t="shared" si="38"/>
        <v>#N/A</v>
      </c>
    </row>
    <row r="817" spans="2:19" x14ac:dyDescent="0.25">
      <c r="B817" s="1" t="s">
        <v>1479</v>
      </c>
      <c r="C817" s="1" t="s">
        <v>1481</v>
      </c>
      <c r="D817" s="4" t="e">
        <f>VLOOKUP(A817,المعطيات!$A$1:$J$3500,5,0)</f>
        <v>#N/A</v>
      </c>
      <c r="E817" s="1" t="s">
        <v>1482</v>
      </c>
      <c r="F817" s="5">
        <f t="shared" si="36"/>
        <v>0</v>
      </c>
      <c r="G817" s="5" t="s">
        <v>1483</v>
      </c>
      <c r="H817" s="4" t="e">
        <f>VLOOKUP(A817,المعطيات!$A$1:$J$3500,3,0)</f>
        <v>#N/A</v>
      </c>
      <c r="I817" s="1" t="s">
        <v>1484</v>
      </c>
      <c r="J817" s="1" t="s">
        <v>1485</v>
      </c>
      <c r="K817" s="4" t="e">
        <f>VLOOKUP(A817,المعطيات!$A$1:$J$3500,6,0)</f>
        <v>#N/A</v>
      </c>
      <c r="L817" s="1" t="s">
        <v>1486</v>
      </c>
      <c r="M817" s="1" t="s">
        <v>1487</v>
      </c>
      <c r="N817" s="4" t="e">
        <f t="shared" si="37"/>
        <v>#N/A</v>
      </c>
      <c r="O817" s="1" t="s">
        <v>1488</v>
      </c>
      <c r="P817" s="4" t="e">
        <f>VLOOKUP(A817,المعطيات!$A$1:$J$3500,4,0)</f>
        <v>#N/A</v>
      </c>
      <c r="Q817" s="1" t="s">
        <v>1489</v>
      </c>
      <c r="R817" s="1" t="s">
        <v>1480</v>
      </c>
      <c r="S817" s="6" t="e">
        <f t="shared" si="38"/>
        <v>#N/A</v>
      </c>
    </row>
    <row r="818" spans="2:19" x14ac:dyDescent="0.25">
      <c r="B818" s="1" t="s">
        <v>1479</v>
      </c>
      <c r="C818" s="1" t="s">
        <v>1481</v>
      </c>
      <c r="D818" s="4" t="e">
        <f>VLOOKUP(A818,المعطيات!$A$1:$J$3500,5,0)</f>
        <v>#N/A</v>
      </c>
      <c r="E818" s="1" t="s">
        <v>1482</v>
      </c>
      <c r="F818" s="5">
        <f t="shared" si="36"/>
        <v>0</v>
      </c>
      <c r="G818" s="5" t="s">
        <v>1483</v>
      </c>
      <c r="H818" s="4" t="e">
        <f>VLOOKUP(A818,المعطيات!$A$1:$J$3500,3,0)</f>
        <v>#N/A</v>
      </c>
      <c r="I818" s="1" t="s">
        <v>1484</v>
      </c>
      <c r="J818" s="1" t="s">
        <v>1485</v>
      </c>
      <c r="K818" s="4" t="e">
        <f>VLOOKUP(A818,المعطيات!$A$1:$J$3500,6,0)</f>
        <v>#N/A</v>
      </c>
      <c r="L818" s="1" t="s">
        <v>1486</v>
      </c>
      <c r="M818" s="1" t="s">
        <v>1487</v>
      </c>
      <c r="N818" s="4" t="e">
        <f t="shared" si="37"/>
        <v>#N/A</v>
      </c>
      <c r="O818" s="1" t="s">
        <v>1488</v>
      </c>
      <c r="P818" s="4" t="e">
        <f>VLOOKUP(A818,المعطيات!$A$1:$J$3500,4,0)</f>
        <v>#N/A</v>
      </c>
      <c r="Q818" s="1" t="s">
        <v>1489</v>
      </c>
      <c r="R818" s="1" t="s">
        <v>1480</v>
      </c>
      <c r="S818" s="6" t="e">
        <f t="shared" si="38"/>
        <v>#N/A</v>
      </c>
    </row>
    <row r="819" spans="2:19" x14ac:dyDescent="0.25">
      <c r="B819" s="1" t="s">
        <v>1479</v>
      </c>
      <c r="C819" s="1" t="s">
        <v>1481</v>
      </c>
      <c r="D819" s="4" t="e">
        <f>VLOOKUP(A819,المعطيات!$A$1:$J$3500,5,0)</f>
        <v>#N/A</v>
      </c>
      <c r="E819" s="1" t="s">
        <v>1482</v>
      </c>
      <c r="F819" s="5">
        <f t="shared" si="36"/>
        <v>0</v>
      </c>
      <c r="G819" s="5" t="s">
        <v>1483</v>
      </c>
      <c r="H819" s="4" t="e">
        <f>VLOOKUP(A819,المعطيات!$A$1:$J$3500,3,0)</f>
        <v>#N/A</v>
      </c>
      <c r="I819" s="1" t="s">
        <v>1484</v>
      </c>
      <c r="J819" s="1" t="s">
        <v>1485</v>
      </c>
      <c r="K819" s="4" t="e">
        <f>VLOOKUP(A819,المعطيات!$A$1:$J$3500,6,0)</f>
        <v>#N/A</v>
      </c>
      <c r="L819" s="1" t="s">
        <v>1486</v>
      </c>
      <c r="M819" s="1" t="s">
        <v>1487</v>
      </c>
      <c r="N819" s="4" t="e">
        <f t="shared" si="37"/>
        <v>#N/A</v>
      </c>
      <c r="O819" s="1" t="s">
        <v>1488</v>
      </c>
      <c r="P819" s="4" t="e">
        <f>VLOOKUP(A819,المعطيات!$A$1:$J$3500,4,0)</f>
        <v>#N/A</v>
      </c>
      <c r="Q819" s="1" t="s">
        <v>1489</v>
      </c>
      <c r="R819" s="1" t="s">
        <v>1480</v>
      </c>
      <c r="S819" s="6" t="e">
        <f t="shared" si="38"/>
        <v>#N/A</v>
      </c>
    </row>
    <row r="820" spans="2:19" x14ac:dyDescent="0.25">
      <c r="B820" s="1" t="s">
        <v>1479</v>
      </c>
      <c r="C820" s="1" t="s">
        <v>1481</v>
      </c>
      <c r="D820" s="4" t="e">
        <f>VLOOKUP(A820,المعطيات!$A$1:$J$3500,5,0)</f>
        <v>#N/A</v>
      </c>
      <c r="E820" s="1" t="s">
        <v>1482</v>
      </c>
      <c r="F820" s="5">
        <f t="shared" si="36"/>
        <v>0</v>
      </c>
      <c r="G820" s="5" t="s">
        <v>1483</v>
      </c>
      <c r="H820" s="4" t="e">
        <f>VLOOKUP(A820,المعطيات!$A$1:$J$3500,3,0)</f>
        <v>#N/A</v>
      </c>
      <c r="I820" s="1" t="s">
        <v>1484</v>
      </c>
      <c r="J820" s="1" t="s">
        <v>1485</v>
      </c>
      <c r="K820" s="4" t="e">
        <f>VLOOKUP(A820,المعطيات!$A$1:$J$3500,6,0)</f>
        <v>#N/A</v>
      </c>
      <c r="L820" s="1" t="s">
        <v>1486</v>
      </c>
      <c r="M820" s="1" t="s">
        <v>1487</v>
      </c>
      <c r="N820" s="4" t="e">
        <f t="shared" si="37"/>
        <v>#N/A</v>
      </c>
      <c r="O820" s="1" t="s">
        <v>1488</v>
      </c>
      <c r="P820" s="4" t="e">
        <f>VLOOKUP(A820,المعطيات!$A$1:$J$3500,4,0)</f>
        <v>#N/A</v>
      </c>
      <c r="Q820" s="1" t="s">
        <v>1489</v>
      </c>
      <c r="R820" s="1" t="s">
        <v>1480</v>
      </c>
      <c r="S820" s="6" t="e">
        <f t="shared" si="38"/>
        <v>#N/A</v>
      </c>
    </row>
    <row r="821" spans="2:19" x14ac:dyDescent="0.25">
      <c r="B821" s="1" t="s">
        <v>1479</v>
      </c>
      <c r="C821" s="1" t="s">
        <v>1481</v>
      </c>
      <c r="D821" s="4" t="e">
        <f>VLOOKUP(A821,المعطيات!$A$1:$J$3500,5,0)</f>
        <v>#N/A</v>
      </c>
      <c r="E821" s="1" t="s">
        <v>1482</v>
      </c>
      <c r="F821" s="5">
        <f t="shared" si="36"/>
        <v>0</v>
      </c>
      <c r="G821" s="5" t="s">
        <v>1483</v>
      </c>
      <c r="H821" s="4" t="e">
        <f>VLOOKUP(A821,المعطيات!$A$1:$J$3500,3,0)</f>
        <v>#N/A</v>
      </c>
      <c r="I821" s="1" t="s">
        <v>1484</v>
      </c>
      <c r="J821" s="1" t="s">
        <v>1485</v>
      </c>
      <c r="K821" s="4" t="e">
        <f>VLOOKUP(A821,المعطيات!$A$1:$J$3500,6,0)</f>
        <v>#N/A</v>
      </c>
      <c r="L821" s="1" t="s">
        <v>1486</v>
      </c>
      <c r="M821" s="1" t="s">
        <v>1487</v>
      </c>
      <c r="N821" s="4" t="e">
        <f t="shared" si="37"/>
        <v>#N/A</v>
      </c>
      <c r="O821" s="1" t="s">
        <v>1488</v>
      </c>
      <c r="P821" s="4" t="e">
        <f>VLOOKUP(A821,المعطيات!$A$1:$J$3500,4,0)</f>
        <v>#N/A</v>
      </c>
      <c r="Q821" s="1" t="s">
        <v>1489</v>
      </c>
      <c r="R821" s="1" t="s">
        <v>1480</v>
      </c>
      <c r="S821" s="6" t="e">
        <f t="shared" si="38"/>
        <v>#N/A</v>
      </c>
    </row>
    <row r="822" spans="2:19" x14ac:dyDescent="0.25">
      <c r="B822" s="1" t="s">
        <v>1479</v>
      </c>
      <c r="C822" s="1" t="s">
        <v>1481</v>
      </c>
      <c r="D822" s="4" t="e">
        <f>VLOOKUP(A822,المعطيات!$A$1:$J$3500,5,0)</f>
        <v>#N/A</v>
      </c>
      <c r="E822" s="1" t="s">
        <v>1482</v>
      </c>
      <c r="F822" s="5">
        <f t="shared" si="36"/>
        <v>0</v>
      </c>
      <c r="G822" s="5" t="s">
        <v>1483</v>
      </c>
      <c r="H822" s="4" t="e">
        <f>VLOOKUP(A822,المعطيات!$A$1:$J$3500,3,0)</f>
        <v>#N/A</v>
      </c>
      <c r="I822" s="1" t="s">
        <v>1484</v>
      </c>
      <c r="J822" s="1" t="s">
        <v>1485</v>
      </c>
      <c r="K822" s="4" t="e">
        <f>VLOOKUP(A822,المعطيات!$A$1:$J$3500,6,0)</f>
        <v>#N/A</v>
      </c>
      <c r="L822" s="1" t="s">
        <v>1486</v>
      </c>
      <c r="M822" s="1" t="s">
        <v>1487</v>
      </c>
      <c r="N822" s="4" t="e">
        <f t="shared" si="37"/>
        <v>#N/A</v>
      </c>
      <c r="O822" s="1" t="s">
        <v>1488</v>
      </c>
      <c r="P822" s="4" t="e">
        <f>VLOOKUP(A822,المعطيات!$A$1:$J$3500,4,0)</f>
        <v>#N/A</v>
      </c>
      <c r="Q822" s="1" t="s">
        <v>1489</v>
      </c>
      <c r="R822" s="1" t="s">
        <v>1480</v>
      </c>
      <c r="S822" s="6" t="e">
        <f t="shared" si="38"/>
        <v>#N/A</v>
      </c>
    </row>
    <row r="823" spans="2:19" x14ac:dyDescent="0.25">
      <c r="B823" s="1" t="s">
        <v>1479</v>
      </c>
      <c r="C823" s="1" t="s">
        <v>1481</v>
      </c>
      <c r="D823" s="4" t="e">
        <f>VLOOKUP(A823,المعطيات!$A$1:$J$3500,5,0)</f>
        <v>#N/A</v>
      </c>
      <c r="E823" s="1" t="s">
        <v>1482</v>
      </c>
      <c r="F823" s="5">
        <f t="shared" si="36"/>
        <v>0</v>
      </c>
      <c r="G823" s="5" t="s">
        <v>1483</v>
      </c>
      <c r="H823" s="4" t="e">
        <f>VLOOKUP(A823,المعطيات!$A$1:$J$3500,3,0)</f>
        <v>#N/A</v>
      </c>
      <c r="I823" s="1" t="s">
        <v>1484</v>
      </c>
      <c r="J823" s="1" t="s">
        <v>1485</v>
      </c>
      <c r="K823" s="4" t="e">
        <f>VLOOKUP(A823,المعطيات!$A$1:$J$3500,6,0)</f>
        <v>#N/A</v>
      </c>
      <c r="L823" s="1" t="s">
        <v>1486</v>
      </c>
      <c r="M823" s="1" t="s">
        <v>1487</v>
      </c>
      <c r="N823" s="4" t="e">
        <f t="shared" si="37"/>
        <v>#N/A</v>
      </c>
      <c r="O823" s="1" t="s">
        <v>1488</v>
      </c>
      <c r="P823" s="4" t="e">
        <f>VLOOKUP(A823,المعطيات!$A$1:$J$3500,4,0)</f>
        <v>#N/A</v>
      </c>
      <c r="Q823" s="1" t="s">
        <v>1489</v>
      </c>
      <c r="R823" s="1" t="s">
        <v>1480</v>
      </c>
      <c r="S823" s="6" t="e">
        <f t="shared" si="38"/>
        <v>#N/A</v>
      </c>
    </row>
    <row r="824" spans="2:19" x14ac:dyDescent="0.25">
      <c r="B824" s="1" t="s">
        <v>1479</v>
      </c>
      <c r="C824" s="1" t="s">
        <v>1481</v>
      </c>
      <c r="D824" s="4" t="e">
        <f>VLOOKUP(A824,المعطيات!$A$1:$J$3500,5,0)</f>
        <v>#N/A</v>
      </c>
      <c r="E824" s="1" t="s">
        <v>1482</v>
      </c>
      <c r="F824" s="5">
        <f t="shared" si="36"/>
        <v>0</v>
      </c>
      <c r="G824" s="5" t="s">
        <v>1483</v>
      </c>
      <c r="H824" s="4" t="e">
        <f>VLOOKUP(A824,المعطيات!$A$1:$J$3500,3,0)</f>
        <v>#N/A</v>
      </c>
      <c r="I824" s="1" t="s">
        <v>1484</v>
      </c>
      <c r="J824" s="1" t="s">
        <v>1485</v>
      </c>
      <c r="K824" s="4" t="e">
        <f>VLOOKUP(A824,المعطيات!$A$1:$J$3500,6,0)</f>
        <v>#N/A</v>
      </c>
      <c r="L824" s="1" t="s">
        <v>1486</v>
      </c>
      <c r="M824" s="1" t="s">
        <v>1487</v>
      </c>
      <c r="N824" s="4" t="e">
        <f t="shared" si="37"/>
        <v>#N/A</v>
      </c>
      <c r="O824" s="1" t="s">
        <v>1488</v>
      </c>
      <c r="P824" s="4" t="e">
        <f>VLOOKUP(A824,المعطيات!$A$1:$J$3500,4,0)</f>
        <v>#N/A</v>
      </c>
      <c r="Q824" s="1" t="s">
        <v>1489</v>
      </c>
      <c r="R824" s="1" t="s">
        <v>1480</v>
      </c>
      <c r="S824" s="6" t="e">
        <f t="shared" si="38"/>
        <v>#N/A</v>
      </c>
    </row>
    <row r="825" spans="2:19" x14ac:dyDescent="0.25">
      <c r="B825" s="1" t="s">
        <v>1479</v>
      </c>
      <c r="C825" s="1" t="s">
        <v>1481</v>
      </c>
      <c r="D825" s="4" t="e">
        <f>VLOOKUP(A825,المعطيات!$A$1:$J$3500,5,0)</f>
        <v>#N/A</v>
      </c>
      <c r="E825" s="1" t="s">
        <v>1482</v>
      </c>
      <c r="F825" s="5">
        <f t="shared" si="36"/>
        <v>0</v>
      </c>
      <c r="G825" s="5" t="s">
        <v>1483</v>
      </c>
      <c r="H825" s="4" t="e">
        <f>VLOOKUP(A825,المعطيات!$A$1:$J$3500,3,0)</f>
        <v>#N/A</v>
      </c>
      <c r="I825" s="1" t="s">
        <v>1484</v>
      </c>
      <c r="J825" s="1" t="s">
        <v>1485</v>
      </c>
      <c r="K825" s="4" t="e">
        <f>VLOOKUP(A825,المعطيات!$A$1:$J$3500,6,0)</f>
        <v>#N/A</v>
      </c>
      <c r="L825" s="1" t="s">
        <v>1486</v>
      </c>
      <c r="M825" s="1" t="s">
        <v>1487</v>
      </c>
      <c r="N825" s="4" t="e">
        <f t="shared" si="37"/>
        <v>#N/A</v>
      </c>
      <c r="O825" s="1" t="s">
        <v>1488</v>
      </c>
      <c r="P825" s="4" t="e">
        <f>VLOOKUP(A825,المعطيات!$A$1:$J$3500,4,0)</f>
        <v>#N/A</v>
      </c>
      <c r="Q825" s="1" t="s">
        <v>1489</v>
      </c>
      <c r="R825" s="1" t="s">
        <v>1480</v>
      </c>
      <c r="S825" s="6" t="e">
        <f t="shared" si="38"/>
        <v>#N/A</v>
      </c>
    </row>
    <row r="826" spans="2:19" x14ac:dyDescent="0.25">
      <c r="B826" s="1" t="s">
        <v>1479</v>
      </c>
      <c r="C826" s="1" t="s">
        <v>1481</v>
      </c>
      <c r="D826" s="4" t="e">
        <f>VLOOKUP(A826,المعطيات!$A$1:$J$3500,5,0)</f>
        <v>#N/A</v>
      </c>
      <c r="E826" s="1" t="s">
        <v>1482</v>
      </c>
      <c r="F826" s="5">
        <f t="shared" si="36"/>
        <v>0</v>
      </c>
      <c r="G826" s="5" t="s">
        <v>1483</v>
      </c>
      <c r="H826" s="4" t="e">
        <f>VLOOKUP(A826,المعطيات!$A$1:$J$3500,3,0)</f>
        <v>#N/A</v>
      </c>
      <c r="I826" s="1" t="s">
        <v>1484</v>
      </c>
      <c r="J826" s="1" t="s">
        <v>1485</v>
      </c>
      <c r="K826" s="4" t="e">
        <f>VLOOKUP(A826,المعطيات!$A$1:$J$3500,6,0)</f>
        <v>#N/A</v>
      </c>
      <c r="L826" s="1" t="s">
        <v>1486</v>
      </c>
      <c r="M826" s="1" t="s">
        <v>1487</v>
      </c>
      <c r="N826" s="4" t="e">
        <f t="shared" si="37"/>
        <v>#N/A</v>
      </c>
      <c r="O826" s="1" t="s">
        <v>1488</v>
      </c>
      <c r="P826" s="4" t="e">
        <f>VLOOKUP(A826,المعطيات!$A$1:$J$3500,4,0)</f>
        <v>#N/A</v>
      </c>
      <c r="Q826" s="1" t="s">
        <v>1489</v>
      </c>
      <c r="R826" s="1" t="s">
        <v>1480</v>
      </c>
      <c r="S826" s="6" t="e">
        <f t="shared" si="38"/>
        <v>#N/A</v>
      </c>
    </row>
    <row r="827" spans="2:19" x14ac:dyDescent="0.25">
      <c r="B827" s="1" t="s">
        <v>1479</v>
      </c>
      <c r="C827" s="1" t="s">
        <v>1481</v>
      </c>
      <c r="D827" s="4" t="e">
        <f>VLOOKUP(A827,المعطيات!$A$1:$J$3500,5,0)</f>
        <v>#N/A</v>
      </c>
      <c r="E827" s="1" t="s">
        <v>1482</v>
      </c>
      <c r="F827" s="5">
        <f t="shared" si="36"/>
        <v>0</v>
      </c>
      <c r="G827" s="5" t="s">
        <v>1483</v>
      </c>
      <c r="H827" s="4" t="e">
        <f>VLOOKUP(A827,المعطيات!$A$1:$J$3500,3,0)</f>
        <v>#N/A</v>
      </c>
      <c r="I827" s="1" t="s">
        <v>1484</v>
      </c>
      <c r="J827" s="1" t="s">
        <v>1485</v>
      </c>
      <c r="K827" s="4" t="e">
        <f>VLOOKUP(A827,المعطيات!$A$1:$J$3500,6,0)</f>
        <v>#N/A</v>
      </c>
      <c r="L827" s="1" t="s">
        <v>1486</v>
      </c>
      <c r="M827" s="1" t="s">
        <v>1487</v>
      </c>
      <c r="N827" s="4" t="e">
        <f t="shared" si="37"/>
        <v>#N/A</v>
      </c>
      <c r="O827" s="1" t="s">
        <v>1488</v>
      </c>
      <c r="P827" s="4" t="e">
        <f>VLOOKUP(A827,المعطيات!$A$1:$J$3500,4,0)</f>
        <v>#N/A</v>
      </c>
      <c r="Q827" s="1" t="s">
        <v>1489</v>
      </c>
      <c r="R827" s="1" t="s">
        <v>1480</v>
      </c>
      <c r="S827" s="6" t="e">
        <f t="shared" si="38"/>
        <v>#N/A</v>
      </c>
    </row>
    <row r="828" spans="2:19" x14ac:dyDescent="0.25">
      <c r="B828" s="1" t="s">
        <v>1479</v>
      </c>
      <c r="C828" s="1" t="s">
        <v>1481</v>
      </c>
      <c r="D828" s="4" t="e">
        <f>VLOOKUP(A828,المعطيات!$A$1:$J$3500,5,0)</f>
        <v>#N/A</v>
      </c>
      <c r="E828" s="1" t="s">
        <v>1482</v>
      </c>
      <c r="F828" s="5">
        <f t="shared" si="36"/>
        <v>0</v>
      </c>
      <c r="G828" s="5" t="s">
        <v>1483</v>
      </c>
      <c r="H828" s="4" t="e">
        <f>VLOOKUP(A828,المعطيات!$A$1:$J$3500,3,0)</f>
        <v>#N/A</v>
      </c>
      <c r="I828" s="1" t="s">
        <v>1484</v>
      </c>
      <c r="J828" s="1" t="s">
        <v>1485</v>
      </c>
      <c r="K828" s="4" t="e">
        <f>VLOOKUP(A828,المعطيات!$A$1:$J$3500,6,0)</f>
        <v>#N/A</v>
      </c>
      <c r="L828" s="1" t="s">
        <v>1486</v>
      </c>
      <c r="M828" s="1" t="s">
        <v>1487</v>
      </c>
      <c r="N828" s="4" t="e">
        <f t="shared" si="37"/>
        <v>#N/A</v>
      </c>
      <c r="O828" s="1" t="s">
        <v>1488</v>
      </c>
      <c r="P828" s="4" t="e">
        <f>VLOOKUP(A828,المعطيات!$A$1:$J$3500,4,0)</f>
        <v>#N/A</v>
      </c>
      <c r="Q828" s="1" t="s">
        <v>1489</v>
      </c>
      <c r="R828" s="1" t="s">
        <v>1480</v>
      </c>
      <c r="S828" s="6" t="e">
        <f t="shared" si="38"/>
        <v>#N/A</v>
      </c>
    </row>
    <row r="829" spans="2:19" x14ac:dyDescent="0.25">
      <c r="B829" s="1" t="s">
        <v>1479</v>
      </c>
      <c r="C829" s="1" t="s">
        <v>1481</v>
      </c>
      <c r="D829" s="4" t="e">
        <f>VLOOKUP(A829,المعطيات!$A$1:$J$3500,5,0)</f>
        <v>#N/A</v>
      </c>
      <c r="E829" s="1" t="s">
        <v>1482</v>
      </c>
      <c r="F829" s="5">
        <f t="shared" si="36"/>
        <v>0</v>
      </c>
      <c r="G829" s="5" t="s">
        <v>1483</v>
      </c>
      <c r="H829" s="4" t="e">
        <f>VLOOKUP(A829,المعطيات!$A$1:$J$3500,3,0)</f>
        <v>#N/A</v>
      </c>
      <c r="I829" s="1" t="s">
        <v>1484</v>
      </c>
      <c r="J829" s="1" t="s">
        <v>1485</v>
      </c>
      <c r="K829" s="4" t="e">
        <f>VLOOKUP(A829,المعطيات!$A$1:$J$3500,6,0)</f>
        <v>#N/A</v>
      </c>
      <c r="L829" s="1" t="s">
        <v>1486</v>
      </c>
      <c r="M829" s="1" t="s">
        <v>1487</v>
      </c>
      <c r="N829" s="4" t="e">
        <f t="shared" si="37"/>
        <v>#N/A</v>
      </c>
      <c r="O829" s="1" t="s">
        <v>1488</v>
      </c>
      <c r="P829" s="4" t="e">
        <f>VLOOKUP(A829,المعطيات!$A$1:$J$3500,4,0)</f>
        <v>#N/A</v>
      </c>
      <c r="Q829" s="1" t="s">
        <v>1489</v>
      </c>
      <c r="R829" s="1" t="s">
        <v>1480</v>
      </c>
      <c r="S829" s="6" t="e">
        <f t="shared" si="38"/>
        <v>#N/A</v>
      </c>
    </row>
    <row r="830" spans="2:19" x14ac:dyDescent="0.25">
      <c r="B830" s="1" t="s">
        <v>1479</v>
      </c>
      <c r="C830" s="1" t="s">
        <v>1481</v>
      </c>
      <c r="D830" s="4" t="e">
        <f>VLOOKUP(A830,المعطيات!$A$1:$J$3500,5,0)</f>
        <v>#N/A</v>
      </c>
      <c r="E830" s="1" t="s">
        <v>1482</v>
      </c>
      <c r="F830" s="5">
        <f t="shared" si="36"/>
        <v>0</v>
      </c>
      <c r="G830" s="5" t="s">
        <v>1483</v>
      </c>
      <c r="H830" s="4" t="e">
        <f>VLOOKUP(A830,المعطيات!$A$1:$J$3500,3,0)</f>
        <v>#N/A</v>
      </c>
      <c r="I830" s="1" t="s">
        <v>1484</v>
      </c>
      <c r="J830" s="1" t="s">
        <v>1485</v>
      </c>
      <c r="K830" s="4" t="e">
        <f>VLOOKUP(A830,المعطيات!$A$1:$J$3500,6,0)</f>
        <v>#N/A</v>
      </c>
      <c r="L830" s="1" t="s">
        <v>1486</v>
      </c>
      <c r="M830" s="1" t="s">
        <v>1487</v>
      </c>
      <c r="N830" s="4" t="e">
        <f t="shared" si="37"/>
        <v>#N/A</v>
      </c>
      <c r="O830" s="1" t="s">
        <v>1488</v>
      </c>
      <c r="P830" s="4" t="e">
        <f>VLOOKUP(A830,المعطيات!$A$1:$J$3500,4,0)</f>
        <v>#N/A</v>
      </c>
      <c r="Q830" s="1" t="s">
        <v>1489</v>
      </c>
      <c r="R830" s="1" t="s">
        <v>1480</v>
      </c>
      <c r="S830" s="6" t="e">
        <f t="shared" si="38"/>
        <v>#N/A</v>
      </c>
    </row>
    <row r="831" spans="2:19" x14ac:dyDescent="0.25">
      <c r="B831" s="1" t="s">
        <v>1479</v>
      </c>
      <c r="C831" s="1" t="s">
        <v>1481</v>
      </c>
      <c r="D831" s="4" t="e">
        <f>VLOOKUP(A831,المعطيات!$A$1:$J$3500,5,0)</f>
        <v>#N/A</v>
      </c>
      <c r="E831" s="1" t="s">
        <v>1482</v>
      </c>
      <c r="F831" s="5">
        <f t="shared" si="36"/>
        <v>0</v>
      </c>
      <c r="G831" s="5" t="s">
        <v>1483</v>
      </c>
      <c r="H831" s="4" t="e">
        <f>VLOOKUP(A831,المعطيات!$A$1:$J$3500,3,0)</f>
        <v>#N/A</v>
      </c>
      <c r="I831" s="1" t="s">
        <v>1484</v>
      </c>
      <c r="J831" s="1" t="s">
        <v>1485</v>
      </c>
      <c r="K831" s="4" t="e">
        <f>VLOOKUP(A831,المعطيات!$A$1:$J$3500,6,0)</f>
        <v>#N/A</v>
      </c>
      <c r="L831" s="1" t="s">
        <v>1486</v>
      </c>
      <c r="M831" s="1" t="s">
        <v>1487</v>
      </c>
      <c r="N831" s="4" t="e">
        <f t="shared" si="37"/>
        <v>#N/A</v>
      </c>
      <c r="O831" s="1" t="s">
        <v>1488</v>
      </c>
      <c r="P831" s="4" t="e">
        <f>VLOOKUP(A831,المعطيات!$A$1:$J$3500,4,0)</f>
        <v>#N/A</v>
      </c>
      <c r="Q831" s="1" t="s">
        <v>1489</v>
      </c>
      <c r="R831" s="1" t="s">
        <v>1480</v>
      </c>
      <c r="S831" s="6" t="e">
        <f t="shared" si="38"/>
        <v>#N/A</v>
      </c>
    </row>
    <row r="832" spans="2:19" x14ac:dyDescent="0.25">
      <c r="B832" s="1" t="s">
        <v>1479</v>
      </c>
      <c r="C832" s="1" t="s">
        <v>1481</v>
      </c>
      <c r="D832" s="4" t="e">
        <f>VLOOKUP(A832,المعطيات!$A$1:$J$3500,5,0)</f>
        <v>#N/A</v>
      </c>
      <c r="E832" s="1" t="s">
        <v>1482</v>
      </c>
      <c r="F832" s="5">
        <f t="shared" si="36"/>
        <v>0</v>
      </c>
      <c r="G832" s="5" t="s">
        <v>1483</v>
      </c>
      <c r="H832" s="4" t="e">
        <f>VLOOKUP(A832,المعطيات!$A$1:$J$3500,3,0)</f>
        <v>#N/A</v>
      </c>
      <c r="I832" s="1" t="s">
        <v>1484</v>
      </c>
      <c r="J832" s="1" t="s">
        <v>1485</v>
      </c>
      <c r="K832" s="4" t="e">
        <f>VLOOKUP(A832,المعطيات!$A$1:$J$3500,6,0)</f>
        <v>#N/A</v>
      </c>
      <c r="L832" s="1" t="s">
        <v>1486</v>
      </c>
      <c r="M832" s="1" t="s">
        <v>1487</v>
      </c>
      <c r="N832" s="4" t="e">
        <f t="shared" si="37"/>
        <v>#N/A</v>
      </c>
      <c r="O832" s="1" t="s">
        <v>1488</v>
      </c>
      <c r="P832" s="4" t="e">
        <f>VLOOKUP(A832,المعطيات!$A$1:$J$3500,4,0)</f>
        <v>#N/A</v>
      </c>
      <c r="Q832" s="1" t="s">
        <v>1489</v>
      </c>
      <c r="R832" s="1" t="s">
        <v>1480</v>
      </c>
      <c r="S832" s="6" t="e">
        <f t="shared" si="38"/>
        <v>#N/A</v>
      </c>
    </row>
    <row r="833" spans="2:19" x14ac:dyDescent="0.25">
      <c r="B833" s="1" t="s">
        <v>1479</v>
      </c>
      <c r="C833" s="1" t="s">
        <v>1481</v>
      </c>
      <c r="D833" s="4" t="e">
        <f>VLOOKUP(A833,المعطيات!$A$1:$J$3500,5,0)</f>
        <v>#N/A</v>
      </c>
      <c r="E833" s="1" t="s">
        <v>1482</v>
      </c>
      <c r="F833" s="5">
        <f t="shared" si="36"/>
        <v>0</v>
      </c>
      <c r="G833" s="5" t="s">
        <v>1483</v>
      </c>
      <c r="H833" s="4" t="e">
        <f>VLOOKUP(A833,المعطيات!$A$1:$J$3500,3,0)</f>
        <v>#N/A</v>
      </c>
      <c r="I833" s="1" t="s">
        <v>1484</v>
      </c>
      <c r="J833" s="1" t="s">
        <v>1485</v>
      </c>
      <c r="K833" s="4" t="e">
        <f>VLOOKUP(A833,المعطيات!$A$1:$J$3500,6,0)</f>
        <v>#N/A</v>
      </c>
      <c r="L833" s="1" t="s">
        <v>1486</v>
      </c>
      <c r="M833" s="1" t="s">
        <v>1487</v>
      </c>
      <c r="N833" s="4" t="e">
        <f t="shared" si="37"/>
        <v>#N/A</v>
      </c>
      <c r="O833" s="1" t="s">
        <v>1488</v>
      </c>
      <c r="P833" s="4" t="e">
        <f>VLOOKUP(A833,المعطيات!$A$1:$J$3500,4,0)</f>
        <v>#N/A</v>
      </c>
      <c r="Q833" s="1" t="s">
        <v>1489</v>
      </c>
      <c r="R833" s="1" t="s">
        <v>1480</v>
      </c>
      <c r="S833" s="6" t="e">
        <f t="shared" si="38"/>
        <v>#N/A</v>
      </c>
    </row>
    <row r="834" spans="2:19" x14ac:dyDescent="0.25">
      <c r="B834" s="1" t="s">
        <v>1479</v>
      </c>
      <c r="C834" s="1" t="s">
        <v>1481</v>
      </c>
      <c r="D834" s="4" t="e">
        <f>VLOOKUP(A834,المعطيات!$A$1:$J$3500,5,0)</f>
        <v>#N/A</v>
      </c>
      <c r="E834" s="1" t="s">
        <v>1482</v>
      </c>
      <c r="F834" s="5">
        <f t="shared" ref="F834:F897" si="39">A834</f>
        <v>0</v>
      </c>
      <c r="G834" s="5" t="s">
        <v>1483</v>
      </c>
      <c r="H834" s="4" t="e">
        <f>VLOOKUP(A834,المعطيات!$A$1:$J$3500,3,0)</f>
        <v>#N/A</v>
      </c>
      <c r="I834" s="1" t="s">
        <v>1484</v>
      </c>
      <c r="J834" s="1" t="s">
        <v>1485</v>
      </c>
      <c r="K834" s="4" t="e">
        <f>VLOOKUP(A834,المعطيات!$A$1:$J$3500,6,0)</f>
        <v>#N/A</v>
      </c>
      <c r="L834" s="1" t="s">
        <v>1486</v>
      </c>
      <c r="M834" s="1" t="s">
        <v>1487</v>
      </c>
      <c r="N834" s="4" t="e">
        <f t="shared" ref="N834:N897" si="40">D834</f>
        <v>#N/A</v>
      </c>
      <c r="O834" s="1" t="s">
        <v>1488</v>
      </c>
      <c r="P834" s="4" t="e">
        <f>VLOOKUP(A834,المعطيات!$A$1:$J$3500,4,0)</f>
        <v>#N/A</v>
      </c>
      <c r="Q834" s="1" t="s">
        <v>1489</v>
      </c>
      <c r="R834" s="1" t="s">
        <v>1480</v>
      </c>
      <c r="S834" s="6" t="e">
        <f t="shared" ref="S834:S897" si="41">B834&amp;""&amp;C834&amp;""&amp;D834&amp;""&amp;E834&amp;""&amp;F834&amp;""&amp;G834&amp;""&amp;H834&amp;""&amp;I834&amp;""&amp;J834&amp;""&amp;K834&amp;""&amp;L834&amp;""&amp;M834&amp;""&amp;N834&amp;""&amp;O834&amp;""&amp;P834&amp;""&amp;Q834&amp;""&amp;R834</f>
        <v>#N/A</v>
      </c>
    </row>
    <row r="835" spans="2:19" x14ac:dyDescent="0.25">
      <c r="B835" s="1" t="s">
        <v>1479</v>
      </c>
      <c r="C835" s="1" t="s">
        <v>1481</v>
      </c>
      <c r="D835" s="4" t="e">
        <f>VLOOKUP(A835,المعطيات!$A$1:$J$3500,5,0)</f>
        <v>#N/A</v>
      </c>
      <c r="E835" s="1" t="s">
        <v>1482</v>
      </c>
      <c r="F835" s="5">
        <f t="shared" si="39"/>
        <v>0</v>
      </c>
      <c r="G835" s="5" t="s">
        <v>1483</v>
      </c>
      <c r="H835" s="4" t="e">
        <f>VLOOKUP(A835,المعطيات!$A$1:$J$3500,3,0)</f>
        <v>#N/A</v>
      </c>
      <c r="I835" s="1" t="s">
        <v>1484</v>
      </c>
      <c r="J835" s="1" t="s">
        <v>1485</v>
      </c>
      <c r="K835" s="4" t="e">
        <f>VLOOKUP(A835,المعطيات!$A$1:$J$3500,6,0)</f>
        <v>#N/A</v>
      </c>
      <c r="L835" s="1" t="s">
        <v>1486</v>
      </c>
      <c r="M835" s="1" t="s">
        <v>1487</v>
      </c>
      <c r="N835" s="4" t="e">
        <f t="shared" si="40"/>
        <v>#N/A</v>
      </c>
      <c r="O835" s="1" t="s">
        <v>1488</v>
      </c>
      <c r="P835" s="4" t="e">
        <f>VLOOKUP(A835,المعطيات!$A$1:$J$3500,4,0)</f>
        <v>#N/A</v>
      </c>
      <c r="Q835" s="1" t="s">
        <v>1489</v>
      </c>
      <c r="R835" s="1" t="s">
        <v>1480</v>
      </c>
      <c r="S835" s="6" t="e">
        <f t="shared" si="41"/>
        <v>#N/A</v>
      </c>
    </row>
    <row r="836" spans="2:19" x14ac:dyDescent="0.25">
      <c r="B836" s="1" t="s">
        <v>1479</v>
      </c>
      <c r="C836" s="1" t="s">
        <v>1481</v>
      </c>
      <c r="D836" s="4" t="e">
        <f>VLOOKUP(A836,المعطيات!$A$1:$J$3500,5,0)</f>
        <v>#N/A</v>
      </c>
      <c r="E836" s="1" t="s">
        <v>1482</v>
      </c>
      <c r="F836" s="5">
        <f t="shared" si="39"/>
        <v>0</v>
      </c>
      <c r="G836" s="5" t="s">
        <v>1483</v>
      </c>
      <c r="H836" s="4" t="e">
        <f>VLOOKUP(A836,المعطيات!$A$1:$J$3500,3,0)</f>
        <v>#N/A</v>
      </c>
      <c r="I836" s="1" t="s">
        <v>1484</v>
      </c>
      <c r="J836" s="1" t="s">
        <v>1485</v>
      </c>
      <c r="K836" s="4" t="e">
        <f>VLOOKUP(A836,المعطيات!$A$1:$J$3500,6,0)</f>
        <v>#N/A</v>
      </c>
      <c r="L836" s="1" t="s">
        <v>1486</v>
      </c>
      <c r="M836" s="1" t="s">
        <v>1487</v>
      </c>
      <c r="N836" s="4" t="e">
        <f t="shared" si="40"/>
        <v>#N/A</v>
      </c>
      <c r="O836" s="1" t="s">
        <v>1488</v>
      </c>
      <c r="P836" s="4" t="e">
        <f>VLOOKUP(A836,المعطيات!$A$1:$J$3500,4,0)</f>
        <v>#N/A</v>
      </c>
      <c r="Q836" s="1" t="s">
        <v>1489</v>
      </c>
      <c r="R836" s="1" t="s">
        <v>1480</v>
      </c>
      <c r="S836" s="6" t="e">
        <f t="shared" si="41"/>
        <v>#N/A</v>
      </c>
    </row>
    <row r="837" spans="2:19" x14ac:dyDescent="0.25">
      <c r="B837" s="1" t="s">
        <v>1479</v>
      </c>
      <c r="C837" s="1" t="s">
        <v>1481</v>
      </c>
      <c r="D837" s="4" t="e">
        <f>VLOOKUP(A837,المعطيات!$A$1:$J$3500,5,0)</f>
        <v>#N/A</v>
      </c>
      <c r="E837" s="1" t="s">
        <v>1482</v>
      </c>
      <c r="F837" s="5">
        <f t="shared" si="39"/>
        <v>0</v>
      </c>
      <c r="G837" s="5" t="s">
        <v>1483</v>
      </c>
      <c r="H837" s="4" t="e">
        <f>VLOOKUP(A837,المعطيات!$A$1:$J$3500,3,0)</f>
        <v>#N/A</v>
      </c>
      <c r="I837" s="1" t="s">
        <v>1484</v>
      </c>
      <c r="J837" s="1" t="s">
        <v>1485</v>
      </c>
      <c r="K837" s="4" t="e">
        <f>VLOOKUP(A837,المعطيات!$A$1:$J$3500,6,0)</f>
        <v>#N/A</v>
      </c>
      <c r="L837" s="1" t="s">
        <v>1486</v>
      </c>
      <c r="M837" s="1" t="s">
        <v>1487</v>
      </c>
      <c r="N837" s="4" t="e">
        <f t="shared" si="40"/>
        <v>#N/A</v>
      </c>
      <c r="O837" s="1" t="s">
        <v>1488</v>
      </c>
      <c r="P837" s="4" t="e">
        <f>VLOOKUP(A837,المعطيات!$A$1:$J$3500,4,0)</f>
        <v>#N/A</v>
      </c>
      <c r="Q837" s="1" t="s">
        <v>1489</v>
      </c>
      <c r="R837" s="1" t="s">
        <v>1480</v>
      </c>
      <c r="S837" s="6" t="e">
        <f t="shared" si="41"/>
        <v>#N/A</v>
      </c>
    </row>
    <row r="838" spans="2:19" x14ac:dyDescent="0.25">
      <c r="B838" s="1" t="s">
        <v>1479</v>
      </c>
      <c r="C838" s="1" t="s">
        <v>1481</v>
      </c>
      <c r="D838" s="4" t="e">
        <f>VLOOKUP(A838,المعطيات!$A$1:$J$3500,5,0)</f>
        <v>#N/A</v>
      </c>
      <c r="E838" s="1" t="s">
        <v>1482</v>
      </c>
      <c r="F838" s="5">
        <f t="shared" si="39"/>
        <v>0</v>
      </c>
      <c r="G838" s="5" t="s">
        <v>1483</v>
      </c>
      <c r="H838" s="4" t="e">
        <f>VLOOKUP(A838,المعطيات!$A$1:$J$3500,3,0)</f>
        <v>#N/A</v>
      </c>
      <c r="I838" s="1" t="s">
        <v>1484</v>
      </c>
      <c r="J838" s="1" t="s">
        <v>1485</v>
      </c>
      <c r="K838" s="4" t="e">
        <f>VLOOKUP(A838,المعطيات!$A$1:$J$3500,6,0)</f>
        <v>#N/A</v>
      </c>
      <c r="L838" s="1" t="s">
        <v>1486</v>
      </c>
      <c r="M838" s="1" t="s">
        <v>1487</v>
      </c>
      <c r="N838" s="4" t="e">
        <f t="shared" si="40"/>
        <v>#N/A</v>
      </c>
      <c r="O838" s="1" t="s">
        <v>1488</v>
      </c>
      <c r="P838" s="4" t="e">
        <f>VLOOKUP(A838,المعطيات!$A$1:$J$3500,4,0)</f>
        <v>#N/A</v>
      </c>
      <c r="Q838" s="1" t="s">
        <v>1489</v>
      </c>
      <c r="R838" s="1" t="s">
        <v>1480</v>
      </c>
      <c r="S838" s="6" t="e">
        <f t="shared" si="41"/>
        <v>#N/A</v>
      </c>
    </row>
    <row r="839" spans="2:19" x14ac:dyDescent="0.25">
      <c r="B839" s="1" t="s">
        <v>1479</v>
      </c>
      <c r="C839" s="1" t="s">
        <v>1481</v>
      </c>
      <c r="D839" s="4" t="e">
        <f>VLOOKUP(A839,المعطيات!$A$1:$J$3500,5,0)</f>
        <v>#N/A</v>
      </c>
      <c r="E839" s="1" t="s">
        <v>1482</v>
      </c>
      <c r="F839" s="5">
        <f t="shared" si="39"/>
        <v>0</v>
      </c>
      <c r="G839" s="5" t="s">
        <v>1483</v>
      </c>
      <c r="H839" s="4" t="e">
        <f>VLOOKUP(A839,المعطيات!$A$1:$J$3500,3,0)</f>
        <v>#N/A</v>
      </c>
      <c r="I839" s="1" t="s">
        <v>1484</v>
      </c>
      <c r="J839" s="1" t="s">
        <v>1485</v>
      </c>
      <c r="K839" s="4" t="e">
        <f>VLOOKUP(A839,المعطيات!$A$1:$J$3500,6,0)</f>
        <v>#N/A</v>
      </c>
      <c r="L839" s="1" t="s">
        <v>1486</v>
      </c>
      <c r="M839" s="1" t="s">
        <v>1487</v>
      </c>
      <c r="N839" s="4" t="e">
        <f t="shared" si="40"/>
        <v>#N/A</v>
      </c>
      <c r="O839" s="1" t="s">
        <v>1488</v>
      </c>
      <c r="P839" s="4" t="e">
        <f>VLOOKUP(A839,المعطيات!$A$1:$J$3500,4,0)</f>
        <v>#N/A</v>
      </c>
      <c r="Q839" s="1" t="s">
        <v>1489</v>
      </c>
      <c r="R839" s="1" t="s">
        <v>1480</v>
      </c>
      <c r="S839" s="6" t="e">
        <f t="shared" si="41"/>
        <v>#N/A</v>
      </c>
    </row>
    <row r="840" spans="2:19" x14ac:dyDescent="0.25">
      <c r="B840" s="1" t="s">
        <v>1479</v>
      </c>
      <c r="C840" s="1" t="s">
        <v>1481</v>
      </c>
      <c r="D840" s="4" t="e">
        <f>VLOOKUP(A840,المعطيات!$A$1:$J$3500,5,0)</f>
        <v>#N/A</v>
      </c>
      <c r="E840" s="1" t="s">
        <v>1482</v>
      </c>
      <c r="F840" s="5">
        <f t="shared" si="39"/>
        <v>0</v>
      </c>
      <c r="G840" s="5" t="s">
        <v>1483</v>
      </c>
      <c r="H840" s="4" t="e">
        <f>VLOOKUP(A840,المعطيات!$A$1:$J$3500,3,0)</f>
        <v>#N/A</v>
      </c>
      <c r="I840" s="1" t="s">
        <v>1484</v>
      </c>
      <c r="J840" s="1" t="s">
        <v>1485</v>
      </c>
      <c r="K840" s="4" t="e">
        <f>VLOOKUP(A840,المعطيات!$A$1:$J$3500,6,0)</f>
        <v>#N/A</v>
      </c>
      <c r="L840" s="1" t="s">
        <v>1486</v>
      </c>
      <c r="M840" s="1" t="s">
        <v>1487</v>
      </c>
      <c r="N840" s="4" t="e">
        <f t="shared" si="40"/>
        <v>#N/A</v>
      </c>
      <c r="O840" s="1" t="s">
        <v>1488</v>
      </c>
      <c r="P840" s="4" t="e">
        <f>VLOOKUP(A840,المعطيات!$A$1:$J$3500,4,0)</f>
        <v>#N/A</v>
      </c>
      <c r="Q840" s="1" t="s">
        <v>1489</v>
      </c>
      <c r="R840" s="1" t="s">
        <v>1480</v>
      </c>
      <c r="S840" s="6" t="e">
        <f t="shared" si="41"/>
        <v>#N/A</v>
      </c>
    </row>
    <row r="841" spans="2:19" x14ac:dyDescent="0.25">
      <c r="B841" s="1" t="s">
        <v>1479</v>
      </c>
      <c r="C841" s="1" t="s">
        <v>1481</v>
      </c>
      <c r="D841" s="4" t="e">
        <f>VLOOKUP(A841,المعطيات!$A$1:$J$3500,5,0)</f>
        <v>#N/A</v>
      </c>
      <c r="E841" s="1" t="s">
        <v>1482</v>
      </c>
      <c r="F841" s="5">
        <f t="shared" si="39"/>
        <v>0</v>
      </c>
      <c r="G841" s="5" t="s">
        <v>1483</v>
      </c>
      <c r="H841" s="4" t="e">
        <f>VLOOKUP(A841,المعطيات!$A$1:$J$3500,3,0)</f>
        <v>#N/A</v>
      </c>
      <c r="I841" s="1" t="s">
        <v>1484</v>
      </c>
      <c r="J841" s="1" t="s">
        <v>1485</v>
      </c>
      <c r="K841" s="4" t="e">
        <f>VLOOKUP(A841,المعطيات!$A$1:$J$3500,6,0)</f>
        <v>#N/A</v>
      </c>
      <c r="L841" s="1" t="s">
        <v>1486</v>
      </c>
      <c r="M841" s="1" t="s">
        <v>1487</v>
      </c>
      <c r="N841" s="4" t="e">
        <f t="shared" si="40"/>
        <v>#N/A</v>
      </c>
      <c r="O841" s="1" t="s">
        <v>1488</v>
      </c>
      <c r="P841" s="4" t="e">
        <f>VLOOKUP(A841,المعطيات!$A$1:$J$3500,4,0)</f>
        <v>#N/A</v>
      </c>
      <c r="Q841" s="1" t="s">
        <v>1489</v>
      </c>
      <c r="R841" s="1" t="s">
        <v>1480</v>
      </c>
      <c r="S841" s="6" t="e">
        <f t="shared" si="41"/>
        <v>#N/A</v>
      </c>
    </row>
    <row r="842" spans="2:19" x14ac:dyDescent="0.25">
      <c r="B842" s="1" t="s">
        <v>1479</v>
      </c>
      <c r="C842" s="1" t="s">
        <v>1481</v>
      </c>
      <c r="D842" s="4" t="e">
        <f>VLOOKUP(A842,المعطيات!$A$1:$J$3500,5,0)</f>
        <v>#N/A</v>
      </c>
      <c r="E842" s="1" t="s">
        <v>1482</v>
      </c>
      <c r="F842" s="5">
        <f t="shared" si="39"/>
        <v>0</v>
      </c>
      <c r="G842" s="5" t="s">
        <v>1483</v>
      </c>
      <c r="H842" s="4" t="e">
        <f>VLOOKUP(A842,المعطيات!$A$1:$J$3500,3,0)</f>
        <v>#N/A</v>
      </c>
      <c r="I842" s="1" t="s">
        <v>1484</v>
      </c>
      <c r="J842" s="1" t="s">
        <v>1485</v>
      </c>
      <c r="K842" s="4" t="e">
        <f>VLOOKUP(A842,المعطيات!$A$1:$J$3500,6,0)</f>
        <v>#N/A</v>
      </c>
      <c r="L842" s="1" t="s">
        <v>1486</v>
      </c>
      <c r="M842" s="1" t="s">
        <v>1487</v>
      </c>
      <c r="N842" s="4" t="e">
        <f t="shared" si="40"/>
        <v>#N/A</v>
      </c>
      <c r="O842" s="1" t="s">
        <v>1488</v>
      </c>
      <c r="P842" s="4" t="e">
        <f>VLOOKUP(A842,المعطيات!$A$1:$J$3500,4,0)</f>
        <v>#N/A</v>
      </c>
      <c r="Q842" s="1" t="s">
        <v>1489</v>
      </c>
      <c r="R842" s="1" t="s">
        <v>1480</v>
      </c>
      <c r="S842" s="6" t="e">
        <f t="shared" si="41"/>
        <v>#N/A</v>
      </c>
    </row>
    <row r="843" spans="2:19" x14ac:dyDescent="0.25">
      <c r="B843" s="1" t="s">
        <v>1479</v>
      </c>
      <c r="C843" s="1" t="s">
        <v>1481</v>
      </c>
      <c r="D843" s="4" t="e">
        <f>VLOOKUP(A843,المعطيات!$A$1:$J$3500,5,0)</f>
        <v>#N/A</v>
      </c>
      <c r="E843" s="1" t="s">
        <v>1482</v>
      </c>
      <c r="F843" s="5">
        <f t="shared" si="39"/>
        <v>0</v>
      </c>
      <c r="G843" s="5" t="s">
        <v>1483</v>
      </c>
      <c r="H843" s="4" t="e">
        <f>VLOOKUP(A843,المعطيات!$A$1:$J$3500,3,0)</f>
        <v>#N/A</v>
      </c>
      <c r="I843" s="1" t="s">
        <v>1484</v>
      </c>
      <c r="J843" s="1" t="s">
        <v>1485</v>
      </c>
      <c r="K843" s="4" t="e">
        <f>VLOOKUP(A843,المعطيات!$A$1:$J$3500,6,0)</f>
        <v>#N/A</v>
      </c>
      <c r="L843" s="1" t="s">
        <v>1486</v>
      </c>
      <c r="M843" s="1" t="s">
        <v>1487</v>
      </c>
      <c r="N843" s="4" t="e">
        <f t="shared" si="40"/>
        <v>#N/A</v>
      </c>
      <c r="O843" s="1" t="s">
        <v>1488</v>
      </c>
      <c r="P843" s="4" t="e">
        <f>VLOOKUP(A843,المعطيات!$A$1:$J$3500,4,0)</f>
        <v>#N/A</v>
      </c>
      <c r="Q843" s="1" t="s">
        <v>1489</v>
      </c>
      <c r="R843" s="1" t="s">
        <v>1480</v>
      </c>
      <c r="S843" s="6" t="e">
        <f t="shared" si="41"/>
        <v>#N/A</v>
      </c>
    </row>
    <row r="844" spans="2:19" x14ac:dyDescent="0.25">
      <c r="B844" s="1" t="s">
        <v>1479</v>
      </c>
      <c r="C844" s="1" t="s">
        <v>1481</v>
      </c>
      <c r="D844" s="4" t="e">
        <f>VLOOKUP(A844,المعطيات!$A$1:$J$3500,5,0)</f>
        <v>#N/A</v>
      </c>
      <c r="E844" s="1" t="s">
        <v>1482</v>
      </c>
      <c r="F844" s="5">
        <f t="shared" si="39"/>
        <v>0</v>
      </c>
      <c r="G844" s="5" t="s">
        <v>1483</v>
      </c>
      <c r="H844" s="4" t="e">
        <f>VLOOKUP(A844,المعطيات!$A$1:$J$3500,3,0)</f>
        <v>#N/A</v>
      </c>
      <c r="I844" s="1" t="s">
        <v>1484</v>
      </c>
      <c r="J844" s="1" t="s">
        <v>1485</v>
      </c>
      <c r="K844" s="4" t="e">
        <f>VLOOKUP(A844,المعطيات!$A$1:$J$3500,6,0)</f>
        <v>#N/A</v>
      </c>
      <c r="L844" s="1" t="s">
        <v>1486</v>
      </c>
      <c r="M844" s="1" t="s">
        <v>1487</v>
      </c>
      <c r="N844" s="4" t="e">
        <f t="shared" si="40"/>
        <v>#N/A</v>
      </c>
      <c r="O844" s="1" t="s">
        <v>1488</v>
      </c>
      <c r="P844" s="4" t="e">
        <f>VLOOKUP(A844,المعطيات!$A$1:$J$3500,4,0)</f>
        <v>#N/A</v>
      </c>
      <c r="Q844" s="1" t="s">
        <v>1489</v>
      </c>
      <c r="R844" s="1" t="s">
        <v>1480</v>
      </c>
      <c r="S844" s="6" t="e">
        <f t="shared" si="41"/>
        <v>#N/A</v>
      </c>
    </row>
    <row r="845" spans="2:19" x14ac:dyDescent="0.25">
      <c r="B845" s="1" t="s">
        <v>1479</v>
      </c>
      <c r="C845" s="1" t="s">
        <v>1481</v>
      </c>
      <c r="D845" s="4" t="e">
        <f>VLOOKUP(A845,المعطيات!$A$1:$J$3500,5,0)</f>
        <v>#N/A</v>
      </c>
      <c r="E845" s="1" t="s">
        <v>1482</v>
      </c>
      <c r="F845" s="5">
        <f t="shared" si="39"/>
        <v>0</v>
      </c>
      <c r="G845" s="5" t="s">
        <v>1483</v>
      </c>
      <c r="H845" s="4" t="e">
        <f>VLOOKUP(A845,المعطيات!$A$1:$J$3500,3,0)</f>
        <v>#N/A</v>
      </c>
      <c r="I845" s="1" t="s">
        <v>1484</v>
      </c>
      <c r="J845" s="1" t="s">
        <v>1485</v>
      </c>
      <c r="K845" s="4" t="e">
        <f>VLOOKUP(A845,المعطيات!$A$1:$J$3500,6,0)</f>
        <v>#N/A</v>
      </c>
      <c r="L845" s="1" t="s">
        <v>1486</v>
      </c>
      <c r="M845" s="1" t="s">
        <v>1487</v>
      </c>
      <c r="N845" s="4" t="e">
        <f t="shared" si="40"/>
        <v>#N/A</v>
      </c>
      <c r="O845" s="1" t="s">
        <v>1488</v>
      </c>
      <c r="P845" s="4" t="e">
        <f>VLOOKUP(A845,المعطيات!$A$1:$J$3500,4,0)</f>
        <v>#N/A</v>
      </c>
      <c r="Q845" s="1" t="s">
        <v>1489</v>
      </c>
      <c r="R845" s="1" t="s">
        <v>1480</v>
      </c>
      <c r="S845" s="6" t="e">
        <f t="shared" si="41"/>
        <v>#N/A</v>
      </c>
    </row>
    <row r="846" spans="2:19" x14ac:dyDescent="0.25">
      <c r="B846" s="1" t="s">
        <v>1479</v>
      </c>
      <c r="C846" s="1" t="s">
        <v>1481</v>
      </c>
      <c r="D846" s="4" t="e">
        <f>VLOOKUP(A846,المعطيات!$A$1:$J$3500,5,0)</f>
        <v>#N/A</v>
      </c>
      <c r="E846" s="1" t="s">
        <v>1482</v>
      </c>
      <c r="F846" s="5">
        <f t="shared" si="39"/>
        <v>0</v>
      </c>
      <c r="G846" s="5" t="s">
        <v>1483</v>
      </c>
      <c r="H846" s="4" t="e">
        <f>VLOOKUP(A846,المعطيات!$A$1:$J$3500,3,0)</f>
        <v>#N/A</v>
      </c>
      <c r="I846" s="1" t="s">
        <v>1484</v>
      </c>
      <c r="J846" s="1" t="s">
        <v>1485</v>
      </c>
      <c r="K846" s="4" t="e">
        <f>VLOOKUP(A846,المعطيات!$A$1:$J$3500,6,0)</f>
        <v>#N/A</v>
      </c>
      <c r="L846" s="1" t="s">
        <v>1486</v>
      </c>
      <c r="M846" s="1" t="s">
        <v>1487</v>
      </c>
      <c r="N846" s="4" t="e">
        <f t="shared" si="40"/>
        <v>#N/A</v>
      </c>
      <c r="O846" s="1" t="s">
        <v>1488</v>
      </c>
      <c r="P846" s="4" t="e">
        <f>VLOOKUP(A846,المعطيات!$A$1:$J$3500,4,0)</f>
        <v>#N/A</v>
      </c>
      <c r="Q846" s="1" t="s">
        <v>1489</v>
      </c>
      <c r="R846" s="1" t="s">
        <v>1480</v>
      </c>
      <c r="S846" s="6" t="e">
        <f t="shared" si="41"/>
        <v>#N/A</v>
      </c>
    </row>
    <row r="847" spans="2:19" x14ac:dyDescent="0.25">
      <c r="B847" s="1" t="s">
        <v>1479</v>
      </c>
      <c r="C847" s="1" t="s">
        <v>1481</v>
      </c>
      <c r="D847" s="4" t="e">
        <f>VLOOKUP(A847,المعطيات!$A$1:$J$3500,5,0)</f>
        <v>#N/A</v>
      </c>
      <c r="E847" s="1" t="s">
        <v>1482</v>
      </c>
      <c r="F847" s="5">
        <f t="shared" si="39"/>
        <v>0</v>
      </c>
      <c r="G847" s="5" t="s">
        <v>1483</v>
      </c>
      <c r="H847" s="4" t="e">
        <f>VLOOKUP(A847,المعطيات!$A$1:$J$3500,3,0)</f>
        <v>#N/A</v>
      </c>
      <c r="I847" s="1" t="s">
        <v>1484</v>
      </c>
      <c r="J847" s="1" t="s">
        <v>1485</v>
      </c>
      <c r="K847" s="4" t="e">
        <f>VLOOKUP(A847,المعطيات!$A$1:$J$3500,6,0)</f>
        <v>#N/A</v>
      </c>
      <c r="L847" s="1" t="s">
        <v>1486</v>
      </c>
      <c r="M847" s="1" t="s">
        <v>1487</v>
      </c>
      <c r="N847" s="4" t="e">
        <f t="shared" si="40"/>
        <v>#N/A</v>
      </c>
      <c r="O847" s="1" t="s">
        <v>1488</v>
      </c>
      <c r="P847" s="4" t="e">
        <f>VLOOKUP(A847,المعطيات!$A$1:$J$3500,4,0)</f>
        <v>#N/A</v>
      </c>
      <c r="Q847" s="1" t="s">
        <v>1489</v>
      </c>
      <c r="R847" s="1" t="s">
        <v>1480</v>
      </c>
      <c r="S847" s="6" t="e">
        <f t="shared" si="41"/>
        <v>#N/A</v>
      </c>
    </row>
    <row r="848" spans="2:19" x14ac:dyDescent="0.25">
      <c r="B848" s="1" t="s">
        <v>1479</v>
      </c>
      <c r="C848" s="1" t="s">
        <v>1481</v>
      </c>
      <c r="D848" s="4" t="e">
        <f>VLOOKUP(A848,المعطيات!$A$1:$J$3500,5,0)</f>
        <v>#N/A</v>
      </c>
      <c r="E848" s="1" t="s">
        <v>1482</v>
      </c>
      <c r="F848" s="5">
        <f t="shared" si="39"/>
        <v>0</v>
      </c>
      <c r="G848" s="5" t="s">
        <v>1483</v>
      </c>
      <c r="H848" s="4" t="e">
        <f>VLOOKUP(A848,المعطيات!$A$1:$J$3500,3,0)</f>
        <v>#N/A</v>
      </c>
      <c r="I848" s="1" t="s">
        <v>1484</v>
      </c>
      <c r="J848" s="1" t="s">
        <v>1485</v>
      </c>
      <c r="K848" s="4" t="e">
        <f>VLOOKUP(A848,المعطيات!$A$1:$J$3500,6,0)</f>
        <v>#N/A</v>
      </c>
      <c r="L848" s="1" t="s">
        <v>1486</v>
      </c>
      <c r="M848" s="1" t="s">
        <v>1487</v>
      </c>
      <c r="N848" s="4" t="e">
        <f t="shared" si="40"/>
        <v>#N/A</v>
      </c>
      <c r="O848" s="1" t="s">
        <v>1488</v>
      </c>
      <c r="P848" s="4" t="e">
        <f>VLOOKUP(A848,المعطيات!$A$1:$J$3500,4,0)</f>
        <v>#N/A</v>
      </c>
      <c r="Q848" s="1" t="s">
        <v>1489</v>
      </c>
      <c r="R848" s="1" t="s">
        <v>1480</v>
      </c>
      <c r="S848" s="6" t="e">
        <f t="shared" si="41"/>
        <v>#N/A</v>
      </c>
    </row>
    <row r="849" spans="2:19" x14ac:dyDescent="0.25">
      <c r="B849" s="1" t="s">
        <v>1479</v>
      </c>
      <c r="C849" s="1" t="s">
        <v>1481</v>
      </c>
      <c r="D849" s="4" t="e">
        <f>VLOOKUP(A849,المعطيات!$A$1:$J$3500,5,0)</f>
        <v>#N/A</v>
      </c>
      <c r="E849" s="1" t="s">
        <v>1482</v>
      </c>
      <c r="F849" s="5">
        <f t="shared" si="39"/>
        <v>0</v>
      </c>
      <c r="G849" s="5" t="s">
        <v>1483</v>
      </c>
      <c r="H849" s="4" t="e">
        <f>VLOOKUP(A849,المعطيات!$A$1:$J$3500,3,0)</f>
        <v>#N/A</v>
      </c>
      <c r="I849" s="1" t="s">
        <v>1484</v>
      </c>
      <c r="J849" s="1" t="s">
        <v>1485</v>
      </c>
      <c r="K849" s="4" t="e">
        <f>VLOOKUP(A849,المعطيات!$A$1:$J$3500,6,0)</f>
        <v>#N/A</v>
      </c>
      <c r="L849" s="1" t="s">
        <v>1486</v>
      </c>
      <c r="M849" s="1" t="s">
        <v>1487</v>
      </c>
      <c r="N849" s="4" t="e">
        <f t="shared" si="40"/>
        <v>#N/A</v>
      </c>
      <c r="O849" s="1" t="s">
        <v>1488</v>
      </c>
      <c r="P849" s="4" t="e">
        <f>VLOOKUP(A849,المعطيات!$A$1:$J$3500,4,0)</f>
        <v>#N/A</v>
      </c>
      <c r="Q849" s="1" t="s">
        <v>1489</v>
      </c>
      <c r="R849" s="1" t="s">
        <v>1480</v>
      </c>
      <c r="S849" s="6" t="e">
        <f t="shared" si="41"/>
        <v>#N/A</v>
      </c>
    </row>
    <row r="850" spans="2:19" x14ac:dyDescent="0.25">
      <c r="B850" s="1" t="s">
        <v>1479</v>
      </c>
      <c r="C850" s="1" t="s">
        <v>1481</v>
      </c>
      <c r="D850" s="4" t="e">
        <f>VLOOKUP(A850,المعطيات!$A$1:$J$3500,5,0)</f>
        <v>#N/A</v>
      </c>
      <c r="E850" s="1" t="s">
        <v>1482</v>
      </c>
      <c r="F850" s="5">
        <f t="shared" si="39"/>
        <v>0</v>
      </c>
      <c r="G850" s="5" t="s">
        <v>1483</v>
      </c>
      <c r="H850" s="4" t="e">
        <f>VLOOKUP(A850,المعطيات!$A$1:$J$3500,3,0)</f>
        <v>#N/A</v>
      </c>
      <c r="I850" s="1" t="s">
        <v>1484</v>
      </c>
      <c r="J850" s="1" t="s">
        <v>1485</v>
      </c>
      <c r="K850" s="4" t="e">
        <f>VLOOKUP(A850,المعطيات!$A$1:$J$3500,6,0)</f>
        <v>#N/A</v>
      </c>
      <c r="L850" s="1" t="s">
        <v>1486</v>
      </c>
      <c r="M850" s="1" t="s">
        <v>1487</v>
      </c>
      <c r="N850" s="4" t="e">
        <f t="shared" si="40"/>
        <v>#N/A</v>
      </c>
      <c r="O850" s="1" t="s">
        <v>1488</v>
      </c>
      <c r="P850" s="4" t="e">
        <f>VLOOKUP(A850,المعطيات!$A$1:$J$3500,4,0)</f>
        <v>#N/A</v>
      </c>
      <c r="Q850" s="1" t="s">
        <v>1489</v>
      </c>
      <c r="R850" s="1" t="s">
        <v>1480</v>
      </c>
      <c r="S850" s="6" t="e">
        <f t="shared" si="41"/>
        <v>#N/A</v>
      </c>
    </row>
    <row r="851" spans="2:19" x14ac:dyDescent="0.25">
      <c r="B851" s="1" t="s">
        <v>1479</v>
      </c>
      <c r="C851" s="1" t="s">
        <v>1481</v>
      </c>
      <c r="D851" s="4" t="e">
        <f>VLOOKUP(A851,المعطيات!$A$1:$J$3500,5,0)</f>
        <v>#N/A</v>
      </c>
      <c r="E851" s="1" t="s">
        <v>1482</v>
      </c>
      <c r="F851" s="5">
        <f t="shared" si="39"/>
        <v>0</v>
      </c>
      <c r="G851" s="5" t="s">
        <v>1483</v>
      </c>
      <c r="H851" s="4" t="e">
        <f>VLOOKUP(A851,المعطيات!$A$1:$J$3500,3,0)</f>
        <v>#N/A</v>
      </c>
      <c r="I851" s="1" t="s">
        <v>1484</v>
      </c>
      <c r="J851" s="1" t="s">
        <v>1485</v>
      </c>
      <c r="K851" s="4" t="e">
        <f>VLOOKUP(A851,المعطيات!$A$1:$J$3500,6,0)</f>
        <v>#N/A</v>
      </c>
      <c r="L851" s="1" t="s">
        <v>1486</v>
      </c>
      <c r="M851" s="1" t="s">
        <v>1487</v>
      </c>
      <c r="N851" s="4" t="e">
        <f t="shared" si="40"/>
        <v>#N/A</v>
      </c>
      <c r="O851" s="1" t="s">
        <v>1488</v>
      </c>
      <c r="P851" s="4" t="e">
        <f>VLOOKUP(A851,المعطيات!$A$1:$J$3500,4,0)</f>
        <v>#N/A</v>
      </c>
      <c r="Q851" s="1" t="s">
        <v>1489</v>
      </c>
      <c r="R851" s="1" t="s">
        <v>1480</v>
      </c>
      <c r="S851" s="6" t="e">
        <f t="shared" si="41"/>
        <v>#N/A</v>
      </c>
    </row>
    <row r="852" spans="2:19" x14ac:dyDescent="0.25">
      <c r="B852" s="1" t="s">
        <v>1479</v>
      </c>
      <c r="C852" s="1" t="s">
        <v>1481</v>
      </c>
      <c r="D852" s="4" t="e">
        <f>VLOOKUP(A852,المعطيات!$A$1:$J$3500,5,0)</f>
        <v>#N/A</v>
      </c>
      <c r="E852" s="1" t="s">
        <v>1482</v>
      </c>
      <c r="F852" s="5">
        <f t="shared" si="39"/>
        <v>0</v>
      </c>
      <c r="G852" s="5" t="s">
        <v>1483</v>
      </c>
      <c r="H852" s="4" t="e">
        <f>VLOOKUP(A852,المعطيات!$A$1:$J$3500,3,0)</f>
        <v>#N/A</v>
      </c>
      <c r="I852" s="1" t="s">
        <v>1484</v>
      </c>
      <c r="J852" s="1" t="s">
        <v>1485</v>
      </c>
      <c r="K852" s="4" t="e">
        <f>VLOOKUP(A852,المعطيات!$A$1:$J$3500,6,0)</f>
        <v>#N/A</v>
      </c>
      <c r="L852" s="1" t="s">
        <v>1486</v>
      </c>
      <c r="M852" s="1" t="s">
        <v>1487</v>
      </c>
      <c r="N852" s="4" t="e">
        <f t="shared" si="40"/>
        <v>#N/A</v>
      </c>
      <c r="O852" s="1" t="s">
        <v>1488</v>
      </c>
      <c r="P852" s="4" t="e">
        <f>VLOOKUP(A852,المعطيات!$A$1:$J$3500,4,0)</f>
        <v>#N/A</v>
      </c>
      <c r="Q852" s="1" t="s">
        <v>1489</v>
      </c>
      <c r="R852" s="1" t="s">
        <v>1480</v>
      </c>
      <c r="S852" s="6" t="e">
        <f t="shared" si="41"/>
        <v>#N/A</v>
      </c>
    </row>
    <row r="853" spans="2:19" x14ac:dyDescent="0.25">
      <c r="B853" s="1" t="s">
        <v>1479</v>
      </c>
      <c r="C853" s="1" t="s">
        <v>1481</v>
      </c>
      <c r="D853" s="4" t="e">
        <f>VLOOKUP(A853,المعطيات!$A$1:$J$3500,5,0)</f>
        <v>#N/A</v>
      </c>
      <c r="E853" s="1" t="s">
        <v>1482</v>
      </c>
      <c r="F853" s="5">
        <f t="shared" si="39"/>
        <v>0</v>
      </c>
      <c r="G853" s="5" t="s">
        <v>1483</v>
      </c>
      <c r="H853" s="4" t="e">
        <f>VLOOKUP(A853,المعطيات!$A$1:$J$3500,3,0)</f>
        <v>#N/A</v>
      </c>
      <c r="I853" s="1" t="s">
        <v>1484</v>
      </c>
      <c r="J853" s="1" t="s">
        <v>1485</v>
      </c>
      <c r="K853" s="4" t="e">
        <f>VLOOKUP(A853,المعطيات!$A$1:$J$3500,6,0)</f>
        <v>#N/A</v>
      </c>
      <c r="L853" s="1" t="s">
        <v>1486</v>
      </c>
      <c r="M853" s="1" t="s">
        <v>1487</v>
      </c>
      <c r="N853" s="4" t="e">
        <f t="shared" si="40"/>
        <v>#N/A</v>
      </c>
      <c r="O853" s="1" t="s">
        <v>1488</v>
      </c>
      <c r="P853" s="4" t="e">
        <f>VLOOKUP(A853,المعطيات!$A$1:$J$3500,4,0)</f>
        <v>#N/A</v>
      </c>
      <c r="Q853" s="1" t="s">
        <v>1489</v>
      </c>
      <c r="R853" s="1" t="s">
        <v>1480</v>
      </c>
      <c r="S853" s="6" t="e">
        <f t="shared" si="41"/>
        <v>#N/A</v>
      </c>
    </row>
    <row r="854" spans="2:19" x14ac:dyDescent="0.25">
      <c r="B854" s="1" t="s">
        <v>1479</v>
      </c>
      <c r="C854" s="1" t="s">
        <v>1481</v>
      </c>
      <c r="D854" s="4" t="e">
        <f>VLOOKUP(A854,المعطيات!$A$1:$J$3500,5,0)</f>
        <v>#N/A</v>
      </c>
      <c r="E854" s="1" t="s">
        <v>1482</v>
      </c>
      <c r="F854" s="5">
        <f t="shared" si="39"/>
        <v>0</v>
      </c>
      <c r="G854" s="5" t="s">
        <v>1483</v>
      </c>
      <c r="H854" s="4" t="e">
        <f>VLOOKUP(A854,المعطيات!$A$1:$J$3500,3,0)</f>
        <v>#N/A</v>
      </c>
      <c r="I854" s="1" t="s">
        <v>1484</v>
      </c>
      <c r="J854" s="1" t="s">
        <v>1485</v>
      </c>
      <c r="K854" s="4" t="e">
        <f>VLOOKUP(A854,المعطيات!$A$1:$J$3500,6,0)</f>
        <v>#N/A</v>
      </c>
      <c r="L854" s="1" t="s">
        <v>1486</v>
      </c>
      <c r="M854" s="1" t="s">
        <v>1487</v>
      </c>
      <c r="N854" s="4" t="e">
        <f t="shared" si="40"/>
        <v>#N/A</v>
      </c>
      <c r="O854" s="1" t="s">
        <v>1488</v>
      </c>
      <c r="P854" s="4" t="e">
        <f>VLOOKUP(A854,المعطيات!$A$1:$J$3500,4,0)</f>
        <v>#N/A</v>
      </c>
      <c r="Q854" s="1" t="s">
        <v>1489</v>
      </c>
      <c r="R854" s="1" t="s">
        <v>1480</v>
      </c>
      <c r="S854" s="6" t="e">
        <f t="shared" si="41"/>
        <v>#N/A</v>
      </c>
    </row>
    <row r="855" spans="2:19" x14ac:dyDescent="0.25">
      <c r="B855" s="1" t="s">
        <v>1479</v>
      </c>
      <c r="C855" s="1" t="s">
        <v>1481</v>
      </c>
      <c r="D855" s="4" t="e">
        <f>VLOOKUP(A855,المعطيات!$A$1:$J$3500,5,0)</f>
        <v>#N/A</v>
      </c>
      <c r="E855" s="1" t="s">
        <v>1482</v>
      </c>
      <c r="F855" s="5">
        <f t="shared" si="39"/>
        <v>0</v>
      </c>
      <c r="G855" s="5" t="s">
        <v>1483</v>
      </c>
      <c r="H855" s="4" t="e">
        <f>VLOOKUP(A855,المعطيات!$A$1:$J$3500,3,0)</f>
        <v>#N/A</v>
      </c>
      <c r="I855" s="1" t="s">
        <v>1484</v>
      </c>
      <c r="J855" s="1" t="s">
        <v>1485</v>
      </c>
      <c r="K855" s="4" t="e">
        <f>VLOOKUP(A855,المعطيات!$A$1:$J$3500,6,0)</f>
        <v>#N/A</v>
      </c>
      <c r="L855" s="1" t="s">
        <v>1486</v>
      </c>
      <c r="M855" s="1" t="s">
        <v>1487</v>
      </c>
      <c r="N855" s="4" t="e">
        <f t="shared" si="40"/>
        <v>#N/A</v>
      </c>
      <c r="O855" s="1" t="s">
        <v>1488</v>
      </c>
      <c r="P855" s="4" t="e">
        <f>VLOOKUP(A855,المعطيات!$A$1:$J$3500,4,0)</f>
        <v>#N/A</v>
      </c>
      <c r="Q855" s="1" t="s">
        <v>1489</v>
      </c>
      <c r="R855" s="1" t="s">
        <v>1480</v>
      </c>
      <c r="S855" s="6" t="e">
        <f t="shared" si="41"/>
        <v>#N/A</v>
      </c>
    </row>
    <row r="856" spans="2:19" x14ac:dyDescent="0.25">
      <c r="B856" s="1" t="s">
        <v>1479</v>
      </c>
      <c r="C856" s="1" t="s">
        <v>1481</v>
      </c>
      <c r="D856" s="4" t="e">
        <f>VLOOKUP(A856,المعطيات!$A$1:$J$3500,5,0)</f>
        <v>#N/A</v>
      </c>
      <c r="E856" s="1" t="s">
        <v>1482</v>
      </c>
      <c r="F856" s="5">
        <f t="shared" si="39"/>
        <v>0</v>
      </c>
      <c r="G856" s="5" t="s">
        <v>1483</v>
      </c>
      <c r="H856" s="4" t="e">
        <f>VLOOKUP(A856,المعطيات!$A$1:$J$3500,3,0)</f>
        <v>#N/A</v>
      </c>
      <c r="I856" s="1" t="s">
        <v>1484</v>
      </c>
      <c r="J856" s="1" t="s">
        <v>1485</v>
      </c>
      <c r="K856" s="4" t="e">
        <f>VLOOKUP(A856,المعطيات!$A$1:$J$3500,6,0)</f>
        <v>#N/A</v>
      </c>
      <c r="L856" s="1" t="s">
        <v>1486</v>
      </c>
      <c r="M856" s="1" t="s">
        <v>1487</v>
      </c>
      <c r="N856" s="4" t="e">
        <f t="shared" si="40"/>
        <v>#N/A</v>
      </c>
      <c r="O856" s="1" t="s">
        <v>1488</v>
      </c>
      <c r="P856" s="4" t="e">
        <f>VLOOKUP(A856,المعطيات!$A$1:$J$3500,4,0)</f>
        <v>#N/A</v>
      </c>
      <c r="Q856" s="1" t="s">
        <v>1489</v>
      </c>
      <c r="R856" s="1" t="s">
        <v>1480</v>
      </c>
      <c r="S856" s="6" t="e">
        <f t="shared" si="41"/>
        <v>#N/A</v>
      </c>
    </row>
    <row r="857" spans="2:19" x14ac:dyDescent="0.25">
      <c r="B857" s="1" t="s">
        <v>1479</v>
      </c>
      <c r="C857" s="1" t="s">
        <v>1481</v>
      </c>
      <c r="D857" s="4" t="e">
        <f>VLOOKUP(A857,المعطيات!$A$1:$J$3500,5,0)</f>
        <v>#N/A</v>
      </c>
      <c r="E857" s="1" t="s">
        <v>1482</v>
      </c>
      <c r="F857" s="5">
        <f t="shared" si="39"/>
        <v>0</v>
      </c>
      <c r="G857" s="5" t="s">
        <v>1483</v>
      </c>
      <c r="H857" s="4" t="e">
        <f>VLOOKUP(A857,المعطيات!$A$1:$J$3500,3,0)</f>
        <v>#N/A</v>
      </c>
      <c r="I857" s="1" t="s">
        <v>1484</v>
      </c>
      <c r="J857" s="1" t="s">
        <v>1485</v>
      </c>
      <c r="K857" s="4" t="e">
        <f>VLOOKUP(A857,المعطيات!$A$1:$J$3500,6,0)</f>
        <v>#N/A</v>
      </c>
      <c r="L857" s="1" t="s">
        <v>1486</v>
      </c>
      <c r="M857" s="1" t="s">
        <v>1487</v>
      </c>
      <c r="N857" s="4" t="e">
        <f t="shared" si="40"/>
        <v>#N/A</v>
      </c>
      <c r="O857" s="1" t="s">
        <v>1488</v>
      </c>
      <c r="P857" s="4" t="e">
        <f>VLOOKUP(A857,المعطيات!$A$1:$J$3500,4,0)</f>
        <v>#N/A</v>
      </c>
      <c r="Q857" s="1" t="s">
        <v>1489</v>
      </c>
      <c r="R857" s="1" t="s">
        <v>1480</v>
      </c>
      <c r="S857" s="6" t="e">
        <f t="shared" si="41"/>
        <v>#N/A</v>
      </c>
    </row>
    <row r="858" spans="2:19" x14ac:dyDescent="0.25">
      <c r="B858" s="1" t="s">
        <v>1479</v>
      </c>
      <c r="C858" s="1" t="s">
        <v>1481</v>
      </c>
      <c r="D858" s="4" t="e">
        <f>VLOOKUP(A858,المعطيات!$A$1:$J$3500,5,0)</f>
        <v>#N/A</v>
      </c>
      <c r="E858" s="1" t="s">
        <v>1482</v>
      </c>
      <c r="F858" s="5">
        <f t="shared" si="39"/>
        <v>0</v>
      </c>
      <c r="G858" s="5" t="s">
        <v>1483</v>
      </c>
      <c r="H858" s="4" t="e">
        <f>VLOOKUP(A858,المعطيات!$A$1:$J$3500,3,0)</f>
        <v>#N/A</v>
      </c>
      <c r="I858" s="1" t="s">
        <v>1484</v>
      </c>
      <c r="J858" s="1" t="s">
        <v>1485</v>
      </c>
      <c r="K858" s="4" t="e">
        <f>VLOOKUP(A858,المعطيات!$A$1:$J$3500,6,0)</f>
        <v>#N/A</v>
      </c>
      <c r="L858" s="1" t="s">
        <v>1486</v>
      </c>
      <c r="M858" s="1" t="s">
        <v>1487</v>
      </c>
      <c r="N858" s="4" t="e">
        <f t="shared" si="40"/>
        <v>#N/A</v>
      </c>
      <c r="O858" s="1" t="s">
        <v>1488</v>
      </c>
      <c r="P858" s="4" t="e">
        <f>VLOOKUP(A858,المعطيات!$A$1:$J$3500,4,0)</f>
        <v>#N/A</v>
      </c>
      <c r="Q858" s="1" t="s">
        <v>1489</v>
      </c>
      <c r="R858" s="1" t="s">
        <v>1480</v>
      </c>
      <c r="S858" s="6" t="e">
        <f t="shared" si="41"/>
        <v>#N/A</v>
      </c>
    </row>
    <row r="859" spans="2:19" x14ac:dyDescent="0.25">
      <c r="B859" s="1" t="s">
        <v>1479</v>
      </c>
      <c r="C859" s="1" t="s">
        <v>1481</v>
      </c>
      <c r="D859" s="4" t="e">
        <f>VLOOKUP(A859,المعطيات!$A$1:$J$3500,5,0)</f>
        <v>#N/A</v>
      </c>
      <c r="E859" s="1" t="s">
        <v>1482</v>
      </c>
      <c r="F859" s="5">
        <f t="shared" si="39"/>
        <v>0</v>
      </c>
      <c r="G859" s="5" t="s">
        <v>1483</v>
      </c>
      <c r="H859" s="4" t="e">
        <f>VLOOKUP(A859,المعطيات!$A$1:$J$3500,3,0)</f>
        <v>#N/A</v>
      </c>
      <c r="I859" s="1" t="s">
        <v>1484</v>
      </c>
      <c r="J859" s="1" t="s">
        <v>1485</v>
      </c>
      <c r="K859" s="4" t="e">
        <f>VLOOKUP(A859,المعطيات!$A$1:$J$3500,6,0)</f>
        <v>#N/A</v>
      </c>
      <c r="L859" s="1" t="s">
        <v>1486</v>
      </c>
      <c r="M859" s="1" t="s">
        <v>1487</v>
      </c>
      <c r="N859" s="4" t="e">
        <f t="shared" si="40"/>
        <v>#N/A</v>
      </c>
      <c r="O859" s="1" t="s">
        <v>1488</v>
      </c>
      <c r="P859" s="4" t="e">
        <f>VLOOKUP(A859,المعطيات!$A$1:$J$3500,4,0)</f>
        <v>#N/A</v>
      </c>
      <c r="Q859" s="1" t="s">
        <v>1489</v>
      </c>
      <c r="R859" s="1" t="s">
        <v>1480</v>
      </c>
      <c r="S859" s="6" t="e">
        <f t="shared" si="41"/>
        <v>#N/A</v>
      </c>
    </row>
    <row r="860" spans="2:19" x14ac:dyDescent="0.25">
      <c r="B860" s="1" t="s">
        <v>1479</v>
      </c>
      <c r="C860" s="1" t="s">
        <v>1481</v>
      </c>
      <c r="D860" s="4" t="e">
        <f>VLOOKUP(A860,المعطيات!$A$1:$J$3500,5,0)</f>
        <v>#N/A</v>
      </c>
      <c r="E860" s="1" t="s">
        <v>1482</v>
      </c>
      <c r="F860" s="5">
        <f t="shared" si="39"/>
        <v>0</v>
      </c>
      <c r="G860" s="5" t="s">
        <v>1483</v>
      </c>
      <c r="H860" s="4" t="e">
        <f>VLOOKUP(A860,المعطيات!$A$1:$J$3500,3,0)</f>
        <v>#N/A</v>
      </c>
      <c r="I860" s="1" t="s">
        <v>1484</v>
      </c>
      <c r="J860" s="1" t="s">
        <v>1485</v>
      </c>
      <c r="K860" s="4" t="e">
        <f>VLOOKUP(A860,المعطيات!$A$1:$J$3500,6,0)</f>
        <v>#N/A</v>
      </c>
      <c r="L860" s="1" t="s">
        <v>1486</v>
      </c>
      <c r="M860" s="1" t="s">
        <v>1487</v>
      </c>
      <c r="N860" s="4" t="e">
        <f t="shared" si="40"/>
        <v>#N/A</v>
      </c>
      <c r="O860" s="1" t="s">
        <v>1488</v>
      </c>
      <c r="P860" s="4" t="e">
        <f>VLOOKUP(A860,المعطيات!$A$1:$J$3500,4,0)</f>
        <v>#N/A</v>
      </c>
      <c r="Q860" s="1" t="s">
        <v>1489</v>
      </c>
      <c r="R860" s="1" t="s">
        <v>1480</v>
      </c>
      <c r="S860" s="6" t="e">
        <f t="shared" si="41"/>
        <v>#N/A</v>
      </c>
    </row>
    <row r="861" spans="2:19" x14ac:dyDescent="0.25">
      <c r="B861" s="1" t="s">
        <v>1479</v>
      </c>
      <c r="C861" s="1" t="s">
        <v>1481</v>
      </c>
      <c r="D861" s="4" t="e">
        <f>VLOOKUP(A861,المعطيات!$A$1:$J$3500,5,0)</f>
        <v>#N/A</v>
      </c>
      <c r="E861" s="1" t="s">
        <v>1482</v>
      </c>
      <c r="F861" s="5">
        <f t="shared" si="39"/>
        <v>0</v>
      </c>
      <c r="G861" s="5" t="s">
        <v>1483</v>
      </c>
      <c r="H861" s="4" t="e">
        <f>VLOOKUP(A861,المعطيات!$A$1:$J$3500,3,0)</f>
        <v>#N/A</v>
      </c>
      <c r="I861" s="1" t="s">
        <v>1484</v>
      </c>
      <c r="J861" s="1" t="s">
        <v>1485</v>
      </c>
      <c r="K861" s="4" t="e">
        <f>VLOOKUP(A861,المعطيات!$A$1:$J$3500,6,0)</f>
        <v>#N/A</v>
      </c>
      <c r="L861" s="1" t="s">
        <v>1486</v>
      </c>
      <c r="M861" s="1" t="s">
        <v>1487</v>
      </c>
      <c r="N861" s="4" t="e">
        <f t="shared" si="40"/>
        <v>#N/A</v>
      </c>
      <c r="O861" s="1" t="s">
        <v>1488</v>
      </c>
      <c r="P861" s="4" t="e">
        <f>VLOOKUP(A861,المعطيات!$A$1:$J$3500,4,0)</f>
        <v>#N/A</v>
      </c>
      <c r="Q861" s="1" t="s">
        <v>1489</v>
      </c>
      <c r="R861" s="1" t="s">
        <v>1480</v>
      </c>
      <c r="S861" s="6" t="e">
        <f t="shared" si="41"/>
        <v>#N/A</v>
      </c>
    </row>
    <row r="862" spans="2:19" x14ac:dyDescent="0.25">
      <c r="B862" s="1" t="s">
        <v>1479</v>
      </c>
      <c r="C862" s="1" t="s">
        <v>1481</v>
      </c>
      <c r="D862" s="4" t="e">
        <f>VLOOKUP(A862,المعطيات!$A$1:$J$3500,5,0)</f>
        <v>#N/A</v>
      </c>
      <c r="E862" s="1" t="s">
        <v>1482</v>
      </c>
      <c r="F862" s="5">
        <f t="shared" si="39"/>
        <v>0</v>
      </c>
      <c r="G862" s="5" t="s">
        <v>1483</v>
      </c>
      <c r="H862" s="4" t="e">
        <f>VLOOKUP(A862,المعطيات!$A$1:$J$3500,3,0)</f>
        <v>#N/A</v>
      </c>
      <c r="I862" s="1" t="s">
        <v>1484</v>
      </c>
      <c r="J862" s="1" t="s">
        <v>1485</v>
      </c>
      <c r="K862" s="4" t="e">
        <f>VLOOKUP(A862,المعطيات!$A$1:$J$3500,6,0)</f>
        <v>#N/A</v>
      </c>
      <c r="L862" s="1" t="s">
        <v>1486</v>
      </c>
      <c r="M862" s="1" t="s">
        <v>1487</v>
      </c>
      <c r="N862" s="4" t="e">
        <f t="shared" si="40"/>
        <v>#N/A</v>
      </c>
      <c r="O862" s="1" t="s">
        <v>1488</v>
      </c>
      <c r="P862" s="4" t="e">
        <f>VLOOKUP(A862,المعطيات!$A$1:$J$3500,4,0)</f>
        <v>#N/A</v>
      </c>
      <c r="Q862" s="1" t="s">
        <v>1489</v>
      </c>
      <c r="R862" s="1" t="s">
        <v>1480</v>
      </c>
      <c r="S862" s="6" t="e">
        <f t="shared" si="41"/>
        <v>#N/A</v>
      </c>
    </row>
    <row r="863" spans="2:19" x14ac:dyDescent="0.25">
      <c r="B863" s="1" t="s">
        <v>1479</v>
      </c>
      <c r="C863" s="1" t="s">
        <v>1481</v>
      </c>
      <c r="D863" s="4" t="e">
        <f>VLOOKUP(A863,المعطيات!$A$1:$J$3500,5,0)</f>
        <v>#N/A</v>
      </c>
      <c r="E863" s="1" t="s">
        <v>1482</v>
      </c>
      <c r="F863" s="5">
        <f t="shared" si="39"/>
        <v>0</v>
      </c>
      <c r="G863" s="5" t="s">
        <v>1483</v>
      </c>
      <c r="H863" s="4" t="e">
        <f>VLOOKUP(A863,المعطيات!$A$1:$J$3500,3,0)</f>
        <v>#N/A</v>
      </c>
      <c r="I863" s="1" t="s">
        <v>1484</v>
      </c>
      <c r="J863" s="1" t="s">
        <v>1485</v>
      </c>
      <c r="K863" s="4" t="e">
        <f>VLOOKUP(A863,المعطيات!$A$1:$J$3500,6,0)</f>
        <v>#N/A</v>
      </c>
      <c r="L863" s="1" t="s">
        <v>1486</v>
      </c>
      <c r="M863" s="1" t="s">
        <v>1487</v>
      </c>
      <c r="N863" s="4" t="e">
        <f t="shared" si="40"/>
        <v>#N/A</v>
      </c>
      <c r="O863" s="1" t="s">
        <v>1488</v>
      </c>
      <c r="P863" s="4" t="e">
        <f>VLOOKUP(A863,المعطيات!$A$1:$J$3500,4,0)</f>
        <v>#N/A</v>
      </c>
      <c r="Q863" s="1" t="s">
        <v>1489</v>
      </c>
      <c r="R863" s="1" t="s">
        <v>1480</v>
      </c>
      <c r="S863" s="6" t="e">
        <f t="shared" si="41"/>
        <v>#N/A</v>
      </c>
    </row>
    <row r="864" spans="2:19" x14ac:dyDescent="0.25">
      <c r="B864" s="1" t="s">
        <v>1479</v>
      </c>
      <c r="C864" s="1" t="s">
        <v>1481</v>
      </c>
      <c r="D864" s="4" t="e">
        <f>VLOOKUP(A864,المعطيات!$A$1:$J$3500,5,0)</f>
        <v>#N/A</v>
      </c>
      <c r="E864" s="1" t="s">
        <v>1482</v>
      </c>
      <c r="F864" s="5">
        <f t="shared" si="39"/>
        <v>0</v>
      </c>
      <c r="G864" s="5" t="s">
        <v>1483</v>
      </c>
      <c r="H864" s="4" t="e">
        <f>VLOOKUP(A864,المعطيات!$A$1:$J$3500,3,0)</f>
        <v>#N/A</v>
      </c>
      <c r="I864" s="1" t="s">
        <v>1484</v>
      </c>
      <c r="J864" s="1" t="s">
        <v>1485</v>
      </c>
      <c r="K864" s="4" t="e">
        <f>VLOOKUP(A864,المعطيات!$A$1:$J$3500,6,0)</f>
        <v>#N/A</v>
      </c>
      <c r="L864" s="1" t="s">
        <v>1486</v>
      </c>
      <c r="M864" s="1" t="s">
        <v>1487</v>
      </c>
      <c r="N864" s="4" t="e">
        <f t="shared" si="40"/>
        <v>#N/A</v>
      </c>
      <c r="O864" s="1" t="s">
        <v>1488</v>
      </c>
      <c r="P864" s="4" t="e">
        <f>VLOOKUP(A864,المعطيات!$A$1:$J$3500,4,0)</f>
        <v>#N/A</v>
      </c>
      <c r="Q864" s="1" t="s">
        <v>1489</v>
      </c>
      <c r="R864" s="1" t="s">
        <v>1480</v>
      </c>
      <c r="S864" s="6" t="e">
        <f t="shared" si="41"/>
        <v>#N/A</v>
      </c>
    </row>
    <row r="865" spans="2:19" x14ac:dyDescent="0.25">
      <c r="B865" s="1" t="s">
        <v>1479</v>
      </c>
      <c r="C865" s="1" t="s">
        <v>1481</v>
      </c>
      <c r="D865" s="4" t="e">
        <f>VLOOKUP(A865,المعطيات!$A$1:$J$3500,5,0)</f>
        <v>#N/A</v>
      </c>
      <c r="E865" s="1" t="s">
        <v>1482</v>
      </c>
      <c r="F865" s="5">
        <f t="shared" si="39"/>
        <v>0</v>
      </c>
      <c r="G865" s="5" t="s">
        <v>1483</v>
      </c>
      <c r="H865" s="4" t="e">
        <f>VLOOKUP(A865,المعطيات!$A$1:$J$3500,3,0)</f>
        <v>#N/A</v>
      </c>
      <c r="I865" s="1" t="s">
        <v>1484</v>
      </c>
      <c r="J865" s="1" t="s">
        <v>1485</v>
      </c>
      <c r="K865" s="4" t="e">
        <f>VLOOKUP(A865,المعطيات!$A$1:$J$3500,6,0)</f>
        <v>#N/A</v>
      </c>
      <c r="L865" s="1" t="s">
        <v>1486</v>
      </c>
      <c r="M865" s="1" t="s">
        <v>1487</v>
      </c>
      <c r="N865" s="4" t="e">
        <f t="shared" si="40"/>
        <v>#N/A</v>
      </c>
      <c r="O865" s="1" t="s">
        <v>1488</v>
      </c>
      <c r="P865" s="4" t="e">
        <f>VLOOKUP(A865,المعطيات!$A$1:$J$3500,4,0)</f>
        <v>#N/A</v>
      </c>
      <c r="Q865" s="1" t="s">
        <v>1489</v>
      </c>
      <c r="R865" s="1" t="s">
        <v>1480</v>
      </c>
      <c r="S865" s="6" t="e">
        <f t="shared" si="41"/>
        <v>#N/A</v>
      </c>
    </row>
    <row r="866" spans="2:19" x14ac:dyDescent="0.25">
      <c r="B866" s="1" t="s">
        <v>1479</v>
      </c>
      <c r="C866" s="1" t="s">
        <v>1481</v>
      </c>
      <c r="D866" s="4" t="e">
        <f>VLOOKUP(A866,المعطيات!$A$1:$J$3500,5,0)</f>
        <v>#N/A</v>
      </c>
      <c r="E866" s="1" t="s">
        <v>1482</v>
      </c>
      <c r="F866" s="5">
        <f t="shared" si="39"/>
        <v>0</v>
      </c>
      <c r="G866" s="5" t="s">
        <v>1483</v>
      </c>
      <c r="H866" s="4" t="e">
        <f>VLOOKUP(A866,المعطيات!$A$1:$J$3500,3,0)</f>
        <v>#N/A</v>
      </c>
      <c r="I866" s="1" t="s">
        <v>1484</v>
      </c>
      <c r="J866" s="1" t="s">
        <v>1485</v>
      </c>
      <c r="K866" s="4" t="e">
        <f>VLOOKUP(A866,المعطيات!$A$1:$J$3500,6,0)</f>
        <v>#N/A</v>
      </c>
      <c r="L866" s="1" t="s">
        <v>1486</v>
      </c>
      <c r="M866" s="1" t="s">
        <v>1487</v>
      </c>
      <c r="N866" s="4" t="e">
        <f t="shared" si="40"/>
        <v>#N/A</v>
      </c>
      <c r="O866" s="1" t="s">
        <v>1488</v>
      </c>
      <c r="P866" s="4" t="e">
        <f>VLOOKUP(A866,المعطيات!$A$1:$J$3500,4,0)</f>
        <v>#N/A</v>
      </c>
      <c r="Q866" s="1" t="s">
        <v>1489</v>
      </c>
      <c r="R866" s="1" t="s">
        <v>1480</v>
      </c>
      <c r="S866" s="6" t="e">
        <f t="shared" si="41"/>
        <v>#N/A</v>
      </c>
    </row>
    <row r="867" spans="2:19" x14ac:dyDescent="0.25">
      <c r="B867" s="1" t="s">
        <v>1479</v>
      </c>
      <c r="C867" s="1" t="s">
        <v>1481</v>
      </c>
      <c r="D867" s="4" t="e">
        <f>VLOOKUP(A867,المعطيات!$A$1:$J$3500,5,0)</f>
        <v>#N/A</v>
      </c>
      <c r="E867" s="1" t="s">
        <v>1482</v>
      </c>
      <c r="F867" s="5">
        <f t="shared" si="39"/>
        <v>0</v>
      </c>
      <c r="G867" s="5" t="s">
        <v>1483</v>
      </c>
      <c r="H867" s="4" t="e">
        <f>VLOOKUP(A867,المعطيات!$A$1:$J$3500,3,0)</f>
        <v>#N/A</v>
      </c>
      <c r="I867" s="1" t="s">
        <v>1484</v>
      </c>
      <c r="J867" s="1" t="s">
        <v>1485</v>
      </c>
      <c r="K867" s="4" t="e">
        <f>VLOOKUP(A867,المعطيات!$A$1:$J$3500,6,0)</f>
        <v>#N/A</v>
      </c>
      <c r="L867" s="1" t="s">
        <v>1486</v>
      </c>
      <c r="M867" s="1" t="s">
        <v>1487</v>
      </c>
      <c r="N867" s="4" t="e">
        <f t="shared" si="40"/>
        <v>#N/A</v>
      </c>
      <c r="O867" s="1" t="s">
        <v>1488</v>
      </c>
      <c r="P867" s="4" t="e">
        <f>VLOOKUP(A867,المعطيات!$A$1:$J$3500,4,0)</f>
        <v>#N/A</v>
      </c>
      <c r="Q867" s="1" t="s">
        <v>1489</v>
      </c>
      <c r="R867" s="1" t="s">
        <v>1480</v>
      </c>
      <c r="S867" s="6" t="e">
        <f t="shared" si="41"/>
        <v>#N/A</v>
      </c>
    </row>
    <row r="868" spans="2:19" x14ac:dyDescent="0.25">
      <c r="B868" s="1" t="s">
        <v>1479</v>
      </c>
      <c r="C868" s="1" t="s">
        <v>1481</v>
      </c>
      <c r="D868" s="4" t="e">
        <f>VLOOKUP(A868,المعطيات!$A$1:$J$3500,5,0)</f>
        <v>#N/A</v>
      </c>
      <c r="E868" s="1" t="s">
        <v>1482</v>
      </c>
      <c r="F868" s="5">
        <f t="shared" si="39"/>
        <v>0</v>
      </c>
      <c r="G868" s="5" t="s">
        <v>1483</v>
      </c>
      <c r="H868" s="4" t="e">
        <f>VLOOKUP(A868,المعطيات!$A$1:$J$3500,3,0)</f>
        <v>#N/A</v>
      </c>
      <c r="I868" s="1" t="s">
        <v>1484</v>
      </c>
      <c r="J868" s="1" t="s">
        <v>1485</v>
      </c>
      <c r="K868" s="4" t="e">
        <f>VLOOKUP(A868,المعطيات!$A$1:$J$3500,6,0)</f>
        <v>#N/A</v>
      </c>
      <c r="L868" s="1" t="s">
        <v>1486</v>
      </c>
      <c r="M868" s="1" t="s">
        <v>1487</v>
      </c>
      <c r="N868" s="4" t="e">
        <f t="shared" si="40"/>
        <v>#N/A</v>
      </c>
      <c r="O868" s="1" t="s">
        <v>1488</v>
      </c>
      <c r="P868" s="4" t="e">
        <f>VLOOKUP(A868,المعطيات!$A$1:$J$3500,4,0)</f>
        <v>#N/A</v>
      </c>
      <c r="Q868" s="1" t="s">
        <v>1489</v>
      </c>
      <c r="R868" s="1" t="s">
        <v>1480</v>
      </c>
      <c r="S868" s="6" t="e">
        <f t="shared" si="41"/>
        <v>#N/A</v>
      </c>
    </row>
    <row r="869" spans="2:19" x14ac:dyDescent="0.25">
      <c r="B869" s="1" t="s">
        <v>1479</v>
      </c>
      <c r="C869" s="1" t="s">
        <v>1481</v>
      </c>
      <c r="D869" s="4" t="e">
        <f>VLOOKUP(A869,المعطيات!$A$1:$J$3500,5,0)</f>
        <v>#N/A</v>
      </c>
      <c r="E869" s="1" t="s">
        <v>1482</v>
      </c>
      <c r="F869" s="5">
        <f t="shared" si="39"/>
        <v>0</v>
      </c>
      <c r="G869" s="5" t="s">
        <v>1483</v>
      </c>
      <c r="H869" s="4" t="e">
        <f>VLOOKUP(A869,المعطيات!$A$1:$J$3500,3,0)</f>
        <v>#N/A</v>
      </c>
      <c r="I869" s="1" t="s">
        <v>1484</v>
      </c>
      <c r="J869" s="1" t="s">
        <v>1485</v>
      </c>
      <c r="K869" s="4" t="e">
        <f>VLOOKUP(A869,المعطيات!$A$1:$J$3500,6,0)</f>
        <v>#N/A</v>
      </c>
      <c r="L869" s="1" t="s">
        <v>1486</v>
      </c>
      <c r="M869" s="1" t="s">
        <v>1487</v>
      </c>
      <c r="N869" s="4" t="e">
        <f t="shared" si="40"/>
        <v>#N/A</v>
      </c>
      <c r="O869" s="1" t="s">
        <v>1488</v>
      </c>
      <c r="P869" s="4" t="e">
        <f>VLOOKUP(A869,المعطيات!$A$1:$J$3500,4,0)</f>
        <v>#N/A</v>
      </c>
      <c r="Q869" s="1" t="s">
        <v>1489</v>
      </c>
      <c r="R869" s="1" t="s">
        <v>1480</v>
      </c>
      <c r="S869" s="6" t="e">
        <f t="shared" si="41"/>
        <v>#N/A</v>
      </c>
    </row>
    <row r="870" spans="2:19" x14ac:dyDescent="0.25">
      <c r="B870" s="1" t="s">
        <v>1479</v>
      </c>
      <c r="C870" s="1" t="s">
        <v>1481</v>
      </c>
      <c r="D870" s="4" t="e">
        <f>VLOOKUP(A870,المعطيات!$A$1:$J$3500,5,0)</f>
        <v>#N/A</v>
      </c>
      <c r="E870" s="1" t="s">
        <v>1482</v>
      </c>
      <c r="F870" s="5">
        <f t="shared" si="39"/>
        <v>0</v>
      </c>
      <c r="G870" s="5" t="s">
        <v>1483</v>
      </c>
      <c r="H870" s="4" t="e">
        <f>VLOOKUP(A870,المعطيات!$A$1:$J$3500,3,0)</f>
        <v>#N/A</v>
      </c>
      <c r="I870" s="1" t="s">
        <v>1484</v>
      </c>
      <c r="J870" s="1" t="s">
        <v>1485</v>
      </c>
      <c r="K870" s="4" t="e">
        <f>VLOOKUP(A870,المعطيات!$A$1:$J$3500,6,0)</f>
        <v>#N/A</v>
      </c>
      <c r="L870" s="1" t="s">
        <v>1486</v>
      </c>
      <c r="M870" s="1" t="s">
        <v>1487</v>
      </c>
      <c r="N870" s="4" t="e">
        <f t="shared" si="40"/>
        <v>#N/A</v>
      </c>
      <c r="O870" s="1" t="s">
        <v>1488</v>
      </c>
      <c r="P870" s="4" t="e">
        <f>VLOOKUP(A870,المعطيات!$A$1:$J$3500,4,0)</f>
        <v>#N/A</v>
      </c>
      <c r="Q870" s="1" t="s">
        <v>1489</v>
      </c>
      <c r="R870" s="1" t="s">
        <v>1480</v>
      </c>
      <c r="S870" s="6" t="e">
        <f t="shared" si="41"/>
        <v>#N/A</v>
      </c>
    </row>
    <row r="871" spans="2:19" x14ac:dyDescent="0.25">
      <c r="B871" s="1" t="s">
        <v>1479</v>
      </c>
      <c r="C871" s="1" t="s">
        <v>1481</v>
      </c>
      <c r="D871" s="4" t="e">
        <f>VLOOKUP(A871,المعطيات!$A$1:$J$3500,5,0)</f>
        <v>#N/A</v>
      </c>
      <c r="E871" s="1" t="s">
        <v>1482</v>
      </c>
      <c r="F871" s="5">
        <f t="shared" si="39"/>
        <v>0</v>
      </c>
      <c r="G871" s="5" t="s">
        <v>1483</v>
      </c>
      <c r="H871" s="4" t="e">
        <f>VLOOKUP(A871,المعطيات!$A$1:$J$3500,3,0)</f>
        <v>#N/A</v>
      </c>
      <c r="I871" s="1" t="s">
        <v>1484</v>
      </c>
      <c r="J871" s="1" t="s">
        <v>1485</v>
      </c>
      <c r="K871" s="4" t="e">
        <f>VLOOKUP(A871,المعطيات!$A$1:$J$3500,6,0)</f>
        <v>#N/A</v>
      </c>
      <c r="L871" s="1" t="s">
        <v>1486</v>
      </c>
      <c r="M871" s="1" t="s">
        <v>1487</v>
      </c>
      <c r="N871" s="4" t="e">
        <f t="shared" si="40"/>
        <v>#N/A</v>
      </c>
      <c r="O871" s="1" t="s">
        <v>1488</v>
      </c>
      <c r="P871" s="4" t="e">
        <f>VLOOKUP(A871,المعطيات!$A$1:$J$3500,4,0)</f>
        <v>#N/A</v>
      </c>
      <c r="Q871" s="1" t="s">
        <v>1489</v>
      </c>
      <c r="R871" s="1" t="s">
        <v>1480</v>
      </c>
      <c r="S871" s="6" t="e">
        <f t="shared" si="41"/>
        <v>#N/A</v>
      </c>
    </row>
    <row r="872" spans="2:19" x14ac:dyDescent="0.25">
      <c r="B872" s="1" t="s">
        <v>1479</v>
      </c>
      <c r="C872" s="1" t="s">
        <v>1481</v>
      </c>
      <c r="D872" s="4" t="e">
        <f>VLOOKUP(A872,المعطيات!$A$1:$J$3500,5,0)</f>
        <v>#N/A</v>
      </c>
      <c r="E872" s="1" t="s">
        <v>1482</v>
      </c>
      <c r="F872" s="5">
        <f t="shared" si="39"/>
        <v>0</v>
      </c>
      <c r="G872" s="5" t="s">
        <v>1483</v>
      </c>
      <c r="H872" s="4" t="e">
        <f>VLOOKUP(A872,المعطيات!$A$1:$J$3500,3,0)</f>
        <v>#N/A</v>
      </c>
      <c r="I872" s="1" t="s">
        <v>1484</v>
      </c>
      <c r="J872" s="1" t="s">
        <v>1485</v>
      </c>
      <c r="K872" s="4" t="e">
        <f>VLOOKUP(A872,المعطيات!$A$1:$J$3500,6,0)</f>
        <v>#N/A</v>
      </c>
      <c r="L872" s="1" t="s">
        <v>1486</v>
      </c>
      <c r="M872" s="1" t="s">
        <v>1487</v>
      </c>
      <c r="N872" s="4" t="e">
        <f t="shared" si="40"/>
        <v>#N/A</v>
      </c>
      <c r="O872" s="1" t="s">
        <v>1488</v>
      </c>
      <c r="P872" s="4" t="e">
        <f>VLOOKUP(A872,المعطيات!$A$1:$J$3500,4,0)</f>
        <v>#N/A</v>
      </c>
      <c r="Q872" s="1" t="s">
        <v>1489</v>
      </c>
      <c r="R872" s="1" t="s">
        <v>1480</v>
      </c>
      <c r="S872" s="6" t="e">
        <f t="shared" si="41"/>
        <v>#N/A</v>
      </c>
    </row>
    <row r="873" spans="2:19" x14ac:dyDescent="0.25">
      <c r="B873" s="1" t="s">
        <v>1479</v>
      </c>
      <c r="C873" s="1" t="s">
        <v>1481</v>
      </c>
      <c r="D873" s="4" t="e">
        <f>VLOOKUP(A873,المعطيات!$A$1:$J$3500,5,0)</f>
        <v>#N/A</v>
      </c>
      <c r="E873" s="1" t="s">
        <v>1482</v>
      </c>
      <c r="F873" s="5">
        <f t="shared" si="39"/>
        <v>0</v>
      </c>
      <c r="G873" s="5" t="s">
        <v>1483</v>
      </c>
      <c r="H873" s="4" t="e">
        <f>VLOOKUP(A873,المعطيات!$A$1:$J$3500,3,0)</f>
        <v>#N/A</v>
      </c>
      <c r="I873" s="1" t="s">
        <v>1484</v>
      </c>
      <c r="J873" s="1" t="s">
        <v>1485</v>
      </c>
      <c r="K873" s="4" t="e">
        <f>VLOOKUP(A873,المعطيات!$A$1:$J$3500,6,0)</f>
        <v>#N/A</v>
      </c>
      <c r="L873" s="1" t="s">
        <v>1486</v>
      </c>
      <c r="M873" s="1" t="s">
        <v>1487</v>
      </c>
      <c r="N873" s="4" t="e">
        <f t="shared" si="40"/>
        <v>#N/A</v>
      </c>
      <c r="O873" s="1" t="s">
        <v>1488</v>
      </c>
      <c r="P873" s="4" t="e">
        <f>VLOOKUP(A873,المعطيات!$A$1:$J$3500,4,0)</f>
        <v>#N/A</v>
      </c>
      <c r="Q873" s="1" t="s">
        <v>1489</v>
      </c>
      <c r="R873" s="1" t="s">
        <v>1480</v>
      </c>
      <c r="S873" s="6" t="e">
        <f t="shared" si="41"/>
        <v>#N/A</v>
      </c>
    </row>
    <row r="874" spans="2:19" x14ac:dyDescent="0.25">
      <c r="B874" s="1" t="s">
        <v>1479</v>
      </c>
      <c r="C874" s="1" t="s">
        <v>1481</v>
      </c>
      <c r="D874" s="4" t="e">
        <f>VLOOKUP(A874,المعطيات!$A$1:$J$3500,5,0)</f>
        <v>#N/A</v>
      </c>
      <c r="E874" s="1" t="s">
        <v>1482</v>
      </c>
      <c r="F874" s="5">
        <f t="shared" si="39"/>
        <v>0</v>
      </c>
      <c r="G874" s="5" t="s">
        <v>1483</v>
      </c>
      <c r="H874" s="4" t="e">
        <f>VLOOKUP(A874,المعطيات!$A$1:$J$3500,3,0)</f>
        <v>#N/A</v>
      </c>
      <c r="I874" s="1" t="s">
        <v>1484</v>
      </c>
      <c r="J874" s="1" t="s">
        <v>1485</v>
      </c>
      <c r="K874" s="4" t="e">
        <f>VLOOKUP(A874,المعطيات!$A$1:$J$3500,6,0)</f>
        <v>#N/A</v>
      </c>
      <c r="L874" s="1" t="s">
        <v>1486</v>
      </c>
      <c r="M874" s="1" t="s">
        <v>1487</v>
      </c>
      <c r="N874" s="4" t="e">
        <f t="shared" si="40"/>
        <v>#N/A</v>
      </c>
      <c r="O874" s="1" t="s">
        <v>1488</v>
      </c>
      <c r="P874" s="4" t="e">
        <f>VLOOKUP(A874,المعطيات!$A$1:$J$3500,4,0)</f>
        <v>#N/A</v>
      </c>
      <c r="Q874" s="1" t="s">
        <v>1489</v>
      </c>
      <c r="R874" s="1" t="s">
        <v>1480</v>
      </c>
      <c r="S874" s="6" t="e">
        <f t="shared" si="41"/>
        <v>#N/A</v>
      </c>
    </row>
    <row r="875" spans="2:19" x14ac:dyDescent="0.25">
      <c r="B875" s="1" t="s">
        <v>1479</v>
      </c>
      <c r="C875" s="1" t="s">
        <v>1481</v>
      </c>
      <c r="D875" s="4" t="e">
        <f>VLOOKUP(A875,المعطيات!$A$1:$J$3500,5,0)</f>
        <v>#N/A</v>
      </c>
      <c r="E875" s="1" t="s">
        <v>1482</v>
      </c>
      <c r="F875" s="5">
        <f t="shared" si="39"/>
        <v>0</v>
      </c>
      <c r="G875" s="5" t="s">
        <v>1483</v>
      </c>
      <c r="H875" s="4" t="e">
        <f>VLOOKUP(A875,المعطيات!$A$1:$J$3500,3,0)</f>
        <v>#N/A</v>
      </c>
      <c r="I875" s="1" t="s">
        <v>1484</v>
      </c>
      <c r="J875" s="1" t="s">
        <v>1485</v>
      </c>
      <c r="K875" s="4" t="e">
        <f>VLOOKUP(A875,المعطيات!$A$1:$J$3500,6,0)</f>
        <v>#N/A</v>
      </c>
      <c r="L875" s="1" t="s">
        <v>1486</v>
      </c>
      <c r="M875" s="1" t="s">
        <v>1487</v>
      </c>
      <c r="N875" s="4" t="e">
        <f t="shared" si="40"/>
        <v>#N/A</v>
      </c>
      <c r="O875" s="1" t="s">
        <v>1488</v>
      </c>
      <c r="P875" s="4" t="e">
        <f>VLOOKUP(A875,المعطيات!$A$1:$J$3500,4,0)</f>
        <v>#N/A</v>
      </c>
      <c r="Q875" s="1" t="s">
        <v>1489</v>
      </c>
      <c r="R875" s="1" t="s">
        <v>1480</v>
      </c>
      <c r="S875" s="6" t="e">
        <f t="shared" si="41"/>
        <v>#N/A</v>
      </c>
    </row>
    <row r="876" spans="2:19" x14ac:dyDescent="0.25">
      <c r="B876" s="1" t="s">
        <v>1479</v>
      </c>
      <c r="C876" s="1" t="s">
        <v>1481</v>
      </c>
      <c r="D876" s="4" t="e">
        <f>VLOOKUP(A876,المعطيات!$A$1:$J$3500,5,0)</f>
        <v>#N/A</v>
      </c>
      <c r="E876" s="1" t="s">
        <v>1482</v>
      </c>
      <c r="F876" s="5">
        <f t="shared" si="39"/>
        <v>0</v>
      </c>
      <c r="G876" s="5" t="s">
        <v>1483</v>
      </c>
      <c r="H876" s="4" t="e">
        <f>VLOOKUP(A876,المعطيات!$A$1:$J$3500,3,0)</f>
        <v>#N/A</v>
      </c>
      <c r="I876" s="1" t="s">
        <v>1484</v>
      </c>
      <c r="J876" s="1" t="s">
        <v>1485</v>
      </c>
      <c r="K876" s="4" t="e">
        <f>VLOOKUP(A876,المعطيات!$A$1:$J$3500,6,0)</f>
        <v>#N/A</v>
      </c>
      <c r="L876" s="1" t="s">
        <v>1486</v>
      </c>
      <c r="M876" s="1" t="s">
        <v>1487</v>
      </c>
      <c r="N876" s="4" t="e">
        <f t="shared" si="40"/>
        <v>#N/A</v>
      </c>
      <c r="O876" s="1" t="s">
        <v>1488</v>
      </c>
      <c r="P876" s="4" t="e">
        <f>VLOOKUP(A876,المعطيات!$A$1:$J$3500,4,0)</f>
        <v>#N/A</v>
      </c>
      <c r="Q876" s="1" t="s">
        <v>1489</v>
      </c>
      <c r="R876" s="1" t="s">
        <v>1480</v>
      </c>
      <c r="S876" s="6" t="e">
        <f t="shared" si="41"/>
        <v>#N/A</v>
      </c>
    </row>
    <row r="877" spans="2:19" x14ac:dyDescent="0.25">
      <c r="B877" s="1" t="s">
        <v>1479</v>
      </c>
      <c r="C877" s="1" t="s">
        <v>1481</v>
      </c>
      <c r="D877" s="4" t="e">
        <f>VLOOKUP(A877,المعطيات!$A$1:$J$3500,5,0)</f>
        <v>#N/A</v>
      </c>
      <c r="E877" s="1" t="s">
        <v>1482</v>
      </c>
      <c r="F877" s="5">
        <f t="shared" si="39"/>
        <v>0</v>
      </c>
      <c r="G877" s="5" t="s">
        <v>1483</v>
      </c>
      <c r="H877" s="4" t="e">
        <f>VLOOKUP(A877,المعطيات!$A$1:$J$3500,3,0)</f>
        <v>#N/A</v>
      </c>
      <c r="I877" s="1" t="s">
        <v>1484</v>
      </c>
      <c r="J877" s="1" t="s">
        <v>1485</v>
      </c>
      <c r="K877" s="4" t="e">
        <f>VLOOKUP(A877,المعطيات!$A$1:$J$3500,6,0)</f>
        <v>#N/A</v>
      </c>
      <c r="L877" s="1" t="s">
        <v>1486</v>
      </c>
      <c r="M877" s="1" t="s">
        <v>1487</v>
      </c>
      <c r="N877" s="4" t="e">
        <f t="shared" si="40"/>
        <v>#N/A</v>
      </c>
      <c r="O877" s="1" t="s">
        <v>1488</v>
      </c>
      <c r="P877" s="4" t="e">
        <f>VLOOKUP(A877,المعطيات!$A$1:$J$3500,4,0)</f>
        <v>#N/A</v>
      </c>
      <c r="Q877" s="1" t="s">
        <v>1489</v>
      </c>
      <c r="R877" s="1" t="s">
        <v>1480</v>
      </c>
      <c r="S877" s="6" t="e">
        <f t="shared" si="41"/>
        <v>#N/A</v>
      </c>
    </row>
    <row r="878" spans="2:19" x14ac:dyDescent="0.25">
      <c r="B878" s="1" t="s">
        <v>1479</v>
      </c>
      <c r="C878" s="1" t="s">
        <v>1481</v>
      </c>
      <c r="D878" s="4" t="e">
        <f>VLOOKUP(A878,المعطيات!$A$1:$J$3500,5,0)</f>
        <v>#N/A</v>
      </c>
      <c r="E878" s="1" t="s">
        <v>1482</v>
      </c>
      <c r="F878" s="5">
        <f t="shared" si="39"/>
        <v>0</v>
      </c>
      <c r="G878" s="5" t="s">
        <v>1483</v>
      </c>
      <c r="H878" s="4" t="e">
        <f>VLOOKUP(A878,المعطيات!$A$1:$J$3500,3,0)</f>
        <v>#N/A</v>
      </c>
      <c r="I878" s="1" t="s">
        <v>1484</v>
      </c>
      <c r="J878" s="1" t="s">
        <v>1485</v>
      </c>
      <c r="K878" s="4" t="e">
        <f>VLOOKUP(A878,المعطيات!$A$1:$J$3500,6,0)</f>
        <v>#N/A</v>
      </c>
      <c r="L878" s="1" t="s">
        <v>1486</v>
      </c>
      <c r="M878" s="1" t="s">
        <v>1487</v>
      </c>
      <c r="N878" s="4" t="e">
        <f t="shared" si="40"/>
        <v>#N/A</v>
      </c>
      <c r="O878" s="1" t="s">
        <v>1488</v>
      </c>
      <c r="P878" s="4" t="e">
        <f>VLOOKUP(A878,المعطيات!$A$1:$J$3500,4,0)</f>
        <v>#N/A</v>
      </c>
      <c r="Q878" s="1" t="s">
        <v>1489</v>
      </c>
      <c r="R878" s="1" t="s">
        <v>1480</v>
      </c>
      <c r="S878" s="6" t="e">
        <f t="shared" si="41"/>
        <v>#N/A</v>
      </c>
    </row>
    <row r="879" spans="2:19" x14ac:dyDescent="0.25">
      <c r="B879" s="1" t="s">
        <v>1479</v>
      </c>
      <c r="C879" s="1" t="s">
        <v>1481</v>
      </c>
      <c r="D879" s="4" t="e">
        <f>VLOOKUP(A879,المعطيات!$A$1:$J$3500,5,0)</f>
        <v>#N/A</v>
      </c>
      <c r="E879" s="1" t="s">
        <v>1482</v>
      </c>
      <c r="F879" s="5">
        <f t="shared" si="39"/>
        <v>0</v>
      </c>
      <c r="G879" s="5" t="s">
        <v>1483</v>
      </c>
      <c r="H879" s="4" t="e">
        <f>VLOOKUP(A879,المعطيات!$A$1:$J$3500,3,0)</f>
        <v>#N/A</v>
      </c>
      <c r="I879" s="1" t="s">
        <v>1484</v>
      </c>
      <c r="J879" s="1" t="s">
        <v>1485</v>
      </c>
      <c r="K879" s="4" t="e">
        <f>VLOOKUP(A879,المعطيات!$A$1:$J$3500,6,0)</f>
        <v>#N/A</v>
      </c>
      <c r="L879" s="1" t="s">
        <v>1486</v>
      </c>
      <c r="M879" s="1" t="s">
        <v>1487</v>
      </c>
      <c r="N879" s="4" t="e">
        <f t="shared" si="40"/>
        <v>#N/A</v>
      </c>
      <c r="O879" s="1" t="s">
        <v>1488</v>
      </c>
      <c r="P879" s="4" t="e">
        <f>VLOOKUP(A879,المعطيات!$A$1:$J$3500,4,0)</f>
        <v>#N/A</v>
      </c>
      <c r="Q879" s="1" t="s">
        <v>1489</v>
      </c>
      <c r="R879" s="1" t="s">
        <v>1480</v>
      </c>
      <c r="S879" s="6" t="e">
        <f t="shared" si="41"/>
        <v>#N/A</v>
      </c>
    </row>
    <row r="880" spans="2:19" x14ac:dyDescent="0.25">
      <c r="B880" s="1" t="s">
        <v>1479</v>
      </c>
      <c r="C880" s="1" t="s">
        <v>1481</v>
      </c>
      <c r="D880" s="4" t="e">
        <f>VLOOKUP(A880,المعطيات!$A$1:$J$3500,5,0)</f>
        <v>#N/A</v>
      </c>
      <c r="E880" s="1" t="s">
        <v>1482</v>
      </c>
      <c r="F880" s="5">
        <f t="shared" si="39"/>
        <v>0</v>
      </c>
      <c r="G880" s="5" t="s">
        <v>1483</v>
      </c>
      <c r="H880" s="4" t="e">
        <f>VLOOKUP(A880,المعطيات!$A$1:$J$3500,3,0)</f>
        <v>#N/A</v>
      </c>
      <c r="I880" s="1" t="s">
        <v>1484</v>
      </c>
      <c r="J880" s="1" t="s">
        <v>1485</v>
      </c>
      <c r="K880" s="4" t="e">
        <f>VLOOKUP(A880,المعطيات!$A$1:$J$3500,6,0)</f>
        <v>#N/A</v>
      </c>
      <c r="L880" s="1" t="s">
        <v>1486</v>
      </c>
      <c r="M880" s="1" t="s">
        <v>1487</v>
      </c>
      <c r="N880" s="4" t="e">
        <f t="shared" si="40"/>
        <v>#N/A</v>
      </c>
      <c r="O880" s="1" t="s">
        <v>1488</v>
      </c>
      <c r="P880" s="4" t="e">
        <f>VLOOKUP(A880,المعطيات!$A$1:$J$3500,4,0)</f>
        <v>#N/A</v>
      </c>
      <c r="Q880" s="1" t="s">
        <v>1489</v>
      </c>
      <c r="R880" s="1" t="s">
        <v>1480</v>
      </c>
      <c r="S880" s="6" t="e">
        <f t="shared" si="41"/>
        <v>#N/A</v>
      </c>
    </row>
    <row r="881" spans="2:19" x14ac:dyDescent="0.25">
      <c r="B881" s="1" t="s">
        <v>1479</v>
      </c>
      <c r="C881" s="1" t="s">
        <v>1481</v>
      </c>
      <c r="D881" s="4" t="e">
        <f>VLOOKUP(A881,المعطيات!$A$1:$J$3500,5,0)</f>
        <v>#N/A</v>
      </c>
      <c r="E881" s="1" t="s">
        <v>1482</v>
      </c>
      <c r="F881" s="5">
        <f t="shared" si="39"/>
        <v>0</v>
      </c>
      <c r="G881" s="5" t="s">
        <v>1483</v>
      </c>
      <c r="H881" s="4" t="e">
        <f>VLOOKUP(A881,المعطيات!$A$1:$J$3500,3,0)</f>
        <v>#N/A</v>
      </c>
      <c r="I881" s="1" t="s">
        <v>1484</v>
      </c>
      <c r="J881" s="1" t="s">
        <v>1485</v>
      </c>
      <c r="K881" s="4" t="e">
        <f>VLOOKUP(A881,المعطيات!$A$1:$J$3500,6,0)</f>
        <v>#N/A</v>
      </c>
      <c r="L881" s="1" t="s">
        <v>1486</v>
      </c>
      <c r="M881" s="1" t="s">
        <v>1487</v>
      </c>
      <c r="N881" s="4" t="e">
        <f t="shared" si="40"/>
        <v>#N/A</v>
      </c>
      <c r="O881" s="1" t="s">
        <v>1488</v>
      </c>
      <c r="P881" s="4" t="e">
        <f>VLOOKUP(A881,المعطيات!$A$1:$J$3500,4,0)</f>
        <v>#N/A</v>
      </c>
      <c r="Q881" s="1" t="s">
        <v>1489</v>
      </c>
      <c r="R881" s="1" t="s">
        <v>1480</v>
      </c>
      <c r="S881" s="6" t="e">
        <f t="shared" si="41"/>
        <v>#N/A</v>
      </c>
    </row>
    <row r="882" spans="2:19" x14ac:dyDescent="0.25">
      <c r="B882" s="1" t="s">
        <v>1479</v>
      </c>
      <c r="C882" s="1" t="s">
        <v>1481</v>
      </c>
      <c r="D882" s="4" t="e">
        <f>VLOOKUP(A882,المعطيات!$A$1:$J$3500,5,0)</f>
        <v>#N/A</v>
      </c>
      <c r="E882" s="1" t="s">
        <v>1482</v>
      </c>
      <c r="F882" s="5">
        <f t="shared" si="39"/>
        <v>0</v>
      </c>
      <c r="G882" s="5" t="s">
        <v>1483</v>
      </c>
      <c r="H882" s="4" t="e">
        <f>VLOOKUP(A882,المعطيات!$A$1:$J$3500,3,0)</f>
        <v>#N/A</v>
      </c>
      <c r="I882" s="1" t="s">
        <v>1484</v>
      </c>
      <c r="J882" s="1" t="s">
        <v>1485</v>
      </c>
      <c r="K882" s="4" t="e">
        <f>VLOOKUP(A882,المعطيات!$A$1:$J$3500,6,0)</f>
        <v>#N/A</v>
      </c>
      <c r="L882" s="1" t="s">
        <v>1486</v>
      </c>
      <c r="M882" s="1" t="s">
        <v>1487</v>
      </c>
      <c r="N882" s="4" t="e">
        <f t="shared" si="40"/>
        <v>#N/A</v>
      </c>
      <c r="O882" s="1" t="s">
        <v>1488</v>
      </c>
      <c r="P882" s="4" t="e">
        <f>VLOOKUP(A882,المعطيات!$A$1:$J$3500,4,0)</f>
        <v>#N/A</v>
      </c>
      <c r="Q882" s="1" t="s">
        <v>1489</v>
      </c>
      <c r="R882" s="1" t="s">
        <v>1480</v>
      </c>
      <c r="S882" s="6" t="e">
        <f t="shared" si="41"/>
        <v>#N/A</v>
      </c>
    </row>
    <row r="883" spans="2:19" x14ac:dyDescent="0.25">
      <c r="B883" s="1" t="s">
        <v>1479</v>
      </c>
      <c r="C883" s="1" t="s">
        <v>1481</v>
      </c>
      <c r="D883" s="4" t="e">
        <f>VLOOKUP(A883,المعطيات!$A$1:$J$3500,5,0)</f>
        <v>#N/A</v>
      </c>
      <c r="E883" s="1" t="s">
        <v>1482</v>
      </c>
      <c r="F883" s="5">
        <f t="shared" si="39"/>
        <v>0</v>
      </c>
      <c r="G883" s="5" t="s">
        <v>1483</v>
      </c>
      <c r="H883" s="4" t="e">
        <f>VLOOKUP(A883,المعطيات!$A$1:$J$3500,3,0)</f>
        <v>#N/A</v>
      </c>
      <c r="I883" s="1" t="s">
        <v>1484</v>
      </c>
      <c r="J883" s="1" t="s">
        <v>1485</v>
      </c>
      <c r="K883" s="4" t="e">
        <f>VLOOKUP(A883,المعطيات!$A$1:$J$3500,6,0)</f>
        <v>#N/A</v>
      </c>
      <c r="L883" s="1" t="s">
        <v>1486</v>
      </c>
      <c r="M883" s="1" t="s">
        <v>1487</v>
      </c>
      <c r="N883" s="4" t="e">
        <f t="shared" si="40"/>
        <v>#N/A</v>
      </c>
      <c r="O883" s="1" t="s">
        <v>1488</v>
      </c>
      <c r="P883" s="4" t="e">
        <f>VLOOKUP(A883,المعطيات!$A$1:$J$3500,4,0)</f>
        <v>#N/A</v>
      </c>
      <c r="Q883" s="1" t="s">
        <v>1489</v>
      </c>
      <c r="R883" s="1" t="s">
        <v>1480</v>
      </c>
      <c r="S883" s="6" t="e">
        <f t="shared" si="41"/>
        <v>#N/A</v>
      </c>
    </row>
    <row r="884" spans="2:19" x14ac:dyDescent="0.25">
      <c r="B884" s="1" t="s">
        <v>1479</v>
      </c>
      <c r="C884" s="1" t="s">
        <v>1481</v>
      </c>
      <c r="D884" s="4" t="e">
        <f>VLOOKUP(A884,المعطيات!$A$1:$J$3500,5,0)</f>
        <v>#N/A</v>
      </c>
      <c r="E884" s="1" t="s">
        <v>1482</v>
      </c>
      <c r="F884" s="5">
        <f t="shared" si="39"/>
        <v>0</v>
      </c>
      <c r="G884" s="5" t="s">
        <v>1483</v>
      </c>
      <c r="H884" s="4" t="e">
        <f>VLOOKUP(A884,المعطيات!$A$1:$J$3500,3,0)</f>
        <v>#N/A</v>
      </c>
      <c r="I884" s="1" t="s">
        <v>1484</v>
      </c>
      <c r="J884" s="1" t="s">
        <v>1485</v>
      </c>
      <c r="K884" s="4" t="e">
        <f>VLOOKUP(A884,المعطيات!$A$1:$J$3500,6,0)</f>
        <v>#N/A</v>
      </c>
      <c r="L884" s="1" t="s">
        <v>1486</v>
      </c>
      <c r="M884" s="1" t="s">
        <v>1487</v>
      </c>
      <c r="N884" s="4" t="e">
        <f t="shared" si="40"/>
        <v>#N/A</v>
      </c>
      <c r="O884" s="1" t="s">
        <v>1488</v>
      </c>
      <c r="P884" s="4" t="e">
        <f>VLOOKUP(A884,المعطيات!$A$1:$J$3500,4,0)</f>
        <v>#N/A</v>
      </c>
      <c r="Q884" s="1" t="s">
        <v>1489</v>
      </c>
      <c r="R884" s="1" t="s">
        <v>1480</v>
      </c>
      <c r="S884" s="6" t="e">
        <f t="shared" si="41"/>
        <v>#N/A</v>
      </c>
    </row>
    <row r="885" spans="2:19" x14ac:dyDescent="0.25">
      <c r="B885" s="1" t="s">
        <v>1479</v>
      </c>
      <c r="C885" s="1" t="s">
        <v>1481</v>
      </c>
      <c r="D885" s="4" t="e">
        <f>VLOOKUP(A885,المعطيات!$A$1:$J$3500,5,0)</f>
        <v>#N/A</v>
      </c>
      <c r="E885" s="1" t="s">
        <v>1482</v>
      </c>
      <c r="F885" s="5">
        <f t="shared" si="39"/>
        <v>0</v>
      </c>
      <c r="G885" s="5" t="s">
        <v>1483</v>
      </c>
      <c r="H885" s="4" t="e">
        <f>VLOOKUP(A885,المعطيات!$A$1:$J$3500,3,0)</f>
        <v>#N/A</v>
      </c>
      <c r="I885" s="1" t="s">
        <v>1484</v>
      </c>
      <c r="J885" s="1" t="s">
        <v>1485</v>
      </c>
      <c r="K885" s="4" t="e">
        <f>VLOOKUP(A885,المعطيات!$A$1:$J$3500,6,0)</f>
        <v>#N/A</v>
      </c>
      <c r="L885" s="1" t="s">
        <v>1486</v>
      </c>
      <c r="M885" s="1" t="s">
        <v>1487</v>
      </c>
      <c r="N885" s="4" t="e">
        <f t="shared" si="40"/>
        <v>#N/A</v>
      </c>
      <c r="O885" s="1" t="s">
        <v>1488</v>
      </c>
      <c r="P885" s="4" t="e">
        <f>VLOOKUP(A885,المعطيات!$A$1:$J$3500,4,0)</f>
        <v>#N/A</v>
      </c>
      <c r="Q885" s="1" t="s">
        <v>1489</v>
      </c>
      <c r="R885" s="1" t="s">
        <v>1480</v>
      </c>
      <c r="S885" s="6" t="e">
        <f t="shared" si="41"/>
        <v>#N/A</v>
      </c>
    </row>
    <row r="886" spans="2:19" x14ac:dyDescent="0.25">
      <c r="B886" s="1" t="s">
        <v>1479</v>
      </c>
      <c r="C886" s="1" t="s">
        <v>1481</v>
      </c>
      <c r="D886" s="4" t="e">
        <f>VLOOKUP(A886,المعطيات!$A$1:$J$3500,5,0)</f>
        <v>#N/A</v>
      </c>
      <c r="E886" s="1" t="s">
        <v>1482</v>
      </c>
      <c r="F886" s="5">
        <f t="shared" si="39"/>
        <v>0</v>
      </c>
      <c r="G886" s="5" t="s">
        <v>1483</v>
      </c>
      <c r="H886" s="4" t="e">
        <f>VLOOKUP(A886,المعطيات!$A$1:$J$3500,3,0)</f>
        <v>#N/A</v>
      </c>
      <c r="I886" s="1" t="s">
        <v>1484</v>
      </c>
      <c r="J886" s="1" t="s">
        <v>1485</v>
      </c>
      <c r="K886" s="4" t="e">
        <f>VLOOKUP(A886,المعطيات!$A$1:$J$3500,6,0)</f>
        <v>#N/A</v>
      </c>
      <c r="L886" s="1" t="s">
        <v>1486</v>
      </c>
      <c r="M886" s="1" t="s">
        <v>1487</v>
      </c>
      <c r="N886" s="4" t="e">
        <f t="shared" si="40"/>
        <v>#N/A</v>
      </c>
      <c r="O886" s="1" t="s">
        <v>1488</v>
      </c>
      <c r="P886" s="4" t="e">
        <f>VLOOKUP(A886,المعطيات!$A$1:$J$3500,4,0)</f>
        <v>#N/A</v>
      </c>
      <c r="Q886" s="1" t="s">
        <v>1489</v>
      </c>
      <c r="R886" s="1" t="s">
        <v>1480</v>
      </c>
      <c r="S886" s="6" t="e">
        <f t="shared" si="41"/>
        <v>#N/A</v>
      </c>
    </row>
    <row r="887" spans="2:19" x14ac:dyDescent="0.25">
      <c r="B887" s="1" t="s">
        <v>1479</v>
      </c>
      <c r="C887" s="1" t="s">
        <v>1481</v>
      </c>
      <c r="D887" s="4" t="e">
        <f>VLOOKUP(A887,المعطيات!$A$1:$J$3500,5,0)</f>
        <v>#N/A</v>
      </c>
      <c r="E887" s="1" t="s">
        <v>1482</v>
      </c>
      <c r="F887" s="5">
        <f t="shared" si="39"/>
        <v>0</v>
      </c>
      <c r="G887" s="5" t="s">
        <v>1483</v>
      </c>
      <c r="H887" s="4" t="e">
        <f>VLOOKUP(A887,المعطيات!$A$1:$J$3500,3,0)</f>
        <v>#N/A</v>
      </c>
      <c r="I887" s="1" t="s">
        <v>1484</v>
      </c>
      <c r="J887" s="1" t="s">
        <v>1485</v>
      </c>
      <c r="K887" s="4" t="e">
        <f>VLOOKUP(A887,المعطيات!$A$1:$J$3500,6,0)</f>
        <v>#N/A</v>
      </c>
      <c r="L887" s="1" t="s">
        <v>1486</v>
      </c>
      <c r="M887" s="1" t="s">
        <v>1487</v>
      </c>
      <c r="N887" s="4" t="e">
        <f t="shared" si="40"/>
        <v>#N/A</v>
      </c>
      <c r="O887" s="1" t="s">
        <v>1488</v>
      </c>
      <c r="P887" s="4" t="e">
        <f>VLOOKUP(A887,المعطيات!$A$1:$J$3500,4,0)</f>
        <v>#N/A</v>
      </c>
      <c r="Q887" s="1" t="s">
        <v>1489</v>
      </c>
      <c r="R887" s="1" t="s">
        <v>1480</v>
      </c>
      <c r="S887" s="6" t="e">
        <f t="shared" si="41"/>
        <v>#N/A</v>
      </c>
    </row>
    <row r="888" spans="2:19" x14ac:dyDescent="0.25">
      <c r="B888" s="1" t="s">
        <v>1479</v>
      </c>
      <c r="C888" s="1" t="s">
        <v>1481</v>
      </c>
      <c r="D888" s="4" t="e">
        <f>VLOOKUP(A888,المعطيات!$A$1:$J$3500,5,0)</f>
        <v>#N/A</v>
      </c>
      <c r="E888" s="1" t="s">
        <v>1482</v>
      </c>
      <c r="F888" s="5">
        <f t="shared" si="39"/>
        <v>0</v>
      </c>
      <c r="G888" s="5" t="s">
        <v>1483</v>
      </c>
      <c r="H888" s="4" t="e">
        <f>VLOOKUP(A888,المعطيات!$A$1:$J$3500,3,0)</f>
        <v>#N/A</v>
      </c>
      <c r="I888" s="1" t="s">
        <v>1484</v>
      </c>
      <c r="J888" s="1" t="s">
        <v>1485</v>
      </c>
      <c r="K888" s="4" t="e">
        <f>VLOOKUP(A888,المعطيات!$A$1:$J$3500,6,0)</f>
        <v>#N/A</v>
      </c>
      <c r="L888" s="1" t="s">
        <v>1486</v>
      </c>
      <c r="M888" s="1" t="s">
        <v>1487</v>
      </c>
      <c r="N888" s="4" t="e">
        <f t="shared" si="40"/>
        <v>#N/A</v>
      </c>
      <c r="O888" s="1" t="s">
        <v>1488</v>
      </c>
      <c r="P888" s="4" t="e">
        <f>VLOOKUP(A888,المعطيات!$A$1:$J$3500,4,0)</f>
        <v>#N/A</v>
      </c>
      <c r="Q888" s="1" t="s">
        <v>1489</v>
      </c>
      <c r="R888" s="1" t="s">
        <v>1480</v>
      </c>
      <c r="S888" s="6" t="e">
        <f t="shared" si="41"/>
        <v>#N/A</v>
      </c>
    </row>
    <row r="889" spans="2:19" x14ac:dyDescent="0.25">
      <c r="B889" s="1" t="s">
        <v>1479</v>
      </c>
      <c r="C889" s="1" t="s">
        <v>1481</v>
      </c>
      <c r="D889" s="4" t="e">
        <f>VLOOKUP(A889,المعطيات!$A$1:$J$3500,5,0)</f>
        <v>#N/A</v>
      </c>
      <c r="E889" s="1" t="s">
        <v>1482</v>
      </c>
      <c r="F889" s="5">
        <f t="shared" si="39"/>
        <v>0</v>
      </c>
      <c r="G889" s="5" t="s">
        <v>1483</v>
      </c>
      <c r="H889" s="4" t="e">
        <f>VLOOKUP(A889,المعطيات!$A$1:$J$3500,3,0)</f>
        <v>#N/A</v>
      </c>
      <c r="I889" s="1" t="s">
        <v>1484</v>
      </c>
      <c r="J889" s="1" t="s">
        <v>1485</v>
      </c>
      <c r="K889" s="4" t="e">
        <f>VLOOKUP(A889,المعطيات!$A$1:$J$3500,6,0)</f>
        <v>#N/A</v>
      </c>
      <c r="L889" s="1" t="s">
        <v>1486</v>
      </c>
      <c r="M889" s="1" t="s">
        <v>1487</v>
      </c>
      <c r="N889" s="4" t="e">
        <f t="shared" si="40"/>
        <v>#N/A</v>
      </c>
      <c r="O889" s="1" t="s">
        <v>1488</v>
      </c>
      <c r="P889" s="4" t="e">
        <f>VLOOKUP(A889,المعطيات!$A$1:$J$3500,4,0)</f>
        <v>#N/A</v>
      </c>
      <c r="Q889" s="1" t="s">
        <v>1489</v>
      </c>
      <c r="R889" s="1" t="s">
        <v>1480</v>
      </c>
      <c r="S889" s="6" t="e">
        <f t="shared" si="41"/>
        <v>#N/A</v>
      </c>
    </row>
    <row r="890" spans="2:19" x14ac:dyDescent="0.25">
      <c r="B890" s="1" t="s">
        <v>1479</v>
      </c>
      <c r="C890" s="1" t="s">
        <v>1481</v>
      </c>
      <c r="D890" s="4" t="e">
        <f>VLOOKUP(A890,المعطيات!$A$1:$J$3500,5,0)</f>
        <v>#N/A</v>
      </c>
      <c r="E890" s="1" t="s">
        <v>1482</v>
      </c>
      <c r="F890" s="5">
        <f t="shared" si="39"/>
        <v>0</v>
      </c>
      <c r="G890" s="5" t="s">
        <v>1483</v>
      </c>
      <c r="H890" s="4" t="e">
        <f>VLOOKUP(A890,المعطيات!$A$1:$J$3500,3,0)</f>
        <v>#N/A</v>
      </c>
      <c r="I890" s="1" t="s">
        <v>1484</v>
      </c>
      <c r="J890" s="1" t="s">
        <v>1485</v>
      </c>
      <c r="K890" s="4" t="e">
        <f>VLOOKUP(A890,المعطيات!$A$1:$J$3500,6,0)</f>
        <v>#N/A</v>
      </c>
      <c r="L890" s="1" t="s">
        <v>1486</v>
      </c>
      <c r="M890" s="1" t="s">
        <v>1487</v>
      </c>
      <c r="N890" s="4" t="e">
        <f t="shared" si="40"/>
        <v>#N/A</v>
      </c>
      <c r="O890" s="1" t="s">
        <v>1488</v>
      </c>
      <c r="P890" s="4" t="e">
        <f>VLOOKUP(A890,المعطيات!$A$1:$J$3500,4,0)</f>
        <v>#N/A</v>
      </c>
      <c r="Q890" s="1" t="s">
        <v>1489</v>
      </c>
      <c r="R890" s="1" t="s">
        <v>1480</v>
      </c>
      <c r="S890" s="6" t="e">
        <f t="shared" si="41"/>
        <v>#N/A</v>
      </c>
    </row>
    <row r="891" spans="2:19" x14ac:dyDescent="0.25">
      <c r="B891" s="1" t="s">
        <v>1479</v>
      </c>
      <c r="C891" s="1" t="s">
        <v>1481</v>
      </c>
      <c r="D891" s="4" t="e">
        <f>VLOOKUP(A891,المعطيات!$A$1:$J$3500,5,0)</f>
        <v>#N/A</v>
      </c>
      <c r="E891" s="1" t="s">
        <v>1482</v>
      </c>
      <c r="F891" s="5">
        <f t="shared" si="39"/>
        <v>0</v>
      </c>
      <c r="G891" s="5" t="s">
        <v>1483</v>
      </c>
      <c r="H891" s="4" t="e">
        <f>VLOOKUP(A891,المعطيات!$A$1:$J$3500,3,0)</f>
        <v>#N/A</v>
      </c>
      <c r="I891" s="1" t="s">
        <v>1484</v>
      </c>
      <c r="J891" s="1" t="s">
        <v>1485</v>
      </c>
      <c r="K891" s="4" t="e">
        <f>VLOOKUP(A891,المعطيات!$A$1:$J$3500,6,0)</f>
        <v>#N/A</v>
      </c>
      <c r="L891" s="1" t="s">
        <v>1486</v>
      </c>
      <c r="M891" s="1" t="s">
        <v>1487</v>
      </c>
      <c r="N891" s="4" t="e">
        <f t="shared" si="40"/>
        <v>#N/A</v>
      </c>
      <c r="O891" s="1" t="s">
        <v>1488</v>
      </c>
      <c r="P891" s="4" t="e">
        <f>VLOOKUP(A891,المعطيات!$A$1:$J$3500,4,0)</f>
        <v>#N/A</v>
      </c>
      <c r="Q891" s="1" t="s">
        <v>1489</v>
      </c>
      <c r="R891" s="1" t="s">
        <v>1480</v>
      </c>
      <c r="S891" s="6" t="e">
        <f t="shared" si="41"/>
        <v>#N/A</v>
      </c>
    </row>
    <row r="892" spans="2:19" x14ac:dyDescent="0.25">
      <c r="B892" s="1" t="s">
        <v>1479</v>
      </c>
      <c r="C892" s="1" t="s">
        <v>1481</v>
      </c>
      <c r="D892" s="4" t="e">
        <f>VLOOKUP(A892,المعطيات!$A$1:$J$3500,5,0)</f>
        <v>#N/A</v>
      </c>
      <c r="E892" s="1" t="s">
        <v>1482</v>
      </c>
      <c r="F892" s="5">
        <f t="shared" si="39"/>
        <v>0</v>
      </c>
      <c r="G892" s="5" t="s">
        <v>1483</v>
      </c>
      <c r="H892" s="4" t="e">
        <f>VLOOKUP(A892,المعطيات!$A$1:$J$3500,3,0)</f>
        <v>#N/A</v>
      </c>
      <c r="I892" s="1" t="s">
        <v>1484</v>
      </c>
      <c r="J892" s="1" t="s">
        <v>1485</v>
      </c>
      <c r="K892" s="4" t="e">
        <f>VLOOKUP(A892,المعطيات!$A$1:$J$3500,6,0)</f>
        <v>#N/A</v>
      </c>
      <c r="L892" s="1" t="s">
        <v>1486</v>
      </c>
      <c r="M892" s="1" t="s">
        <v>1487</v>
      </c>
      <c r="N892" s="4" t="e">
        <f t="shared" si="40"/>
        <v>#N/A</v>
      </c>
      <c r="O892" s="1" t="s">
        <v>1488</v>
      </c>
      <c r="P892" s="4" t="e">
        <f>VLOOKUP(A892,المعطيات!$A$1:$J$3500,4,0)</f>
        <v>#N/A</v>
      </c>
      <c r="Q892" s="1" t="s">
        <v>1489</v>
      </c>
      <c r="R892" s="1" t="s">
        <v>1480</v>
      </c>
      <c r="S892" s="6" t="e">
        <f t="shared" si="41"/>
        <v>#N/A</v>
      </c>
    </row>
    <row r="893" spans="2:19" x14ac:dyDescent="0.25">
      <c r="B893" s="1" t="s">
        <v>1479</v>
      </c>
      <c r="C893" s="1" t="s">
        <v>1481</v>
      </c>
      <c r="D893" s="4" t="e">
        <f>VLOOKUP(A893,المعطيات!$A$1:$J$3500,5,0)</f>
        <v>#N/A</v>
      </c>
      <c r="E893" s="1" t="s">
        <v>1482</v>
      </c>
      <c r="F893" s="5">
        <f t="shared" si="39"/>
        <v>0</v>
      </c>
      <c r="G893" s="5" t="s">
        <v>1483</v>
      </c>
      <c r="H893" s="4" t="e">
        <f>VLOOKUP(A893,المعطيات!$A$1:$J$3500,3,0)</f>
        <v>#N/A</v>
      </c>
      <c r="I893" s="1" t="s">
        <v>1484</v>
      </c>
      <c r="J893" s="1" t="s">
        <v>1485</v>
      </c>
      <c r="K893" s="4" t="e">
        <f>VLOOKUP(A893,المعطيات!$A$1:$J$3500,6,0)</f>
        <v>#N/A</v>
      </c>
      <c r="L893" s="1" t="s">
        <v>1486</v>
      </c>
      <c r="M893" s="1" t="s">
        <v>1487</v>
      </c>
      <c r="N893" s="4" t="e">
        <f t="shared" si="40"/>
        <v>#N/A</v>
      </c>
      <c r="O893" s="1" t="s">
        <v>1488</v>
      </c>
      <c r="P893" s="4" t="e">
        <f>VLOOKUP(A893,المعطيات!$A$1:$J$3500,4,0)</f>
        <v>#N/A</v>
      </c>
      <c r="Q893" s="1" t="s">
        <v>1489</v>
      </c>
      <c r="R893" s="1" t="s">
        <v>1480</v>
      </c>
      <c r="S893" s="6" t="e">
        <f t="shared" si="41"/>
        <v>#N/A</v>
      </c>
    </row>
    <row r="894" spans="2:19" x14ac:dyDescent="0.25">
      <c r="B894" s="1" t="s">
        <v>1479</v>
      </c>
      <c r="C894" s="1" t="s">
        <v>1481</v>
      </c>
      <c r="D894" s="4" t="e">
        <f>VLOOKUP(A894,المعطيات!$A$1:$J$3500,5,0)</f>
        <v>#N/A</v>
      </c>
      <c r="E894" s="1" t="s">
        <v>1482</v>
      </c>
      <c r="F894" s="5">
        <f t="shared" si="39"/>
        <v>0</v>
      </c>
      <c r="G894" s="5" t="s">
        <v>1483</v>
      </c>
      <c r="H894" s="4" t="e">
        <f>VLOOKUP(A894,المعطيات!$A$1:$J$3500,3,0)</f>
        <v>#N/A</v>
      </c>
      <c r="I894" s="1" t="s">
        <v>1484</v>
      </c>
      <c r="J894" s="1" t="s">
        <v>1485</v>
      </c>
      <c r="K894" s="4" t="e">
        <f>VLOOKUP(A894,المعطيات!$A$1:$J$3500,6,0)</f>
        <v>#N/A</v>
      </c>
      <c r="L894" s="1" t="s">
        <v>1486</v>
      </c>
      <c r="M894" s="1" t="s">
        <v>1487</v>
      </c>
      <c r="N894" s="4" t="e">
        <f t="shared" si="40"/>
        <v>#N/A</v>
      </c>
      <c r="O894" s="1" t="s">
        <v>1488</v>
      </c>
      <c r="P894" s="4" t="e">
        <f>VLOOKUP(A894,المعطيات!$A$1:$J$3500,4,0)</f>
        <v>#N/A</v>
      </c>
      <c r="Q894" s="1" t="s">
        <v>1489</v>
      </c>
      <c r="R894" s="1" t="s">
        <v>1480</v>
      </c>
      <c r="S894" s="6" t="e">
        <f t="shared" si="41"/>
        <v>#N/A</v>
      </c>
    </row>
    <row r="895" spans="2:19" x14ac:dyDescent="0.25">
      <c r="B895" s="1" t="s">
        <v>1479</v>
      </c>
      <c r="C895" s="1" t="s">
        <v>1481</v>
      </c>
      <c r="D895" s="4" t="e">
        <f>VLOOKUP(A895,المعطيات!$A$1:$J$3500,5,0)</f>
        <v>#N/A</v>
      </c>
      <c r="E895" s="1" t="s">
        <v>1482</v>
      </c>
      <c r="F895" s="5">
        <f t="shared" si="39"/>
        <v>0</v>
      </c>
      <c r="G895" s="5" t="s">
        <v>1483</v>
      </c>
      <c r="H895" s="4" t="e">
        <f>VLOOKUP(A895,المعطيات!$A$1:$J$3500,3,0)</f>
        <v>#N/A</v>
      </c>
      <c r="I895" s="1" t="s">
        <v>1484</v>
      </c>
      <c r="J895" s="1" t="s">
        <v>1485</v>
      </c>
      <c r="K895" s="4" t="e">
        <f>VLOOKUP(A895,المعطيات!$A$1:$J$3500,6,0)</f>
        <v>#N/A</v>
      </c>
      <c r="L895" s="1" t="s">
        <v>1486</v>
      </c>
      <c r="M895" s="1" t="s">
        <v>1487</v>
      </c>
      <c r="N895" s="4" t="e">
        <f t="shared" si="40"/>
        <v>#N/A</v>
      </c>
      <c r="O895" s="1" t="s">
        <v>1488</v>
      </c>
      <c r="P895" s="4" t="e">
        <f>VLOOKUP(A895,المعطيات!$A$1:$J$3500,4,0)</f>
        <v>#N/A</v>
      </c>
      <c r="Q895" s="1" t="s">
        <v>1489</v>
      </c>
      <c r="R895" s="1" t="s">
        <v>1480</v>
      </c>
      <c r="S895" s="6" t="e">
        <f t="shared" si="41"/>
        <v>#N/A</v>
      </c>
    </row>
    <row r="896" spans="2:19" x14ac:dyDescent="0.25">
      <c r="B896" s="1" t="s">
        <v>1479</v>
      </c>
      <c r="C896" s="1" t="s">
        <v>1481</v>
      </c>
      <c r="D896" s="4" t="e">
        <f>VLOOKUP(A896,المعطيات!$A$1:$J$3500,5,0)</f>
        <v>#N/A</v>
      </c>
      <c r="E896" s="1" t="s">
        <v>1482</v>
      </c>
      <c r="F896" s="5">
        <f t="shared" si="39"/>
        <v>0</v>
      </c>
      <c r="G896" s="5" t="s">
        <v>1483</v>
      </c>
      <c r="H896" s="4" t="e">
        <f>VLOOKUP(A896,المعطيات!$A$1:$J$3500,3,0)</f>
        <v>#N/A</v>
      </c>
      <c r="I896" s="1" t="s">
        <v>1484</v>
      </c>
      <c r="J896" s="1" t="s">
        <v>1485</v>
      </c>
      <c r="K896" s="4" t="e">
        <f>VLOOKUP(A896,المعطيات!$A$1:$J$3500,6,0)</f>
        <v>#N/A</v>
      </c>
      <c r="L896" s="1" t="s">
        <v>1486</v>
      </c>
      <c r="M896" s="1" t="s">
        <v>1487</v>
      </c>
      <c r="N896" s="4" t="e">
        <f t="shared" si="40"/>
        <v>#N/A</v>
      </c>
      <c r="O896" s="1" t="s">
        <v>1488</v>
      </c>
      <c r="P896" s="4" t="e">
        <f>VLOOKUP(A896,المعطيات!$A$1:$J$3500,4,0)</f>
        <v>#N/A</v>
      </c>
      <c r="Q896" s="1" t="s">
        <v>1489</v>
      </c>
      <c r="R896" s="1" t="s">
        <v>1480</v>
      </c>
      <c r="S896" s="6" t="e">
        <f t="shared" si="41"/>
        <v>#N/A</v>
      </c>
    </row>
    <row r="897" spans="2:19" x14ac:dyDescent="0.25">
      <c r="B897" s="1" t="s">
        <v>1479</v>
      </c>
      <c r="C897" s="1" t="s">
        <v>1481</v>
      </c>
      <c r="D897" s="4" t="e">
        <f>VLOOKUP(A897,المعطيات!$A$1:$J$3500,5,0)</f>
        <v>#N/A</v>
      </c>
      <c r="E897" s="1" t="s">
        <v>1482</v>
      </c>
      <c r="F897" s="5">
        <f t="shared" si="39"/>
        <v>0</v>
      </c>
      <c r="G897" s="5" t="s">
        <v>1483</v>
      </c>
      <c r="H897" s="4" t="e">
        <f>VLOOKUP(A897,المعطيات!$A$1:$J$3500,3,0)</f>
        <v>#N/A</v>
      </c>
      <c r="I897" s="1" t="s">
        <v>1484</v>
      </c>
      <c r="J897" s="1" t="s">
        <v>1485</v>
      </c>
      <c r="K897" s="4" t="e">
        <f>VLOOKUP(A897,المعطيات!$A$1:$J$3500,6,0)</f>
        <v>#N/A</v>
      </c>
      <c r="L897" s="1" t="s">
        <v>1486</v>
      </c>
      <c r="M897" s="1" t="s">
        <v>1487</v>
      </c>
      <c r="N897" s="4" t="e">
        <f t="shared" si="40"/>
        <v>#N/A</v>
      </c>
      <c r="O897" s="1" t="s">
        <v>1488</v>
      </c>
      <c r="P897" s="4" t="e">
        <f>VLOOKUP(A897,المعطيات!$A$1:$J$3500,4,0)</f>
        <v>#N/A</v>
      </c>
      <c r="Q897" s="1" t="s">
        <v>1489</v>
      </c>
      <c r="R897" s="1" t="s">
        <v>1480</v>
      </c>
      <c r="S897" s="6" t="e">
        <f t="shared" si="41"/>
        <v>#N/A</v>
      </c>
    </row>
    <row r="898" spans="2:19" x14ac:dyDescent="0.25">
      <c r="B898" s="1" t="s">
        <v>1479</v>
      </c>
      <c r="C898" s="1" t="s">
        <v>1481</v>
      </c>
      <c r="D898" s="4" t="e">
        <f>VLOOKUP(A898,المعطيات!$A$1:$J$3500,5,0)</f>
        <v>#N/A</v>
      </c>
      <c r="E898" s="1" t="s">
        <v>1482</v>
      </c>
      <c r="F898" s="5">
        <f t="shared" ref="F898:F961" si="42">A898</f>
        <v>0</v>
      </c>
      <c r="G898" s="5" t="s">
        <v>1483</v>
      </c>
      <c r="H898" s="4" t="e">
        <f>VLOOKUP(A898,المعطيات!$A$1:$J$3500,3,0)</f>
        <v>#N/A</v>
      </c>
      <c r="I898" s="1" t="s">
        <v>1484</v>
      </c>
      <c r="J898" s="1" t="s">
        <v>1485</v>
      </c>
      <c r="K898" s="4" t="e">
        <f>VLOOKUP(A898,المعطيات!$A$1:$J$3500,6,0)</f>
        <v>#N/A</v>
      </c>
      <c r="L898" s="1" t="s">
        <v>1486</v>
      </c>
      <c r="M898" s="1" t="s">
        <v>1487</v>
      </c>
      <c r="N898" s="4" t="e">
        <f t="shared" ref="N898:N961" si="43">D898</f>
        <v>#N/A</v>
      </c>
      <c r="O898" s="1" t="s">
        <v>1488</v>
      </c>
      <c r="P898" s="4" t="e">
        <f>VLOOKUP(A898,المعطيات!$A$1:$J$3500,4,0)</f>
        <v>#N/A</v>
      </c>
      <c r="Q898" s="1" t="s">
        <v>1489</v>
      </c>
      <c r="R898" s="1" t="s">
        <v>1480</v>
      </c>
      <c r="S898" s="6" t="e">
        <f t="shared" ref="S898:S961" si="44">B898&amp;""&amp;C898&amp;""&amp;D898&amp;""&amp;E898&amp;""&amp;F898&amp;""&amp;G898&amp;""&amp;H898&amp;""&amp;I898&amp;""&amp;J898&amp;""&amp;K898&amp;""&amp;L898&amp;""&amp;M898&amp;""&amp;N898&amp;""&amp;O898&amp;""&amp;P898&amp;""&amp;Q898&amp;""&amp;R898</f>
        <v>#N/A</v>
      </c>
    </row>
    <row r="899" spans="2:19" x14ac:dyDescent="0.25">
      <c r="B899" s="1" t="s">
        <v>1479</v>
      </c>
      <c r="C899" s="1" t="s">
        <v>1481</v>
      </c>
      <c r="D899" s="4" t="e">
        <f>VLOOKUP(A899,المعطيات!$A$1:$J$3500,5,0)</f>
        <v>#N/A</v>
      </c>
      <c r="E899" s="1" t="s">
        <v>1482</v>
      </c>
      <c r="F899" s="5">
        <f t="shared" si="42"/>
        <v>0</v>
      </c>
      <c r="G899" s="5" t="s">
        <v>1483</v>
      </c>
      <c r="H899" s="4" t="e">
        <f>VLOOKUP(A899,المعطيات!$A$1:$J$3500,3,0)</f>
        <v>#N/A</v>
      </c>
      <c r="I899" s="1" t="s">
        <v>1484</v>
      </c>
      <c r="J899" s="1" t="s">
        <v>1485</v>
      </c>
      <c r="K899" s="4" t="e">
        <f>VLOOKUP(A899,المعطيات!$A$1:$J$3500,6,0)</f>
        <v>#N/A</v>
      </c>
      <c r="L899" s="1" t="s">
        <v>1486</v>
      </c>
      <c r="M899" s="1" t="s">
        <v>1487</v>
      </c>
      <c r="N899" s="4" t="e">
        <f t="shared" si="43"/>
        <v>#N/A</v>
      </c>
      <c r="O899" s="1" t="s">
        <v>1488</v>
      </c>
      <c r="P899" s="4" t="e">
        <f>VLOOKUP(A899,المعطيات!$A$1:$J$3500,4,0)</f>
        <v>#N/A</v>
      </c>
      <c r="Q899" s="1" t="s">
        <v>1489</v>
      </c>
      <c r="R899" s="1" t="s">
        <v>1480</v>
      </c>
      <c r="S899" s="6" t="e">
        <f t="shared" si="44"/>
        <v>#N/A</v>
      </c>
    </row>
    <row r="900" spans="2:19" x14ac:dyDescent="0.25">
      <c r="B900" s="1" t="s">
        <v>1479</v>
      </c>
      <c r="C900" s="1" t="s">
        <v>1481</v>
      </c>
      <c r="D900" s="4" t="e">
        <f>VLOOKUP(A900,المعطيات!$A$1:$J$3500,5,0)</f>
        <v>#N/A</v>
      </c>
      <c r="E900" s="1" t="s">
        <v>1482</v>
      </c>
      <c r="F900" s="5">
        <f t="shared" si="42"/>
        <v>0</v>
      </c>
      <c r="G900" s="5" t="s">
        <v>1483</v>
      </c>
      <c r="H900" s="4" t="e">
        <f>VLOOKUP(A900,المعطيات!$A$1:$J$3500,3,0)</f>
        <v>#N/A</v>
      </c>
      <c r="I900" s="1" t="s">
        <v>1484</v>
      </c>
      <c r="J900" s="1" t="s">
        <v>1485</v>
      </c>
      <c r="K900" s="4" t="e">
        <f>VLOOKUP(A900,المعطيات!$A$1:$J$3500,6,0)</f>
        <v>#N/A</v>
      </c>
      <c r="L900" s="1" t="s">
        <v>1486</v>
      </c>
      <c r="M900" s="1" t="s">
        <v>1487</v>
      </c>
      <c r="N900" s="4" t="e">
        <f t="shared" si="43"/>
        <v>#N/A</v>
      </c>
      <c r="O900" s="1" t="s">
        <v>1488</v>
      </c>
      <c r="P900" s="4" t="e">
        <f>VLOOKUP(A900,المعطيات!$A$1:$J$3500,4,0)</f>
        <v>#N/A</v>
      </c>
      <c r="Q900" s="1" t="s">
        <v>1489</v>
      </c>
      <c r="R900" s="1" t="s">
        <v>1480</v>
      </c>
      <c r="S900" s="6" t="e">
        <f t="shared" si="44"/>
        <v>#N/A</v>
      </c>
    </row>
    <row r="901" spans="2:19" x14ac:dyDescent="0.25">
      <c r="B901" s="1" t="s">
        <v>1479</v>
      </c>
      <c r="C901" s="1" t="s">
        <v>1481</v>
      </c>
      <c r="D901" s="4" t="e">
        <f>VLOOKUP(A901,المعطيات!$A$1:$J$3500,5,0)</f>
        <v>#N/A</v>
      </c>
      <c r="E901" s="1" t="s">
        <v>1482</v>
      </c>
      <c r="F901" s="5">
        <f t="shared" si="42"/>
        <v>0</v>
      </c>
      <c r="G901" s="5" t="s">
        <v>1483</v>
      </c>
      <c r="H901" s="4" t="e">
        <f>VLOOKUP(A901,المعطيات!$A$1:$J$3500,3,0)</f>
        <v>#N/A</v>
      </c>
      <c r="I901" s="1" t="s">
        <v>1484</v>
      </c>
      <c r="J901" s="1" t="s">
        <v>1485</v>
      </c>
      <c r="K901" s="4" t="e">
        <f>VLOOKUP(A901,المعطيات!$A$1:$J$3500,6,0)</f>
        <v>#N/A</v>
      </c>
      <c r="L901" s="1" t="s">
        <v>1486</v>
      </c>
      <c r="M901" s="1" t="s">
        <v>1487</v>
      </c>
      <c r="N901" s="4" t="e">
        <f t="shared" si="43"/>
        <v>#N/A</v>
      </c>
      <c r="O901" s="1" t="s">
        <v>1488</v>
      </c>
      <c r="P901" s="4" t="e">
        <f>VLOOKUP(A901,المعطيات!$A$1:$J$3500,4,0)</f>
        <v>#N/A</v>
      </c>
      <c r="Q901" s="1" t="s">
        <v>1489</v>
      </c>
      <c r="R901" s="1" t="s">
        <v>1480</v>
      </c>
      <c r="S901" s="6" t="e">
        <f t="shared" si="44"/>
        <v>#N/A</v>
      </c>
    </row>
    <row r="902" spans="2:19" x14ac:dyDescent="0.25">
      <c r="B902" s="1" t="s">
        <v>1479</v>
      </c>
      <c r="C902" s="1" t="s">
        <v>1481</v>
      </c>
      <c r="D902" s="4" t="e">
        <f>VLOOKUP(A902,المعطيات!$A$1:$J$3500,5,0)</f>
        <v>#N/A</v>
      </c>
      <c r="E902" s="1" t="s">
        <v>1482</v>
      </c>
      <c r="F902" s="5">
        <f t="shared" si="42"/>
        <v>0</v>
      </c>
      <c r="G902" s="5" t="s">
        <v>1483</v>
      </c>
      <c r="H902" s="4" t="e">
        <f>VLOOKUP(A902,المعطيات!$A$1:$J$3500,3,0)</f>
        <v>#N/A</v>
      </c>
      <c r="I902" s="1" t="s">
        <v>1484</v>
      </c>
      <c r="J902" s="1" t="s">
        <v>1485</v>
      </c>
      <c r="K902" s="4" t="e">
        <f>VLOOKUP(A902,المعطيات!$A$1:$J$3500,6,0)</f>
        <v>#N/A</v>
      </c>
      <c r="L902" s="1" t="s">
        <v>1486</v>
      </c>
      <c r="M902" s="1" t="s">
        <v>1487</v>
      </c>
      <c r="N902" s="4" t="e">
        <f t="shared" si="43"/>
        <v>#N/A</v>
      </c>
      <c r="O902" s="1" t="s">
        <v>1488</v>
      </c>
      <c r="P902" s="4" t="e">
        <f>VLOOKUP(A902,المعطيات!$A$1:$J$3500,4,0)</f>
        <v>#N/A</v>
      </c>
      <c r="Q902" s="1" t="s">
        <v>1489</v>
      </c>
      <c r="R902" s="1" t="s">
        <v>1480</v>
      </c>
      <c r="S902" s="6" t="e">
        <f t="shared" si="44"/>
        <v>#N/A</v>
      </c>
    </row>
    <row r="903" spans="2:19" x14ac:dyDescent="0.25">
      <c r="B903" s="1" t="s">
        <v>1479</v>
      </c>
      <c r="C903" s="1" t="s">
        <v>1481</v>
      </c>
      <c r="D903" s="4" t="e">
        <f>VLOOKUP(A903,المعطيات!$A$1:$J$3500,5,0)</f>
        <v>#N/A</v>
      </c>
      <c r="E903" s="1" t="s">
        <v>1482</v>
      </c>
      <c r="F903" s="5">
        <f t="shared" si="42"/>
        <v>0</v>
      </c>
      <c r="G903" s="5" t="s">
        <v>1483</v>
      </c>
      <c r="H903" s="4" t="e">
        <f>VLOOKUP(A903,المعطيات!$A$1:$J$3500,3,0)</f>
        <v>#N/A</v>
      </c>
      <c r="I903" s="1" t="s">
        <v>1484</v>
      </c>
      <c r="J903" s="1" t="s">
        <v>1485</v>
      </c>
      <c r="K903" s="4" t="e">
        <f>VLOOKUP(A903,المعطيات!$A$1:$J$3500,6,0)</f>
        <v>#N/A</v>
      </c>
      <c r="L903" s="1" t="s">
        <v>1486</v>
      </c>
      <c r="M903" s="1" t="s">
        <v>1487</v>
      </c>
      <c r="N903" s="4" t="e">
        <f t="shared" si="43"/>
        <v>#N/A</v>
      </c>
      <c r="O903" s="1" t="s">
        <v>1488</v>
      </c>
      <c r="P903" s="4" t="e">
        <f>VLOOKUP(A903,المعطيات!$A$1:$J$3500,4,0)</f>
        <v>#N/A</v>
      </c>
      <c r="Q903" s="1" t="s">
        <v>1489</v>
      </c>
      <c r="R903" s="1" t="s">
        <v>1480</v>
      </c>
      <c r="S903" s="6" t="e">
        <f t="shared" si="44"/>
        <v>#N/A</v>
      </c>
    </row>
    <row r="904" spans="2:19" x14ac:dyDescent="0.25">
      <c r="B904" s="1" t="s">
        <v>1479</v>
      </c>
      <c r="C904" s="1" t="s">
        <v>1481</v>
      </c>
      <c r="D904" s="4" t="e">
        <f>VLOOKUP(A904,المعطيات!$A$1:$J$3500,5,0)</f>
        <v>#N/A</v>
      </c>
      <c r="E904" s="1" t="s">
        <v>1482</v>
      </c>
      <c r="F904" s="5">
        <f t="shared" si="42"/>
        <v>0</v>
      </c>
      <c r="G904" s="5" t="s">
        <v>1483</v>
      </c>
      <c r="H904" s="4" t="e">
        <f>VLOOKUP(A904,المعطيات!$A$1:$J$3500,3,0)</f>
        <v>#N/A</v>
      </c>
      <c r="I904" s="1" t="s">
        <v>1484</v>
      </c>
      <c r="J904" s="1" t="s">
        <v>1485</v>
      </c>
      <c r="K904" s="4" t="e">
        <f>VLOOKUP(A904,المعطيات!$A$1:$J$3500,6,0)</f>
        <v>#N/A</v>
      </c>
      <c r="L904" s="1" t="s">
        <v>1486</v>
      </c>
      <c r="M904" s="1" t="s">
        <v>1487</v>
      </c>
      <c r="N904" s="4" t="e">
        <f t="shared" si="43"/>
        <v>#N/A</v>
      </c>
      <c r="O904" s="1" t="s">
        <v>1488</v>
      </c>
      <c r="P904" s="4" t="e">
        <f>VLOOKUP(A904,المعطيات!$A$1:$J$3500,4,0)</f>
        <v>#N/A</v>
      </c>
      <c r="Q904" s="1" t="s">
        <v>1489</v>
      </c>
      <c r="R904" s="1" t="s">
        <v>1480</v>
      </c>
      <c r="S904" s="6" t="e">
        <f t="shared" si="44"/>
        <v>#N/A</v>
      </c>
    </row>
    <row r="905" spans="2:19" x14ac:dyDescent="0.25">
      <c r="B905" s="1" t="s">
        <v>1479</v>
      </c>
      <c r="C905" s="1" t="s">
        <v>1481</v>
      </c>
      <c r="D905" s="4" t="e">
        <f>VLOOKUP(A905,المعطيات!$A$1:$J$3500,5,0)</f>
        <v>#N/A</v>
      </c>
      <c r="E905" s="1" t="s">
        <v>1482</v>
      </c>
      <c r="F905" s="5">
        <f t="shared" si="42"/>
        <v>0</v>
      </c>
      <c r="G905" s="5" t="s">
        <v>1483</v>
      </c>
      <c r="H905" s="4" t="e">
        <f>VLOOKUP(A905,المعطيات!$A$1:$J$3500,3,0)</f>
        <v>#N/A</v>
      </c>
      <c r="I905" s="1" t="s">
        <v>1484</v>
      </c>
      <c r="J905" s="1" t="s">
        <v>1485</v>
      </c>
      <c r="K905" s="4" t="e">
        <f>VLOOKUP(A905,المعطيات!$A$1:$J$3500,6,0)</f>
        <v>#N/A</v>
      </c>
      <c r="L905" s="1" t="s">
        <v>1486</v>
      </c>
      <c r="M905" s="1" t="s">
        <v>1487</v>
      </c>
      <c r="N905" s="4" t="e">
        <f t="shared" si="43"/>
        <v>#N/A</v>
      </c>
      <c r="O905" s="1" t="s">
        <v>1488</v>
      </c>
      <c r="P905" s="4" t="e">
        <f>VLOOKUP(A905,المعطيات!$A$1:$J$3500,4,0)</f>
        <v>#N/A</v>
      </c>
      <c r="Q905" s="1" t="s">
        <v>1489</v>
      </c>
      <c r="R905" s="1" t="s">
        <v>1480</v>
      </c>
      <c r="S905" s="6" t="e">
        <f t="shared" si="44"/>
        <v>#N/A</v>
      </c>
    </row>
    <row r="906" spans="2:19" x14ac:dyDescent="0.25">
      <c r="B906" s="1" t="s">
        <v>1479</v>
      </c>
      <c r="C906" s="1" t="s">
        <v>1481</v>
      </c>
      <c r="D906" s="4" t="e">
        <f>VLOOKUP(A906,المعطيات!$A$1:$J$3500,5,0)</f>
        <v>#N/A</v>
      </c>
      <c r="E906" s="1" t="s">
        <v>1482</v>
      </c>
      <c r="F906" s="5">
        <f t="shared" si="42"/>
        <v>0</v>
      </c>
      <c r="G906" s="5" t="s">
        <v>1483</v>
      </c>
      <c r="H906" s="4" t="e">
        <f>VLOOKUP(A906,المعطيات!$A$1:$J$3500,3,0)</f>
        <v>#N/A</v>
      </c>
      <c r="I906" s="1" t="s">
        <v>1484</v>
      </c>
      <c r="J906" s="1" t="s">
        <v>1485</v>
      </c>
      <c r="K906" s="4" t="e">
        <f>VLOOKUP(A906,المعطيات!$A$1:$J$3500,6,0)</f>
        <v>#N/A</v>
      </c>
      <c r="L906" s="1" t="s">
        <v>1486</v>
      </c>
      <c r="M906" s="1" t="s">
        <v>1487</v>
      </c>
      <c r="N906" s="4" t="e">
        <f t="shared" si="43"/>
        <v>#N/A</v>
      </c>
      <c r="O906" s="1" t="s">
        <v>1488</v>
      </c>
      <c r="P906" s="4" t="e">
        <f>VLOOKUP(A906,المعطيات!$A$1:$J$3500,4,0)</f>
        <v>#N/A</v>
      </c>
      <c r="Q906" s="1" t="s">
        <v>1489</v>
      </c>
      <c r="R906" s="1" t="s">
        <v>1480</v>
      </c>
      <c r="S906" s="6" t="e">
        <f t="shared" si="44"/>
        <v>#N/A</v>
      </c>
    </row>
    <row r="907" spans="2:19" x14ac:dyDescent="0.25">
      <c r="B907" s="1" t="s">
        <v>1479</v>
      </c>
      <c r="C907" s="1" t="s">
        <v>1481</v>
      </c>
      <c r="D907" s="4" t="e">
        <f>VLOOKUP(A907,المعطيات!$A$1:$J$3500,5,0)</f>
        <v>#N/A</v>
      </c>
      <c r="E907" s="1" t="s">
        <v>1482</v>
      </c>
      <c r="F907" s="5">
        <f t="shared" si="42"/>
        <v>0</v>
      </c>
      <c r="G907" s="5" t="s">
        <v>1483</v>
      </c>
      <c r="H907" s="4" t="e">
        <f>VLOOKUP(A907,المعطيات!$A$1:$J$3500,3,0)</f>
        <v>#N/A</v>
      </c>
      <c r="I907" s="1" t="s">
        <v>1484</v>
      </c>
      <c r="J907" s="1" t="s">
        <v>1485</v>
      </c>
      <c r="K907" s="4" t="e">
        <f>VLOOKUP(A907,المعطيات!$A$1:$J$3500,6,0)</f>
        <v>#N/A</v>
      </c>
      <c r="L907" s="1" t="s">
        <v>1486</v>
      </c>
      <c r="M907" s="1" t="s">
        <v>1487</v>
      </c>
      <c r="N907" s="4" t="e">
        <f t="shared" si="43"/>
        <v>#N/A</v>
      </c>
      <c r="O907" s="1" t="s">
        <v>1488</v>
      </c>
      <c r="P907" s="4" t="e">
        <f>VLOOKUP(A907,المعطيات!$A$1:$J$3500,4,0)</f>
        <v>#N/A</v>
      </c>
      <c r="Q907" s="1" t="s">
        <v>1489</v>
      </c>
      <c r="R907" s="1" t="s">
        <v>1480</v>
      </c>
      <c r="S907" s="6" t="e">
        <f t="shared" si="44"/>
        <v>#N/A</v>
      </c>
    </row>
    <row r="908" spans="2:19" x14ac:dyDescent="0.25">
      <c r="B908" s="1" t="s">
        <v>1479</v>
      </c>
      <c r="C908" s="1" t="s">
        <v>1481</v>
      </c>
      <c r="D908" s="4" t="e">
        <f>VLOOKUP(A908,المعطيات!$A$1:$J$3500,5,0)</f>
        <v>#N/A</v>
      </c>
      <c r="E908" s="1" t="s">
        <v>1482</v>
      </c>
      <c r="F908" s="5">
        <f t="shared" si="42"/>
        <v>0</v>
      </c>
      <c r="G908" s="5" t="s">
        <v>1483</v>
      </c>
      <c r="H908" s="4" t="e">
        <f>VLOOKUP(A908,المعطيات!$A$1:$J$3500,3,0)</f>
        <v>#N/A</v>
      </c>
      <c r="I908" s="1" t="s">
        <v>1484</v>
      </c>
      <c r="J908" s="1" t="s">
        <v>1485</v>
      </c>
      <c r="K908" s="4" t="e">
        <f>VLOOKUP(A908,المعطيات!$A$1:$J$3500,6,0)</f>
        <v>#N/A</v>
      </c>
      <c r="L908" s="1" t="s">
        <v>1486</v>
      </c>
      <c r="M908" s="1" t="s">
        <v>1487</v>
      </c>
      <c r="N908" s="4" t="e">
        <f t="shared" si="43"/>
        <v>#N/A</v>
      </c>
      <c r="O908" s="1" t="s">
        <v>1488</v>
      </c>
      <c r="P908" s="4" t="e">
        <f>VLOOKUP(A908,المعطيات!$A$1:$J$3500,4,0)</f>
        <v>#N/A</v>
      </c>
      <c r="Q908" s="1" t="s">
        <v>1489</v>
      </c>
      <c r="R908" s="1" t="s">
        <v>1480</v>
      </c>
      <c r="S908" s="6" t="e">
        <f t="shared" si="44"/>
        <v>#N/A</v>
      </c>
    </row>
    <row r="909" spans="2:19" x14ac:dyDescent="0.25">
      <c r="B909" s="1" t="s">
        <v>1479</v>
      </c>
      <c r="C909" s="1" t="s">
        <v>1481</v>
      </c>
      <c r="D909" s="4" t="e">
        <f>VLOOKUP(A909,المعطيات!$A$1:$J$3500,5,0)</f>
        <v>#N/A</v>
      </c>
      <c r="E909" s="1" t="s">
        <v>1482</v>
      </c>
      <c r="F909" s="5">
        <f t="shared" si="42"/>
        <v>0</v>
      </c>
      <c r="G909" s="5" t="s">
        <v>1483</v>
      </c>
      <c r="H909" s="4" t="e">
        <f>VLOOKUP(A909,المعطيات!$A$1:$J$3500,3,0)</f>
        <v>#N/A</v>
      </c>
      <c r="I909" s="1" t="s">
        <v>1484</v>
      </c>
      <c r="J909" s="1" t="s">
        <v>1485</v>
      </c>
      <c r="K909" s="4" t="e">
        <f>VLOOKUP(A909,المعطيات!$A$1:$J$3500,6,0)</f>
        <v>#N/A</v>
      </c>
      <c r="L909" s="1" t="s">
        <v>1486</v>
      </c>
      <c r="M909" s="1" t="s">
        <v>1487</v>
      </c>
      <c r="N909" s="4" t="e">
        <f t="shared" si="43"/>
        <v>#N/A</v>
      </c>
      <c r="O909" s="1" t="s">
        <v>1488</v>
      </c>
      <c r="P909" s="4" t="e">
        <f>VLOOKUP(A909,المعطيات!$A$1:$J$3500,4,0)</f>
        <v>#N/A</v>
      </c>
      <c r="Q909" s="1" t="s">
        <v>1489</v>
      </c>
      <c r="R909" s="1" t="s">
        <v>1480</v>
      </c>
      <c r="S909" s="6" t="e">
        <f t="shared" si="44"/>
        <v>#N/A</v>
      </c>
    </row>
    <row r="910" spans="2:19" x14ac:dyDescent="0.25">
      <c r="B910" s="1" t="s">
        <v>1479</v>
      </c>
      <c r="C910" s="1" t="s">
        <v>1481</v>
      </c>
      <c r="D910" s="4" t="e">
        <f>VLOOKUP(A910,المعطيات!$A$1:$J$3500,5,0)</f>
        <v>#N/A</v>
      </c>
      <c r="E910" s="1" t="s">
        <v>1482</v>
      </c>
      <c r="F910" s="5">
        <f t="shared" si="42"/>
        <v>0</v>
      </c>
      <c r="G910" s="5" t="s">
        <v>1483</v>
      </c>
      <c r="H910" s="4" t="e">
        <f>VLOOKUP(A910,المعطيات!$A$1:$J$3500,3,0)</f>
        <v>#N/A</v>
      </c>
      <c r="I910" s="1" t="s">
        <v>1484</v>
      </c>
      <c r="J910" s="1" t="s">
        <v>1485</v>
      </c>
      <c r="K910" s="4" t="e">
        <f>VLOOKUP(A910,المعطيات!$A$1:$J$3500,6,0)</f>
        <v>#N/A</v>
      </c>
      <c r="L910" s="1" t="s">
        <v>1486</v>
      </c>
      <c r="M910" s="1" t="s">
        <v>1487</v>
      </c>
      <c r="N910" s="4" t="e">
        <f t="shared" si="43"/>
        <v>#N/A</v>
      </c>
      <c r="O910" s="1" t="s">
        <v>1488</v>
      </c>
      <c r="P910" s="4" t="e">
        <f>VLOOKUP(A910,المعطيات!$A$1:$J$3500,4,0)</f>
        <v>#N/A</v>
      </c>
      <c r="Q910" s="1" t="s">
        <v>1489</v>
      </c>
      <c r="R910" s="1" t="s">
        <v>1480</v>
      </c>
      <c r="S910" s="6" t="e">
        <f t="shared" si="44"/>
        <v>#N/A</v>
      </c>
    </row>
    <row r="911" spans="2:19" x14ac:dyDescent="0.25">
      <c r="B911" s="1" t="s">
        <v>1479</v>
      </c>
      <c r="C911" s="1" t="s">
        <v>1481</v>
      </c>
      <c r="D911" s="4" t="e">
        <f>VLOOKUP(A911,المعطيات!$A$1:$J$3500,5,0)</f>
        <v>#N/A</v>
      </c>
      <c r="E911" s="1" t="s">
        <v>1482</v>
      </c>
      <c r="F911" s="5">
        <f t="shared" si="42"/>
        <v>0</v>
      </c>
      <c r="G911" s="5" t="s">
        <v>1483</v>
      </c>
      <c r="H911" s="4" t="e">
        <f>VLOOKUP(A911,المعطيات!$A$1:$J$3500,3,0)</f>
        <v>#N/A</v>
      </c>
      <c r="I911" s="1" t="s">
        <v>1484</v>
      </c>
      <c r="J911" s="1" t="s">
        <v>1485</v>
      </c>
      <c r="K911" s="4" t="e">
        <f>VLOOKUP(A911,المعطيات!$A$1:$J$3500,6,0)</f>
        <v>#N/A</v>
      </c>
      <c r="L911" s="1" t="s">
        <v>1486</v>
      </c>
      <c r="M911" s="1" t="s">
        <v>1487</v>
      </c>
      <c r="N911" s="4" t="e">
        <f t="shared" si="43"/>
        <v>#N/A</v>
      </c>
      <c r="O911" s="1" t="s">
        <v>1488</v>
      </c>
      <c r="P911" s="4" t="e">
        <f>VLOOKUP(A911,المعطيات!$A$1:$J$3500,4,0)</f>
        <v>#N/A</v>
      </c>
      <c r="Q911" s="1" t="s">
        <v>1489</v>
      </c>
      <c r="R911" s="1" t="s">
        <v>1480</v>
      </c>
      <c r="S911" s="6" t="e">
        <f t="shared" si="44"/>
        <v>#N/A</v>
      </c>
    </row>
    <row r="912" spans="2:19" x14ac:dyDescent="0.25">
      <c r="B912" s="1" t="s">
        <v>1479</v>
      </c>
      <c r="C912" s="1" t="s">
        <v>1481</v>
      </c>
      <c r="D912" s="4" t="e">
        <f>VLOOKUP(A912,المعطيات!$A$1:$J$3500,5,0)</f>
        <v>#N/A</v>
      </c>
      <c r="E912" s="1" t="s">
        <v>1482</v>
      </c>
      <c r="F912" s="5">
        <f t="shared" si="42"/>
        <v>0</v>
      </c>
      <c r="G912" s="5" t="s">
        <v>1483</v>
      </c>
      <c r="H912" s="4" t="e">
        <f>VLOOKUP(A912,المعطيات!$A$1:$J$3500,3,0)</f>
        <v>#N/A</v>
      </c>
      <c r="I912" s="1" t="s">
        <v>1484</v>
      </c>
      <c r="J912" s="1" t="s">
        <v>1485</v>
      </c>
      <c r="K912" s="4" t="e">
        <f>VLOOKUP(A912,المعطيات!$A$1:$J$3500,6,0)</f>
        <v>#N/A</v>
      </c>
      <c r="L912" s="1" t="s">
        <v>1486</v>
      </c>
      <c r="M912" s="1" t="s">
        <v>1487</v>
      </c>
      <c r="N912" s="4" t="e">
        <f t="shared" si="43"/>
        <v>#N/A</v>
      </c>
      <c r="O912" s="1" t="s">
        <v>1488</v>
      </c>
      <c r="P912" s="4" t="e">
        <f>VLOOKUP(A912,المعطيات!$A$1:$J$3500,4,0)</f>
        <v>#N/A</v>
      </c>
      <c r="Q912" s="1" t="s">
        <v>1489</v>
      </c>
      <c r="R912" s="1" t="s">
        <v>1480</v>
      </c>
      <c r="S912" s="6" t="e">
        <f t="shared" si="44"/>
        <v>#N/A</v>
      </c>
    </row>
    <row r="913" spans="2:19" x14ac:dyDescent="0.25">
      <c r="B913" s="1" t="s">
        <v>1479</v>
      </c>
      <c r="C913" s="1" t="s">
        <v>1481</v>
      </c>
      <c r="D913" s="4" t="e">
        <f>VLOOKUP(A913,المعطيات!$A$1:$J$3500,5,0)</f>
        <v>#N/A</v>
      </c>
      <c r="E913" s="1" t="s">
        <v>1482</v>
      </c>
      <c r="F913" s="5">
        <f t="shared" si="42"/>
        <v>0</v>
      </c>
      <c r="G913" s="5" t="s">
        <v>1483</v>
      </c>
      <c r="H913" s="4" t="e">
        <f>VLOOKUP(A913,المعطيات!$A$1:$J$3500,3,0)</f>
        <v>#N/A</v>
      </c>
      <c r="I913" s="1" t="s">
        <v>1484</v>
      </c>
      <c r="J913" s="1" t="s">
        <v>1485</v>
      </c>
      <c r="K913" s="4" t="e">
        <f>VLOOKUP(A913,المعطيات!$A$1:$J$3500,6,0)</f>
        <v>#N/A</v>
      </c>
      <c r="L913" s="1" t="s">
        <v>1486</v>
      </c>
      <c r="M913" s="1" t="s">
        <v>1487</v>
      </c>
      <c r="N913" s="4" t="e">
        <f t="shared" si="43"/>
        <v>#N/A</v>
      </c>
      <c r="O913" s="1" t="s">
        <v>1488</v>
      </c>
      <c r="P913" s="4" t="e">
        <f>VLOOKUP(A913,المعطيات!$A$1:$J$3500,4,0)</f>
        <v>#N/A</v>
      </c>
      <c r="Q913" s="1" t="s">
        <v>1489</v>
      </c>
      <c r="R913" s="1" t="s">
        <v>1480</v>
      </c>
      <c r="S913" s="6" t="e">
        <f t="shared" si="44"/>
        <v>#N/A</v>
      </c>
    </row>
    <row r="914" spans="2:19" x14ac:dyDescent="0.25">
      <c r="B914" s="1" t="s">
        <v>1479</v>
      </c>
      <c r="C914" s="1" t="s">
        <v>1481</v>
      </c>
      <c r="D914" s="4" t="e">
        <f>VLOOKUP(A914,المعطيات!$A$1:$J$3500,5,0)</f>
        <v>#N/A</v>
      </c>
      <c r="E914" s="1" t="s">
        <v>1482</v>
      </c>
      <c r="F914" s="5">
        <f t="shared" si="42"/>
        <v>0</v>
      </c>
      <c r="G914" s="5" t="s">
        <v>1483</v>
      </c>
      <c r="H914" s="4" t="e">
        <f>VLOOKUP(A914,المعطيات!$A$1:$J$3500,3,0)</f>
        <v>#N/A</v>
      </c>
      <c r="I914" s="1" t="s">
        <v>1484</v>
      </c>
      <c r="J914" s="1" t="s">
        <v>1485</v>
      </c>
      <c r="K914" s="4" t="e">
        <f>VLOOKUP(A914,المعطيات!$A$1:$J$3500,6,0)</f>
        <v>#N/A</v>
      </c>
      <c r="L914" s="1" t="s">
        <v>1486</v>
      </c>
      <c r="M914" s="1" t="s">
        <v>1487</v>
      </c>
      <c r="N914" s="4" t="e">
        <f t="shared" si="43"/>
        <v>#N/A</v>
      </c>
      <c r="O914" s="1" t="s">
        <v>1488</v>
      </c>
      <c r="P914" s="4" t="e">
        <f>VLOOKUP(A914,المعطيات!$A$1:$J$3500,4,0)</f>
        <v>#N/A</v>
      </c>
      <c r="Q914" s="1" t="s">
        <v>1489</v>
      </c>
      <c r="R914" s="1" t="s">
        <v>1480</v>
      </c>
      <c r="S914" s="6" t="e">
        <f t="shared" si="44"/>
        <v>#N/A</v>
      </c>
    </row>
    <row r="915" spans="2:19" x14ac:dyDescent="0.25">
      <c r="B915" s="1" t="s">
        <v>1479</v>
      </c>
      <c r="C915" s="1" t="s">
        <v>1481</v>
      </c>
      <c r="D915" s="4" t="e">
        <f>VLOOKUP(A915,المعطيات!$A$1:$J$3500,5,0)</f>
        <v>#N/A</v>
      </c>
      <c r="E915" s="1" t="s">
        <v>1482</v>
      </c>
      <c r="F915" s="5">
        <f t="shared" si="42"/>
        <v>0</v>
      </c>
      <c r="G915" s="5" t="s">
        <v>1483</v>
      </c>
      <c r="H915" s="4" t="e">
        <f>VLOOKUP(A915,المعطيات!$A$1:$J$3500,3,0)</f>
        <v>#N/A</v>
      </c>
      <c r="I915" s="1" t="s">
        <v>1484</v>
      </c>
      <c r="J915" s="1" t="s">
        <v>1485</v>
      </c>
      <c r="K915" s="4" t="e">
        <f>VLOOKUP(A915,المعطيات!$A$1:$J$3500,6,0)</f>
        <v>#N/A</v>
      </c>
      <c r="L915" s="1" t="s">
        <v>1486</v>
      </c>
      <c r="M915" s="1" t="s">
        <v>1487</v>
      </c>
      <c r="N915" s="4" t="e">
        <f t="shared" si="43"/>
        <v>#N/A</v>
      </c>
      <c r="O915" s="1" t="s">
        <v>1488</v>
      </c>
      <c r="P915" s="4" t="e">
        <f>VLOOKUP(A915,المعطيات!$A$1:$J$3500,4,0)</f>
        <v>#N/A</v>
      </c>
      <c r="Q915" s="1" t="s">
        <v>1489</v>
      </c>
      <c r="R915" s="1" t="s">
        <v>1480</v>
      </c>
      <c r="S915" s="6" t="e">
        <f t="shared" si="44"/>
        <v>#N/A</v>
      </c>
    </row>
    <row r="916" spans="2:19" x14ac:dyDescent="0.25">
      <c r="B916" s="1" t="s">
        <v>1479</v>
      </c>
      <c r="C916" s="1" t="s">
        <v>1481</v>
      </c>
      <c r="D916" s="4" t="e">
        <f>VLOOKUP(A916,المعطيات!$A$1:$J$3500,5,0)</f>
        <v>#N/A</v>
      </c>
      <c r="E916" s="1" t="s">
        <v>1482</v>
      </c>
      <c r="F916" s="5">
        <f t="shared" si="42"/>
        <v>0</v>
      </c>
      <c r="G916" s="5" t="s">
        <v>1483</v>
      </c>
      <c r="H916" s="4" t="e">
        <f>VLOOKUP(A916,المعطيات!$A$1:$J$3500,3,0)</f>
        <v>#N/A</v>
      </c>
      <c r="I916" s="1" t="s">
        <v>1484</v>
      </c>
      <c r="J916" s="1" t="s">
        <v>1485</v>
      </c>
      <c r="K916" s="4" t="e">
        <f>VLOOKUP(A916,المعطيات!$A$1:$J$3500,6,0)</f>
        <v>#N/A</v>
      </c>
      <c r="L916" s="1" t="s">
        <v>1486</v>
      </c>
      <c r="M916" s="1" t="s">
        <v>1487</v>
      </c>
      <c r="N916" s="4" t="e">
        <f t="shared" si="43"/>
        <v>#N/A</v>
      </c>
      <c r="O916" s="1" t="s">
        <v>1488</v>
      </c>
      <c r="P916" s="4" t="e">
        <f>VLOOKUP(A916,المعطيات!$A$1:$J$3500,4,0)</f>
        <v>#N/A</v>
      </c>
      <c r="Q916" s="1" t="s">
        <v>1489</v>
      </c>
      <c r="R916" s="1" t="s">
        <v>1480</v>
      </c>
      <c r="S916" s="6" t="e">
        <f t="shared" si="44"/>
        <v>#N/A</v>
      </c>
    </row>
    <row r="917" spans="2:19" x14ac:dyDescent="0.25">
      <c r="B917" s="1" t="s">
        <v>1479</v>
      </c>
      <c r="C917" s="1" t="s">
        <v>1481</v>
      </c>
      <c r="D917" s="4" t="e">
        <f>VLOOKUP(A917,المعطيات!$A$1:$J$3500,5,0)</f>
        <v>#N/A</v>
      </c>
      <c r="E917" s="1" t="s">
        <v>1482</v>
      </c>
      <c r="F917" s="5">
        <f t="shared" si="42"/>
        <v>0</v>
      </c>
      <c r="G917" s="5" t="s">
        <v>1483</v>
      </c>
      <c r="H917" s="4" t="e">
        <f>VLOOKUP(A917,المعطيات!$A$1:$J$3500,3,0)</f>
        <v>#N/A</v>
      </c>
      <c r="I917" s="1" t="s">
        <v>1484</v>
      </c>
      <c r="J917" s="1" t="s">
        <v>1485</v>
      </c>
      <c r="K917" s="4" t="e">
        <f>VLOOKUP(A917,المعطيات!$A$1:$J$3500,6,0)</f>
        <v>#N/A</v>
      </c>
      <c r="L917" s="1" t="s">
        <v>1486</v>
      </c>
      <c r="M917" s="1" t="s">
        <v>1487</v>
      </c>
      <c r="N917" s="4" t="e">
        <f t="shared" si="43"/>
        <v>#N/A</v>
      </c>
      <c r="O917" s="1" t="s">
        <v>1488</v>
      </c>
      <c r="P917" s="4" t="e">
        <f>VLOOKUP(A917,المعطيات!$A$1:$J$3500,4,0)</f>
        <v>#N/A</v>
      </c>
      <c r="Q917" s="1" t="s">
        <v>1489</v>
      </c>
      <c r="R917" s="1" t="s">
        <v>1480</v>
      </c>
      <c r="S917" s="6" t="e">
        <f t="shared" si="44"/>
        <v>#N/A</v>
      </c>
    </row>
    <row r="918" spans="2:19" x14ac:dyDescent="0.25">
      <c r="B918" s="1" t="s">
        <v>1479</v>
      </c>
      <c r="C918" s="1" t="s">
        <v>1481</v>
      </c>
      <c r="D918" s="4" t="e">
        <f>VLOOKUP(A918,المعطيات!$A$1:$J$3500,5,0)</f>
        <v>#N/A</v>
      </c>
      <c r="E918" s="1" t="s">
        <v>1482</v>
      </c>
      <c r="F918" s="5">
        <f t="shared" si="42"/>
        <v>0</v>
      </c>
      <c r="G918" s="5" t="s">
        <v>1483</v>
      </c>
      <c r="H918" s="4" t="e">
        <f>VLOOKUP(A918,المعطيات!$A$1:$J$3500,3,0)</f>
        <v>#N/A</v>
      </c>
      <c r="I918" s="1" t="s">
        <v>1484</v>
      </c>
      <c r="J918" s="1" t="s">
        <v>1485</v>
      </c>
      <c r="K918" s="4" t="e">
        <f>VLOOKUP(A918,المعطيات!$A$1:$J$3500,6,0)</f>
        <v>#N/A</v>
      </c>
      <c r="L918" s="1" t="s">
        <v>1486</v>
      </c>
      <c r="M918" s="1" t="s">
        <v>1487</v>
      </c>
      <c r="N918" s="4" t="e">
        <f t="shared" si="43"/>
        <v>#N/A</v>
      </c>
      <c r="O918" s="1" t="s">
        <v>1488</v>
      </c>
      <c r="P918" s="4" t="e">
        <f>VLOOKUP(A918,المعطيات!$A$1:$J$3500,4,0)</f>
        <v>#N/A</v>
      </c>
      <c r="Q918" s="1" t="s">
        <v>1489</v>
      </c>
      <c r="R918" s="1" t="s">
        <v>1480</v>
      </c>
      <c r="S918" s="6" t="e">
        <f t="shared" si="44"/>
        <v>#N/A</v>
      </c>
    </row>
    <row r="919" spans="2:19" x14ac:dyDescent="0.25">
      <c r="B919" s="1" t="s">
        <v>1479</v>
      </c>
      <c r="C919" s="1" t="s">
        <v>1481</v>
      </c>
      <c r="D919" s="4" t="e">
        <f>VLOOKUP(A919,المعطيات!$A$1:$J$3500,5,0)</f>
        <v>#N/A</v>
      </c>
      <c r="E919" s="1" t="s">
        <v>1482</v>
      </c>
      <c r="F919" s="5">
        <f t="shared" si="42"/>
        <v>0</v>
      </c>
      <c r="G919" s="5" t="s">
        <v>1483</v>
      </c>
      <c r="H919" s="4" t="e">
        <f>VLOOKUP(A919,المعطيات!$A$1:$J$3500,3,0)</f>
        <v>#N/A</v>
      </c>
      <c r="I919" s="1" t="s">
        <v>1484</v>
      </c>
      <c r="J919" s="1" t="s">
        <v>1485</v>
      </c>
      <c r="K919" s="4" t="e">
        <f>VLOOKUP(A919,المعطيات!$A$1:$J$3500,6,0)</f>
        <v>#N/A</v>
      </c>
      <c r="L919" s="1" t="s">
        <v>1486</v>
      </c>
      <c r="M919" s="1" t="s">
        <v>1487</v>
      </c>
      <c r="N919" s="4" t="e">
        <f t="shared" si="43"/>
        <v>#N/A</v>
      </c>
      <c r="O919" s="1" t="s">
        <v>1488</v>
      </c>
      <c r="P919" s="4" t="e">
        <f>VLOOKUP(A919,المعطيات!$A$1:$J$3500,4,0)</f>
        <v>#N/A</v>
      </c>
      <c r="Q919" s="1" t="s">
        <v>1489</v>
      </c>
      <c r="R919" s="1" t="s">
        <v>1480</v>
      </c>
      <c r="S919" s="6" t="e">
        <f t="shared" si="44"/>
        <v>#N/A</v>
      </c>
    </row>
    <row r="920" spans="2:19" x14ac:dyDescent="0.25">
      <c r="B920" s="1" t="s">
        <v>1479</v>
      </c>
      <c r="C920" s="1" t="s">
        <v>1481</v>
      </c>
      <c r="D920" s="4" t="e">
        <f>VLOOKUP(A920,المعطيات!$A$1:$J$3500,5,0)</f>
        <v>#N/A</v>
      </c>
      <c r="E920" s="1" t="s">
        <v>1482</v>
      </c>
      <c r="F920" s="5">
        <f t="shared" si="42"/>
        <v>0</v>
      </c>
      <c r="G920" s="5" t="s">
        <v>1483</v>
      </c>
      <c r="H920" s="4" t="e">
        <f>VLOOKUP(A920,المعطيات!$A$1:$J$3500,3,0)</f>
        <v>#N/A</v>
      </c>
      <c r="I920" s="1" t="s">
        <v>1484</v>
      </c>
      <c r="J920" s="1" t="s">
        <v>1485</v>
      </c>
      <c r="K920" s="4" t="e">
        <f>VLOOKUP(A920,المعطيات!$A$1:$J$3500,6,0)</f>
        <v>#N/A</v>
      </c>
      <c r="L920" s="1" t="s">
        <v>1486</v>
      </c>
      <c r="M920" s="1" t="s">
        <v>1487</v>
      </c>
      <c r="N920" s="4" t="e">
        <f t="shared" si="43"/>
        <v>#N/A</v>
      </c>
      <c r="O920" s="1" t="s">
        <v>1488</v>
      </c>
      <c r="P920" s="4" t="e">
        <f>VLOOKUP(A920,المعطيات!$A$1:$J$3500,4,0)</f>
        <v>#N/A</v>
      </c>
      <c r="Q920" s="1" t="s">
        <v>1489</v>
      </c>
      <c r="R920" s="1" t="s">
        <v>1480</v>
      </c>
      <c r="S920" s="6" t="e">
        <f t="shared" si="44"/>
        <v>#N/A</v>
      </c>
    </row>
    <row r="921" spans="2:19" x14ac:dyDescent="0.25">
      <c r="B921" s="1" t="s">
        <v>1479</v>
      </c>
      <c r="C921" s="1" t="s">
        <v>1481</v>
      </c>
      <c r="D921" s="4" t="e">
        <f>VLOOKUP(A921,المعطيات!$A$1:$J$3500,5,0)</f>
        <v>#N/A</v>
      </c>
      <c r="E921" s="1" t="s">
        <v>1482</v>
      </c>
      <c r="F921" s="5">
        <f t="shared" si="42"/>
        <v>0</v>
      </c>
      <c r="G921" s="5" t="s">
        <v>1483</v>
      </c>
      <c r="H921" s="4" t="e">
        <f>VLOOKUP(A921,المعطيات!$A$1:$J$3500,3,0)</f>
        <v>#N/A</v>
      </c>
      <c r="I921" s="1" t="s">
        <v>1484</v>
      </c>
      <c r="J921" s="1" t="s">
        <v>1485</v>
      </c>
      <c r="K921" s="4" t="e">
        <f>VLOOKUP(A921,المعطيات!$A$1:$J$3500,6,0)</f>
        <v>#N/A</v>
      </c>
      <c r="L921" s="1" t="s">
        <v>1486</v>
      </c>
      <c r="M921" s="1" t="s">
        <v>1487</v>
      </c>
      <c r="N921" s="4" t="e">
        <f t="shared" si="43"/>
        <v>#N/A</v>
      </c>
      <c r="O921" s="1" t="s">
        <v>1488</v>
      </c>
      <c r="P921" s="4" t="e">
        <f>VLOOKUP(A921,المعطيات!$A$1:$J$3500,4,0)</f>
        <v>#N/A</v>
      </c>
      <c r="Q921" s="1" t="s">
        <v>1489</v>
      </c>
      <c r="R921" s="1" t="s">
        <v>1480</v>
      </c>
      <c r="S921" s="6" t="e">
        <f t="shared" si="44"/>
        <v>#N/A</v>
      </c>
    </row>
    <row r="922" spans="2:19" x14ac:dyDescent="0.25">
      <c r="B922" s="1" t="s">
        <v>1479</v>
      </c>
      <c r="C922" s="1" t="s">
        <v>1481</v>
      </c>
      <c r="D922" s="4" t="e">
        <f>VLOOKUP(A922,المعطيات!$A$1:$J$3500,5,0)</f>
        <v>#N/A</v>
      </c>
      <c r="E922" s="1" t="s">
        <v>1482</v>
      </c>
      <c r="F922" s="5">
        <f t="shared" si="42"/>
        <v>0</v>
      </c>
      <c r="G922" s="5" t="s">
        <v>1483</v>
      </c>
      <c r="H922" s="4" t="e">
        <f>VLOOKUP(A922,المعطيات!$A$1:$J$3500,3,0)</f>
        <v>#N/A</v>
      </c>
      <c r="I922" s="1" t="s">
        <v>1484</v>
      </c>
      <c r="J922" s="1" t="s">
        <v>1485</v>
      </c>
      <c r="K922" s="4" t="e">
        <f>VLOOKUP(A922,المعطيات!$A$1:$J$3500,6,0)</f>
        <v>#N/A</v>
      </c>
      <c r="L922" s="1" t="s">
        <v>1486</v>
      </c>
      <c r="M922" s="1" t="s">
        <v>1487</v>
      </c>
      <c r="N922" s="4" t="e">
        <f t="shared" si="43"/>
        <v>#N/A</v>
      </c>
      <c r="O922" s="1" t="s">
        <v>1488</v>
      </c>
      <c r="P922" s="4" t="e">
        <f>VLOOKUP(A922,المعطيات!$A$1:$J$3500,4,0)</f>
        <v>#N/A</v>
      </c>
      <c r="Q922" s="1" t="s">
        <v>1489</v>
      </c>
      <c r="R922" s="1" t="s">
        <v>1480</v>
      </c>
      <c r="S922" s="6" t="e">
        <f t="shared" si="44"/>
        <v>#N/A</v>
      </c>
    </row>
    <row r="923" spans="2:19" x14ac:dyDescent="0.25">
      <c r="B923" s="1" t="s">
        <v>1479</v>
      </c>
      <c r="C923" s="1" t="s">
        <v>1481</v>
      </c>
      <c r="D923" s="4" t="e">
        <f>VLOOKUP(A923,المعطيات!$A$1:$J$3500,5,0)</f>
        <v>#N/A</v>
      </c>
      <c r="E923" s="1" t="s">
        <v>1482</v>
      </c>
      <c r="F923" s="5">
        <f t="shared" si="42"/>
        <v>0</v>
      </c>
      <c r="G923" s="5" t="s">
        <v>1483</v>
      </c>
      <c r="H923" s="4" t="e">
        <f>VLOOKUP(A923,المعطيات!$A$1:$J$3500,3,0)</f>
        <v>#N/A</v>
      </c>
      <c r="I923" s="1" t="s">
        <v>1484</v>
      </c>
      <c r="J923" s="1" t="s">
        <v>1485</v>
      </c>
      <c r="K923" s="4" t="e">
        <f>VLOOKUP(A923,المعطيات!$A$1:$J$3500,6,0)</f>
        <v>#N/A</v>
      </c>
      <c r="L923" s="1" t="s">
        <v>1486</v>
      </c>
      <c r="M923" s="1" t="s">
        <v>1487</v>
      </c>
      <c r="N923" s="4" t="e">
        <f t="shared" si="43"/>
        <v>#N/A</v>
      </c>
      <c r="O923" s="1" t="s">
        <v>1488</v>
      </c>
      <c r="P923" s="4" t="e">
        <f>VLOOKUP(A923,المعطيات!$A$1:$J$3500,4,0)</f>
        <v>#N/A</v>
      </c>
      <c r="Q923" s="1" t="s">
        <v>1489</v>
      </c>
      <c r="R923" s="1" t="s">
        <v>1480</v>
      </c>
      <c r="S923" s="6" t="e">
        <f t="shared" si="44"/>
        <v>#N/A</v>
      </c>
    </row>
    <row r="924" spans="2:19" x14ac:dyDescent="0.25">
      <c r="B924" s="1" t="s">
        <v>1479</v>
      </c>
      <c r="C924" s="1" t="s">
        <v>1481</v>
      </c>
      <c r="D924" s="4" t="e">
        <f>VLOOKUP(A924,المعطيات!$A$1:$J$3500,5,0)</f>
        <v>#N/A</v>
      </c>
      <c r="E924" s="1" t="s">
        <v>1482</v>
      </c>
      <c r="F924" s="5">
        <f t="shared" si="42"/>
        <v>0</v>
      </c>
      <c r="G924" s="5" t="s">
        <v>1483</v>
      </c>
      <c r="H924" s="4" t="e">
        <f>VLOOKUP(A924,المعطيات!$A$1:$J$3500,3,0)</f>
        <v>#N/A</v>
      </c>
      <c r="I924" s="1" t="s">
        <v>1484</v>
      </c>
      <c r="J924" s="1" t="s">
        <v>1485</v>
      </c>
      <c r="K924" s="4" t="e">
        <f>VLOOKUP(A924,المعطيات!$A$1:$J$3500,6,0)</f>
        <v>#N/A</v>
      </c>
      <c r="L924" s="1" t="s">
        <v>1486</v>
      </c>
      <c r="M924" s="1" t="s">
        <v>1487</v>
      </c>
      <c r="N924" s="4" t="e">
        <f t="shared" si="43"/>
        <v>#N/A</v>
      </c>
      <c r="O924" s="1" t="s">
        <v>1488</v>
      </c>
      <c r="P924" s="4" t="e">
        <f>VLOOKUP(A924,المعطيات!$A$1:$J$3500,4,0)</f>
        <v>#N/A</v>
      </c>
      <c r="Q924" s="1" t="s">
        <v>1489</v>
      </c>
      <c r="R924" s="1" t="s">
        <v>1480</v>
      </c>
      <c r="S924" s="6" t="e">
        <f t="shared" si="44"/>
        <v>#N/A</v>
      </c>
    </row>
    <row r="925" spans="2:19" x14ac:dyDescent="0.25">
      <c r="B925" s="1" t="s">
        <v>1479</v>
      </c>
      <c r="C925" s="1" t="s">
        <v>1481</v>
      </c>
      <c r="D925" s="4" t="e">
        <f>VLOOKUP(A925,المعطيات!$A$1:$J$3500,5,0)</f>
        <v>#N/A</v>
      </c>
      <c r="E925" s="1" t="s">
        <v>1482</v>
      </c>
      <c r="F925" s="5">
        <f t="shared" si="42"/>
        <v>0</v>
      </c>
      <c r="G925" s="5" t="s">
        <v>1483</v>
      </c>
      <c r="H925" s="4" t="e">
        <f>VLOOKUP(A925,المعطيات!$A$1:$J$3500,3,0)</f>
        <v>#N/A</v>
      </c>
      <c r="I925" s="1" t="s">
        <v>1484</v>
      </c>
      <c r="J925" s="1" t="s">
        <v>1485</v>
      </c>
      <c r="K925" s="4" t="e">
        <f>VLOOKUP(A925,المعطيات!$A$1:$J$3500,6,0)</f>
        <v>#N/A</v>
      </c>
      <c r="L925" s="1" t="s">
        <v>1486</v>
      </c>
      <c r="M925" s="1" t="s">
        <v>1487</v>
      </c>
      <c r="N925" s="4" t="e">
        <f t="shared" si="43"/>
        <v>#N/A</v>
      </c>
      <c r="O925" s="1" t="s">
        <v>1488</v>
      </c>
      <c r="P925" s="4" t="e">
        <f>VLOOKUP(A925,المعطيات!$A$1:$J$3500,4,0)</f>
        <v>#N/A</v>
      </c>
      <c r="Q925" s="1" t="s">
        <v>1489</v>
      </c>
      <c r="R925" s="1" t="s">
        <v>1480</v>
      </c>
      <c r="S925" s="6" t="e">
        <f t="shared" si="44"/>
        <v>#N/A</v>
      </c>
    </row>
    <row r="926" spans="2:19" x14ac:dyDescent="0.25">
      <c r="B926" s="1" t="s">
        <v>1479</v>
      </c>
      <c r="C926" s="1" t="s">
        <v>1481</v>
      </c>
      <c r="D926" s="4" t="e">
        <f>VLOOKUP(A926,المعطيات!$A$1:$J$3500,5,0)</f>
        <v>#N/A</v>
      </c>
      <c r="E926" s="1" t="s">
        <v>1482</v>
      </c>
      <c r="F926" s="5">
        <f t="shared" si="42"/>
        <v>0</v>
      </c>
      <c r="G926" s="5" t="s">
        <v>1483</v>
      </c>
      <c r="H926" s="4" t="e">
        <f>VLOOKUP(A926,المعطيات!$A$1:$J$3500,3,0)</f>
        <v>#N/A</v>
      </c>
      <c r="I926" s="1" t="s">
        <v>1484</v>
      </c>
      <c r="J926" s="1" t="s">
        <v>1485</v>
      </c>
      <c r="K926" s="4" t="e">
        <f>VLOOKUP(A926,المعطيات!$A$1:$J$3500,6,0)</f>
        <v>#N/A</v>
      </c>
      <c r="L926" s="1" t="s">
        <v>1486</v>
      </c>
      <c r="M926" s="1" t="s">
        <v>1487</v>
      </c>
      <c r="N926" s="4" t="e">
        <f t="shared" si="43"/>
        <v>#N/A</v>
      </c>
      <c r="O926" s="1" t="s">
        <v>1488</v>
      </c>
      <c r="P926" s="4" t="e">
        <f>VLOOKUP(A926,المعطيات!$A$1:$J$3500,4,0)</f>
        <v>#N/A</v>
      </c>
      <c r="Q926" s="1" t="s">
        <v>1489</v>
      </c>
      <c r="R926" s="1" t="s">
        <v>1480</v>
      </c>
      <c r="S926" s="6" t="e">
        <f t="shared" si="44"/>
        <v>#N/A</v>
      </c>
    </row>
    <row r="927" spans="2:19" x14ac:dyDescent="0.25">
      <c r="B927" s="1" t="s">
        <v>1479</v>
      </c>
      <c r="C927" s="1" t="s">
        <v>1481</v>
      </c>
      <c r="D927" s="4" t="e">
        <f>VLOOKUP(A927,المعطيات!$A$1:$J$3500,5,0)</f>
        <v>#N/A</v>
      </c>
      <c r="E927" s="1" t="s">
        <v>1482</v>
      </c>
      <c r="F927" s="5">
        <f t="shared" si="42"/>
        <v>0</v>
      </c>
      <c r="G927" s="5" t="s">
        <v>1483</v>
      </c>
      <c r="H927" s="4" t="e">
        <f>VLOOKUP(A927,المعطيات!$A$1:$J$3500,3,0)</f>
        <v>#N/A</v>
      </c>
      <c r="I927" s="1" t="s">
        <v>1484</v>
      </c>
      <c r="J927" s="1" t="s">
        <v>1485</v>
      </c>
      <c r="K927" s="4" t="e">
        <f>VLOOKUP(A927,المعطيات!$A$1:$J$3500,6,0)</f>
        <v>#N/A</v>
      </c>
      <c r="L927" s="1" t="s">
        <v>1486</v>
      </c>
      <c r="M927" s="1" t="s">
        <v>1487</v>
      </c>
      <c r="N927" s="4" t="e">
        <f t="shared" si="43"/>
        <v>#N/A</v>
      </c>
      <c r="O927" s="1" t="s">
        <v>1488</v>
      </c>
      <c r="P927" s="4" t="e">
        <f>VLOOKUP(A927,المعطيات!$A$1:$J$3500,4,0)</f>
        <v>#N/A</v>
      </c>
      <c r="Q927" s="1" t="s">
        <v>1489</v>
      </c>
      <c r="R927" s="1" t="s">
        <v>1480</v>
      </c>
      <c r="S927" s="6" t="e">
        <f t="shared" si="44"/>
        <v>#N/A</v>
      </c>
    </row>
    <row r="928" spans="2:19" x14ac:dyDescent="0.25">
      <c r="B928" s="1" t="s">
        <v>1479</v>
      </c>
      <c r="C928" s="1" t="s">
        <v>1481</v>
      </c>
      <c r="D928" s="4" t="e">
        <f>VLOOKUP(A928,المعطيات!$A$1:$J$3500,5,0)</f>
        <v>#N/A</v>
      </c>
      <c r="E928" s="1" t="s">
        <v>1482</v>
      </c>
      <c r="F928" s="5">
        <f t="shared" si="42"/>
        <v>0</v>
      </c>
      <c r="G928" s="5" t="s">
        <v>1483</v>
      </c>
      <c r="H928" s="4" t="e">
        <f>VLOOKUP(A928,المعطيات!$A$1:$J$3500,3,0)</f>
        <v>#N/A</v>
      </c>
      <c r="I928" s="1" t="s">
        <v>1484</v>
      </c>
      <c r="J928" s="1" t="s">
        <v>1485</v>
      </c>
      <c r="K928" s="4" t="e">
        <f>VLOOKUP(A928,المعطيات!$A$1:$J$3500,6,0)</f>
        <v>#N/A</v>
      </c>
      <c r="L928" s="1" t="s">
        <v>1486</v>
      </c>
      <c r="M928" s="1" t="s">
        <v>1487</v>
      </c>
      <c r="N928" s="4" t="e">
        <f t="shared" si="43"/>
        <v>#N/A</v>
      </c>
      <c r="O928" s="1" t="s">
        <v>1488</v>
      </c>
      <c r="P928" s="4" t="e">
        <f>VLOOKUP(A928,المعطيات!$A$1:$J$3500,4,0)</f>
        <v>#N/A</v>
      </c>
      <c r="Q928" s="1" t="s">
        <v>1489</v>
      </c>
      <c r="R928" s="1" t="s">
        <v>1480</v>
      </c>
      <c r="S928" s="6" t="e">
        <f t="shared" si="44"/>
        <v>#N/A</v>
      </c>
    </row>
    <row r="929" spans="2:19" x14ac:dyDescent="0.25">
      <c r="B929" s="1" t="s">
        <v>1479</v>
      </c>
      <c r="C929" s="1" t="s">
        <v>1481</v>
      </c>
      <c r="D929" s="4" t="e">
        <f>VLOOKUP(A929,المعطيات!$A$1:$J$3500,5,0)</f>
        <v>#N/A</v>
      </c>
      <c r="E929" s="1" t="s">
        <v>1482</v>
      </c>
      <c r="F929" s="5">
        <f t="shared" si="42"/>
        <v>0</v>
      </c>
      <c r="G929" s="5" t="s">
        <v>1483</v>
      </c>
      <c r="H929" s="4" t="e">
        <f>VLOOKUP(A929,المعطيات!$A$1:$J$3500,3,0)</f>
        <v>#N/A</v>
      </c>
      <c r="I929" s="1" t="s">
        <v>1484</v>
      </c>
      <c r="J929" s="1" t="s">
        <v>1485</v>
      </c>
      <c r="K929" s="4" t="e">
        <f>VLOOKUP(A929,المعطيات!$A$1:$J$3500,6,0)</f>
        <v>#N/A</v>
      </c>
      <c r="L929" s="1" t="s">
        <v>1486</v>
      </c>
      <c r="M929" s="1" t="s">
        <v>1487</v>
      </c>
      <c r="N929" s="4" t="e">
        <f t="shared" si="43"/>
        <v>#N/A</v>
      </c>
      <c r="O929" s="1" t="s">
        <v>1488</v>
      </c>
      <c r="P929" s="4" t="e">
        <f>VLOOKUP(A929,المعطيات!$A$1:$J$3500,4,0)</f>
        <v>#N/A</v>
      </c>
      <c r="Q929" s="1" t="s">
        <v>1489</v>
      </c>
      <c r="R929" s="1" t="s">
        <v>1480</v>
      </c>
      <c r="S929" s="6" t="e">
        <f t="shared" si="44"/>
        <v>#N/A</v>
      </c>
    </row>
    <row r="930" spans="2:19" x14ac:dyDescent="0.25">
      <c r="B930" s="1" t="s">
        <v>1479</v>
      </c>
      <c r="C930" s="1" t="s">
        <v>1481</v>
      </c>
      <c r="D930" s="4" t="e">
        <f>VLOOKUP(A930,المعطيات!$A$1:$J$3500,5,0)</f>
        <v>#N/A</v>
      </c>
      <c r="E930" s="1" t="s">
        <v>1482</v>
      </c>
      <c r="F930" s="5">
        <f t="shared" si="42"/>
        <v>0</v>
      </c>
      <c r="G930" s="5" t="s">
        <v>1483</v>
      </c>
      <c r="H930" s="4" t="e">
        <f>VLOOKUP(A930,المعطيات!$A$1:$J$3500,3,0)</f>
        <v>#N/A</v>
      </c>
      <c r="I930" s="1" t="s">
        <v>1484</v>
      </c>
      <c r="J930" s="1" t="s">
        <v>1485</v>
      </c>
      <c r="K930" s="4" t="e">
        <f>VLOOKUP(A930,المعطيات!$A$1:$J$3500,6,0)</f>
        <v>#N/A</v>
      </c>
      <c r="L930" s="1" t="s">
        <v>1486</v>
      </c>
      <c r="M930" s="1" t="s">
        <v>1487</v>
      </c>
      <c r="N930" s="4" t="e">
        <f t="shared" si="43"/>
        <v>#N/A</v>
      </c>
      <c r="O930" s="1" t="s">
        <v>1488</v>
      </c>
      <c r="P930" s="4" t="e">
        <f>VLOOKUP(A930,المعطيات!$A$1:$J$3500,4,0)</f>
        <v>#N/A</v>
      </c>
      <c r="Q930" s="1" t="s">
        <v>1489</v>
      </c>
      <c r="R930" s="1" t="s">
        <v>1480</v>
      </c>
      <c r="S930" s="6" t="e">
        <f t="shared" si="44"/>
        <v>#N/A</v>
      </c>
    </row>
    <row r="931" spans="2:19" x14ac:dyDescent="0.25">
      <c r="B931" s="1" t="s">
        <v>1479</v>
      </c>
      <c r="C931" s="1" t="s">
        <v>1481</v>
      </c>
      <c r="D931" s="4" t="e">
        <f>VLOOKUP(A931,المعطيات!$A$1:$J$3500,5,0)</f>
        <v>#N/A</v>
      </c>
      <c r="E931" s="1" t="s">
        <v>1482</v>
      </c>
      <c r="F931" s="5">
        <f t="shared" si="42"/>
        <v>0</v>
      </c>
      <c r="G931" s="5" t="s">
        <v>1483</v>
      </c>
      <c r="H931" s="4" t="e">
        <f>VLOOKUP(A931,المعطيات!$A$1:$J$3500,3,0)</f>
        <v>#N/A</v>
      </c>
      <c r="I931" s="1" t="s">
        <v>1484</v>
      </c>
      <c r="J931" s="1" t="s">
        <v>1485</v>
      </c>
      <c r="K931" s="4" t="e">
        <f>VLOOKUP(A931,المعطيات!$A$1:$J$3500,6,0)</f>
        <v>#N/A</v>
      </c>
      <c r="L931" s="1" t="s">
        <v>1486</v>
      </c>
      <c r="M931" s="1" t="s">
        <v>1487</v>
      </c>
      <c r="N931" s="4" t="e">
        <f t="shared" si="43"/>
        <v>#N/A</v>
      </c>
      <c r="O931" s="1" t="s">
        <v>1488</v>
      </c>
      <c r="P931" s="4" t="e">
        <f>VLOOKUP(A931,المعطيات!$A$1:$J$3500,4,0)</f>
        <v>#N/A</v>
      </c>
      <c r="Q931" s="1" t="s">
        <v>1489</v>
      </c>
      <c r="R931" s="1" t="s">
        <v>1480</v>
      </c>
      <c r="S931" s="6" t="e">
        <f t="shared" si="44"/>
        <v>#N/A</v>
      </c>
    </row>
    <row r="932" spans="2:19" x14ac:dyDescent="0.25">
      <c r="B932" s="1" t="s">
        <v>1479</v>
      </c>
      <c r="C932" s="1" t="s">
        <v>1481</v>
      </c>
      <c r="D932" s="4" t="e">
        <f>VLOOKUP(A932,المعطيات!$A$1:$J$3500,5,0)</f>
        <v>#N/A</v>
      </c>
      <c r="E932" s="1" t="s">
        <v>1482</v>
      </c>
      <c r="F932" s="5">
        <f t="shared" si="42"/>
        <v>0</v>
      </c>
      <c r="G932" s="5" t="s">
        <v>1483</v>
      </c>
      <c r="H932" s="4" t="e">
        <f>VLOOKUP(A932,المعطيات!$A$1:$J$3500,3,0)</f>
        <v>#N/A</v>
      </c>
      <c r="I932" s="1" t="s">
        <v>1484</v>
      </c>
      <c r="J932" s="1" t="s">
        <v>1485</v>
      </c>
      <c r="K932" s="4" t="e">
        <f>VLOOKUP(A932,المعطيات!$A$1:$J$3500,6,0)</f>
        <v>#N/A</v>
      </c>
      <c r="L932" s="1" t="s">
        <v>1486</v>
      </c>
      <c r="M932" s="1" t="s">
        <v>1487</v>
      </c>
      <c r="N932" s="4" t="e">
        <f t="shared" si="43"/>
        <v>#N/A</v>
      </c>
      <c r="O932" s="1" t="s">
        <v>1488</v>
      </c>
      <c r="P932" s="4" t="e">
        <f>VLOOKUP(A932,المعطيات!$A$1:$J$3500,4,0)</f>
        <v>#N/A</v>
      </c>
      <c r="Q932" s="1" t="s">
        <v>1489</v>
      </c>
      <c r="R932" s="1" t="s">
        <v>1480</v>
      </c>
      <c r="S932" s="6" t="e">
        <f t="shared" si="44"/>
        <v>#N/A</v>
      </c>
    </row>
    <row r="933" spans="2:19" x14ac:dyDescent="0.25">
      <c r="B933" s="1" t="s">
        <v>1479</v>
      </c>
      <c r="C933" s="1" t="s">
        <v>1481</v>
      </c>
      <c r="D933" s="4" t="e">
        <f>VLOOKUP(A933,المعطيات!$A$1:$J$3500,5,0)</f>
        <v>#N/A</v>
      </c>
      <c r="E933" s="1" t="s">
        <v>1482</v>
      </c>
      <c r="F933" s="5">
        <f t="shared" si="42"/>
        <v>0</v>
      </c>
      <c r="G933" s="5" t="s">
        <v>1483</v>
      </c>
      <c r="H933" s="4" t="e">
        <f>VLOOKUP(A933,المعطيات!$A$1:$J$3500,3,0)</f>
        <v>#N/A</v>
      </c>
      <c r="I933" s="1" t="s">
        <v>1484</v>
      </c>
      <c r="J933" s="1" t="s">
        <v>1485</v>
      </c>
      <c r="K933" s="4" t="e">
        <f>VLOOKUP(A933,المعطيات!$A$1:$J$3500,6,0)</f>
        <v>#N/A</v>
      </c>
      <c r="L933" s="1" t="s">
        <v>1486</v>
      </c>
      <c r="M933" s="1" t="s">
        <v>1487</v>
      </c>
      <c r="N933" s="4" t="e">
        <f t="shared" si="43"/>
        <v>#N/A</v>
      </c>
      <c r="O933" s="1" t="s">
        <v>1488</v>
      </c>
      <c r="P933" s="4" t="e">
        <f>VLOOKUP(A933,المعطيات!$A$1:$J$3500,4,0)</f>
        <v>#N/A</v>
      </c>
      <c r="Q933" s="1" t="s">
        <v>1489</v>
      </c>
      <c r="R933" s="1" t="s">
        <v>1480</v>
      </c>
      <c r="S933" s="6" t="e">
        <f t="shared" si="44"/>
        <v>#N/A</v>
      </c>
    </row>
    <row r="934" spans="2:19" x14ac:dyDescent="0.25">
      <c r="B934" s="1" t="s">
        <v>1479</v>
      </c>
      <c r="C934" s="1" t="s">
        <v>1481</v>
      </c>
      <c r="D934" s="4" t="e">
        <f>VLOOKUP(A934,المعطيات!$A$1:$J$3500,5,0)</f>
        <v>#N/A</v>
      </c>
      <c r="E934" s="1" t="s">
        <v>1482</v>
      </c>
      <c r="F934" s="5">
        <f t="shared" si="42"/>
        <v>0</v>
      </c>
      <c r="G934" s="5" t="s">
        <v>1483</v>
      </c>
      <c r="H934" s="4" t="e">
        <f>VLOOKUP(A934,المعطيات!$A$1:$J$3500,3,0)</f>
        <v>#N/A</v>
      </c>
      <c r="I934" s="1" t="s">
        <v>1484</v>
      </c>
      <c r="J934" s="1" t="s">
        <v>1485</v>
      </c>
      <c r="K934" s="4" t="e">
        <f>VLOOKUP(A934,المعطيات!$A$1:$J$3500,6,0)</f>
        <v>#N/A</v>
      </c>
      <c r="L934" s="1" t="s">
        <v>1486</v>
      </c>
      <c r="M934" s="1" t="s">
        <v>1487</v>
      </c>
      <c r="N934" s="4" t="e">
        <f t="shared" si="43"/>
        <v>#N/A</v>
      </c>
      <c r="O934" s="1" t="s">
        <v>1488</v>
      </c>
      <c r="P934" s="4" t="e">
        <f>VLOOKUP(A934,المعطيات!$A$1:$J$3500,4,0)</f>
        <v>#N/A</v>
      </c>
      <c r="Q934" s="1" t="s">
        <v>1489</v>
      </c>
      <c r="R934" s="1" t="s">
        <v>1480</v>
      </c>
      <c r="S934" s="6" t="e">
        <f t="shared" si="44"/>
        <v>#N/A</v>
      </c>
    </row>
    <row r="935" spans="2:19" x14ac:dyDescent="0.25">
      <c r="B935" s="1" t="s">
        <v>1479</v>
      </c>
      <c r="C935" s="1" t="s">
        <v>1481</v>
      </c>
      <c r="D935" s="4" t="e">
        <f>VLOOKUP(A935,المعطيات!$A$1:$J$3500,5,0)</f>
        <v>#N/A</v>
      </c>
      <c r="E935" s="1" t="s">
        <v>1482</v>
      </c>
      <c r="F935" s="5">
        <f t="shared" si="42"/>
        <v>0</v>
      </c>
      <c r="G935" s="5" t="s">
        <v>1483</v>
      </c>
      <c r="H935" s="4" t="e">
        <f>VLOOKUP(A935,المعطيات!$A$1:$J$3500,3,0)</f>
        <v>#N/A</v>
      </c>
      <c r="I935" s="1" t="s">
        <v>1484</v>
      </c>
      <c r="J935" s="1" t="s">
        <v>1485</v>
      </c>
      <c r="K935" s="4" t="e">
        <f>VLOOKUP(A935,المعطيات!$A$1:$J$3500,6,0)</f>
        <v>#N/A</v>
      </c>
      <c r="L935" s="1" t="s">
        <v>1486</v>
      </c>
      <c r="M935" s="1" t="s">
        <v>1487</v>
      </c>
      <c r="N935" s="4" t="e">
        <f t="shared" si="43"/>
        <v>#N/A</v>
      </c>
      <c r="O935" s="1" t="s">
        <v>1488</v>
      </c>
      <c r="P935" s="4" t="e">
        <f>VLOOKUP(A935,المعطيات!$A$1:$J$3500,4,0)</f>
        <v>#N/A</v>
      </c>
      <c r="Q935" s="1" t="s">
        <v>1489</v>
      </c>
      <c r="R935" s="1" t="s">
        <v>1480</v>
      </c>
      <c r="S935" s="6" t="e">
        <f t="shared" si="44"/>
        <v>#N/A</v>
      </c>
    </row>
    <row r="936" spans="2:19" x14ac:dyDescent="0.25">
      <c r="B936" s="1" t="s">
        <v>1479</v>
      </c>
      <c r="C936" s="1" t="s">
        <v>1481</v>
      </c>
      <c r="D936" s="4" t="e">
        <f>VLOOKUP(A936,المعطيات!$A$1:$J$3500,5,0)</f>
        <v>#N/A</v>
      </c>
      <c r="E936" s="1" t="s">
        <v>1482</v>
      </c>
      <c r="F936" s="5">
        <f t="shared" si="42"/>
        <v>0</v>
      </c>
      <c r="G936" s="5" t="s">
        <v>1483</v>
      </c>
      <c r="H936" s="4" t="e">
        <f>VLOOKUP(A936,المعطيات!$A$1:$J$3500,3,0)</f>
        <v>#N/A</v>
      </c>
      <c r="I936" s="1" t="s">
        <v>1484</v>
      </c>
      <c r="J936" s="1" t="s">
        <v>1485</v>
      </c>
      <c r="K936" s="4" t="e">
        <f>VLOOKUP(A936,المعطيات!$A$1:$J$3500,6,0)</f>
        <v>#N/A</v>
      </c>
      <c r="L936" s="1" t="s">
        <v>1486</v>
      </c>
      <c r="M936" s="1" t="s">
        <v>1487</v>
      </c>
      <c r="N936" s="4" t="e">
        <f t="shared" si="43"/>
        <v>#N/A</v>
      </c>
      <c r="O936" s="1" t="s">
        <v>1488</v>
      </c>
      <c r="P936" s="4" t="e">
        <f>VLOOKUP(A936,المعطيات!$A$1:$J$3500,4,0)</f>
        <v>#N/A</v>
      </c>
      <c r="Q936" s="1" t="s">
        <v>1489</v>
      </c>
      <c r="R936" s="1" t="s">
        <v>1480</v>
      </c>
      <c r="S936" s="6" t="e">
        <f t="shared" si="44"/>
        <v>#N/A</v>
      </c>
    </row>
    <row r="937" spans="2:19" x14ac:dyDescent="0.25">
      <c r="B937" s="1" t="s">
        <v>1479</v>
      </c>
      <c r="C937" s="1" t="s">
        <v>1481</v>
      </c>
      <c r="D937" s="4" t="e">
        <f>VLOOKUP(A937,المعطيات!$A$1:$J$3500,5,0)</f>
        <v>#N/A</v>
      </c>
      <c r="E937" s="1" t="s">
        <v>1482</v>
      </c>
      <c r="F937" s="5">
        <f t="shared" si="42"/>
        <v>0</v>
      </c>
      <c r="G937" s="5" t="s">
        <v>1483</v>
      </c>
      <c r="H937" s="4" t="e">
        <f>VLOOKUP(A937,المعطيات!$A$1:$J$3500,3,0)</f>
        <v>#N/A</v>
      </c>
      <c r="I937" s="1" t="s">
        <v>1484</v>
      </c>
      <c r="J937" s="1" t="s">
        <v>1485</v>
      </c>
      <c r="K937" s="4" t="e">
        <f>VLOOKUP(A937,المعطيات!$A$1:$J$3500,6,0)</f>
        <v>#N/A</v>
      </c>
      <c r="L937" s="1" t="s">
        <v>1486</v>
      </c>
      <c r="M937" s="1" t="s">
        <v>1487</v>
      </c>
      <c r="N937" s="4" t="e">
        <f t="shared" si="43"/>
        <v>#N/A</v>
      </c>
      <c r="O937" s="1" t="s">
        <v>1488</v>
      </c>
      <c r="P937" s="4" t="e">
        <f>VLOOKUP(A937,المعطيات!$A$1:$J$3500,4,0)</f>
        <v>#N/A</v>
      </c>
      <c r="Q937" s="1" t="s">
        <v>1489</v>
      </c>
      <c r="R937" s="1" t="s">
        <v>1480</v>
      </c>
      <c r="S937" s="6" t="e">
        <f t="shared" si="44"/>
        <v>#N/A</v>
      </c>
    </row>
    <row r="938" spans="2:19" x14ac:dyDescent="0.25">
      <c r="B938" s="1" t="s">
        <v>1479</v>
      </c>
      <c r="C938" s="1" t="s">
        <v>1481</v>
      </c>
      <c r="D938" s="4" t="e">
        <f>VLOOKUP(A938,المعطيات!$A$1:$J$3500,5,0)</f>
        <v>#N/A</v>
      </c>
      <c r="E938" s="1" t="s">
        <v>1482</v>
      </c>
      <c r="F938" s="5">
        <f t="shared" si="42"/>
        <v>0</v>
      </c>
      <c r="G938" s="5" t="s">
        <v>1483</v>
      </c>
      <c r="H938" s="4" t="e">
        <f>VLOOKUP(A938,المعطيات!$A$1:$J$3500,3,0)</f>
        <v>#N/A</v>
      </c>
      <c r="I938" s="1" t="s">
        <v>1484</v>
      </c>
      <c r="J938" s="1" t="s">
        <v>1485</v>
      </c>
      <c r="K938" s="4" t="e">
        <f>VLOOKUP(A938,المعطيات!$A$1:$J$3500,6,0)</f>
        <v>#N/A</v>
      </c>
      <c r="L938" s="1" t="s">
        <v>1486</v>
      </c>
      <c r="M938" s="1" t="s">
        <v>1487</v>
      </c>
      <c r="N938" s="4" t="e">
        <f t="shared" si="43"/>
        <v>#N/A</v>
      </c>
      <c r="O938" s="1" t="s">
        <v>1488</v>
      </c>
      <c r="P938" s="4" t="e">
        <f>VLOOKUP(A938,المعطيات!$A$1:$J$3500,4,0)</f>
        <v>#N/A</v>
      </c>
      <c r="Q938" s="1" t="s">
        <v>1489</v>
      </c>
      <c r="R938" s="1" t="s">
        <v>1480</v>
      </c>
      <c r="S938" s="6" t="e">
        <f t="shared" si="44"/>
        <v>#N/A</v>
      </c>
    </row>
    <row r="939" spans="2:19" x14ac:dyDescent="0.25">
      <c r="B939" s="1" t="s">
        <v>1479</v>
      </c>
      <c r="C939" s="1" t="s">
        <v>1481</v>
      </c>
      <c r="D939" s="4" t="e">
        <f>VLOOKUP(A939,المعطيات!$A$1:$J$3500,5,0)</f>
        <v>#N/A</v>
      </c>
      <c r="E939" s="1" t="s">
        <v>1482</v>
      </c>
      <c r="F939" s="5">
        <f t="shared" si="42"/>
        <v>0</v>
      </c>
      <c r="G939" s="5" t="s">
        <v>1483</v>
      </c>
      <c r="H939" s="4" t="e">
        <f>VLOOKUP(A939,المعطيات!$A$1:$J$3500,3,0)</f>
        <v>#N/A</v>
      </c>
      <c r="I939" s="1" t="s">
        <v>1484</v>
      </c>
      <c r="J939" s="1" t="s">
        <v>1485</v>
      </c>
      <c r="K939" s="4" t="e">
        <f>VLOOKUP(A939,المعطيات!$A$1:$J$3500,6,0)</f>
        <v>#N/A</v>
      </c>
      <c r="L939" s="1" t="s">
        <v>1486</v>
      </c>
      <c r="M939" s="1" t="s">
        <v>1487</v>
      </c>
      <c r="N939" s="4" t="e">
        <f t="shared" si="43"/>
        <v>#N/A</v>
      </c>
      <c r="O939" s="1" t="s">
        <v>1488</v>
      </c>
      <c r="P939" s="4" t="e">
        <f>VLOOKUP(A939,المعطيات!$A$1:$J$3500,4,0)</f>
        <v>#N/A</v>
      </c>
      <c r="Q939" s="1" t="s">
        <v>1489</v>
      </c>
      <c r="R939" s="1" t="s">
        <v>1480</v>
      </c>
      <c r="S939" s="6" t="e">
        <f t="shared" si="44"/>
        <v>#N/A</v>
      </c>
    </row>
    <row r="940" spans="2:19" x14ac:dyDescent="0.25">
      <c r="B940" s="1" t="s">
        <v>1479</v>
      </c>
      <c r="C940" s="1" t="s">
        <v>1481</v>
      </c>
      <c r="D940" s="4" t="e">
        <f>VLOOKUP(A940,المعطيات!$A$1:$J$3500,5,0)</f>
        <v>#N/A</v>
      </c>
      <c r="E940" s="1" t="s">
        <v>1482</v>
      </c>
      <c r="F940" s="5">
        <f t="shared" si="42"/>
        <v>0</v>
      </c>
      <c r="G940" s="5" t="s">
        <v>1483</v>
      </c>
      <c r="H940" s="4" t="e">
        <f>VLOOKUP(A940,المعطيات!$A$1:$J$3500,3,0)</f>
        <v>#N/A</v>
      </c>
      <c r="I940" s="1" t="s">
        <v>1484</v>
      </c>
      <c r="J940" s="1" t="s">
        <v>1485</v>
      </c>
      <c r="K940" s="4" t="e">
        <f>VLOOKUP(A940,المعطيات!$A$1:$J$3500,6,0)</f>
        <v>#N/A</v>
      </c>
      <c r="L940" s="1" t="s">
        <v>1486</v>
      </c>
      <c r="M940" s="1" t="s">
        <v>1487</v>
      </c>
      <c r="N940" s="4" t="e">
        <f t="shared" si="43"/>
        <v>#N/A</v>
      </c>
      <c r="O940" s="1" t="s">
        <v>1488</v>
      </c>
      <c r="P940" s="4" t="e">
        <f>VLOOKUP(A940,المعطيات!$A$1:$J$3500,4,0)</f>
        <v>#N/A</v>
      </c>
      <c r="Q940" s="1" t="s">
        <v>1489</v>
      </c>
      <c r="R940" s="1" t="s">
        <v>1480</v>
      </c>
      <c r="S940" s="6" t="e">
        <f t="shared" si="44"/>
        <v>#N/A</v>
      </c>
    </row>
    <row r="941" spans="2:19" x14ac:dyDescent="0.25">
      <c r="B941" s="1" t="s">
        <v>1479</v>
      </c>
      <c r="C941" s="1" t="s">
        <v>1481</v>
      </c>
      <c r="D941" s="4" t="e">
        <f>VLOOKUP(A941,المعطيات!$A$1:$J$3500,5,0)</f>
        <v>#N/A</v>
      </c>
      <c r="E941" s="1" t="s">
        <v>1482</v>
      </c>
      <c r="F941" s="5">
        <f t="shared" si="42"/>
        <v>0</v>
      </c>
      <c r="G941" s="5" t="s">
        <v>1483</v>
      </c>
      <c r="H941" s="4" t="e">
        <f>VLOOKUP(A941,المعطيات!$A$1:$J$3500,3,0)</f>
        <v>#N/A</v>
      </c>
      <c r="I941" s="1" t="s">
        <v>1484</v>
      </c>
      <c r="J941" s="1" t="s">
        <v>1485</v>
      </c>
      <c r="K941" s="4" t="e">
        <f>VLOOKUP(A941,المعطيات!$A$1:$J$3500,6,0)</f>
        <v>#N/A</v>
      </c>
      <c r="L941" s="1" t="s">
        <v>1486</v>
      </c>
      <c r="M941" s="1" t="s">
        <v>1487</v>
      </c>
      <c r="N941" s="4" t="e">
        <f t="shared" si="43"/>
        <v>#N/A</v>
      </c>
      <c r="O941" s="1" t="s">
        <v>1488</v>
      </c>
      <c r="P941" s="4" t="e">
        <f>VLOOKUP(A941,المعطيات!$A$1:$J$3500,4,0)</f>
        <v>#N/A</v>
      </c>
      <c r="Q941" s="1" t="s">
        <v>1489</v>
      </c>
      <c r="R941" s="1" t="s">
        <v>1480</v>
      </c>
      <c r="S941" s="6" t="e">
        <f t="shared" si="44"/>
        <v>#N/A</v>
      </c>
    </row>
    <row r="942" spans="2:19" x14ac:dyDescent="0.25">
      <c r="B942" s="1" t="s">
        <v>1479</v>
      </c>
      <c r="C942" s="1" t="s">
        <v>1481</v>
      </c>
      <c r="D942" s="4" t="e">
        <f>VLOOKUP(A942,المعطيات!$A$1:$J$3500,5,0)</f>
        <v>#N/A</v>
      </c>
      <c r="E942" s="1" t="s">
        <v>1482</v>
      </c>
      <c r="F942" s="5">
        <f t="shared" si="42"/>
        <v>0</v>
      </c>
      <c r="G942" s="5" t="s">
        <v>1483</v>
      </c>
      <c r="H942" s="4" t="e">
        <f>VLOOKUP(A942,المعطيات!$A$1:$J$3500,3,0)</f>
        <v>#N/A</v>
      </c>
      <c r="I942" s="1" t="s">
        <v>1484</v>
      </c>
      <c r="J942" s="1" t="s">
        <v>1485</v>
      </c>
      <c r="K942" s="4" t="e">
        <f>VLOOKUP(A942,المعطيات!$A$1:$J$3500,6,0)</f>
        <v>#N/A</v>
      </c>
      <c r="L942" s="1" t="s">
        <v>1486</v>
      </c>
      <c r="M942" s="1" t="s">
        <v>1487</v>
      </c>
      <c r="N942" s="4" t="e">
        <f t="shared" si="43"/>
        <v>#N/A</v>
      </c>
      <c r="O942" s="1" t="s">
        <v>1488</v>
      </c>
      <c r="P942" s="4" t="e">
        <f>VLOOKUP(A942,المعطيات!$A$1:$J$3500,4,0)</f>
        <v>#N/A</v>
      </c>
      <c r="Q942" s="1" t="s">
        <v>1489</v>
      </c>
      <c r="R942" s="1" t="s">
        <v>1480</v>
      </c>
      <c r="S942" s="6" t="e">
        <f t="shared" si="44"/>
        <v>#N/A</v>
      </c>
    </row>
    <row r="943" spans="2:19" x14ac:dyDescent="0.25">
      <c r="B943" s="1" t="s">
        <v>1479</v>
      </c>
      <c r="C943" s="1" t="s">
        <v>1481</v>
      </c>
      <c r="D943" s="4" t="e">
        <f>VLOOKUP(A943,المعطيات!$A$1:$J$3500,5,0)</f>
        <v>#N/A</v>
      </c>
      <c r="E943" s="1" t="s">
        <v>1482</v>
      </c>
      <c r="F943" s="5">
        <f t="shared" si="42"/>
        <v>0</v>
      </c>
      <c r="G943" s="5" t="s">
        <v>1483</v>
      </c>
      <c r="H943" s="4" t="e">
        <f>VLOOKUP(A943,المعطيات!$A$1:$J$3500,3,0)</f>
        <v>#N/A</v>
      </c>
      <c r="I943" s="1" t="s">
        <v>1484</v>
      </c>
      <c r="J943" s="1" t="s">
        <v>1485</v>
      </c>
      <c r="K943" s="4" t="e">
        <f>VLOOKUP(A943,المعطيات!$A$1:$J$3500,6,0)</f>
        <v>#N/A</v>
      </c>
      <c r="L943" s="1" t="s">
        <v>1486</v>
      </c>
      <c r="M943" s="1" t="s">
        <v>1487</v>
      </c>
      <c r="N943" s="4" t="e">
        <f t="shared" si="43"/>
        <v>#N/A</v>
      </c>
      <c r="O943" s="1" t="s">
        <v>1488</v>
      </c>
      <c r="P943" s="4" t="e">
        <f>VLOOKUP(A943,المعطيات!$A$1:$J$3500,4,0)</f>
        <v>#N/A</v>
      </c>
      <c r="Q943" s="1" t="s">
        <v>1489</v>
      </c>
      <c r="R943" s="1" t="s">
        <v>1480</v>
      </c>
      <c r="S943" s="6" t="e">
        <f t="shared" si="44"/>
        <v>#N/A</v>
      </c>
    </row>
    <row r="944" spans="2:19" x14ac:dyDescent="0.25">
      <c r="B944" s="1" t="s">
        <v>1479</v>
      </c>
      <c r="C944" s="1" t="s">
        <v>1481</v>
      </c>
      <c r="D944" s="4" t="e">
        <f>VLOOKUP(A944,المعطيات!$A$1:$J$3500,5,0)</f>
        <v>#N/A</v>
      </c>
      <c r="E944" s="1" t="s">
        <v>1482</v>
      </c>
      <c r="F944" s="5">
        <f t="shared" si="42"/>
        <v>0</v>
      </c>
      <c r="G944" s="5" t="s">
        <v>1483</v>
      </c>
      <c r="H944" s="4" t="e">
        <f>VLOOKUP(A944,المعطيات!$A$1:$J$3500,3,0)</f>
        <v>#N/A</v>
      </c>
      <c r="I944" s="1" t="s">
        <v>1484</v>
      </c>
      <c r="J944" s="1" t="s">
        <v>1485</v>
      </c>
      <c r="K944" s="4" t="e">
        <f>VLOOKUP(A944,المعطيات!$A$1:$J$3500,6,0)</f>
        <v>#N/A</v>
      </c>
      <c r="L944" s="1" t="s">
        <v>1486</v>
      </c>
      <c r="M944" s="1" t="s">
        <v>1487</v>
      </c>
      <c r="N944" s="4" t="e">
        <f t="shared" si="43"/>
        <v>#N/A</v>
      </c>
      <c r="O944" s="1" t="s">
        <v>1488</v>
      </c>
      <c r="P944" s="4" t="e">
        <f>VLOOKUP(A944,المعطيات!$A$1:$J$3500,4,0)</f>
        <v>#N/A</v>
      </c>
      <c r="Q944" s="1" t="s">
        <v>1489</v>
      </c>
      <c r="R944" s="1" t="s">
        <v>1480</v>
      </c>
      <c r="S944" s="6" t="e">
        <f t="shared" si="44"/>
        <v>#N/A</v>
      </c>
    </row>
    <row r="945" spans="2:19" x14ac:dyDescent="0.25">
      <c r="B945" s="1" t="s">
        <v>1479</v>
      </c>
      <c r="C945" s="1" t="s">
        <v>1481</v>
      </c>
      <c r="D945" s="4" t="e">
        <f>VLOOKUP(A945,المعطيات!$A$1:$J$3500,5,0)</f>
        <v>#N/A</v>
      </c>
      <c r="E945" s="1" t="s">
        <v>1482</v>
      </c>
      <c r="F945" s="5">
        <f t="shared" si="42"/>
        <v>0</v>
      </c>
      <c r="G945" s="5" t="s">
        <v>1483</v>
      </c>
      <c r="H945" s="4" t="e">
        <f>VLOOKUP(A945,المعطيات!$A$1:$J$3500,3,0)</f>
        <v>#N/A</v>
      </c>
      <c r="I945" s="1" t="s">
        <v>1484</v>
      </c>
      <c r="J945" s="1" t="s">
        <v>1485</v>
      </c>
      <c r="K945" s="4" t="e">
        <f>VLOOKUP(A945,المعطيات!$A$1:$J$3500,6,0)</f>
        <v>#N/A</v>
      </c>
      <c r="L945" s="1" t="s">
        <v>1486</v>
      </c>
      <c r="M945" s="1" t="s">
        <v>1487</v>
      </c>
      <c r="N945" s="4" t="e">
        <f t="shared" si="43"/>
        <v>#N/A</v>
      </c>
      <c r="O945" s="1" t="s">
        <v>1488</v>
      </c>
      <c r="P945" s="4" t="e">
        <f>VLOOKUP(A945,المعطيات!$A$1:$J$3500,4,0)</f>
        <v>#N/A</v>
      </c>
      <c r="Q945" s="1" t="s">
        <v>1489</v>
      </c>
      <c r="R945" s="1" t="s">
        <v>1480</v>
      </c>
      <c r="S945" s="6" t="e">
        <f t="shared" si="44"/>
        <v>#N/A</v>
      </c>
    </row>
    <row r="946" spans="2:19" x14ac:dyDescent="0.25">
      <c r="B946" s="1" t="s">
        <v>1479</v>
      </c>
      <c r="C946" s="1" t="s">
        <v>1481</v>
      </c>
      <c r="D946" s="4" t="e">
        <f>VLOOKUP(A946,المعطيات!$A$1:$J$3500,5,0)</f>
        <v>#N/A</v>
      </c>
      <c r="E946" s="1" t="s">
        <v>1482</v>
      </c>
      <c r="F946" s="5">
        <f t="shared" si="42"/>
        <v>0</v>
      </c>
      <c r="G946" s="5" t="s">
        <v>1483</v>
      </c>
      <c r="H946" s="4" t="e">
        <f>VLOOKUP(A946,المعطيات!$A$1:$J$3500,3,0)</f>
        <v>#N/A</v>
      </c>
      <c r="I946" s="1" t="s">
        <v>1484</v>
      </c>
      <c r="J946" s="1" t="s">
        <v>1485</v>
      </c>
      <c r="K946" s="4" t="e">
        <f>VLOOKUP(A946,المعطيات!$A$1:$J$3500,6,0)</f>
        <v>#N/A</v>
      </c>
      <c r="L946" s="1" t="s">
        <v>1486</v>
      </c>
      <c r="M946" s="1" t="s">
        <v>1487</v>
      </c>
      <c r="N946" s="4" t="e">
        <f t="shared" si="43"/>
        <v>#N/A</v>
      </c>
      <c r="O946" s="1" t="s">
        <v>1488</v>
      </c>
      <c r="P946" s="4" t="e">
        <f>VLOOKUP(A946,المعطيات!$A$1:$J$3500,4,0)</f>
        <v>#N/A</v>
      </c>
      <c r="Q946" s="1" t="s">
        <v>1489</v>
      </c>
      <c r="R946" s="1" t="s">
        <v>1480</v>
      </c>
      <c r="S946" s="6" t="e">
        <f t="shared" si="44"/>
        <v>#N/A</v>
      </c>
    </row>
    <row r="947" spans="2:19" x14ac:dyDescent="0.25">
      <c r="B947" s="1" t="s">
        <v>1479</v>
      </c>
      <c r="C947" s="1" t="s">
        <v>1481</v>
      </c>
      <c r="D947" s="4" t="e">
        <f>VLOOKUP(A947,المعطيات!$A$1:$J$3500,5,0)</f>
        <v>#N/A</v>
      </c>
      <c r="E947" s="1" t="s">
        <v>1482</v>
      </c>
      <c r="F947" s="5">
        <f t="shared" si="42"/>
        <v>0</v>
      </c>
      <c r="G947" s="5" t="s">
        <v>1483</v>
      </c>
      <c r="H947" s="4" t="e">
        <f>VLOOKUP(A947,المعطيات!$A$1:$J$3500,3,0)</f>
        <v>#N/A</v>
      </c>
      <c r="I947" s="1" t="s">
        <v>1484</v>
      </c>
      <c r="J947" s="1" t="s">
        <v>1485</v>
      </c>
      <c r="K947" s="4" t="e">
        <f>VLOOKUP(A947,المعطيات!$A$1:$J$3500,6,0)</f>
        <v>#N/A</v>
      </c>
      <c r="L947" s="1" t="s">
        <v>1486</v>
      </c>
      <c r="M947" s="1" t="s">
        <v>1487</v>
      </c>
      <c r="N947" s="4" t="e">
        <f t="shared" si="43"/>
        <v>#N/A</v>
      </c>
      <c r="O947" s="1" t="s">
        <v>1488</v>
      </c>
      <c r="P947" s="4" t="e">
        <f>VLOOKUP(A947,المعطيات!$A$1:$J$3500,4,0)</f>
        <v>#N/A</v>
      </c>
      <c r="Q947" s="1" t="s">
        <v>1489</v>
      </c>
      <c r="R947" s="1" t="s">
        <v>1480</v>
      </c>
      <c r="S947" s="6" t="e">
        <f t="shared" si="44"/>
        <v>#N/A</v>
      </c>
    </row>
    <row r="948" spans="2:19" x14ac:dyDescent="0.25">
      <c r="B948" s="1" t="s">
        <v>1479</v>
      </c>
      <c r="C948" s="1" t="s">
        <v>1481</v>
      </c>
      <c r="D948" s="4" t="e">
        <f>VLOOKUP(A948,المعطيات!$A$1:$J$3500,5,0)</f>
        <v>#N/A</v>
      </c>
      <c r="E948" s="1" t="s">
        <v>1482</v>
      </c>
      <c r="F948" s="5">
        <f t="shared" si="42"/>
        <v>0</v>
      </c>
      <c r="G948" s="5" t="s">
        <v>1483</v>
      </c>
      <c r="H948" s="4" t="e">
        <f>VLOOKUP(A948,المعطيات!$A$1:$J$3500,3,0)</f>
        <v>#N/A</v>
      </c>
      <c r="I948" s="1" t="s">
        <v>1484</v>
      </c>
      <c r="J948" s="1" t="s">
        <v>1485</v>
      </c>
      <c r="K948" s="4" t="e">
        <f>VLOOKUP(A948,المعطيات!$A$1:$J$3500,6,0)</f>
        <v>#N/A</v>
      </c>
      <c r="L948" s="1" t="s">
        <v>1486</v>
      </c>
      <c r="M948" s="1" t="s">
        <v>1487</v>
      </c>
      <c r="N948" s="4" t="e">
        <f t="shared" si="43"/>
        <v>#N/A</v>
      </c>
      <c r="O948" s="1" t="s">
        <v>1488</v>
      </c>
      <c r="P948" s="4" t="e">
        <f>VLOOKUP(A948,المعطيات!$A$1:$J$3500,4,0)</f>
        <v>#N/A</v>
      </c>
      <c r="Q948" s="1" t="s">
        <v>1489</v>
      </c>
      <c r="R948" s="1" t="s">
        <v>1480</v>
      </c>
      <c r="S948" s="6" t="e">
        <f t="shared" si="44"/>
        <v>#N/A</v>
      </c>
    </row>
    <row r="949" spans="2:19" x14ac:dyDescent="0.25">
      <c r="B949" s="1" t="s">
        <v>1479</v>
      </c>
      <c r="C949" s="1" t="s">
        <v>1481</v>
      </c>
      <c r="D949" s="4" t="e">
        <f>VLOOKUP(A949,المعطيات!$A$1:$J$3500,5,0)</f>
        <v>#N/A</v>
      </c>
      <c r="E949" s="1" t="s">
        <v>1482</v>
      </c>
      <c r="F949" s="5">
        <f t="shared" si="42"/>
        <v>0</v>
      </c>
      <c r="G949" s="5" t="s">
        <v>1483</v>
      </c>
      <c r="H949" s="4" t="e">
        <f>VLOOKUP(A949,المعطيات!$A$1:$J$3500,3,0)</f>
        <v>#N/A</v>
      </c>
      <c r="I949" s="1" t="s">
        <v>1484</v>
      </c>
      <c r="J949" s="1" t="s">
        <v>1485</v>
      </c>
      <c r="K949" s="4" t="e">
        <f>VLOOKUP(A949,المعطيات!$A$1:$J$3500,6,0)</f>
        <v>#N/A</v>
      </c>
      <c r="L949" s="1" t="s">
        <v>1486</v>
      </c>
      <c r="M949" s="1" t="s">
        <v>1487</v>
      </c>
      <c r="N949" s="4" t="e">
        <f t="shared" si="43"/>
        <v>#N/A</v>
      </c>
      <c r="O949" s="1" t="s">
        <v>1488</v>
      </c>
      <c r="P949" s="4" t="e">
        <f>VLOOKUP(A949,المعطيات!$A$1:$J$3500,4,0)</f>
        <v>#N/A</v>
      </c>
      <c r="Q949" s="1" t="s">
        <v>1489</v>
      </c>
      <c r="R949" s="1" t="s">
        <v>1480</v>
      </c>
      <c r="S949" s="6" t="e">
        <f t="shared" si="44"/>
        <v>#N/A</v>
      </c>
    </row>
    <row r="950" spans="2:19" x14ac:dyDescent="0.25">
      <c r="B950" s="1" t="s">
        <v>1479</v>
      </c>
      <c r="C950" s="1" t="s">
        <v>1481</v>
      </c>
      <c r="D950" s="4" t="e">
        <f>VLOOKUP(A950,المعطيات!$A$1:$J$3500,5,0)</f>
        <v>#N/A</v>
      </c>
      <c r="E950" s="1" t="s">
        <v>1482</v>
      </c>
      <c r="F950" s="5">
        <f t="shared" si="42"/>
        <v>0</v>
      </c>
      <c r="G950" s="5" t="s">
        <v>1483</v>
      </c>
      <c r="H950" s="4" t="e">
        <f>VLOOKUP(A950,المعطيات!$A$1:$J$3500,3,0)</f>
        <v>#N/A</v>
      </c>
      <c r="I950" s="1" t="s">
        <v>1484</v>
      </c>
      <c r="J950" s="1" t="s">
        <v>1485</v>
      </c>
      <c r="K950" s="4" t="e">
        <f>VLOOKUP(A950,المعطيات!$A$1:$J$3500,6,0)</f>
        <v>#N/A</v>
      </c>
      <c r="L950" s="1" t="s">
        <v>1486</v>
      </c>
      <c r="M950" s="1" t="s">
        <v>1487</v>
      </c>
      <c r="N950" s="4" t="e">
        <f t="shared" si="43"/>
        <v>#N/A</v>
      </c>
      <c r="O950" s="1" t="s">
        <v>1488</v>
      </c>
      <c r="P950" s="4" t="e">
        <f>VLOOKUP(A950,المعطيات!$A$1:$J$3500,4,0)</f>
        <v>#N/A</v>
      </c>
      <c r="Q950" s="1" t="s">
        <v>1489</v>
      </c>
      <c r="R950" s="1" t="s">
        <v>1480</v>
      </c>
      <c r="S950" s="6" t="e">
        <f t="shared" si="44"/>
        <v>#N/A</v>
      </c>
    </row>
    <row r="951" spans="2:19" x14ac:dyDescent="0.25">
      <c r="B951" s="1" t="s">
        <v>1479</v>
      </c>
      <c r="C951" s="1" t="s">
        <v>1481</v>
      </c>
      <c r="D951" s="4" t="e">
        <f>VLOOKUP(A951,المعطيات!$A$1:$J$3500,5,0)</f>
        <v>#N/A</v>
      </c>
      <c r="E951" s="1" t="s">
        <v>1482</v>
      </c>
      <c r="F951" s="5">
        <f t="shared" si="42"/>
        <v>0</v>
      </c>
      <c r="G951" s="5" t="s">
        <v>1483</v>
      </c>
      <c r="H951" s="4" t="e">
        <f>VLOOKUP(A951,المعطيات!$A$1:$J$3500,3,0)</f>
        <v>#N/A</v>
      </c>
      <c r="I951" s="1" t="s">
        <v>1484</v>
      </c>
      <c r="J951" s="1" t="s">
        <v>1485</v>
      </c>
      <c r="K951" s="4" t="e">
        <f>VLOOKUP(A951,المعطيات!$A$1:$J$3500,6,0)</f>
        <v>#N/A</v>
      </c>
      <c r="L951" s="1" t="s">
        <v>1486</v>
      </c>
      <c r="M951" s="1" t="s">
        <v>1487</v>
      </c>
      <c r="N951" s="4" t="e">
        <f t="shared" si="43"/>
        <v>#N/A</v>
      </c>
      <c r="O951" s="1" t="s">
        <v>1488</v>
      </c>
      <c r="P951" s="4" t="e">
        <f>VLOOKUP(A951,المعطيات!$A$1:$J$3500,4,0)</f>
        <v>#N/A</v>
      </c>
      <c r="Q951" s="1" t="s">
        <v>1489</v>
      </c>
      <c r="R951" s="1" t="s">
        <v>1480</v>
      </c>
      <c r="S951" s="6" t="e">
        <f t="shared" si="44"/>
        <v>#N/A</v>
      </c>
    </row>
    <row r="952" spans="2:19" x14ac:dyDescent="0.25">
      <c r="B952" s="1" t="s">
        <v>1479</v>
      </c>
      <c r="C952" s="1" t="s">
        <v>1481</v>
      </c>
      <c r="D952" s="4" t="e">
        <f>VLOOKUP(A952,المعطيات!$A$1:$J$3500,5,0)</f>
        <v>#N/A</v>
      </c>
      <c r="E952" s="1" t="s">
        <v>1482</v>
      </c>
      <c r="F952" s="5">
        <f t="shared" si="42"/>
        <v>0</v>
      </c>
      <c r="G952" s="5" t="s">
        <v>1483</v>
      </c>
      <c r="H952" s="4" t="e">
        <f>VLOOKUP(A952,المعطيات!$A$1:$J$3500,3,0)</f>
        <v>#N/A</v>
      </c>
      <c r="I952" s="1" t="s">
        <v>1484</v>
      </c>
      <c r="J952" s="1" t="s">
        <v>1485</v>
      </c>
      <c r="K952" s="4" t="e">
        <f>VLOOKUP(A952,المعطيات!$A$1:$J$3500,6,0)</f>
        <v>#N/A</v>
      </c>
      <c r="L952" s="1" t="s">
        <v>1486</v>
      </c>
      <c r="M952" s="1" t="s">
        <v>1487</v>
      </c>
      <c r="N952" s="4" t="e">
        <f t="shared" si="43"/>
        <v>#N/A</v>
      </c>
      <c r="O952" s="1" t="s">
        <v>1488</v>
      </c>
      <c r="P952" s="4" t="e">
        <f>VLOOKUP(A952,المعطيات!$A$1:$J$3500,4,0)</f>
        <v>#N/A</v>
      </c>
      <c r="Q952" s="1" t="s">
        <v>1489</v>
      </c>
      <c r="R952" s="1" t="s">
        <v>1480</v>
      </c>
      <c r="S952" s="6" t="e">
        <f t="shared" si="44"/>
        <v>#N/A</v>
      </c>
    </row>
    <row r="953" spans="2:19" x14ac:dyDescent="0.25">
      <c r="B953" s="1" t="s">
        <v>1479</v>
      </c>
      <c r="C953" s="1" t="s">
        <v>1481</v>
      </c>
      <c r="D953" s="4" t="e">
        <f>VLOOKUP(A953,المعطيات!$A$1:$J$3500,5,0)</f>
        <v>#N/A</v>
      </c>
      <c r="E953" s="1" t="s">
        <v>1482</v>
      </c>
      <c r="F953" s="5">
        <f t="shared" si="42"/>
        <v>0</v>
      </c>
      <c r="G953" s="5" t="s">
        <v>1483</v>
      </c>
      <c r="H953" s="4" t="e">
        <f>VLOOKUP(A953,المعطيات!$A$1:$J$3500,3,0)</f>
        <v>#N/A</v>
      </c>
      <c r="I953" s="1" t="s">
        <v>1484</v>
      </c>
      <c r="J953" s="1" t="s">
        <v>1485</v>
      </c>
      <c r="K953" s="4" t="e">
        <f>VLOOKUP(A953,المعطيات!$A$1:$J$3500,6,0)</f>
        <v>#N/A</v>
      </c>
      <c r="L953" s="1" t="s">
        <v>1486</v>
      </c>
      <c r="M953" s="1" t="s">
        <v>1487</v>
      </c>
      <c r="N953" s="4" t="e">
        <f t="shared" si="43"/>
        <v>#N/A</v>
      </c>
      <c r="O953" s="1" t="s">
        <v>1488</v>
      </c>
      <c r="P953" s="4" t="e">
        <f>VLOOKUP(A953,المعطيات!$A$1:$J$3500,4,0)</f>
        <v>#N/A</v>
      </c>
      <c r="Q953" s="1" t="s">
        <v>1489</v>
      </c>
      <c r="R953" s="1" t="s">
        <v>1480</v>
      </c>
      <c r="S953" s="6" t="e">
        <f t="shared" si="44"/>
        <v>#N/A</v>
      </c>
    </row>
    <row r="954" spans="2:19" x14ac:dyDescent="0.25">
      <c r="B954" s="1" t="s">
        <v>1479</v>
      </c>
      <c r="C954" s="1" t="s">
        <v>1481</v>
      </c>
      <c r="D954" s="4" t="e">
        <f>VLOOKUP(A954,المعطيات!$A$1:$J$3500,5,0)</f>
        <v>#N/A</v>
      </c>
      <c r="E954" s="1" t="s">
        <v>1482</v>
      </c>
      <c r="F954" s="5">
        <f t="shared" si="42"/>
        <v>0</v>
      </c>
      <c r="G954" s="5" t="s">
        <v>1483</v>
      </c>
      <c r="H954" s="4" t="e">
        <f>VLOOKUP(A954,المعطيات!$A$1:$J$3500,3,0)</f>
        <v>#N/A</v>
      </c>
      <c r="I954" s="1" t="s">
        <v>1484</v>
      </c>
      <c r="J954" s="1" t="s">
        <v>1485</v>
      </c>
      <c r="K954" s="4" t="e">
        <f>VLOOKUP(A954,المعطيات!$A$1:$J$3500,6,0)</f>
        <v>#N/A</v>
      </c>
      <c r="L954" s="1" t="s">
        <v>1486</v>
      </c>
      <c r="M954" s="1" t="s">
        <v>1487</v>
      </c>
      <c r="N954" s="4" t="e">
        <f t="shared" si="43"/>
        <v>#N/A</v>
      </c>
      <c r="O954" s="1" t="s">
        <v>1488</v>
      </c>
      <c r="P954" s="4" t="e">
        <f>VLOOKUP(A954,المعطيات!$A$1:$J$3500,4,0)</f>
        <v>#N/A</v>
      </c>
      <c r="Q954" s="1" t="s">
        <v>1489</v>
      </c>
      <c r="R954" s="1" t="s">
        <v>1480</v>
      </c>
      <c r="S954" s="6" t="e">
        <f t="shared" si="44"/>
        <v>#N/A</v>
      </c>
    </row>
    <row r="955" spans="2:19" x14ac:dyDescent="0.25">
      <c r="B955" s="1" t="s">
        <v>1479</v>
      </c>
      <c r="C955" s="1" t="s">
        <v>1481</v>
      </c>
      <c r="D955" s="4" t="e">
        <f>VLOOKUP(A955,المعطيات!$A$1:$J$3500,5,0)</f>
        <v>#N/A</v>
      </c>
      <c r="E955" s="1" t="s">
        <v>1482</v>
      </c>
      <c r="F955" s="5">
        <f t="shared" si="42"/>
        <v>0</v>
      </c>
      <c r="G955" s="5" t="s">
        <v>1483</v>
      </c>
      <c r="H955" s="4" t="e">
        <f>VLOOKUP(A955,المعطيات!$A$1:$J$3500,3,0)</f>
        <v>#N/A</v>
      </c>
      <c r="I955" s="1" t="s">
        <v>1484</v>
      </c>
      <c r="J955" s="1" t="s">
        <v>1485</v>
      </c>
      <c r="K955" s="4" t="e">
        <f>VLOOKUP(A955,المعطيات!$A$1:$J$3500,6,0)</f>
        <v>#N/A</v>
      </c>
      <c r="L955" s="1" t="s">
        <v>1486</v>
      </c>
      <c r="M955" s="1" t="s">
        <v>1487</v>
      </c>
      <c r="N955" s="4" t="e">
        <f t="shared" si="43"/>
        <v>#N/A</v>
      </c>
      <c r="O955" s="1" t="s">
        <v>1488</v>
      </c>
      <c r="P955" s="4" t="e">
        <f>VLOOKUP(A955,المعطيات!$A$1:$J$3500,4,0)</f>
        <v>#N/A</v>
      </c>
      <c r="Q955" s="1" t="s">
        <v>1489</v>
      </c>
      <c r="R955" s="1" t="s">
        <v>1480</v>
      </c>
      <c r="S955" s="6" t="e">
        <f t="shared" si="44"/>
        <v>#N/A</v>
      </c>
    </row>
    <row r="956" spans="2:19" x14ac:dyDescent="0.25">
      <c r="B956" s="1" t="s">
        <v>1479</v>
      </c>
      <c r="C956" s="1" t="s">
        <v>1481</v>
      </c>
      <c r="D956" s="4" t="e">
        <f>VLOOKUP(A956,المعطيات!$A$1:$J$3500,5,0)</f>
        <v>#N/A</v>
      </c>
      <c r="E956" s="1" t="s">
        <v>1482</v>
      </c>
      <c r="F956" s="5">
        <f t="shared" si="42"/>
        <v>0</v>
      </c>
      <c r="G956" s="5" t="s">
        <v>1483</v>
      </c>
      <c r="H956" s="4" t="e">
        <f>VLOOKUP(A956,المعطيات!$A$1:$J$3500,3,0)</f>
        <v>#N/A</v>
      </c>
      <c r="I956" s="1" t="s">
        <v>1484</v>
      </c>
      <c r="J956" s="1" t="s">
        <v>1485</v>
      </c>
      <c r="K956" s="4" t="e">
        <f>VLOOKUP(A956,المعطيات!$A$1:$J$3500,6,0)</f>
        <v>#N/A</v>
      </c>
      <c r="L956" s="1" t="s">
        <v>1486</v>
      </c>
      <c r="M956" s="1" t="s">
        <v>1487</v>
      </c>
      <c r="N956" s="4" t="e">
        <f t="shared" si="43"/>
        <v>#N/A</v>
      </c>
      <c r="O956" s="1" t="s">
        <v>1488</v>
      </c>
      <c r="P956" s="4" t="e">
        <f>VLOOKUP(A956,المعطيات!$A$1:$J$3500,4,0)</f>
        <v>#N/A</v>
      </c>
      <c r="Q956" s="1" t="s">
        <v>1489</v>
      </c>
      <c r="R956" s="1" t="s">
        <v>1480</v>
      </c>
      <c r="S956" s="6" t="e">
        <f t="shared" si="44"/>
        <v>#N/A</v>
      </c>
    </row>
    <row r="957" spans="2:19" x14ac:dyDescent="0.25">
      <c r="B957" s="1" t="s">
        <v>1479</v>
      </c>
      <c r="C957" s="1" t="s">
        <v>1481</v>
      </c>
      <c r="D957" s="4" t="e">
        <f>VLOOKUP(A957,المعطيات!$A$1:$J$3500,5,0)</f>
        <v>#N/A</v>
      </c>
      <c r="E957" s="1" t="s">
        <v>1482</v>
      </c>
      <c r="F957" s="5">
        <f t="shared" si="42"/>
        <v>0</v>
      </c>
      <c r="G957" s="5" t="s">
        <v>1483</v>
      </c>
      <c r="H957" s="4" t="e">
        <f>VLOOKUP(A957,المعطيات!$A$1:$J$3500,3,0)</f>
        <v>#N/A</v>
      </c>
      <c r="I957" s="1" t="s">
        <v>1484</v>
      </c>
      <c r="J957" s="1" t="s">
        <v>1485</v>
      </c>
      <c r="K957" s="4" t="e">
        <f>VLOOKUP(A957,المعطيات!$A$1:$J$3500,6,0)</f>
        <v>#N/A</v>
      </c>
      <c r="L957" s="1" t="s">
        <v>1486</v>
      </c>
      <c r="M957" s="1" t="s">
        <v>1487</v>
      </c>
      <c r="N957" s="4" t="e">
        <f t="shared" si="43"/>
        <v>#N/A</v>
      </c>
      <c r="O957" s="1" t="s">
        <v>1488</v>
      </c>
      <c r="P957" s="4" t="e">
        <f>VLOOKUP(A957,المعطيات!$A$1:$J$3500,4,0)</f>
        <v>#N/A</v>
      </c>
      <c r="Q957" s="1" t="s">
        <v>1489</v>
      </c>
      <c r="R957" s="1" t="s">
        <v>1480</v>
      </c>
      <c r="S957" s="6" t="e">
        <f t="shared" si="44"/>
        <v>#N/A</v>
      </c>
    </row>
    <row r="958" spans="2:19" x14ac:dyDescent="0.25">
      <c r="B958" s="1" t="s">
        <v>1479</v>
      </c>
      <c r="C958" s="1" t="s">
        <v>1481</v>
      </c>
      <c r="D958" s="4" t="e">
        <f>VLOOKUP(A958,المعطيات!$A$1:$J$3500,5,0)</f>
        <v>#N/A</v>
      </c>
      <c r="E958" s="1" t="s">
        <v>1482</v>
      </c>
      <c r="F958" s="5">
        <f t="shared" si="42"/>
        <v>0</v>
      </c>
      <c r="G958" s="5" t="s">
        <v>1483</v>
      </c>
      <c r="H958" s="4" t="e">
        <f>VLOOKUP(A958,المعطيات!$A$1:$J$3500,3,0)</f>
        <v>#N/A</v>
      </c>
      <c r="I958" s="1" t="s">
        <v>1484</v>
      </c>
      <c r="J958" s="1" t="s">
        <v>1485</v>
      </c>
      <c r="K958" s="4" t="e">
        <f>VLOOKUP(A958,المعطيات!$A$1:$J$3500,6,0)</f>
        <v>#N/A</v>
      </c>
      <c r="L958" s="1" t="s">
        <v>1486</v>
      </c>
      <c r="M958" s="1" t="s">
        <v>1487</v>
      </c>
      <c r="N958" s="4" t="e">
        <f t="shared" si="43"/>
        <v>#N/A</v>
      </c>
      <c r="O958" s="1" t="s">
        <v>1488</v>
      </c>
      <c r="P958" s="4" t="e">
        <f>VLOOKUP(A958,المعطيات!$A$1:$J$3500,4,0)</f>
        <v>#N/A</v>
      </c>
      <c r="Q958" s="1" t="s">
        <v>1489</v>
      </c>
      <c r="R958" s="1" t="s">
        <v>1480</v>
      </c>
      <c r="S958" s="6" t="e">
        <f t="shared" si="44"/>
        <v>#N/A</v>
      </c>
    </row>
    <row r="959" spans="2:19" x14ac:dyDescent="0.25">
      <c r="B959" s="1" t="s">
        <v>1479</v>
      </c>
      <c r="C959" s="1" t="s">
        <v>1481</v>
      </c>
      <c r="D959" s="4" t="e">
        <f>VLOOKUP(A959,المعطيات!$A$1:$J$3500,5,0)</f>
        <v>#N/A</v>
      </c>
      <c r="E959" s="1" t="s">
        <v>1482</v>
      </c>
      <c r="F959" s="5">
        <f t="shared" si="42"/>
        <v>0</v>
      </c>
      <c r="G959" s="5" t="s">
        <v>1483</v>
      </c>
      <c r="H959" s="4" t="e">
        <f>VLOOKUP(A959,المعطيات!$A$1:$J$3500,3,0)</f>
        <v>#N/A</v>
      </c>
      <c r="I959" s="1" t="s">
        <v>1484</v>
      </c>
      <c r="J959" s="1" t="s">
        <v>1485</v>
      </c>
      <c r="K959" s="4" t="e">
        <f>VLOOKUP(A959,المعطيات!$A$1:$J$3500,6,0)</f>
        <v>#N/A</v>
      </c>
      <c r="L959" s="1" t="s">
        <v>1486</v>
      </c>
      <c r="M959" s="1" t="s">
        <v>1487</v>
      </c>
      <c r="N959" s="4" t="e">
        <f t="shared" si="43"/>
        <v>#N/A</v>
      </c>
      <c r="O959" s="1" t="s">
        <v>1488</v>
      </c>
      <c r="P959" s="4" t="e">
        <f>VLOOKUP(A959,المعطيات!$A$1:$J$3500,4,0)</f>
        <v>#N/A</v>
      </c>
      <c r="Q959" s="1" t="s">
        <v>1489</v>
      </c>
      <c r="R959" s="1" t="s">
        <v>1480</v>
      </c>
      <c r="S959" s="6" t="e">
        <f t="shared" si="44"/>
        <v>#N/A</v>
      </c>
    </row>
    <row r="960" spans="2:19" x14ac:dyDescent="0.25">
      <c r="B960" s="1" t="s">
        <v>1479</v>
      </c>
      <c r="C960" s="1" t="s">
        <v>1481</v>
      </c>
      <c r="D960" s="4" t="e">
        <f>VLOOKUP(A960,المعطيات!$A$1:$J$3500,5,0)</f>
        <v>#N/A</v>
      </c>
      <c r="E960" s="1" t="s">
        <v>1482</v>
      </c>
      <c r="F960" s="5">
        <f t="shared" si="42"/>
        <v>0</v>
      </c>
      <c r="G960" s="5" t="s">
        <v>1483</v>
      </c>
      <c r="H960" s="4" t="e">
        <f>VLOOKUP(A960,المعطيات!$A$1:$J$3500,3,0)</f>
        <v>#N/A</v>
      </c>
      <c r="I960" s="1" t="s">
        <v>1484</v>
      </c>
      <c r="J960" s="1" t="s">
        <v>1485</v>
      </c>
      <c r="K960" s="4" t="e">
        <f>VLOOKUP(A960,المعطيات!$A$1:$J$3500,6,0)</f>
        <v>#N/A</v>
      </c>
      <c r="L960" s="1" t="s">
        <v>1486</v>
      </c>
      <c r="M960" s="1" t="s">
        <v>1487</v>
      </c>
      <c r="N960" s="4" t="e">
        <f t="shared" si="43"/>
        <v>#N/A</v>
      </c>
      <c r="O960" s="1" t="s">
        <v>1488</v>
      </c>
      <c r="P960" s="4" t="e">
        <f>VLOOKUP(A960,المعطيات!$A$1:$J$3500,4,0)</f>
        <v>#N/A</v>
      </c>
      <c r="Q960" s="1" t="s">
        <v>1489</v>
      </c>
      <c r="R960" s="1" t="s">
        <v>1480</v>
      </c>
      <c r="S960" s="6" t="e">
        <f t="shared" si="44"/>
        <v>#N/A</v>
      </c>
    </row>
    <row r="961" spans="2:19" x14ac:dyDescent="0.25">
      <c r="B961" s="1" t="s">
        <v>1479</v>
      </c>
      <c r="C961" s="1" t="s">
        <v>1481</v>
      </c>
      <c r="D961" s="4" t="e">
        <f>VLOOKUP(A961,المعطيات!$A$1:$J$3500,5,0)</f>
        <v>#N/A</v>
      </c>
      <c r="E961" s="1" t="s">
        <v>1482</v>
      </c>
      <c r="F961" s="5">
        <f t="shared" si="42"/>
        <v>0</v>
      </c>
      <c r="G961" s="5" t="s">
        <v>1483</v>
      </c>
      <c r="H961" s="4" t="e">
        <f>VLOOKUP(A961,المعطيات!$A$1:$J$3500,3,0)</f>
        <v>#N/A</v>
      </c>
      <c r="I961" s="1" t="s">
        <v>1484</v>
      </c>
      <c r="J961" s="1" t="s">
        <v>1485</v>
      </c>
      <c r="K961" s="4" t="e">
        <f>VLOOKUP(A961,المعطيات!$A$1:$J$3500,6,0)</f>
        <v>#N/A</v>
      </c>
      <c r="L961" s="1" t="s">
        <v>1486</v>
      </c>
      <c r="M961" s="1" t="s">
        <v>1487</v>
      </c>
      <c r="N961" s="4" t="e">
        <f t="shared" si="43"/>
        <v>#N/A</v>
      </c>
      <c r="O961" s="1" t="s">
        <v>1488</v>
      </c>
      <c r="P961" s="4" t="e">
        <f>VLOOKUP(A961,المعطيات!$A$1:$J$3500,4,0)</f>
        <v>#N/A</v>
      </c>
      <c r="Q961" s="1" t="s">
        <v>1489</v>
      </c>
      <c r="R961" s="1" t="s">
        <v>1480</v>
      </c>
      <c r="S961" s="6" t="e">
        <f t="shared" si="44"/>
        <v>#N/A</v>
      </c>
    </row>
    <row r="962" spans="2:19" x14ac:dyDescent="0.25">
      <c r="B962" s="1" t="s">
        <v>1479</v>
      </c>
      <c r="C962" s="1" t="s">
        <v>1481</v>
      </c>
      <c r="D962" s="4" t="e">
        <f>VLOOKUP(A962,المعطيات!$A$1:$J$3500,5,0)</f>
        <v>#N/A</v>
      </c>
      <c r="E962" s="1" t="s">
        <v>1482</v>
      </c>
      <c r="F962" s="5">
        <f t="shared" ref="F962:F1025" si="45">A962</f>
        <v>0</v>
      </c>
      <c r="G962" s="5" t="s">
        <v>1483</v>
      </c>
      <c r="H962" s="4" t="e">
        <f>VLOOKUP(A962,المعطيات!$A$1:$J$3500,3,0)</f>
        <v>#N/A</v>
      </c>
      <c r="I962" s="1" t="s">
        <v>1484</v>
      </c>
      <c r="J962" s="1" t="s">
        <v>1485</v>
      </c>
      <c r="K962" s="4" t="e">
        <f>VLOOKUP(A962,المعطيات!$A$1:$J$3500,6,0)</f>
        <v>#N/A</v>
      </c>
      <c r="L962" s="1" t="s">
        <v>1486</v>
      </c>
      <c r="M962" s="1" t="s">
        <v>1487</v>
      </c>
      <c r="N962" s="4" t="e">
        <f t="shared" ref="N962:N1025" si="46">D962</f>
        <v>#N/A</v>
      </c>
      <c r="O962" s="1" t="s">
        <v>1488</v>
      </c>
      <c r="P962" s="4" t="e">
        <f>VLOOKUP(A962,المعطيات!$A$1:$J$3500,4,0)</f>
        <v>#N/A</v>
      </c>
      <c r="Q962" s="1" t="s">
        <v>1489</v>
      </c>
      <c r="R962" s="1" t="s">
        <v>1480</v>
      </c>
      <c r="S962" s="6" t="e">
        <f t="shared" ref="S962:S1025" si="47">B962&amp;""&amp;C962&amp;""&amp;D962&amp;""&amp;E962&amp;""&amp;F962&amp;""&amp;G962&amp;""&amp;H962&amp;""&amp;I962&amp;""&amp;J962&amp;""&amp;K962&amp;""&amp;L962&amp;""&amp;M962&amp;""&amp;N962&amp;""&amp;O962&amp;""&amp;P962&amp;""&amp;Q962&amp;""&amp;R962</f>
        <v>#N/A</v>
      </c>
    </row>
    <row r="963" spans="2:19" x14ac:dyDescent="0.25">
      <c r="B963" s="1" t="s">
        <v>1479</v>
      </c>
      <c r="C963" s="1" t="s">
        <v>1481</v>
      </c>
      <c r="D963" s="4" t="e">
        <f>VLOOKUP(A963,المعطيات!$A$1:$J$3500,5,0)</f>
        <v>#N/A</v>
      </c>
      <c r="E963" s="1" t="s">
        <v>1482</v>
      </c>
      <c r="F963" s="5">
        <f t="shared" si="45"/>
        <v>0</v>
      </c>
      <c r="G963" s="5" t="s">
        <v>1483</v>
      </c>
      <c r="H963" s="4" t="e">
        <f>VLOOKUP(A963,المعطيات!$A$1:$J$3500,3,0)</f>
        <v>#N/A</v>
      </c>
      <c r="I963" s="1" t="s">
        <v>1484</v>
      </c>
      <c r="J963" s="1" t="s">
        <v>1485</v>
      </c>
      <c r="K963" s="4" t="e">
        <f>VLOOKUP(A963,المعطيات!$A$1:$J$3500,6,0)</f>
        <v>#N/A</v>
      </c>
      <c r="L963" s="1" t="s">
        <v>1486</v>
      </c>
      <c r="M963" s="1" t="s">
        <v>1487</v>
      </c>
      <c r="N963" s="4" t="e">
        <f t="shared" si="46"/>
        <v>#N/A</v>
      </c>
      <c r="O963" s="1" t="s">
        <v>1488</v>
      </c>
      <c r="P963" s="4" t="e">
        <f>VLOOKUP(A963,المعطيات!$A$1:$J$3500,4,0)</f>
        <v>#N/A</v>
      </c>
      <c r="Q963" s="1" t="s">
        <v>1489</v>
      </c>
      <c r="R963" s="1" t="s">
        <v>1480</v>
      </c>
      <c r="S963" s="6" t="e">
        <f t="shared" si="47"/>
        <v>#N/A</v>
      </c>
    </row>
    <row r="964" spans="2:19" x14ac:dyDescent="0.25">
      <c r="B964" s="1" t="s">
        <v>1479</v>
      </c>
      <c r="C964" s="1" t="s">
        <v>1481</v>
      </c>
      <c r="D964" s="4" t="e">
        <f>VLOOKUP(A964,المعطيات!$A$1:$J$3500,5,0)</f>
        <v>#N/A</v>
      </c>
      <c r="E964" s="1" t="s">
        <v>1482</v>
      </c>
      <c r="F964" s="5">
        <f t="shared" si="45"/>
        <v>0</v>
      </c>
      <c r="G964" s="5" t="s">
        <v>1483</v>
      </c>
      <c r="H964" s="4" t="e">
        <f>VLOOKUP(A964,المعطيات!$A$1:$J$3500,3,0)</f>
        <v>#N/A</v>
      </c>
      <c r="I964" s="1" t="s">
        <v>1484</v>
      </c>
      <c r="J964" s="1" t="s">
        <v>1485</v>
      </c>
      <c r="K964" s="4" t="e">
        <f>VLOOKUP(A964,المعطيات!$A$1:$J$3500,6,0)</f>
        <v>#N/A</v>
      </c>
      <c r="L964" s="1" t="s">
        <v>1486</v>
      </c>
      <c r="M964" s="1" t="s">
        <v>1487</v>
      </c>
      <c r="N964" s="4" t="e">
        <f t="shared" si="46"/>
        <v>#N/A</v>
      </c>
      <c r="O964" s="1" t="s">
        <v>1488</v>
      </c>
      <c r="P964" s="4" t="e">
        <f>VLOOKUP(A964,المعطيات!$A$1:$J$3500,4,0)</f>
        <v>#N/A</v>
      </c>
      <c r="Q964" s="1" t="s">
        <v>1489</v>
      </c>
      <c r="R964" s="1" t="s">
        <v>1480</v>
      </c>
      <c r="S964" s="6" t="e">
        <f t="shared" si="47"/>
        <v>#N/A</v>
      </c>
    </row>
    <row r="965" spans="2:19" x14ac:dyDescent="0.25">
      <c r="B965" s="1" t="s">
        <v>1479</v>
      </c>
      <c r="C965" s="1" t="s">
        <v>1481</v>
      </c>
      <c r="D965" s="4" t="e">
        <f>VLOOKUP(A965,المعطيات!$A$1:$J$3500,5,0)</f>
        <v>#N/A</v>
      </c>
      <c r="E965" s="1" t="s">
        <v>1482</v>
      </c>
      <c r="F965" s="5">
        <f t="shared" si="45"/>
        <v>0</v>
      </c>
      <c r="G965" s="5" t="s">
        <v>1483</v>
      </c>
      <c r="H965" s="4" t="e">
        <f>VLOOKUP(A965,المعطيات!$A$1:$J$3500,3,0)</f>
        <v>#N/A</v>
      </c>
      <c r="I965" s="1" t="s">
        <v>1484</v>
      </c>
      <c r="J965" s="1" t="s">
        <v>1485</v>
      </c>
      <c r="K965" s="4" t="e">
        <f>VLOOKUP(A965,المعطيات!$A$1:$J$3500,6,0)</f>
        <v>#N/A</v>
      </c>
      <c r="L965" s="1" t="s">
        <v>1486</v>
      </c>
      <c r="M965" s="1" t="s">
        <v>1487</v>
      </c>
      <c r="N965" s="4" t="e">
        <f t="shared" si="46"/>
        <v>#N/A</v>
      </c>
      <c r="O965" s="1" t="s">
        <v>1488</v>
      </c>
      <c r="P965" s="4" t="e">
        <f>VLOOKUP(A965,المعطيات!$A$1:$J$3500,4,0)</f>
        <v>#N/A</v>
      </c>
      <c r="Q965" s="1" t="s">
        <v>1489</v>
      </c>
      <c r="R965" s="1" t="s">
        <v>1480</v>
      </c>
      <c r="S965" s="6" t="e">
        <f t="shared" si="47"/>
        <v>#N/A</v>
      </c>
    </row>
    <row r="966" spans="2:19" x14ac:dyDescent="0.25">
      <c r="B966" s="1" t="s">
        <v>1479</v>
      </c>
      <c r="C966" s="1" t="s">
        <v>1481</v>
      </c>
      <c r="D966" s="4" t="e">
        <f>VLOOKUP(A966,المعطيات!$A$1:$J$3500,5,0)</f>
        <v>#N/A</v>
      </c>
      <c r="E966" s="1" t="s">
        <v>1482</v>
      </c>
      <c r="F966" s="5">
        <f t="shared" si="45"/>
        <v>0</v>
      </c>
      <c r="G966" s="5" t="s">
        <v>1483</v>
      </c>
      <c r="H966" s="4" t="e">
        <f>VLOOKUP(A966,المعطيات!$A$1:$J$3500,3,0)</f>
        <v>#N/A</v>
      </c>
      <c r="I966" s="1" t="s">
        <v>1484</v>
      </c>
      <c r="J966" s="1" t="s">
        <v>1485</v>
      </c>
      <c r="K966" s="4" t="e">
        <f>VLOOKUP(A966,المعطيات!$A$1:$J$3500,6,0)</f>
        <v>#N/A</v>
      </c>
      <c r="L966" s="1" t="s">
        <v>1486</v>
      </c>
      <c r="M966" s="1" t="s">
        <v>1487</v>
      </c>
      <c r="N966" s="4" t="e">
        <f t="shared" si="46"/>
        <v>#N/A</v>
      </c>
      <c r="O966" s="1" t="s">
        <v>1488</v>
      </c>
      <c r="P966" s="4" t="e">
        <f>VLOOKUP(A966,المعطيات!$A$1:$J$3500,4,0)</f>
        <v>#N/A</v>
      </c>
      <c r="Q966" s="1" t="s">
        <v>1489</v>
      </c>
      <c r="R966" s="1" t="s">
        <v>1480</v>
      </c>
      <c r="S966" s="6" t="e">
        <f t="shared" si="47"/>
        <v>#N/A</v>
      </c>
    </row>
    <row r="967" spans="2:19" x14ac:dyDescent="0.25">
      <c r="B967" s="1" t="s">
        <v>1479</v>
      </c>
      <c r="C967" s="1" t="s">
        <v>1481</v>
      </c>
      <c r="D967" s="4" t="e">
        <f>VLOOKUP(A967,المعطيات!$A$1:$J$3500,5,0)</f>
        <v>#N/A</v>
      </c>
      <c r="E967" s="1" t="s">
        <v>1482</v>
      </c>
      <c r="F967" s="5">
        <f t="shared" si="45"/>
        <v>0</v>
      </c>
      <c r="G967" s="5" t="s">
        <v>1483</v>
      </c>
      <c r="H967" s="4" t="e">
        <f>VLOOKUP(A967,المعطيات!$A$1:$J$3500,3,0)</f>
        <v>#N/A</v>
      </c>
      <c r="I967" s="1" t="s">
        <v>1484</v>
      </c>
      <c r="J967" s="1" t="s">
        <v>1485</v>
      </c>
      <c r="K967" s="4" t="e">
        <f>VLOOKUP(A967,المعطيات!$A$1:$J$3500,6,0)</f>
        <v>#N/A</v>
      </c>
      <c r="L967" s="1" t="s">
        <v>1486</v>
      </c>
      <c r="M967" s="1" t="s">
        <v>1487</v>
      </c>
      <c r="N967" s="4" t="e">
        <f t="shared" si="46"/>
        <v>#N/A</v>
      </c>
      <c r="O967" s="1" t="s">
        <v>1488</v>
      </c>
      <c r="P967" s="4" t="e">
        <f>VLOOKUP(A967,المعطيات!$A$1:$J$3500,4,0)</f>
        <v>#N/A</v>
      </c>
      <c r="Q967" s="1" t="s">
        <v>1489</v>
      </c>
      <c r="R967" s="1" t="s">
        <v>1480</v>
      </c>
      <c r="S967" s="6" t="e">
        <f t="shared" si="47"/>
        <v>#N/A</v>
      </c>
    </row>
    <row r="968" spans="2:19" x14ac:dyDescent="0.25">
      <c r="B968" s="1" t="s">
        <v>1479</v>
      </c>
      <c r="C968" s="1" t="s">
        <v>1481</v>
      </c>
      <c r="D968" s="4" t="e">
        <f>VLOOKUP(A968,المعطيات!$A$1:$J$3500,5,0)</f>
        <v>#N/A</v>
      </c>
      <c r="E968" s="1" t="s">
        <v>1482</v>
      </c>
      <c r="F968" s="5">
        <f t="shared" si="45"/>
        <v>0</v>
      </c>
      <c r="G968" s="5" t="s">
        <v>1483</v>
      </c>
      <c r="H968" s="4" t="e">
        <f>VLOOKUP(A968,المعطيات!$A$1:$J$3500,3,0)</f>
        <v>#N/A</v>
      </c>
      <c r="I968" s="1" t="s">
        <v>1484</v>
      </c>
      <c r="J968" s="1" t="s">
        <v>1485</v>
      </c>
      <c r="K968" s="4" t="e">
        <f>VLOOKUP(A968,المعطيات!$A$1:$J$3500,6,0)</f>
        <v>#N/A</v>
      </c>
      <c r="L968" s="1" t="s">
        <v>1486</v>
      </c>
      <c r="M968" s="1" t="s">
        <v>1487</v>
      </c>
      <c r="N968" s="4" t="e">
        <f t="shared" si="46"/>
        <v>#N/A</v>
      </c>
      <c r="O968" s="1" t="s">
        <v>1488</v>
      </c>
      <c r="P968" s="4" t="e">
        <f>VLOOKUP(A968,المعطيات!$A$1:$J$3500,4,0)</f>
        <v>#N/A</v>
      </c>
      <c r="Q968" s="1" t="s">
        <v>1489</v>
      </c>
      <c r="R968" s="1" t="s">
        <v>1480</v>
      </c>
      <c r="S968" s="6" t="e">
        <f t="shared" si="47"/>
        <v>#N/A</v>
      </c>
    </row>
    <row r="969" spans="2:19" x14ac:dyDescent="0.25">
      <c r="B969" s="1" t="s">
        <v>1479</v>
      </c>
      <c r="C969" s="1" t="s">
        <v>1481</v>
      </c>
      <c r="D969" s="4" t="e">
        <f>VLOOKUP(A969,المعطيات!$A$1:$J$3500,5,0)</f>
        <v>#N/A</v>
      </c>
      <c r="E969" s="1" t="s">
        <v>1482</v>
      </c>
      <c r="F969" s="5">
        <f t="shared" si="45"/>
        <v>0</v>
      </c>
      <c r="G969" s="5" t="s">
        <v>1483</v>
      </c>
      <c r="H969" s="4" t="e">
        <f>VLOOKUP(A969,المعطيات!$A$1:$J$3500,3,0)</f>
        <v>#N/A</v>
      </c>
      <c r="I969" s="1" t="s">
        <v>1484</v>
      </c>
      <c r="J969" s="1" t="s">
        <v>1485</v>
      </c>
      <c r="K969" s="4" t="e">
        <f>VLOOKUP(A969,المعطيات!$A$1:$J$3500,6,0)</f>
        <v>#N/A</v>
      </c>
      <c r="L969" s="1" t="s">
        <v>1486</v>
      </c>
      <c r="M969" s="1" t="s">
        <v>1487</v>
      </c>
      <c r="N969" s="4" t="e">
        <f t="shared" si="46"/>
        <v>#N/A</v>
      </c>
      <c r="O969" s="1" t="s">
        <v>1488</v>
      </c>
      <c r="P969" s="4" t="e">
        <f>VLOOKUP(A969,المعطيات!$A$1:$J$3500,4,0)</f>
        <v>#N/A</v>
      </c>
      <c r="Q969" s="1" t="s">
        <v>1489</v>
      </c>
      <c r="R969" s="1" t="s">
        <v>1480</v>
      </c>
      <c r="S969" s="6" t="e">
        <f t="shared" si="47"/>
        <v>#N/A</v>
      </c>
    </row>
    <row r="970" spans="2:19" x14ac:dyDescent="0.25">
      <c r="B970" s="1" t="s">
        <v>1479</v>
      </c>
      <c r="C970" s="1" t="s">
        <v>1481</v>
      </c>
      <c r="D970" s="4" t="e">
        <f>VLOOKUP(A970,المعطيات!$A$1:$J$3500,5,0)</f>
        <v>#N/A</v>
      </c>
      <c r="E970" s="1" t="s">
        <v>1482</v>
      </c>
      <c r="F970" s="5">
        <f t="shared" si="45"/>
        <v>0</v>
      </c>
      <c r="G970" s="5" t="s">
        <v>1483</v>
      </c>
      <c r="H970" s="4" t="e">
        <f>VLOOKUP(A970,المعطيات!$A$1:$J$3500,3,0)</f>
        <v>#N/A</v>
      </c>
      <c r="I970" s="1" t="s">
        <v>1484</v>
      </c>
      <c r="J970" s="1" t="s">
        <v>1485</v>
      </c>
      <c r="K970" s="4" t="e">
        <f>VLOOKUP(A970,المعطيات!$A$1:$J$3500,6,0)</f>
        <v>#N/A</v>
      </c>
      <c r="L970" s="1" t="s">
        <v>1486</v>
      </c>
      <c r="M970" s="1" t="s">
        <v>1487</v>
      </c>
      <c r="N970" s="4" t="e">
        <f t="shared" si="46"/>
        <v>#N/A</v>
      </c>
      <c r="O970" s="1" t="s">
        <v>1488</v>
      </c>
      <c r="P970" s="4" t="e">
        <f>VLOOKUP(A970,المعطيات!$A$1:$J$3500,4,0)</f>
        <v>#N/A</v>
      </c>
      <c r="Q970" s="1" t="s">
        <v>1489</v>
      </c>
      <c r="R970" s="1" t="s">
        <v>1480</v>
      </c>
      <c r="S970" s="6" t="e">
        <f t="shared" si="47"/>
        <v>#N/A</v>
      </c>
    </row>
    <row r="971" spans="2:19" x14ac:dyDescent="0.25">
      <c r="B971" s="1" t="s">
        <v>1479</v>
      </c>
      <c r="C971" s="1" t="s">
        <v>1481</v>
      </c>
      <c r="D971" s="4" t="e">
        <f>VLOOKUP(A971,المعطيات!$A$1:$J$3500,5,0)</f>
        <v>#N/A</v>
      </c>
      <c r="E971" s="1" t="s">
        <v>1482</v>
      </c>
      <c r="F971" s="5">
        <f t="shared" si="45"/>
        <v>0</v>
      </c>
      <c r="G971" s="5" t="s">
        <v>1483</v>
      </c>
      <c r="H971" s="4" t="e">
        <f>VLOOKUP(A971,المعطيات!$A$1:$J$3500,3,0)</f>
        <v>#N/A</v>
      </c>
      <c r="I971" s="1" t="s">
        <v>1484</v>
      </c>
      <c r="J971" s="1" t="s">
        <v>1485</v>
      </c>
      <c r="K971" s="4" t="e">
        <f>VLOOKUP(A971,المعطيات!$A$1:$J$3500,6,0)</f>
        <v>#N/A</v>
      </c>
      <c r="L971" s="1" t="s">
        <v>1486</v>
      </c>
      <c r="M971" s="1" t="s">
        <v>1487</v>
      </c>
      <c r="N971" s="4" t="e">
        <f t="shared" si="46"/>
        <v>#N/A</v>
      </c>
      <c r="O971" s="1" t="s">
        <v>1488</v>
      </c>
      <c r="P971" s="4" t="e">
        <f>VLOOKUP(A971,المعطيات!$A$1:$J$3500,4,0)</f>
        <v>#N/A</v>
      </c>
      <c r="Q971" s="1" t="s">
        <v>1489</v>
      </c>
      <c r="R971" s="1" t="s">
        <v>1480</v>
      </c>
      <c r="S971" s="6" t="e">
        <f t="shared" si="47"/>
        <v>#N/A</v>
      </c>
    </row>
    <row r="972" spans="2:19" x14ac:dyDescent="0.25">
      <c r="B972" s="1" t="s">
        <v>1479</v>
      </c>
      <c r="C972" s="1" t="s">
        <v>1481</v>
      </c>
      <c r="D972" s="4" t="e">
        <f>VLOOKUP(A972,المعطيات!$A$1:$J$3500,5,0)</f>
        <v>#N/A</v>
      </c>
      <c r="E972" s="1" t="s">
        <v>1482</v>
      </c>
      <c r="F972" s="5">
        <f t="shared" si="45"/>
        <v>0</v>
      </c>
      <c r="G972" s="5" t="s">
        <v>1483</v>
      </c>
      <c r="H972" s="4" t="e">
        <f>VLOOKUP(A972,المعطيات!$A$1:$J$3500,3,0)</f>
        <v>#N/A</v>
      </c>
      <c r="I972" s="1" t="s">
        <v>1484</v>
      </c>
      <c r="J972" s="1" t="s">
        <v>1485</v>
      </c>
      <c r="K972" s="4" t="e">
        <f>VLOOKUP(A972,المعطيات!$A$1:$J$3500,6,0)</f>
        <v>#N/A</v>
      </c>
      <c r="L972" s="1" t="s">
        <v>1486</v>
      </c>
      <c r="M972" s="1" t="s">
        <v>1487</v>
      </c>
      <c r="N972" s="4" t="e">
        <f t="shared" si="46"/>
        <v>#N/A</v>
      </c>
      <c r="O972" s="1" t="s">
        <v>1488</v>
      </c>
      <c r="P972" s="4" t="e">
        <f>VLOOKUP(A972,المعطيات!$A$1:$J$3500,4,0)</f>
        <v>#N/A</v>
      </c>
      <c r="Q972" s="1" t="s">
        <v>1489</v>
      </c>
      <c r="R972" s="1" t="s">
        <v>1480</v>
      </c>
      <c r="S972" s="6" t="e">
        <f t="shared" si="47"/>
        <v>#N/A</v>
      </c>
    </row>
    <row r="973" spans="2:19" x14ac:dyDescent="0.25">
      <c r="B973" s="1" t="s">
        <v>1479</v>
      </c>
      <c r="C973" s="1" t="s">
        <v>1481</v>
      </c>
      <c r="D973" s="4" t="e">
        <f>VLOOKUP(A973,المعطيات!$A$1:$J$3500,5,0)</f>
        <v>#N/A</v>
      </c>
      <c r="E973" s="1" t="s">
        <v>1482</v>
      </c>
      <c r="F973" s="5">
        <f t="shared" si="45"/>
        <v>0</v>
      </c>
      <c r="G973" s="5" t="s">
        <v>1483</v>
      </c>
      <c r="H973" s="4" t="e">
        <f>VLOOKUP(A973,المعطيات!$A$1:$J$3500,3,0)</f>
        <v>#N/A</v>
      </c>
      <c r="I973" s="1" t="s">
        <v>1484</v>
      </c>
      <c r="J973" s="1" t="s">
        <v>1485</v>
      </c>
      <c r="K973" s="4" t="e">
        <f>VLOOKUP(A973,المعطيات!$A$1:$J$3500,6,0)</f>
        <v>#N/A</v>
      </c>
      <c r="L973" s="1" t="s">
        <v>1486</v>
      </c>
      <c r="M973" s="1" t="s">
        <v>1487</v>
      </c>
      <c r="N973" s="4" t="e">
        <f t="shared" si="46"/>
        <v>#N/A</v>
      </c>
      <c r="O973" s="1" t="s">
        <v>1488</v>
      </c>
      <c r="P973" s="4" t="e">
        <f>VLOOKUP(A973,المعطيات!$A$1:$J$3500,4,0)</f>
        <v>#N/A</v>
      </c>
      <c r="Q973" s="1" t="s">
        <v>1489</v>
      </c>
      <c r="R973" s="1" t="s">
        <v>1480</v>
      </c>
      <c r="S973" s="6" t="e">
        <f t="shared" si="47"/>
        <v>#N/A</v>
      </c>
    </row>
    <row r="974" spans="2:19" x14ac:dyDescent="0.25">
      <c r="B974" s="1" t="s">
        <v>1479</v>
      </c>
      <c r="C974" s="1" t="s">
        <v>1481</v>
      </c>
      <c r="D974" s="4" t="e">
        <f>VLOOKUP(A974,المعطيات!$A$1:$J$3500,5,0)</f>
        <v>#N/A</v>
      </c>
      <c r="E974" s="1" t="s">
        <v>1482</v>
      </c>
      <c r="F974" s="5">
        <f t="shared" si="45"/>
        <v>0</v>
      </c>
      <c r="G974" s="5" t="s">
        <v>1483</v>
      </c>
      <c r="H974" s="4" t="e">
        <f>VLOOKUP(A974,المعطيات!$A$1:$J$3500,3,0)</f>
        <v>#N/A</v>
      </c>
      <c r="I974" s="1" t="s">
        <v>1484</v>
      </c>
      <c r="J974" s="1" t="s">
        <v>1485</v>
      </c>
      <c r="K974" s="4" t="e">
        <f>VLOOKUP(A974,المعطيات!$A$1:$J$3500,6,0)</f>
        <v>#N/A</v>
      </c>
      <c r="L974" s="1" t="s">
        <v>1486</v>
      </c>
      <c r="M974" s="1" t="s">
        <v>1487</v>
      </c>
      <c r="N974" s="4" t="e">
        <f t="shared" si="46"/>
        <v>#N/A</v>
      </c>
      <c r="O974" s="1" t="s">
        <v>1488</v>
      </c>
      <c r="P974" s="4" t="e">
        <f>VLOOKUP(A974,المعطيات!$A$1:$J$3500,4,0)</f>
        <v>#N/A</v>
      </c>
      <c r="Q974" s="1" t="s">
        <v>1489</v>
      </c>
      <c r="R974" s="1" t="s">
        <v>1480</v>
      </c>
      <c r="S974" s="6" t="e">
        <f t="shared" si="47"/>
        <v>#N/A</v>
      </c>
    </row>
    <row r="975" spans="2:19" x14ac:dyDescent="0.25">
      <c r="B975" s="1" t="s">
        <v>1479</v>
      </c>
      <c r="C975" s="1" t="s">
        <v>1481</v>
      </c>
      <c r="D975" s="4" t="e">
        <f>VLOOKUP(A975,المعطيات!$A$1:$J$3500,5,0)</f>
        <v>#N/A</v>
      </c>
      <c r="E975" s="1" t="s">
        <v>1482</v>
      </c>
      <c r="F975" s="5">
        <f t="shared" si="45"/>
        <v>0</v>
      </c>
      <c r="G975" s="5" t="s">
        <v>1483</v>
      </c>
      <c r="H975" s="4" t="e">
        <f>VLOOKUP(A975,المعطيات!$A$1:$J$3500,3,0)</f>
        <v>#N/A</v>
      </c>
      <c r="I975" s="1" t="s">
        <v>1484</v>
      </c>
      <c r="J975" s="1" t="s">
        <v>1485</v>
      </c>
      <c r="K975" s="4" t="e">
        <f>VLOOKUP(A975,المعطيات!$A$1:$J$3500,6,0)</f>
        <v>#N/A</v>
      </c>
      <c r="L975" s="1" t="s">
        <v>1486</v>
      </c>
      <c r="M975" s="1" t="s">
        <v>1487</v>
      </c>
      <c r="N975" s="4" t="e">
        <f t="shared" si="46"/>
        <v>#N/A</v>
      </c>
      <c r="O975" s="1" t="s">
        <v>1488</v>
      </c>
      <c r="P975" s="4" t="e">
        <f>VLOOKUP(A975,المعطيات!$A$1:$J$3500,4,0)</f>
        <v>#N/A</v>
      </c>
      <c r="Q975" s="1" t="s">
        <v>1489</v>
      </c>
      <c r="R975" s="1" t="s">
        <v>1480</v>
      </c>
      <c r="S975" s="6" t="e">
        <f t="shared" si="47"/>
        <v>#N/A</v>
      </c>
    </row>
    <row r="976" spans="2:19" x14ac:dyDescent="0.25">
      <c r="B976" s="1" t="s">
        <v>1479</v>
      </c>
      <c r="C976" s="1" t="s">
        <v>1481</v>
      </c>
      <c r="D976" s="4" t="e">
        <f>VLOOKUP(A976,المعطيات!$A$1:$J$3500,5,0)</f>
        <v>#N/A</v>
      </c>
      <c r="E976" s="1" t="s">
        <v>1482</v>
      </c>
      <c r="F976" s="5">
        <f t="shared" si="45"/>
        <v>0</v>
      </c>
      <c r="G976" s="5" t="s">
        <v>1483</v>
      </c>
      <c r="H976" s="4" t="e">
        <f>VLOOKUP(A976,المعطيات!$A$1:$J$3500,3,0)</f>
        <v>#N/A</v>
      </c>
      <c r="I976" s="1" t="s">
        <v>1484</v>
      </c>
      <c r="J976" s="1" t="s">
        <v>1485</v>
      </c>
      <c r="K976" s="4" t="e">
        <f>VLOOKUP(A976,المعطيات!$A$1:$J$3500,6,0)</f>
        <v>#N/A</v>
      </c>
      <c r="L976" s="1" t="s">
        <v>1486</v>
      </c>
      <c r="M976" s="1" t="s">
        <v>1487</v>
      </c>
      <c r="N976" s="4" t="e">
        <f t="shared" si="46"/>
        <v>#N/A</v>
      </c>
      <c r="O976" s="1" t="s">
        <v>1488</v>
      </c>
      <c r="P976" s="4" t="e">
        <f>VLOOKUP(A976,المعطيات!$A$1:$J$3500,4,0)</f>
        <v>#N/A</v>
      </c>
      <c r="Q976" s="1" t="s">
        <v>1489</v>
      </c>
      <c r="R976" s="1" t="s">
        <v>1480</v>
      </c>
      <c r="S976" s="6" t="e">
        <f t="shared" si="47"/>
        <v>#N/A</v>
      </c>
    </row>
    <row r="977" spans="2:19" x14ac:dyDescent="0.25">
      <c r="B977" s="1" t="s">
        <v>1479</v>
      </c>
      <c r="C977" s="1" t="s">
        <v>1481</v>
      </c>
      <c r="D977" s="4" t="e">
        <f>VLOOKUP(A977,المعطيات!$A$1:$J$3500,5,0)</f>
        <v>#N/A</v>
      </c>
      <c r="E977" s="1" t="s">
        <v>1482</v>
      </c>
      <c r="F977" s="5">
        <f t="shared" si="45"/>
        <v>0</v>
      </c>
      <c r="G977" s="5" t="s">
        <v>1483</v>
      </c>
      <c r="H977" s="4" t="e">
        <f>VLOOKUP(A977,المعطيات!$A$1:$J$3500,3,0)</f>
        <v>#N/A</v>
      </c>
      <c r="I977" s="1" t="s">
        <v>1484</v>
      </c>
      <c r="J977" s="1" t="s">
        <v>1485</v>
      </c>
      <c r="K977" s="4" t="e">
        <f>VLOOKUP(A977,المعطيات!$A$1:$J$3500,6,0)</f>
        <v>#N/A</v>
      </c>
      <c r="L977" s="1" t="s">
        <v>1486</v>
      </c>
      <c r="M977" s="1" t="s">
        <v>1487</v>
      </c>
      <c r="N977" s="4" t="e">
        <f t="shared" si="46"/>
        <v>#N/A</v>
      </c>
      <c r="O977" s="1" t="s">
        <v>1488</v>
      </c>
      <c r="P977" s="4" t="e">
        <f>VLOOKUP(A977,المعطيات!$A$1:$J$3500,4,0)</f>
        <v>#N/A</v>
      </c>
      <c r="Q977" s="1" t="s">
        <v>1489</v>
      </c>
      <c r="R977" s="1" t="s">
        <v>1480</v>
      </c>
      <c r="S977" s="6" t="e">
        <f t="shared" si="47"/>
        <v>#N/A</v>
      </c>
    </row>
    <row r="978" spans="2:19" x14ac:dyDescent="0.25">
      <c r="B978" s="1" t="s">
        <v>1479</v>
      </c>
      <c r="C978" s="1" t="s">
        <v>1481</v>
      </c>
      <c r="D978" s="4" t="e">
        <f>VLOOKUP(A978,المعطيات!$A$1:$J$3500,5,0)</f>
        <v>#N/A</v>
      </c>
      <c r="E978" s="1" t="s">
        <v>1482</v>
      </c>
      <c r="F978" s="5">
        <f t="shared" si="45"/>
        <v>0</v>
      </c>
      <c r="G978" s="5" t="s">
        <v>1483</v>
      </c>
      <c r="H978" s="4" t="e">
        <f>VLOOKUP(A978,المعطيات!$A$1:$J$3500,3,0)</f>
        <v>#N/A</v>
      </c>
      <c r="I978" s="1" t="s">
        <v>1484</v>
      </c>
      <c r="J978" s="1" t="s">
        <v>1485</v>
      </c>
      <c r="K978" s="4" t="e">
        <f>VLOOKUP(A978,المعطيات!$A$1:$J$3500,6,0)</f>
        <v>#N/A</v>
      </c>
      <c r="L978" s="1" t="s">
        <v>1486</v>
      </c>
      <c r="M978" s="1" t="s">
        <v>1487</v>
      </c>
      <c r="N978" s="4" t="e">
        <f t="shared" si="46"/>
        <v>#N/A</v>
      </c>
      <c r="O978" s="1" t="s">
        <v>1488</v>
      </c>
      <c r="P978" s="4" t="e">
        <f>VLOOKUP(A978,المعطيات!$A$1:$J$3500,4,0)</f>
        <v>#N/A</v>
      </c>
      <c r="Q978" s="1" t="s">
        <v>1489</v>
      </c>
      <c r="R978" s="1" t="s">
        <v>1480</v>
      </c>
      <c r="S978" s="6" t="e">
        <f t="shared" si="47"/>
        <v>#N/A</v>
      </c>
    </row>
    <row r="979" spans="2:19" x14ac:dyDescent="0.25">
      <c r="B979" s="1" t="s">
        <v>1479</v>
      </c>
      <c r="C979" s="1" t="s">
        <v>1481</v>
      </c>
      <c r="D979" s="4" t="e">
        <f>VLOOKUP(A979,المعطيات!$A$1:$J$3500,5,0)</f>
        <v>#N/A</v>
      </c>
      <c r="E979" s="1" t="s">
        <v>1482</v>
      </c>
      <c r="F979" s="5">
        <f t="shared" si="45"/>
        <v>0</v>
      </c>
      <c r="G979" s="5" t="s">
        <v>1483</v>
      </c>
      <c r="H979" s="4" t="e">
        <f>VLOOKUP(A979,المعطيات!$A$1:$J$3500,3,0)</f>
        <v>#N/A</v>
      </c>
      <c r="I979" s="1" t="s">
        <v>1484</v>
      </c>
      <c r="J979" s="1" t="s">
        <v>1485</v>
      </c>
      <c r="K979" s="4" t="e">
        <f>VLOOKUP(A979,المعطيات!$A$1:$J$3500,6,0)</f>
        <v>#N/A</v>
      </c>
      <c r="L979" s="1" t="s">
        <v>1486</v>
      </c>
      <c r="M979" s="1" t="s">
        <v>1487</v>
      </c>
      <c r="N979" s="4" t="e">
        <f t="shared" si="46"/>
        <v>#N/A</v>
      </c>
      <c r="O979" s="1" t="s">
        <v>1488</v>
      </c>
      <c r="P979" s="4" t="e">
        <f>VLOOKUP(A979,المعطيات!$A$1:$J$3500,4,0)</f>
        <v>#N/A</v>
      </c>
      <c r="Q979" s="1" t="s">
        <v>1489</v>
      </c>
      <c r="R979" s="1" t="s">
        <v>1480</v>
      </c>
      <c r="S979" s="6" t="e">
        <f t="shared" si="47"/>
        <v>#N/A</v>
      </c>
    </row>
    <row r="980" spans="2:19" x14ac:dyDescent="0.25">
      <c r="B980" s="1" t="s">
        <v>1479</v>
      </c>
      <c r="C980" s="1" t="s">
        <v>1481</v>
      </c>
      <c r="D980" s="4" t="e">
        <f>VLOOKUP(A980,المعطيات!$A$1:$J$3500,5,0)</f>
        <v>#N/A</v>
      </c>
      <c r="E980" s="1" t="s">
        <v>1482</v>
      </c>
      <c r="F980" s="5">
        <f t="shared" si="45"/>
        <v>0</v>
      </c>
      <c r="G980" s="5" t="s">
        <v>1483</v>
      </c>
      <c r="H980" s="4" t="e">
        <f>VLOOKUP(A980,المعطيات!$A$1:$J$3500,3,0)</f>
        <v>#N/A</v>
      </c>
      <c r="I980" s="1" t="s">
        <v>1484</v>
      </c>
      <c r="J980" s="1" t="s">
        <v>1485</v>
      </c>
      <c r="K980" s="4" t="e">
        <f>VLOOKUP(A980,المعطيات!$A$1:$J$3500,6,0)</f>
        <v>#N/A</v>
      </c>
      <c r="L980" s="1" t="s">
        <v>1486</v>
      </c>
      <c r="M980" s="1" t="s">
        <v>1487</v>
      </c>
      <c r="N980" s="4" t="e">
        <f t="shared" si="46"/>
        <v>#N/A</v>
      </c>
      <c r="O980" s="1" t="s">
        <v>1488</v>
      </c>
      <c r="P980" s="4" t="e">
        <f>VLOOKUP(A980,المعطيات!$A$1:$J$3500,4,0)</f>
        <v>#N/A</v>
      </c>
      <c r="Q980" s="1" t="s">
        <v>1489</v>
      </c>
      <c r="R980" s="1" t="s">
        <v>1480</v>
      </c>
      <c r="S980" s="6" t="e">
        <f t="shared" si="47"/>
        <v>#N/A</v>
      </c>
    </row>
    <row r="981" spans="2:19" x14ac:dyDescent="0.25">
      <c r="B981" s="1" t="s">
        <v>1479</v>
      </c>
      <c r="C981" s="1" t="s">
        <v>1481</v>
      </c>
      <c r="D981" s="4" t="e">
        <f>VLOOKUP(A981,المعطيات!$A$1:$J$3500,5,0)</f>
        <v>#N/A</v>
      </c>
      <c r="E981" s="1" t="s">
        <v>1482</v>
      </c>
      <c r="F981" s="5">
        <f t="shared" si="45"/>
        <v>0</v>
      </c>
      <c r="G981" s="5" t="s">
        <v>1483</v>
      </c>
      <c r="H981" s="4" t="e">
        <f>VLOOKUP(A981,المعطيات!$A$1:$J$3500,3,0)</f>
        <v>#N/A</v>
      </c>
      <c r="I981" s="1" t="s">
        <v>1484</v>
      </c>
      <c r="J981" s="1" t="s">
        <v>1485</v>
      </c>
      <c r="K981" s="4" t="e">
        <f>VLOOKUP(A981,المعطيات!$A$1:$J$3500,6,0)</f>
        <v>#N/A</v>
      </c>
      <c r="L981" s="1" t="s">
        <v>1486</v>
      </c>
      <c r="M981" s="1" t="s">
        <v>1487</v>
      </c>
      <c r="N981" s="4" t="e">
        <f t="shared" si="46"/>
        <v>#N/A</v>
      </c>
      <c r="O981" s="1" t="s">
        <v>1488</v>
      </c>
      <c r="P981" s="4" t="e">
        <f>VLOOKUP(A981,المعطيات!$A$1:$J$3500,4,0)</f>
        <v>#N/A</v>
      </c>
      <c r="Q981" s="1" t="s">
        <v>1489</v>
      </c>
      <c r="R981" s="1" t="s">
        <v>1480</v>
      </c>
      <c r="S981" s="6" t="e">
        <f t="shared" si="47"/>
        <v>#N/A</v>
      </c>
    </row>
    <row r="982" spans="2:19" x14ac:dyDescent="0.25">
      <c r="B982" s="1" t="s">
        <v>1479</v>
      </c>
      <c r="C982" s="1" t="s">
        <v>1481</v>
      </c>
      <c r="D982" s="4" t="e">
        <f>VLOOKUP(A982,المعطيات!$A$1:$J$3500,5,0)</f>
        <v>#N/A</v>
      </c>
      <c r="E982" s="1" t="s">
        <v>1482</v>
      </c>
      <c r="F982" s="5">
        <f t="shared" si="45"/>
        <v>0</v>
      </c>
      <c r="G982" s="5" t="s">
        <v>1483</v>
      </c>
      <c r="H982" s="4" t="e">
        <f>VLOOKUP(A982,المعطيات!$A$1:$J$3500,3,0)</f>
        <v>#N/A</v>
      </c>
      <c r="I982" s="1" t="s">
        <v>1484</v>
      </c>
      <c r="J982" s="1" t="s">
        <v>1485</v>
      </c>
      <c r="K982" s="4" t="e">
        <f>VLOOKUP(A982,المعطيات!$A$1:$J$3500,6,0)</f>
        <v>#N/A</v>
      </c>
      <c r="L982" s="1" t="s">
        <v>1486</v>
      </c>
      <c r="M982" s="1" t="s">
        <v>1487</v>
      </c>
      <c r="N982" s="4" t="e">
        <f t="shared" si="46"/>
        <v>#N/A</v>
      </c>
      <c r="O982" s="1" t="s">
        <v>1488</v>
      </c>
      <c r="P982" s="4" t="e">
        <f>VLOOKUP(A982,المعطيات!$A$1:$J$3500,4,0)</f>
        <v>#N/A</v>
      </c>
      <c r="Q982" s="1" t="s">
        <v>1489</v>
      </c>
      <c r="R982" s="1" t="s">
        <v>1480</v>
      </c>
      <c r="S982" s="6" t="e">
        <f t="shared" si="47"/>
        <v>#N/A</v>
      </c>
    </row>
    <row r="983" spans="2:19" x14ac:dyDescent="0.25">
      <c r="B983" s="1" t="s">
        <v>1479</v>
      </c>
      <c r="C983" s="1" t="s">
        <v>1481</v>
      </c>
      <c r="D983" s="4" t="e">
        <f>VLOOKUP(A983,المعطيات!$A$1:$J$3500,5,0)</f>
        <v>#N/A</v>
      </c>
      <c r="E983" s="1" t="s">
        <v>1482</v>
      </c>
      <c r="F983" s="5">
        <f t="shared" si="45"/>
        <v>0</v>
      </c>
      <c r="G983" s="5" t="s">
        <v>1483</v>
      </c>
      <c r="H983" s="4" t="e">
        <f>VLOOKUP(A983,المعطيات!$A$1:$J$3500,3,0)</f>
        <v>#N/A</v>
      </c>
      <c r="I983" s="1" t="s">
        <v>1484</v>
      </c>
      <c r="J983" s="1" t="s">
        <v>1485</v>
      </c>
      <c r="K983" s="4" t="e">
        <f>VLOOKUP(A983,المعطيات!$A$1:$J$3500,6,0)</f>
        <v>#N/A</v>
      </c>
      <c r="L983" s="1" t="s">
        <v>1486</v>
      </c>
      <c r="M983" s="1" t="s">
        <v>1487</v>
      </c>
      <c r="N983" s="4" t="e">
        <f t="shared" si="46"/>
        <v>#N/A</v>
      </c>
      <c r="O983" s="1" t="s">
        <v>1488</v>
      </c>
      <c r="P983" s="4" t="e">
        <f>VLOOKUP(A983,المعطيات!$A$1:$J$3500,4,0)</f>
        <v>#N/A</v>
      </c>
      <c r="Q983" s="1" t="s">
        <v>1489</v>
      </c>
      <c r="R983" s="1" t="s">
        <v>1480</v>
      </c>
      <c r="S983" s="6" t="e">
        <f t="shared" si="47"/>
        <v>#N/A</v>
      </c>
    </row>
    <row r="984" spans="2:19" x14ac:dyDescent="0.25">
      <c r="B984" s="1" t="s">
        <v>1479</v>
      </c>
      <c r="C984" s="1" t="s">
        <v>1481</v>
      </c>
      <c r="D984" s="4" t="e">
        <f>VLOOKUP(A984,المعطيات!$A$1:$J$3500,5,0)</f>
        <v>#N/A</v>
      </c>
      <c r="E984" s="1" t="s">
        <v>1482</v>
      </c>
      <c r="F984" s="5">
        <f t="shared" si="45"/>
        <v>0</v>
      </c>
      <c r="G984" s="5" t="s">
        <v>1483</v>
      </c>
      <c r="H984" s="4" t="e">
        <f>VLOOKUP(A984,المعطيات!$A$1:$J$3500,3,0)</f>
        <v>#N/A</v>
      </c>
      <c r="I984" s="1" t="s">
        <v>1484</v>
      </c>
      <c r="J984" s="1" t="s">
        <v>1485</v>
      </c>
      <c r="K984" s="4" t="e">
        <f>VLOOKUP(A984,المعطيات!$A$1:$J$3500,6,0)</f>
        <v>#N/A</v>
      </c>
      <c r="L984" s="1" t="s">
        <v>1486</v>
      </c>
      <c r="M984" s="1" t="s">
        <v>1487</v>
      </c>
      <c r="N984" s="4" t="e">
        <f t="shared" si="46"/>
        <v>#N/A</v>
      </c>
      <c r="O984" s="1" t="s">
        <v>1488</v>
      </c>
      <c r="P984" s="4" t="e">
        <f>VLOOKUP(A984,المعطيات!$A$1:$J$3500,4,0)</f>
        <v>#N/A</v>
      </c>
      <c r="Q984" s="1" t="s">
        <v>1489</v>
      </c>
      <c r="R984" s="1" t="s">
        <v>1480</v>
      </c>
      <c r="S984" s="6" t="e">
        <f t="shared" si="47"/>
        <v>#N/A</v>
      </c>
    </row>
    <row r="985" spans="2:19" x14ac:dyDescent="0.25">
      <c r="B985" s="1" t="s">
        <v>1479</v>
      </c>
      <c r="C985" s="1" t="s">
        <v>1481</v>
      </c>
      <c r="D985" s="4" t="e">
        <f>VLOOKUP(A985,المعطيات!$A$1:$J$3500,5,0)</f>
        <v>#N/A</v>
      </c>
      <c r="E985" s="1" t="s">
        <v>1482</v>
      </c>
      <c r="F985" s="5">
        <f t="shared" si="45"/>
        <v>0</v>
      </c>
      <c r="G985" s="5" t="s">
        <v>1483</v>
      </c>
      <c r="H985" s="4" t="e">
        <f>VLOOKUP(A985,المعطيات!$A$1:$J$3500,3,0)</f>
        <v>#N/A</v>
      </c>
      <c r="I985" s="1" t="s">
        <v>1484</v>
      </c>
      <c r="J985" s="1" t="s">
        <v>1485</v>
      </c>
      <c r="K985" s="4" t="e">
        <f>VLOOKUP(A985,المعطيات!$A$1:$J$3500,6,0)</f>
        <v>#N/A</v>
      </c>
      <c r="L985" s="1" t="s">
        <v>1486</v>
      </c>
      <c r="M985" s="1" t="s">
        <v>1487</v>
      </c>
      <c r="N985" s="4" t="e">
        <f t="shared" si="46"/>
        <v>#N/A</v>
      </c>
      <c r="O985" s="1" t="s">
        <v>1488</v>
      </c>
      <c r="P985" s="4" t="e">
        <f>VLOOKUP(A985,المعطيات!$A$1:$J$3500,4,0)</f>
        <v>#N/A</v>
      </c>
      <c r="Q985" s="1" t="s">
        <v>1489</v>
      </c>
      <c r="R985" s="1" t="s">
        <v>1480</v>
      </c>
      <c r="S985" s="6" t="e">
        <f t="shared" si="47"/>
        <v>#N/A</v>
      </c>
    </row>
    <row r="986" spans="2:19" x14ac:dyDescent="0.25">
      <c r="B986" s="1" t="s">
        <v>1479</v>
      </c>
      <c r="C986" s="1" t="s">
        <v>1481</v>
      </c>
      <c r="D986" s="4" t="e">
        <f>VLOOKUP(A986,المعطيات!$A$1:$J$3500,5,0)</f>
        <v>#N/A</v>
      </c>
      <c r="E986" s="1" t="s">
        <v>1482</v>
      </c>
      <c r="F986" s="5">
        <f t="shared" si="45"/>
        <v>0</v>
      </c>
      <c r="G986" s="5" t="s">
        <v>1483</v>
      </c>
      <c r="H986" s="4" t="e">
        <f>VLOOKUP(A986,المعطيات!$A$1:$J$3500,3,0)</f>
        <v>#N/A</v>
      </c>
      <c r="I986" s="1" t="s">
        <v>1484</v>
      </c>
      <c r="J986" s="1" t="s">
        <v>1485</v>
      </c>
      <c r="K986" s="4" t="e">
        <f>VLOOKUP(A986,المعطيات!$A$1:$J$3500,6,0)</f>
        <v>#N/A</v>
      </c>
      <c r="L986" s="1" t="s">
        <v>1486</v>
      </c>
      <c r="M986" s="1" t="s">
        <v>1487</v>
      </c>
      <c r="N986" s="4" t="e">
        <f t="shared" si="46"/>
        <v>#N/A</v>
      </c>
      <c r="O986" s="1" t="s">
        <v>1488</v>
      </c>
      <c r="P986" s="4" t="e">
        <f>VLOOKUP(A986,المعطيات!$A$1:$J$3500,4,0)</f>
        <v>#N/A</v>
      </c>
      <c r="Q986" s="1" t="s">
        <v>1489</v>
      </c>
      <c r="R986" s="1" t="s">
        <v>1480</v>
      </c>
      <c r="S986" s="6" t="e">
        <f t="shared" si="47"/>
        <v>#N/A</v>
      </c>
    </row>
    <row r="987" spans="2:19" x14ac:dyDescent="0.25">
      <c r="B987" s="1" t="s">
        <v>1479</v>
      </c>
      <c r="C987" s="1" t="s">
        <v>1481</v>
      </c>
      <c r="D987" s="4" t="e">
        <f>VLOOKUP(A987,المعطيات!$A$1:$J$3500,5,0)</f>
        <v>#N/A</v>
      </c>
      <c r="E987" s="1" t="s">
        <v>1482</v>
      </c>
      <c r="F987" s="5">
        <f t="shared" si="45"/>
        <v>0</v>
      </c>
      <c r="G987" s="5" t="s">
        <v>1483</v>
      </c>
      <c r="H987" s="4" t="e">
        <f>VLOOKUP(A987,المعطيات!$A$1:$J$3500,3,0)</f>
        <v>#N/A</v>
      </c>
      <c r="I987" s="1" t="s">
        <v>1484</v>
      </c>
      <c r="J987" s="1" t="s">
        <v>1485</v>
      </c>
      <c r="K987" s="4" t="e">
        <f>VLOOKUP(A987,المعطيات!$A$1:$J$3500,6,0)</f>
        <v>#N/A</v>
      </c>
      <c r="L987" s="1" t="s">
        <v>1486</v>
      </c>
      <c r="M987" s="1" t="s">
        <v>1487</v>
      </c>
      <c r="N987" s="4" t="e">
        <f t="shared" si="46"/>
        <v>#N/A</v>
      </c>
      <c r="O987" s="1" t="s">
        <v>1488</v>
      </c>
      <c r="P987" s="4" t="e">
        <f>VLOOKUP(A987,المعطيات!$A$1:$J$3500,4,0)</f>
        <v>#N/A</v>
      </c>
      <c r="Q987" s="1" t="s">
        <v>1489</v>
      </c>
      <c r="R987" s="1" t="s">
        <v>1480</v>
      </c>
      <c r="S987" s="6" t="e">
        <f t="shared" si="47"/>
        <v>#N/A</v>
      </c>
    </row>
    <row r="988" spans="2:19" x14ac:dyDescent="0.25">
      <c r="B988" s="1" t="s">
        <v>1479</v>
      </c>
      <c r="C988" s="1" t="s">
        <v>1481</v>
      </c>
      <c r="D988" s="4" t="e">
        <f>VLOOKUP(A988,المعطيات!$A$1:$J$3500,5,0)</f>
        <v>#N/A</v>
      </c>
      <c r="E988" s="1" t="s">
        <v>1482</v>
      </c>
      <c r="F988" s="5">
        <f t="shared" si="45"/>
        <v>0</v>
      </c>
      <c r="G988" s="5" t="s">
        <v>1483</v>
      </c>
      <c r="H988" s="4" t="e">
        <f>VLOOKUP(A988,المعطيات!$A$1:$J$3500,3,0)</f>
        <v>#N/A</v>
      </c>
      <c r="I988" s="1" t="s">
        <v>1484</v>
      </c>
      <c r="J988" s="1" t="s">
        <v>1485</v>
      </c>
      <c r="K988" s="4" t="e">
        <f>VLOOKUP(A988,المعطيات!$A$1:$J$3500,6,0)</f>
        <v>#N/A</v>
      </c>
      <c r="L988" s="1" t="s">
        <v>1486</v>
      </c>
      <c r="M988" s="1" t="s">
        <v>1487</v>
      </c>
      <c r="N988" s="4" t="e">
        <f t="shared" si="46"/>
        <v>#N/A</v>
      </c>
      <c r="O988" s="1" t="s">
        <v>1488</v>
      </c>
      <c r="P988" s="4" t="e">
        <f>VLOOKUP(A988,المعطيات!$A$1:$J$3500,4,0)</f>
        <v>#N/A</v>
      </c>
      <c r="Q988" s="1" t="s">
        <v>1489</v>
      </c>
      <c r="R988" s="1" t="s">
        <v>1480</v>
      </c>
      <c r="S988" s="6" t="e">
        <f t="shared" si="47"/>
        <v>#N/A</v>
      </c>
    </row>
    <row r="989" spans="2:19" x14ac:dyDescent="0.25">
      <c r="B989" s="1" t="s">
        <v>1479</v>
      </c>
      <c r="C989" s="1" t="s">
        <v>1481</v>
      </c>
      <c r="D989" s="4" t="e">
        <f>VLOOKUP(A989,المعطيات!$A$1:$J$3500,5,0)</f>
        <v>#N/A</v>
      </c>
      <c r="E989" s="1" t="s">
        <v>1482</v>
      </c>
      <c r="F989" s="5">
        <f t="shared" si="45"/>
        <v>0</v>
      </c>
      <c r="G989" s="5" t="s">
        <v>1483</v>
      </c>
      <c r="H989" s="4" t="e">
        <f>VLOOKUP(A989,المعطيات!$A$1:$J$3500,3,0)</f>
        <v>#N/A</v>
      </c>
      <c r="I989" s="1" t="s">
        <v>1484</v>
      </c>
      <c r="J989" s="1" t="s">
        <v>1485</v>
      </c>
      <c r="K989" s="4" t="e">
        <f>VLOOKUP(A989,المعطيات!$A$1:$J$3500,6,0)</f>
        <v>#N/A</v>
      </c>
      <c r="L989" s="1" t="s">
        <v>1486</v>
      </c>
      <c r="M989" s="1" t="s">
        <v>1487</v>
      </c>
      <c r="N989" s="4" t="e">
        <f t="shared" si="46"/>
        <v>#N/A</v>
      </c>
      <c r="O989" s="1" t="s">
        <v>1488</v>
      </c>
      <c r="P989" s="4" t="e">
        <f>VLOOKUP(A989,المعطيات!$A$1:$J$3500,4,0)</f>
        <v>#N/A</v>
      </c>
      <c r="Q989" s="1" t="s">
        <v>1489</v>
      </c>
      <c r="R989" s="1" t="s">
        <v>1480</v>
      </c>
      <c r="S989" s="6" t="e">
        <f t="shared" si="47"/>
        <v>#N/A</v>
      </c>
    </row>
    <row r="990" spans="2:19" x14ac:dyDescent="0.25">
      <c r="B990" s="1" t="s">
        <v>1479</v>
      </c>
      <c r="C990" s="1" t="s">
        <v>1481</v>
      </c>
      <c r="D990" s="4" t="e">
        <f>VLOOKUP(A990,المعطيات!$A$1:$J$3500,5,0)</f>
        <v>#N/A</v>
      </c>
      <c r="E990" s="1" t="s">
        <v>1482</v>
      </c>
      <c r="F990" s="5">
        <f t="shared" si="45"/>
        <v>0</v>
      </c>
      <c r="G990" s="5" t="s">
        <v>1483</v>
      </c>
      <c r="H990" s="4" t="e">
        <f>VLOOKUP(A990,المعطيات!$A$1:$J$3500,3,0)</f>
        <v>#N/A</v>
      </c>
      <c r="I990" s="1" t="s">
        <v>1484</v>
      </c>
      <c r="J990" s="1" t="s">
        <v>1485</v>
      </c>
      <c r="K990" s="4" t="e">
        <f>VLOOKUP(A990,المعطيات!$A$1:$J$3500,6,0)</f>
        <v>#N/A</v>
      </c>
      <c r="L990" s="1" t="s">
        <v>1486</v>
      </c>
      <c r="M990" s="1" t="s">
        <v>1487</v>
      </c>
      <c r="N990" s="4" t="e">
        <f t="shared" si="46"/>
        <v>#N/A</v>
      </c>
      <c r="O990" s="1" t="s">
        <v>1488</v>
      </c>
      <c r="P990" s="4" t="e">
        <f>VLOOKUP(A990,المعطيات!$A$1:$J$3500,4,0)</f>
        <v>#N/A</v>
      </c>
      <c r="Q990" s="1" t="s">
        <v>1489</v>
      </c>
      <c r="R990" s="1" t="s">
        <v>1480</v>
      </c>
      <c r="S990" s="6" t="e">
        <f t="shared" si="47"/>
        <v>#N/A</v>
      </c>
    </row>
    <row r="991" spans="2:19" x14ac:dyDescent="0.25">
      <c r="B991" s="1" t="s">
        <v>1479</v>
      </c>
      <c r="C991" s="1" t="s">
        <v>1481</v>
      </c>
      <c r="D991" s="4" t="e">
        <f>VLOOKUP(A991,المعطيات!$A$1:$J$3500,5,0)</f>
        <v>#N/A</v>
      </c>
      <c r="E991" s="1" t="s">
        <v>1482</v>
      </c>
      <c r="F991" s="5">
        <f t="shared" si="45"/>
        <v>0</v>
      </c>
      <c r="G991" s="5" t="s">
        <v>1483</v>
      </c>
      <c r="H991" s="4" t="e">
        <f>VLOOKUP(A991,المعطيات!$A$1:$J$3500,3,0)</f>
        <v>#N/A</v>
      </c>
      <c r="I991" s="1" t="s">
        <v>1484</v>
      </c>
      <c r="J991" s="1" t="s">
        <v>1485</v>
      </c>
      <c r="K991" s="4" t="e">
        <f>VLOOKUP(A991,المعطيات!$A$1:$J$3500,6,0)</f>
        <v>#N/A</v>
      </c>
      <c r="L991" s="1" t="s">
        <v>1486</v>
      </c>
      <c r="M991" s="1" t="s">
        <v>1487</v>
      </c>
      <c r="N991" s="4" t="e">
        <f t="shared" si="46"/>
        <v>#N/A</v>
      </c>
      <c r="O991" s="1" t="s">
        <v>1488</v>
      </c>
      <c r="P991" s="4" t="e">
        <f>VLOOKUP(A991,المعطيات!$A$1:$J$3500,4,0)</f>
        <v>#N/A</v>
      </c>
      <c r="Q991" s="1" t="s">
        <v>1489</v>
      </c>
      <c r="R991" s="1" t="s">
        <v>1480</v>
      </c>
      <c r="S991" s="6" t="e">
        <f t="shared" si="47"/>
        <v>#N/A</v>
      </c>
    </row>
    <row r="992" spans="2:19" x14ac:dyDescent="0.25">
      <c r="B992" s="1" t="s">
        <v>1479</v>
      </c>
      <c r="C992" s="1" t="s">
        <v>1481</v>
      </c>
      <c r="D992" s="4" t="e">
        <f>VLOOKUP(A992,المعطيات!$A$1:$J$3500,5,0)</f>
        <v>#N/A</v>
      </c>
      <c r="E992" s="1" t="s">
        <v>1482</v>
      </c>
      <c r="F992" s="5">
        <f t="shared" si="45"/>
        <v>0</v>
      </c>
      <c r="G992" s="5" t="s">
        <v>1483</v>
      </c>
      <c r="H992" s="4" t="e">
        <f>VLOOKUP(A992,المعطيات!$A$1:$J$3500,3,0)</f>
        <v>#N/A</v>
      </c>
      <c r="I992" s="1" t="s">
        <v>1484</v>
      </c>
      <c r="J992" s="1" t="s">
        <v>1485</v>
      </c>
      <c r="K992" s="4" t="e">
        <f>VLOOKUP(A992,المعطيات!$A$1:$J$3500,6,0)</f>
        <v>#N/A</v>
      </c>
      <c r="L992" s="1" t="s">
        <v>1486</v>
      </c>
      <c r="M992" s="1" t="s">
        <v>1487</v>
      </c>
      <c r="N992" s="4" t="e">
        <f t="shared" si="46"/>
        <v>#N/A</v>
      </c>
      <c r="O992" s="1" t="s">
        <v>1488</v>
      </c>
      <c r="P992" s="4" t="e">
        <f>VLOOKUP(A992,المعطيات!$A$1:$J$3500,4,0)</f>
        <v>#N/A</v>
      </c>
      <c r="Q992" s="1" t="s">
        <v>1489</v>
      </c>
      <c r="R992" s="1" t="s">
        <v>1480</v>
      </c>
      <c r="S992" s="6" t="e">
        <f t="shared" si="47"/>
        <v>#N/A</v>
      </c>
    </row>
    <row r="993" spans="2:19" x14ac:dyDescent="0.25">
      <c r="B993" s="1" t="s">
        <v>1479</v>
      </c>
      <c r="C993" s="1" t="s">
        <v>1481</v>
      </c>
      <c r="D993" s="4" t="e">
        <f>VLOOKUP(A993,المعطيات!$A$1:$J$3500,5,0)</f>
        <v>#N/A</v>
      </c>
      <c r="E993" s="1" t="s">
        <v>1482</v>
      </c>
      <c r="F993" s="5">
        <f t="shared" si="45"/>
        <v>0</v>
      </c>
      <c r="G993" s="5" t="s">
        <v>1483</v>
      </c>
      <c r="H993" s="4" t="e">
        <f>VLOOKUP(A993,المعطيات!$A$1:$J$3500,3,0)</f>
        <v>#N/A</v>
      </c>
      <c r="I993" s="1" t="s">
        <v>1484</v>
      </c>
      <c r="J993" s="1" t="s">
        <v>1485</v>
      </c>
      <c r="K993" s="4" t="e">
        <f>VLOOKUP(A993,المعطيات!$A$1:$J$3500,6,0)</f>
        <v>#N/A</v>
      </c>
      <c r="L993" s="1" t="s">
        <v>1486</v>
      </c>
      <c r="M993" s="1" t="s">
        <v>1487</v>
      </c>
      <c r="N993" s="4" t="e">
        <f t="shared" si="46"/>
        <v>#N/A</v>
      </c>
      <c r="O993" s="1" t="s">
        <v>1488</v>
      </c>
      <c r="P993" s="4" t="e">
        <f>VLOOKUP(A993,المعطيات!$A$1:$J$3500,4,0)</f>
        <v>#N/A</v>
      </c>
      <c r="Q993" s="1" t="s">
        <v>1489</v>
      </c>
      <c r="R993" s="1" t="s">
        <v>1480</v>
      </c>
      <c r="S993" s="6" t="e">
        <f t="shared" si="47"/>
        <v>#N/A</v>
      </c>
    </row>
    <row r="994" spans="2:19" x14ac:dyDescent="0.25">
      <c r="B994" s="1" t="s">
        <v>1479</v>
      </c>
      <c r="C994" s="1" t="s">
        <v>1481</v>
      </c>
      <c r="D994" s="4" t="e">
        <f>VLOOKUP(A994,المعطيات!$A$1:$J$3500,5,0)</f>
        <v>#N/A</v>
      </c>
      <c r="E994" s="1" t="s">
        <v>1482</v>
      </c>
      <c r="F994" s="5">
        <f t="shared" si="45"/>
        <v>0</v>
      </c>
      <c r="G994" s="5" t="s">
        <v>1483</v>
      </c>
      <c r="H994" s="4" t="e">
        <f>VLOOKUP(A994,المعطيات!$A$1:$J$3500,3,0)</f>
        <v>#N/A</v>
      </c>
      <c r="I994" s="1" t="s">
        <v>1484</v>
      </c>
      <c r="J994" s="1" t="s">
        <v>1485</v>
      </c>
      <c r="K994" s="4" t="e">
        <f>VLOOKUP(A994,المعطيات!$A$1:$J$3500,6,0)</f>
        <v>#N/A</v>
      </c>
      <c r="L994" s="1" t="s">
        <v>1486</v>
      </c>
      <c r="M994" s="1" t="s">
        <v>1487</v>
      </c>
      <c r="N994" s="4" t="e">
        <f t="shared" si="46"/>
        <v>#N/A</v>
      </c>
      <c r="O994" s="1" t="s">
        <v>1488</v>
      </c>
      <c r="P994" s="4" t="e">
        <f>VLOOKUP(A994,المعطيات!$A$1:$J$3500,4,0)</f>
        <v>#N/A</v>
      </c>
      <c r="Q994" s="1" t="s">
        <v>1489</v>
      </c>
      <c r="R994" s="1" t="s">
        <v>1480</v>
      </c>
      <c r="S994" s="6" t="e">
        <f t="shared" si="47"/>
        <v>#N/A</v>
      </c>
    </row>
    <row r="995" spans="2:19" x14ac:dyDescent="0.25">
      <c r="B995" s="1" t="s">
        <v>1479</v>
      </c>
      <c r="C995" s="1" t="s">
        <v>1481</v>
      </c>
      <c r="D995" s="4" t="e">
        <f>VLOOKUP(A995,المعطيات!$A$1:$J$3500,5,0)</f>
        <v>#N/A</v>
      </c>
      <c r="E995" s="1" t="s">
        <v>1482</v>
      </c>
      <c r="F995" s="5">
        <f t="shared" si="45"/>
        <v>0</v>
      </c>
      <c r="G995" s="5" t="s">
        <v>1483</v>
      </c>
      <c r="H995" s="4" t="e">
        <f>VLOOKUP(A995,المعطيات!$A$1:$J$3500,3,0)</f>
        <v>#N/A</v>
      </c>
      <c r="I995" s="1" t="s">
        <v>1484</v>
      </c>
      <c r="J995" s="1" t="s">
        <v>1485</v>
      </c>
      <c r="K995" s="4" t="e">
        <f>VLOOKUP(A995,المعطيات!$A$1:$J$3500,6,0)</f>
        <v>#N/A</v>
      </c>
      <c r="L995" s="1" t="s">
        <v>1486</v>
      </c>
      <c r="M995" s="1" t="s">
        <v>1487</v>
      </c>
      <c r="N995" s="4" t="e">
        <f t="shared" si="46"/>
        <v>#N/A</v>
      </c>
      <c r="O995" s="1" t="s">
        <v>1488</v>
      </c>
      <c r="P995" s="4" t="e">
        <f>VLOOKUP(A995,المعطيات!$A$1:$J$3500,4,0)</f>
        <v>#N/A</v>
      </c>
      <c r="Q995" s="1" t="s">
        <v>1489</v>
      </c>
      <c r="R995" s="1" t="s">
        <v>1480</v>
      </c>
      <c r="S995" s="6" t="e">
        <f t="shared" si="47"/>
        <v>#N/A</v>
      </c>
    </row>
    <row r="996" spans="2:19" x14ac:dyDescent="0.25">
      <c r="B996" s="1" t="s">
        <v>1479</v>
      </c>
      <c r="C996" s="1" t="s">
        <v>1481</v>
      </c>
      <c r="D996" s="4" t="e">
        <f>VLOOKUP(A996,المعطيات!$A$1:$J$3500,5,0)</f>
        <v>#N/A</v>
      </c>
      <c r="E996" s="1" t="s">
        <v>1482</v>
      </c>
      <c r="F996" s="5">
        <f t="shared" si="45"/>
        <v>0</v>
      </c>
      <c r="G996" s="5" t="s">
        <v>1483</v>
      </c>
      <c r="H996" s="4" t="e">
        <f>VLOOKUP(A996,المعطيات!$A$1:$J$3500,3,0)</f>
        <v>#N/A</v>
      </c>
      <c r="I996" s="1" t="s">
        <v>1484</v>
      </c>
      <c r="J996" s="1" t="s">
        <v>1485</v>
      </c>
      <c r="K996" s="4" t="e">
        <f>VLOOKUP(A996,المعطيات!$A$1:$J$3500,6,0)</f>
        <v>#N/A</v>
      </c>
      <c r="L996" s="1" t="s">
        <v>1486</v>
      </c>
      <c r="M996" s="1" t="s">
        <v>1487</v>
      </c>
      <c r="N996" s="4" t="e">
        <f t="shared" si="46"/>
        <v>#N/A</v>
      </c>
      <c r="O996" s="1" t="s">
        <v>1488</v>
      </c>
      <c r="P996" s="4" t="e">
        <f>VLOOKUP(A996,المعطيات!$A$1:$J$3500,4,0)</f>
        <v>#N/A</v>
      </c>
      <c r="Q996" s="1" t="s">
        <v>1489</v>
      </c>
      <c r="R996" s="1" t="s">
        <v>1480</v>
      </c>
      <c r="S996" s="6" t="e">
        <f t="shared" si="47"/>
        <v>#N/A</v>
      </c>
    </row>
    <row r="997" spans="2:19" x14ac:dyDescent="0.25">
      <c r="B997" s="1" t="s">
        <v>1479</v>
      </c>
      <c r="C997" s="1" t="s">
        <v>1481</v>
      </c>
      <c r="D997" s="4" t="e">
        <f>VLOOKUP(A997,المعطيات!$A$1:$J$3500,5,0)</f>
        <v>#N/A</v>
      </c>
      <c r="E997" s="1" t="s">
        <v>1482</v>
      </c>
      <c r="F997" s="5">
        <f t="shared" si="45"/>
        <v>0</v>
      </c>
      <c r="G997" s="5" t="s">
        <v>1483</v>
      </c>
      <c r="H997" s="4" t="e">
        <f>VLOOKUP(A997,المعطيات!$A$1:$J$3500,3,0)</f>
        <v>#N/A</v>
      </c>
      <c r="I997" s="1" t="s">
        <v>1484</v>
      </c>
      <c r="J997" s="1" t="s">
        <v>1485</v>
      </c>
      <c r="K997" s="4" t="e">
        <f>VLOOKUP(A997,المعطيات!$A$1:$J$3500,6,0)</f>
        <v>#N/A</v>
      </c>
      <c r="L997" s="1" t="s">
        <v>1486</v>
      </c>
      <c r="M997" s="1" t="s">
        <v>1487</v>
      </c>
      <c r="N997" s="4" t="e">
        <f t="shared" si="46"/>
        <v>#N/A</v>
      </c>
      <c r="O997" s="1" t="s">
        <v>1488</v>
      </c>
      <c r="P997" s="4" t="e">
        <f>VLOOKUP(A997,المعطيات!$A$1:$J$3500,4,0)</f>
        <v>#N/A</v>
      </c>
      <c r="Q997" s="1" t="s">
        <v>1489</v>
      </c>
      <c r="R997" s="1" t="s">
        <v>1480</v>
      </c>
      <c r="S997" s="6" t="e">
        <f t="shared" si="47"/>
        <v>#N/A</v>
      </c>
    </row>
    <row r="998" spans="2:19" x14ac:dyDescent="0.25">
      <c r="B998" s="1" t="s">
        <v>1479</v>
      </c>
      <c r="C998" s="1" t="s">
        <v>1481</v>
      </c>
      <c r="D998" s="4" t="e">
        <f>VLOOKUP(A998,المعطيات!$A$1:$J$3500,5,0)</f>
        <v>#N/A</v>
      </c>
      <c r="E998" s="1" t="s">
        <v>1482</v>
      </c>
      <c r="F998" s="5">
        <f t="shared" si="45"/>
        <v>0</v>
      </c>
      <c r="G998" s="5" t="s">
        <v>1483</v>
      </c>
      <c r="H998" s="4" t="e">
        <f>VLOOKUP(A998,المعطيات!$A$1:$J$3500,3,0)</f>
        <v>#N/A</v>
      </c>
      <c r="I998" s="1" t="s">
        <v>1484</v>
      </c>
      <c r="J998" s="1" t="s">
        <v>1485</v>
      </c>
      <c r="K998" s="4" t="e">
        <f>VLOOKUP(A998,المعطيات!$A$1:$J$3500,6,0)</f>
        <v>#N/A</v>
      </c>
      <c r="L998" s="1" t="s">
        <v>1486</v>
      </c>
      <c r="M998" s="1" t="s">
        <v>1487</v>
      </c>
      <c r="N998" s="4" t="e">
        <f t="shared" si="46"/>
        <v>#N/A</v>
      </c>
      <c r="O998" s="1" t="s">
        <v>1488</v>
      </c>
      <c r="P998" s="4" t="e">
        <f>VLOOKUP(A998,المعطيات!$A$1:$J$3500,4,0)</f>
        <v>#N/A</v>
      </c>
      <c r="Q998" s="1" t="s">
        <v>1489</v>
      </c>
      <c r="R998" s="1" t="s">
        <v>1480</v>
      </c>
      <c r="S998" s="6" t="e">
        <f t="shared" si="47"/>
        <v>#N/A</v>
      </c>
    </row>
    <row r="999" spans="2:19" x14ac:dyDescent="0.25">
      <c r="B999" s="1" t="s">
        <v>1479</v>
      </c>
      <c r="C999" s="1" t="s">
        <v>1481</v>
      </c>
      <c r="D999" s="4" t="e">
        <f>VLOOKUP(A999,المعطيات!$A$1:$J$3500,5,0)</f>
        <v>#N/A</v>
      </c>
      <c r="E999" s="1" t="s">
        <v>1482</v>
      </c>
      <c r="F999" s="5">
        <f t="shared" si="45"/>
        <v>0</v>
      </c>
      <c r="G999" s="5" t="s">
        <v>1483</v>
      </c>
      <c r="H999" s="4" t="e">
        <f>VLOOKUP(A999,المعطيات!$A$1:$J$3500,3,0)</f>
        <v>#N/A</v>
      </c>
      <c r="I999" s="1" t="s">
        <v>1484</v>
      </c>
      <c r="J999" s="1" t="s">
        <v>1485</v>
      </c>
      <c r="K999" s="4" t="e">
        <f>VLOOKUP(A999,المعطيات!$A$1:$J$3500,6,0)</f>
        <v>#N/A</v>
      </c>
      <c r="L999" s="1" t="s">
        <v>1486</v>
      </c>
      <c r="M999" s="1" t="s">
        <v>1487</v>
      </c>
      <c r="N999" s="4" t="e">
        <f t="shared" si="46"/>
        <v>#N/A</v>
      </c>
      <c r="O999" s="1" t="s">
        <v>1488</v>
      </c>
      <c r="P999" s="4" t="e">
        <f>VLOOKUP(A999,المعطيات!$A$1:$J$3500,4,0)</f>
        <v>#N/A</v>
      </c>
      <c r="Q999" s="1" t="s">
        <v>1489</v>
      </c>
      <c r="R999" s="1" t="s">
        <v>1480</v>
      </c>
      <c r="S999" s="6" t="e">
        <f t="shared" si="47"/>
        <v>#N/A</v>
      </c>
    </row>
    <row r="1000" spans="2:19" x14ac:dyDescent="0.25">
      <c r="B1000" s="1" t="s">
        <v>1479</v>
      </c>
      <c r="C1000" s="1" t="s">
        <v>1481</v>
      </c>
      <c r="D1000" s="4" t="e">
        <f>VLOOKUP(A1000,المعطيات!$A$1:$J$3500,5,0)</f>
        <v>#N/A</v>
      </c>
      <c r="E1000" s="1" t="s">
        <v>1482</v>
      </c>
      <c r="F1000" s="5">
        <f t="shared" si="45"/>
        <v>0</v>
      </c>
      <c r="G1000" s="5" t="s">
        <v>1483</v>
      </c>
      <c r="H1000" s="4" t="e">
        <f>VLOOKUP(A1000,المعطيات!$A$1:$J$3500,3,0)</f>
        <v>#N/A</v>
      </c>
      <c r="I1000" s="1" t="s">
        <v>1484</v>
      </c>
      <c r="J1000" s="1" t="s">
        <v>1485</v>
      </c>
      <c r="K1000" s="4" t="e">
        <f>VLOOKUP(A1000,المعطيات!$A$1:$J$3500,6,0)</f>
        <v>#N/A</v>
      </c>
      <c r="L1000" s="1" t="s">
        <v>1486</v>
      </c>
      <c r="M1000" s="1" t="s">
        <v>1487</v>
      </c>
      <c r="N1000" s="4" t="e">
        <f t="shared" si="46"/>
        <v>#N/A</v>
      </c>
      <c r="O1000" s="1" t="s">
        <v>1488</v>
      </c>
      <c r="P1000" s="4" t="e">
        <f>VLOOKUP(A1000,المعطيات!$A$1:$J$3500,4,0)</f>
        <v>#N/A</v>
      </c>
      <c r="Q1000" s="1" t="s">
        <v>1489</v>
      </c>
      <c r="R1000" s="1" t="s">
        <v>1480</v>
      </c>
      <c r="S1000" s="6" t="e">
        <f t="shared" si="47"/>
        <v>#N/A</v>
      </c>
    </row>
    <row r="1001" spans="2:19" x14ac:dyDescent="0.25">
      <c r="B1001" s="1" t="s">
        <v>1479</v>
      </c>
      <c r="C1001" s="1" t="s">
        <v>1481</v>
      </c>
      <c r="D1001" s="4" t="e">
        <f>VLOOKUP(A1001,المعطيات!$A$1:$J$3500,5,0)</f>
        <v>#N/A</v>
      </c>
      <c r="E1001" s="1" t="s">
        <v>1482</v>
      </c>
      <c r="F1001" s="5">
        <f t="shared" si="45"/>
        <v>0</v>
      </c>
      <c r="G1001" s="5" t="s">
        <v>1483</v>
      </c>
      <c r="H1001" s="4" t="e">
        <f>VLOOKUP(A1001,المعطيات!$A$1:$J$3500,3,0)</f>
        <v>#N/A</v>
      </c>
      <c r="I1001" s="1" t="s">
        <v>1484</v>
      </c>
      <c r="J1001" s="1" t="s">
        <v>1485</v>
      </c>
      <c r="K1001" s="4" t="e">
        <f>VLOOKUP(A1001,المعطيات!$A$1:$J$3500,6,0)</f>
        <v>#N/A</v>
      </c>
      <c r="L1001" s="1" t="s">
        <v>1486</v>
      </c>
      <c r="M1001" s="1" t="s">
        <v>1487</v>
      </c>
      <c r="N1001" s="4" t="e">
        <f t="shared" si="46"/>
        <v>#N/A</v>
      </c>
      <c r="O1001" s="1" t="s">
        <v>1488</v>
      </c>
      <c r="P1001" s="4" t="e">
        <f>VLOOKUP(A1001,المعطيات!$A$1:$J$3500,4,0)</f>
        <v>#N/A</v>
      </c>
      <c r="Q1001" s="1" t="s">
        <v>1489</v>
      </c>
      <c r="R1001" s="1" t="s">
        <v>1480</v>
      </c>
      <c r="S1001" s="6" t="e">
        <f t="shared" si="47"/>
        <v>#N/A</v>
      </c>
    </row>
    <row r="1002" spans="2:19" x14ac:dyDescent="0.25">
      <c r="B1002" s="1" t="s">
        <v>1479</v>
      </c>
      <c r="C1002" s="1" t="s">
        <v>1481</v>
      </c>
      <c r="D1002" s="4" t="e">
        <f>VLOOKUP(A1002,المعطيات!$A$1:$J$3500,5,0)</f>
        <v>#N/A</v>
      </c>
      <c r="E1002" s="1" t="s">
        <v>1482</v>
      </c>
      <c r="F1002" s="5">
        <f t="shared" si="45"/>
        <v>0</v>
      </c>
      <c r="G1002" s="5" t="s">
        <v>1483</v>
      </c>
      <c r="H1002" s="4" t="e">
        <f>VLOOKUP(A1002,المعطيات!$A$1:$J$3500,3,0)</f>
        <v>#N/A</v>
      </c>
      <c r="I1002" s="1" t="s">
        <v>1484</v>
      </c>
      <c r="J1002" s="1" t="s">
        <v>1485</v>
      </c>
      <c r="K1002" s="4" t="e">
        <f>VLOOKUP(A1002,المعطيات!$A$1:$J$3500,6,0)</f>
        <v>#N/A</v>
      </c>
      <c r="L1002" s="1" t="s">
        <v>1486</v>
      </c>
      <c r="M1002" s="1" t="s">
        <v>1487</v>
      </c>
      <c r="N1002" s="4" t="e">
        <f t="shared" si="46"/>
        <v>#N/A</v>
      </c>
      <c r="O1002" s="1" t="s">
        <v>1488</v>
      </c>
      <c r="P1002" s="4" t="e">
        <f>VLOOKUP(A1002,المعطيات!$A$1:$J$3500,4,0)</f>
        <v>#N/A</v>
      </c>
      <c r="Q1002" s="1" t="s">
        <v>1489</v>
      </c>
      <c r="R1002" s="1" t="s">
        <v>1480</v>
      </c>
      <c r="S1002" s="6" t="e">
        <f t="shared" si="47"/>
        <v>#N/A</v>
      </c>
    </row>
    <row r="1003" spans="2:19" x14ac:dyDescent="0.25">
      <c r="B1003" s="1" t="s">
        <v>1479</v>
      </c>
      <c r="C1003" s="1" t="s">
        <v>1481</v>
      </c>
      <c r="D1003" s="4" t="e">
        <f>VLOOKUP(A1003,المعطيات!$A$1:$J$3500,5,0)</f>
        <v>#N/A</v>
      </c>
      <c r="E1003" s="1" t="s">
        <v>1482</v>
      </c>
      <c r="F1003" s="5">
        <f t="shared" si="45"/>
        <v>0</v>
      </c>
      <c r="G1003" s="5" t="s">
        <v>1483</v>
      </c>
      <c r="H1003" s="4" t="e">
        <f>VLOOKUP(A1003,المعطيات!$A$1:$J$3500,3,0)</f>
        <v>#N/A</v>
      </c>
      <c r="I1003" s="1" t="s">
        <v>1484</v>
      </c>
      <c r="J1003" s="1" t="s">
        <v>1485</v>
      </c>
      <c r="K1003" s="4" t="e">
        <f>VLOOKUP(A1003,المعطيات!$A$1:$J$3500,6,0)</f>
        <v>#N/A</v>
      </c>
      <c r="L1003" s="1" t="s">
        <v>1486</v>
      </c>
      <c r="M1003" s="1" t="s">
        <v>1487</v>
      </c>
      <c r="N1003" s="4" t="e">
        <f t="shared" si="46"/>
        <v>#N/A</v>
      </c>
      <c r="O1003" s="1" t="s">
        <v>1488</v>
      </c>
      <c r="P1003" s="4" t="e">
        <f>VLOOKUP(A1003,المعطيات!$A$1:$J$3500,4,0)</f>
        <v>#N/A</v>
      </c>
      <c r="Q1003" s="1" t="s">
        <v>1489</v>
      </c>
      <c r="R1003" s="1" t="s">
        <v>1480</v>
      </c>
      <c r="S1003" s="6" t="e">
        <f t="shared" si="47"/>
        <v>#N/A</v>
      </c>
    </row>
    <row r="1004" spans="2:19" x14ac:dyDescent="0.25">
      <c r="B1004" s="1" t="s">
        <v>1479</v>
      </c>
      <c r="C1004" s="1" t="s">
        <v>1481</v>
      </c>
      <c r="D1004" s="4" t="e">
        <f>VLOOKUP(A1004,المعطيات!$A$1:$J$3500,5,0)</f>
        <v>#N/A</v>
      </c>
      <c r="E1004" s="1" t="s">
        <v>1482</v>
      </c>
      <c r="F1004" s="5">
        <f t="shared" si="45"/>
        <v>0</v>
      </c>
      <c r="G1004" s="5" t="s">
        <v>1483</v>
      </c>
      <c r="H1004" s="4" t="e">
        <f>VLOOKUP(A1004,المعطيات!$A$1:$J$3500,3,0)</f>
        <v>#N/A</v>
      </c>
      <c r="I1004" s="1" t="s">
        <v>1484</v>
      </c>
      <c r="J1004" s="1" t="s">
        <v>1485</v>
      </c>
      <c r="K1004" s="4" t="e">
        <f>VLOOKUP(A1004,المعطيات!$A$1:$J$3500,6,0)</f>
        <v>#N/A</v>
      </c>
      <c r="L1004" s="1" t="s">
        <v>1486</v>
      </c>
      <c r="M1004" s="1" t="s">
        <v>1487</v>
      </c>
      <c r="N1004" s="4" t="e">
        <f t="shared" si="46"/>
        <v>#N/A</v>
      </c>
      <c r="O1004" s="1" t="s">
        <v>1488</v>
      </c>
      <c r="P1004" s="4" t="e">
        <f>VLOOKUP(A1004,المعطيات!$A$1:$J$3500,4,0)</f>
        <v>#N/A</v>
      </c>
      <c r="Q1004" s="1" t="s">
        <v>1489</v>
      </c>
      <c r="R1004" s="1" t="s">
        <v>1480</v>
      </c>
      <c r="S1004" s="6" t="e">
        <f t="shared" si="47"/>
        <v>#N/A</v>
      </c>
    </row>
    <row r="1005" spans="2:19" x14ac:dyDescent="0.25">
      <c r="B1005" s="1" t="s">
        <v>1479</v>
      </c>
      <c r="C1005" s="1" t="s">
        <v>1481</v>
      </c>
      <c r="D1005" s="4" t="e">
        <f>VLOOKUP(A1005,المعطيات!$A$1:$J$3500,5,0)</f>
        <v>#N/A</v>
      </c>
      <c r="E1005" s="1" t="s">
        <v>1482</v>
      </c>
      <c r="F1005" s="5">
        <f t="shared" si="45"/>
        <v>0</v>
      </c>
      <c r="G1005" s="5" t="s">
        <v>1483</v>
      </c>
      <c r="H1005" s="4" t="e">
        <f>VLOOKUP(A1005,المعطيات!$A$1:$J$3500,3,0)</f>
        <v>#N/A</v>
      </c>
      <c r="I1005" s="1" t="s">
        <v>1484</v>
      </c>
      <c r="J1005" s="1" t="s">
        <v>1485</v>
      </c>
      <c r="K1005" s="4" t="e">
        <f>VLOOKUP(A1005,المعطيات!$A$1:$J$3500,6,0)</f>
        <v>#N/A</v>
      </c>
      <c r="L1005" s="1" t="s">
        <v>1486</v>
      </c>
      <c r="M1005" s="1" t="s">
        <v>1487</v>
      </c>
      <c r="N1005" s="4" t="e">
        <f t="shared" si="46"/>
        <v>#N/A</v>
      </c>
      <c r="O1005" s="1" t="s">
        <v>1488</v>
      </c>
      <c r="P1005" s="4" t="e">
        <f>VLOOKUP(A1005,المعطيات!$A$1:$J$3500,4,0)</f>
        <v>#N/A</v>
      </c>
      <c r="Q1005" s="1" t="s">
        <v>1489</v>
      </c>
      <c r="R1005" s="1" t="s">
        <v>1480</v>
      </c>
      <c r="S1005" s="6" t="e">
        <f t="shared" si="47"/>
        <v>#N/A</v>
      </c>
    </row>
    <row r="1006" spans="2:19" x14ac:dyDescent="0.25">
      <c r="B1006" s="1" t="s">
        <v>1479</v>
      </c>
      <c r="C1006" s="1" t="s">
        <v>1481</v>
      </c>
      <c r="D1006" s="4" t="e">
        <f>VLOOKUP(A1006,المعطيات!$A$1:$J$3500,5,0)</f>
        <v>#N/A</v>
      </c>
      <c r="E1006" s="1" t="s">
        <v>1482</v>
      </c>
      <c r="F1006" s="5">
        <f t="shared" si="45"/>
        <v>0</v>
      </c>
      <c r="G1006" s="5" t="s">
        <v>1483</v>
      </c>
      <c r="H1006" s="4" t="e">
        <f>VLOOKUP(A1006,المعطيات!$A$1:$J$3500,3,0)</f>
        <v>#N/A</v>
      </c>
      <c r="I1006" s="1" t="s">
        <v>1484</v>
      </c>
      <c r="J1006" s="1" t="s">
        <v>1485</v>
      </c>
      <c r="K1006" s="4" t="e">
        <f>VLOOKUP(A1006,المعطيات!$A$1:$J$3500,6,0)</f>
        <v>#N/A</v>
      </c>
      <c r="L1006" s="1" t="s">
        <v>1486</v>
      </c>
      <c r="M1006" s="1" t="s">
        <v>1487</v>
      </c>
      <c r="N1006" s="4" t="e">
        <f t="shared" si="46"/>
        <v>#N/A</v>
      </c>
      <c r="O1006" s="1" t="s">
        <v>1488</v>
      </c>
      <c r="P1006" s="4" t="e">
        <f>VLOOKUP(A1006,المعطيات!$A$1:$J$3500,4,0)</f>
        <v>#N/A</v>
      </c>
      <c r="Q1006" s="1" t="s">
        <v>1489</v>
      </c>
      <c r="R1006" s="1" t="s">
        <v>1480</v>
      </c>
      <c r="S1006" s="6" t="e">
        <f t="shared" si="47"/>
        <v>#N/A</v>
      </c>
    </row>
    <row r="1007" spans="2:19" x14ac:dyDescent="0.25">
      <c r="B1007" s="1" t="s">
        <v>1479</v>
      </c>
      <c r="C1007" s="1" t="s">
        <v>1481</v>
      </c>
      <c r="D1007" s="4" t="e">
        <f>VLOOKUP(A1007,المعطيات!$A$1:$J$3500,5,0)</f>
        <v>#N/A</v>
      </c>
      <c r="E1007" s="1" t="s">
        <v>1482</v>
      </c>
      <c r="F1007" s="5">
        <f t="shared" si="45"/>
        <v>0</v>
      </c>
      <c r="G1007" s="5" t="s">
        <v>1483</v>
      </c>
      <c r="H1007" s="4" t="e">
        <f>VLOOKUP(A1007,المعطيات!$A$1:$J$3500,3,0)</f>
        <v>#N/A</v>
      </c>
      <c r="I1007" s="1" t="s">
        <v>1484</v>
      </c>
      <c r="J1007" s="1" t="s">
        <v>1485</v>
      </c>
      <c r="K1007" s="4" t="e">
        <f>VLOOKUP(A1007,المعطيات!$A$1:$J$3500,6,0)</f>
        <v>#N/A</v>
      </c>
      <c r="L1007" s="1" t="s">
        <v>1486</v>
      </c>
      <c r="M1007" s="1" t="s">
        <v>1487</v>
      </c>
      <c r="N1007" s="4" t="e">
        <f t="shared" si="46"/>
        <v>#N/A</v>
      </c>
      <c r="O1007" s="1" t="s">
        <v>1488</v>
      </c>
      <c r="P1007" s="4" t="e">
        <f>VLOOKUP(A1007,المعطيات!$A$1:$J$3500,4,0)</f>
        <v>#N/A</v>
      </c>
      <c r="Q1007" s="1" t="s">
        <v>1489</v>
      </c>
      <c r="R1007" s="1" t="s">
        <v>1480</v>
      </c>
      <c r="S1007" s="6" t="e">
        <f t="shared" si="47"/>
        <v>#N/A</v>
      </c>
    </row>
    <row r="1008" spans="2:19" x14ac:dyDescent="0.25">
      <c r="B1008" s="1" t="s">
        <v>1479</v>
      </c>
      <c r="C1008" s="1" t="s">
        <v>1481</v>
      </c>
      <c r="D1008" s="4" t="e">
        <f>VLOOKUP(A1008,المعطيات!$A$1:$J$3500,5,0)</f>
        <v>#N/A</v>
      </c>
      <c r="E1008" s="1" t="s">
        <v>1482</v>
      </c>
      <c r="F1008" s="5">
        <f t="shared" si="45"/>
        <v>0</v>
      </c>
      <c r="G1008" s="5" t="s">
        <v>1483</v>
      </c>
      <c r="H1008" s="4" t="e">
        <f>VLOOKUP(A1008,المعطيات!$A$1:$J$3500,3,0)</f>
        <v>#N/A</v>
      </c>
      <c r="I1008" s="1" t="s">
        <v>1484</v>
      </c>
      <c r="J1008" s="1" t="s">
        <v>1485</v>
      </c>
      <c r="K1008" s="4" t="e">
        <f>VLOOKUP(A1008,المعطيات!$A$1:$J$3500,6,0)</f>
        <v>#N/A</v>
      </c>
      <c r="L1008" s="1" t="s">
        <v>1486</v>
      </c>
      <c r="M1008" s="1" t="s">
        <v>1487</v>
      </c>
      <c r="N1008" s="4" t="e">
        <f t="shared" si="46"/>
        <v>#N/A</v>
      </c>
      <c r="O1008" s="1" t="s">
        <v>1488</v>
      </c>
      <c r="P1008" s="4" t="e">
        <f>VLOOKUP(A1008,المعطيات!$A$1:$J$3500,4,0)</f>
        <v>#N/A</v>
      </c>
      <c r="Q1008" s="1" t="s">
        <v>1489</v>
      </c>
      <c r="R1008" s="1" t="s">
        <v>1480</v>
      </c>
      <c r="S1008" s="6" t="e">
        <f t="shared" si="47"/>
        <v>#N/A</v>
      </c>
    </row>
    <row r="1009" spans="2:19" x14ac:dyDescent="0.25">
      <c r="B1009" s="1" t="s">
        <v>1479</v>
      </c>
      <c r="C1009" s="1" t="s">
        <v>1481</v>
      </c>
      <c r="D1009" s="4" t="e">
        <f>VLOOKUP(A1009,المعطيات!$A$1:$J$3500,5,0)</f>
        <v>#N/A</v>
      </c>
      <c r="E1009" s="1" t="s">
        <v>1482</v>
      </c>
      <c r="F1009" s="5">
        <f t="shared" si="45"/>
        <v>0</v>
      </c>
      <c r="G1009" s="5" t="s">
        <v>1483</v>
      </c>
      <c r="H1009" s="4" t="e">
        <f>VLOOKUP(A1009,المعطيات!$A$1:$J$3500,3,0)</f>
        <v>#N/A</v>
      </c>
      <c r="I1009" s="1" t="s">
        <v>1484</v>
      </c>
      <c r="J1009" s="1" t="s">
        <v>1485</v>
      </c>
      <c r="K1009" s="4" t="e">
        <f>VLOOKUP(A1009,المعطيات!$A$1:$J$3500,6,0)</f>
        <v>#N/A</v>
      </c>
      <c r="L1009" s="1" t="s">
        <v>1486</v>
      </c>
      <c r="M1009" s="1" t="s">
        <v>1487</v>
      </c>
      <c r="N1009" s="4" t="e">
        <f t="shared" si="46"/>
        <v>#N/A</v>
      </c>
      <c r="O1009" s="1" t="s">
        <v>1488</v>
      </c>
      <c r="P1009" s="4" t="e">
        <f>VLOOKUP(A1009,المعطيات!$A$1:$J$3500,4,0)</f>
        <v>#N/A</v>
      </c>
      <c r="Q1009" s="1" t="s">
        <v>1489</v>
      </c>
      <c r="R1009" s="1" t="s">
        <v>1480</v>
      </c>
      <c r="S1009" s="6" t="e">
        <f t="shared" si="47"/>
        <v>#N/A</v>
      </c>
    </row>
    <row r="1010" spans="2:19" x14ac:dyDescent="0.25">
      <c r="B1010" s="1" t="s">
        <v>1479</v>
      </c>
      <c r="C1010" s="1" t="s">
        <v>1481</v>
      </c>
      <c r="D1010" s="4" t="e">
        <f>VLOOKUP(A1010,المعطيات!$A$1:$J$3500,5,0)</f>
        <v>#N/A</v>
      </c>
      <c r="E1010" s="1" t="s">
        <v>1482</v>
      </c>
      <c r="F1010" s="5">
        <f t="shared" si="45"/>
        <v>0</v>
      </c>
      <c r="G1010" s="5" t="s">
        <v>1483</v>
      </c>
      <c r="H1010" s="4" t="e">
        <f>VLOOKUP(A1010,المعطيات!$A$1:$J$3500,3,0)</f>
        <v>#N/A</v>
      </c>
      <c r="I1010" s="1" t="s">
        <v>1484</v>
      </c>
      <c r="J1010" s="1" t="s">
        <v>1485</v>
      </c>
      <c r="K1010" s="4" t="e">
        <f>VLOOKUP(A1010,المعطيات!$A$1:$J$3500,6,0)</f>
        <v>#N/A</v>
      </c>
      <c r="L1010" s="1" t="s">
        <v>1486</v>
      </c>
      <c r="M1010" s="1" t="s">
        <v>1487</v>
      </c>
      <c r="N1010" s="4" t="e">
        <f t="shared" si="46"/>
        <v>#N/A</v>
      </c>
      <c r="O1010" s="1" t="s">
        <v>1488</v>
      </c>
      <c r="P1010" s="4" t="e">
        <f>VLOOKUP(A1010,المعطيات!$A$1:$J$3500,4,0)</f>
        <v>#N/A</v>
      </c>
      <c r="Q1010" s="1" t="s">
        <v>1489</v>
      </c>
      <c r="R1010" s="1" t="s">
        <v>1480</v>
      </c>
      <c r="S1010" s="6" t="e">
        <f t="shared" si="47"/>
        <v>#N/A</v>
      </c>
    </row>
    <row r="1011" spans="2:19" x14ac:dyDescent="0.25">
      <c r="B1011" s="1" t="s">
        <v>1479</v>
      </c>
      <c r="C1011" s="1" t="s">
        <v>1481</v>
      </c>
      <c r="D1011" s="4" t="e">
        <f>VLOOKUP(A1011,المعطيات!$A$1:$J$3500,5,0)</f>
        <v>#N/A</v>
      </c>
      <c r="E1011" s="1" t="s">
        <v>1482</v>
      </c>
      <c r="F1011" s="5">
        <f t="shared" si="45"/>
        <v>0</v>
      </c>
      <c r="G1011" s="5" t="s">
        <v>1483</v>
      </c>
      <c r="H1011" s="4" t="e">
        <f>VLOOKUP(A1011,المعطيات!$A$1:$J$3500,3,0)</f>
        <v>#N/A</v>
      </c>
      <c r="I1011" s="1" t="s">
        <v>1484</v>
      </c>
      <c r="J1011" s="1" t="s">
        <v>1485</v>
      </c>
      <c r="K1011" s="4" t="e">
        <f>VLOOKUP(A1011,المعطيات!$A$1:$J$3500,6,0)</f>
        <v>#N/A</v>
      </c>
      <c r="L1011" s="1" t="s">
        <v>1486</v>
      </c>
      <c r="M1011" s="1" t="s">
        <v>1487</v>
      </c>
      <c r="N1011" s="4" t="e">
        <f t="shared" si="46"/>
        <v>#N/A</v>
      </c>
      <c r="O1011" s="1" t="s">
        <v>1488</v>
      </c>
      <c r="P1011" s="4" t="e">
        <f>VLOOKUP(A1011,المعطيات!$A$1:$J$3500,4,0)</f>
        <v>#N/A</v>
      </c>
      <c r="Q1011" s="1" t="s">
        <v>1489</v>
      </c>
      <c r="R1011" s="1" t="s">
        <v>1480</v>
      </c>
      <c r="S1011" s="6" t="e">
        <f t="shared" si="47"/>
        <v>#N/A</v>
      </c>
    </row>
    <row r="1012" spans="2:19" x14ac:dyDescent="0.25">
      <c r="B1012" s="1" t="s">
        <v>1479</v>
      </c>
      <c r="C1012" s="1" t="s">
        <v>1481</v>
      </c>
      <c r="D1012" s="4" t="e">
        <f>VLOOKUP(A1012,المعطيات!$A$1:$J$3500,5,0)</f>
        <v>#N/A</v>
      </c>
      <c r="E1012" s="1" t="s">
        <v>1482</v>
      </c>
      <c r="F1012" s="5">
        <f t="shared" si="45"/>
        <v>0</v>
      </c>
      <c r="G1012" s="5" t="s">
        <v>1483</v>
      </c>
      <c r="H1012" s="4" t="e">
        <f>VLOOKUP(A1012,المعطيات!$A$1:$J$3500,3,0)</f>
        <v>#N/A</v>
      </c>
      <c r="I1012" s="1" t="s">
        <v>1484</v>
      </c>
      <c r="J1012" s="1" t="s">
        <v>1485</v>
      </c>
      <c r="K1012" s="4" t="e">
        <f>VLOOKUP(A1012,المعطيات!$A$1:$J$3500,6,0)</f>
        <v>#N/A</v>
      </c>
      <c r="L1012" s="1" t="s">
        <v>1486</v>
      </c>
      <c r="M1012" s="1" t="s">
        <v>1487</v>
      </c>
      <c r="N1012" s="4" t="e">
        <f t="shared" si="46"/>
        <v>#N/A</v>
      </c>
      <c r="O1012" s="1" t="s">
        <v>1488</v>
      </c>
      <c r="P1012" s="4" t="e">
        <f>VLOOKUP(A1012,المعطيات!$A$1:$J$3500,4,0)</f>
        <v>#N/A</v>
      </c>
      <c r="Q1012" s="1" t="s">
        <v>1489</v>
      </c>
      <c r="R1012" s="1" t="s">
        <v>1480</v>
      </c>
      <c r="S1012" s="6" t="e">
        <f t="shared" si="47"/>
        <v>#N/A</v>
      </c>
    </row>
    <row r="1013" spans="2:19" x14ac:dyDescent="0.25">
      <c r="B1013" s="1" t="s">
        <v>1479</v>
      </c>
      <c r="C1013" s="1" t="s">
        <v>1481</v>
      </c>
      <c r="D1013" s="4" t="e">
        <f>VLOOKUP(A1013,المعطيات!$A$1:$J$3500,5,0)</f>
        <v>#N/A</v>
      </c>
      <c r="E1013" s="1" t="s">
        <v>1482</v>
      </c>
      <c r="F1013" s="5">
        <f t="shared" si="45"/>
        <v>0</v>
      </c>
      <c r="G1013" s="5" t="s">
        <v>1483</v>
      </c>
      <c r="H1013" s="4" t="e">
        <f>VLOOKUP(A1013,المعطيات!$A$1:$J$3500,3,0)</f>
        <v>#N/A</v>
      </c>
      <c r="I1013" s="1" t="s">
        <v>1484</v>
      </c>
      <c r="J1013" s="1" t="s">
        <v>1485</v>
      </c>
      <c r="K1013" s="4" t="e">
        <f>VLOOKUP(A1013,المعطيات!$A$1:$J$3500,6,0)</f>
        <v>#N/A</v>
      </c>
      <c r="L1013" s="1" t="s">
        <v>1486</v>
      </c>
      <c r="M1013" s="1" t="s">
        <v>1487</v>
      </c>
      <c r="N1013" s="4" t="e">
        <f t="shared" si="46"/>
        <v>#N/A</v>
      </c>
      <c r="O1013" s="1" t="s">
        <v>1488</v>
      </c>
      <c r="P1013" s="4" t="e">
        <f>VLOOKUP(A1013,المعطيات!$A$1:$J$3500,4,0)</f>
        <v>#N/A</v>
      </c>
      <c r="Q1013" s="1" t="s">
        <v>1489</v>
      </c>
      <c r="R1013" s="1" t="s">
        <v>1480</v>
      </c>
      <c r="S1013" s="6" t="e">
        <f t="shared" si="47"/>
        <v>#N/A</v>
      </c>
    </row>
    <row r="1014" spans="2:19" x14ac:dyDescent="0.25">
      <c r="B1014" s="1" t="s">
        <v>1479</v>
      </c>
      <c r="C1014" s="1" t="s">
        <v>1481</v>
      </c>
      <c r="D1014" s="4" t="e">
        <f>VLOOKUP(A1014,المعطيات!$A$1:$J$3500,5,0)</f>
        <v>#N/A</v>
      </c>
      <c r="E1014" s="1" t="s">
        <v>1482</v>
      </c>
      <c r="F1014" s="5">
        <f t="shared" si="45"/>
        <v>0</v>
      </c>
      <c r="G1014" s="5" t="s">
        <v>1483</v>
      </c>
      <c r="H1014" s="4" t="e">
        <f>VLOOKUP(A1014,المعطيات!$A$1:$J$3500,3,0)</f>
        <v>#N/A</v>
      </c>
      <c r="I1014" s="1" t="s">
        <v>1484</v>
      </c>
      <c r="J1014" s="1" t="s">
        <v>1485</v>
      </c>
      <c r="K1014" s="4" t="e">
        <f>VLOOKUP(A1014,المعطيات!$A$1:$J$3500,6,0)</f>
        <v>#N/A</v>
      </c>
      <c r="L1014" s="1" t="s">
        <v>1486</v>
      </c>
      <c r="M1014" s="1" t="s">
        <v>1487</v>
      </c>
      <c r="N1014" s="4" t="e">
        <f t="shared" si="46"/>
        <v>#N/A</v>
      </c>
      <c r="O1014" s="1" t="s">
        <v>1488</v>
      </c>
      <c r="P1014" s="4" t="e">
        <f>VLOOKUP(A1014,المعطيات!$A$1:$J$3500,4,0)</f>
        <v>#N/A</v>
      </c>
      <c r="Q1014" s="1" t="s">
        <v>1489</v>
      </c>
      <c r="R1014" s="1" t="s">
        <v>1480</v>
      </c>
      <c r="S1014" s="6" t="e">
        <f t="shared" si="47"/>
        <v>#N/A</v>
      </c>
    </row>
    <row r="1015" spans="2:19" x14ac:dyDescent="0.25">
      <c r="B1015" s="1" t="s">
        <v>1479</v>
      </c>
      <c r="C1015" s="1" t="s">
        <v>1481</v>
      </c>
      <c r="D1015" s="4" t="e">
        <f>VLOOKUP(A1015,المعطيات!$A$1:$J$3500,5,0)</f>
        <v>#N/A</v>
      </c>
      <c r="E1015" s="1" t="s">
        <v>1482</v>
      </c>
      <c r="F1015" s="5">
        <f t="shared" si="45"/>
        <v>0</v>
      </c>
      <c r="G1015" s="5" t="s">
        <v>1483</v>
      </c>
      <c r="H1015" s="4" t="e">
        <f>VLOOKUP(A1015,المعطيات!$A$1:$J$3500,3,0)</f>
        <v>#N/A</v>
      </c>
      <c r="I1015" s="1" t="s">
        <v>1484</v>
      </c>
      <c r="J1015" s="1" t="s">
        <v>1485</v>
      </c>
      <c r="K1015" s="4" t="e">
        <f>VLOOKUP(A1015,المعطيات!$A$1:$J$3500,6,0)</f>
        <v>#N/A</v>
      </c>
      <c r="L1015" s="1" t="s">
        <v>1486</v>
      </c>
      <c r="M1015" s="1" t="s">
        <v>1487</v>
      </c>
      <c r="N1015" s="4" t="e">
        <f t="shared" si="46"/>
        <v>#N/A</v>
      </c>
      <c r="O1015" s="1" t="s">
        <v>1488</v>
      </c>
      <c r="P1015" s="4" t="e">
        <f>VLOOKUP(A1015,المعطيات!$A$1:$J$3500,4,0)</f>
        <v>#N/A</v>
      </c>
      <c r="Q1015" s="1" t="s">
        <v>1489</v>
      </c>
      <c r="R1015" s="1" t="s">
        <v>1480</v>
      </c>
      <c r="S1015" s="6" t="e">
        <f t="shared" si="47"/>
        <v>#N/A</v>
      </c>
    </row>
    <row r="1016" spans="2:19" x14ac:dyDescent="0.25">
      <c r="B1016" s="1" t="s">
        <v>1479</v>
      </c>
      <c r="C1016" s="1" t="s">
        <v>1481</v>
      </c>
      <c r="D1016" s="4" t="e">
        <f>VLOOKUP(A1016,المعطيات!$A$1:$J$3500,5,0)</f>
        <v>#N/A</v>
      </c>
      <c r="E1016" s="1" t="s">
        <v>1482</v>
      </c>
      <c r="F1016" s="5">
        <f t="shared" si="45"/>
        <v>0</v>
      </c>
      <c r="G1016" s="5" t="s">
        <v>1483</v>
      </c>
      <c r="H1016" s="4" t="e">
        <f>VLOOKUP(A1016,المعطيات!$A$1:$J$3500,3,0)</f>
        <v>#N/A</v>
      </c>
      <c r="I1016" s="1" t="s">
        <v>1484</v>
      </c>
      <c r="J1016" s="1" t="s">
        <v>1485</v>
      </c>
      <c r="K1016" s="4" t="e">
        <f>VLOOKUP(A1016,المعطيات!$A$1:$J$3500,6,0)</f>
        <v>#N/A</v>
      </c>
      <c r="L1016" s="1" t="s">
        <v>1486</v>
      </c>
      <c r="M1016" s="1" t="s">
        <v>1487</v>
      </c>
      <c r="N1016" s="4" t="e">
        <f t="shared" si="46"/>
        <v>#N/A</v>
      </c>
      <c r="O1016" s="1" t="s">
        <v>1488</v>
      </c>
      <c r="P1016" s="4" t="e">
        <f>VLOOKUP(A1016,المعطيات!$A$1:$J$3500,4,0)</f>
        <v>#N/A</v>
      </c>
      <c r="Q1016" s="1" t="s">
        <v>1489</v>
      </c>
      <c r="R1016" s="1" t="s">
        <v>1480</v>
      </c>
      <c r="S1016" s="6" t="e">
        <f t="shared" si="47"/>
        <v>#N/A</v>
      </c>
    </row>
    <row r="1017" spans="2:19" x14ac:dyDescent="0.25">
      <c r="B1017" s="1" t="s">
        <v>1479</v>
      </c>
      <c r="C1017" s="1" t="s">
        <v>1481</v>
      </c>
      <c r="D1017" s="4" t="e">
        <f>VLOOKUP(A1017,المعطيات!$A$1:$J$3500,5,0)</f>
        <v>#N/A</v>
      </c>
      <c r="E1017" s="1" t="s">
        <v>1482</v>
      </c>
      <c r="F1017" s="5">
        <f t="shared" si="45"/>
        <v>0</v>
      </c>
      <c r="G1017" s="5" t="s">
        <v>1483</v>
      </c>
      <c r="H1017" s="4" t="e">
        <f>VLOOKUP(A1017,المعطيات!$A$1:$J$3500,3,0)</f>
        <v>#N/A</v>
      </c>
      <c r="I1017" s="1" t="s">
        <v>1484</v>
      </c>
      <c r="J1017" s="1" t="s">
        <v>1485</v>
      </c>
      <c r="K1017" s="4" t="e">
        <f>VLOOKUP(A1017,المعطيات!$A$1:$J$3500,6,0)</f>
        <v>#N/A</v>
      </c>
      <c r="L1017" s="1" t="s">
        <v>1486</v>
      </c>
      <c r="M1017" s="1" t="s">
        <v>1487</v>
      </c>
      <c r="N1017" s="4" t="e">
        <f t="shared" si="46"/>
        <v>#N/A</v>
      </c>
      <c r="O1017" s="1" t="s">
        <v>1488</v>
      </c>
      <c r="P1017" s="4" t="e">
        <f>VLOOKUP(A1017,المعطيات!$A$1:$J$3500,4,0)</f>
        <v>#N/A</v>
      </c>
      <c r="Q1017" s="1" t="s">
        <v>1489</v>
      </c>
      <c r="R1017" s="1" t="s">
        <v>1480</v>
      </c>
      <c r="S1017" s="6" t="e">
        <f t="shared" si="47"/>
        <v>#N/A</v>
      </c>
    </row>
    <row r="1018" spans="2:19" x14ac:dyDescent="0.25">
      <c r="B1018" s="1" t="s">
        <v>1479</v>
      </c>
      <c r="C1018" s="1" t="s">
        <v>1481</v>
      </c>
      <c r="D1018" s="4" t="e">
        <f>VLOOKUP(A1018,المعطيات!$A$1:$J$3500,5,0)</f>
        <v>#N/A</v>
      </c>
      <c r="E1018" s="1" t="s">
        <v>1482</v>
      </c>
      <c r="F1018" s="5">
        <f t="shared" si="45"/>
        <v>0</v>
      </c>
      <c r="G1018" s="5" t="s">
        <v>1483</v>
      </c>
      <c r="H1018" s="4" t="e">
        <f>VLOOKUP(A1018,المعطيات!$A$1:$J$3500,3,0)</f>
        <v>#N/A</v>
      </c>
      <c r="I1018" s="1" t="s">
        <v>1484</v>
      </c>
      <c r="J1018" s="1" t="s">
        <v>1485</v>
      </c>
      <c r="K1018" s="4" t="e">
        <f>VLOOKUP(A1018,المعطيات!$A$1:$J$3500,6,0)</f>
        <v>#N/A</v>
      </c>
      <c r="L1018" s="1" t="s">
        <v>1486</v>
      </c>
      <c r="M1018" s="1" t="s">
        <v>1487</v>
      </c>
      <c r="N1018" s="4" t="e">
        <f t="shared" si="46"/>
        <v>#N/A</v>
      </c>
      <c r="O1018" s="1" t="s">
        <v>1488</v>
      </c>
      <c r="P1018" s="4" t="e">
        <f>VLOOKUP(A1018,المعطيات!$A$1:$J$3500,4,0)</f>
        <v>#N/A</v>
      </c>
      <c r="Q1018" s="1" t="s">
        <v>1489</v>
      </c>
      <c r="R1018" s="1" t="s">
        <v>1480</v>
      </c>
      <c r="S1018" s="6" t="e">
        <f t="shared" si="47"/>
        <v>#N/A</v>
      </c>
    </row>
    <row r="1019" spans="2:19" x14ac:dyDescent="0.25">
      <c r="B1019" s="1" t="s">
        <v>1479</v>
      </c>
      <c r="C1019" s="1" t="s">
        <v>1481</v>
      </c>
      <c r="D1019" s="4" t="e">
        <f>VLOOKUP(A1019,المعطيات!$A$1:$J$3500,5,0)</f>
        <v>#N/A</v>
      </c>
      <c r="E1019" s="1" t="s">
        <v>1482</v>
      </c>
      <c r="F1019" s="5">
        <f t="shared" si="45"/>
        <v>0</v>
      </c>
      <c r="G1019" s="5" t="s">
        <v>1483</v>
      </c>
      <c r="H1019" s="4" t="e">
        <f>VLOOKUP(A1019,المعطيات!$A$1:$J$3500,3,0)</f>
        <v>#N/A</v>
      </c>
      <c r="I1019" s="1" t="s">
        <v>1484</v>
      </c>
      <c r="J1019" s="1" t="s">
        <v>1485</v>
      </c>
      <c r="K1019" s="4" t="e">
        <f>VLOOKUP(A1019,المعطيات!$A$1:$J$3500,6,0)</f>
        <v>#N/A</v>
      </c>
      <c r="L1019" s="1" t="s">
        <v>1486</v>
      </c>
      <c r="M1019" s="1" t="s">
        <v>1487</v>
      </c>
      <c r="N1019" s="4" t="e">
        <f t="shared" si="46"/>
        <v>#N/A</v>
      </c>
      <c r="O1019" s="1" t="s">
        <v>1488</v>
      </c>
      <c r="P1019" s="4" t="e">
        <f>VLOOKUP(A1019,المعطيات!$A$1:$J$3500,4,0)</f>
        <v>#N/A</v>
      </c>
      <c r="Q1019" s="1" t="s">
        <v>1489</v>
      </c>
      <c r="R1019" s="1" t="s">
        <v>1480</v>
      </c>
      <c r="S1019" s="6" t="e">
        <f t="shared" si="47"/>
        <v>#N/A</v>
      </c>
    </row>
    <row r="1020" spans="2:19" x14ac:dyDescent="0.25">
      <c r="B1020" s="1" t="s">
        <v>1479</v>
      </c>
      <c r="C1020" s="1" t="s">
        <v>1481</v>
      </c>
      <c r="D1020" s="4" t="e">
        <f>VLOOKUP(A1020,المعطيات!$A$1:$J$3500,5,0)</f>
        <v>#N/A</v>
      </c>
      <c r="E1020" s="1" t="s">
        <v>1482</v>
      </c>
      <c r="F1020" s="5">
        <f t="shared" si="45"/>
        <v>0</v>
      </c>
      <c r="G1020" s="5" t="s">
        <v>1483</v>
      </c>
      <c r="H1020" s="4" t="e">
        <f>VLOOKUP(A1020,المعطيات!$A$1:$J$3500,3,0)</f>
        <v>#N/A</v>
      </c>
      <c r="I1020" s="1" t="s">
        <v>1484</v>
      </c>
      <c r="J1020" s="1" t="s">
        <v>1485</v>
      </c>
      <c r="K1020" s="4" t="e">
        <f>VLOOKUP(A1020,المعطيات!$A$1:$J$3500,6,0)</f>
        <v>#N/A</v>
      </c>
      <c r="L1020" s="1" t="s">
        <v>1486</v>
      </c>
      <c r="M1020" s="1" t="s">
        <v>1487</v>
      </c>
      <c r="N1020" s="4" t="e">
        <f t="shared" si="46"/>
        <v>#N/A</v>
      </c>
      <c r="O1020" s="1" t="s">
        <v>1488</v>
      </c>
      <c r="P1020" s="4" t="e">
        <f>VLOOKUP(A1020,المعطيات!$A$1:$J$3500,4,0)</f>
        <v>#N/A</v>
      </c>
      <c r="Q1020" s="1" t="s">
        <v>1489</v>
      </c>
      <c r="R1020" s="1" t="s">
        <v>1480</v>
      </c>
      <c r="S1020" s="6" t="e">
        <f t="shared" si="47"/>
        <v>#N/A</v>
      </c>
    </row>
    <row r="1021" spans="2:19" x14ac:dyDescent="0.25">
      <c r="B1021" s="1" t="s">
        <v>1479</v>
      </c>
      <c r="C1021" s="1" t="s">
        <v>1481</v>
      </c>
      <c r="D1021" s="4" t="e">
        <f>VLOOKUP(A1021,المعطيات!$A$1:$J$3500,5,0)</f>
        <v>#N/A</v>
      </c>
      <c r="E1021" s="1" t="s">
        <v>1482</v>
      </c>
      <c r="F1021" s="5">
        <f t="shared" si="45"/>
        <v>0</v>
      </c>
      <c r="G1021" s="5" t="s">
        <v>1483</v>
      </c>
      <c r="H1021" s="4" t="e">
        <f>VLOOKUP(A1021,المعطيات!$A$1:$J$3500,3,0)</f>
        <v>#N/A</v>
      </c>
      <c r="I1021" s="1" t="s">
        <v>1484</v>
      </c>
      <c r="J1021" s="1" t="s">
        <v>1485</v>
      </c>
      <c r="K1021" s="4" t="e">
        <f>VLOOKUP(A1021,المعطيات!$A$1:$J$3500,6,0)</f>
        <v>#N/A</v>
      </c>
      <c r="L1021" s="1" t="s">
        <v>1486</v>
      </c>
      <c r="M1021" s="1" t="s">
        <v>1487</v>
      </c>
      <c r="N1021" s="4" t="e">
        <f t="shared" si="46"/>
        <v>#N/A</v>
      </c>
      <c r="O1021" s="1" t="s">
        <v>1488</v>
      </c>
      <c r="P1021" s="4" t="e">
        <f>VLOOKUP(A1021,المعطيات!$A$1:$J$3500,4,0)</f>
        <v>#N/A</v>
      </c>
      <c r="Q1021" s="1" t="s">
        <v>1489</v>
      </c>
      <c r="R1021" s="1" t="s">
        <v>1480</v>
      </c>
      <c r="S1021" s="6" t="e">
        <f t="shared" si="47"/>
        <v>#N/A</v>
      </c>
    </row>
    <row r="1022" spans="2:19" x14ac:dyDescent="0.25">
      <c r="B1022" s="1" t="s">
        <v>1479</v>
      </c>
      <c r="C1022" s="1" t="s">
        <v>1481</v>
      </c>
      <c r="D1022" s="4" t="e">
        <f>VLOOKUP(A1022,المعطيات!$A$1:$J$3500,5,0)</f>
        <v>#N/A</v>
      </c>
      <c r="E1022" s="1" t="s">
        <v>1482</v>
      </c>
      <c r="F1022" s="5">
        <f t="shared" si="45"/>
        <v>0</v>
      </c>
      <c r="G1022" s="5" t="s">
        <v>1483</v>
      </c>
      <c r="H1022" s="4" t="e">
        <f>VLOOKUP(A1022,المعطيات!$A$1:$J$3500,3,0)</f>
        <v>#N/A</v>
      </c>
      <c r="I1022" s="1" t="s">
        <v>1484</v>
      </c>
      <c r="J1022" s="1" t="s">
        <v>1485</v>
      </c>
      <c r="K1022" s="4" t="e">
        <f>VLOOKUP(A1022,المعطيات!$A$1:$J$3500,6,0)</f>
        <v>#N/A</v>
      </c>
      <c r="L1022" s="1" t="s">
        <v>1486</v>
      </c>
      <c r="M1022" s="1" t="s">
        <v>1487</v>
      </c>
      <c r="N1022" s="4" t="e">
        <f t="shared" si="46"/>
        <v>#N/A</v>
      </c>
      <c r="O1022" s="1" t="s">
        <v>1488</v>
      </c>
      <c r="P1022" s="4" t="e">
        <f>VLOOKUP(A1022,المعطيات!$A$1:$J$3500,4,0)</f>
        <v>#N/A</v>
      </c>
      <c r="Q1022" s="1" t="s">
        <v>1489</v>
      </c>
      <c r="R1022" s="1" t="s">
        <v>1480</v>
      </c>
      <c r="S1022" s="6" t="e">
        <f t="shared" si="47"/>
        <v>#N/A</v>
      </c>
    </row>
    <row r="1023" spans="2:19" x14ac:dyDescent="0.25">
      <c r="B1023" s="1" t="s">
        <v>1479</v>
      </c>
      <c r="C1023" s="1" t="s">
        <v>1481</v>
      </c>
      <c r="D1023" s="4" t="e">
        <f>VLOOKUP(A1023,المعطيات!$A$1:$J$3500,5,0)</f>
        <v>#N/A</v>
      </c>
      <c r="E1023" s="1" t="s">
        <v>1482</v>
      </c>
      <c r="F1023" s="5">
        <f t="shared" si="45"/>
        <v>0</v>
      </c>
      <c r="G1023" s="5" t="s">
        <v>1483</v>
      </c>
      <c r="H1023" s="4" t="e">
        <f>VLOOKUP(A1023,المعطيات!$A$1:$J$3500,3,0)</f>
        <v>#N/A</v>
      </c>
      <c r="I1023" s="1" t="s">
        <v>1484</v>
      </c>
      <c r="J1023" s="1" t="s">
        <v>1485</v>
      </c>
      <c r="K1023" s="4" t="e">
        <f>VLOOKUP(A1023,المعطيات!$A$1:$J$3500,6,0)</f>
        <v>#N/A</v>
      </c>
      <c r="L1023" s="1" t="s">
        <v>1486</v>
      </c>
      <c r="M1023" s="1" t="s">
        <v>1487</v>
      </c>
      <c r="N1023" s="4" t="e">
        <f t="shared" si="46"/>
        <v>#N/A</v>
      </c>
      <c r="O1023" s="1" t="s">
        <v>1488</v>
      </c>
      <c r="P1023" s="4" t="e">
        <f>VLOOKUP(A1023,المعطيات!$A$1:$J$3500,4,0)</f>
        <v>#N/A</v>
      </c>
      <c r="Q1023" s="1" t="s">
        <v>1489</v>
      </c>
      <c r="R1023" s="1" t="s">
        <v>1480</v>
      </c>
      <c r="S1023" s="6" t="e">
        <f t="shared" si="47"/>
        <v>#N/A</v>
      </c>
    </row>
    <row r="1024" spans="2:19" x14ac:dyDescent="0.25">
      <c r="B1024" s="1" t="s">
        <v>1479</v>
      </c>
      <c r="C1024" s="1" t="s">
        <v>1481</v>
      </c>
      <c r="D1024" s="4" t="e">
        <f>VLOOKUP(A1024,المعطيات!$A$1:$J$3500,5,0)</f>
        <v>#N/A</v>
      </c>
      <c r="E1024" s="1" t="s">
        <v>1482</v>
      </c>
      <c r="F1024" s="5">
        <f t="shared" si="45"/>
        <v>0</v>
      </c>
      <c r="G1024" s="5" t="s">
        <v>1483</v>
      </c>
      <c r="H1024" s="4" t="e">
        <f>VLOOKUP(A1024,المعطيات!$A$1:$J$3500,3,0)</f>
        <v>#N/A</v>
      </c>
      <c r="I1024" s="1" t="s">
        <v>1484</v>
      </c>
      <c r="J1024" s="1" t="s">
        <v>1485</v>
      </c>
      <c r="K1024" s="4" t="e">
        <f>VLOOKUP(A1024,المعطيات!$A$1:$J$3500,6,0)</f>
        <v>#N/A</v>
      </c>
      <c r="L1024" s="1" t="s">
        <v>1486</v>
      </c>
      <c r="M1024" s="1" t="s">
        <v>1487</v>
      </c>
      <c r="N1024" s="4" t="e">
        <f t="shared" si="46"/>
        <v>#N/A</v>
      </c>
      <c r="O1024" s="1" t="s">
        <v>1488</v>
      </c>
      <c r="P1024" s="4" t="e">
        <f>VLOOKUP(A1024,المعطيات!$A$1:$J$3500,4,0)</f>
        <v>#N/A</v>
      </c>
      <c r="Q1024" s="1" t="s">
        <v>1489</v>
      </c>
      <c r="R1024" s="1" t="s">
        <v>1480</v>
      </c>
      <c r="S1024" s="6" t="e">
        <f t="shared" si="47"/>
        <v>#N/A</v>
      </c>
    </row>
    <row r="1025" spans="2:19" x14ac:dyDescent="0.25">
      <c r="B1025" s="1" t="s">
        <v>1479</v>
      </c>
      <c r="C1025" s="1" t="s">
        <v>1481</v>
      </c>
      <c r="D1025" s="4" t="e">
        <f>VLOOKUP(A1025,المعطيات!$A$1:$J$3500,5,0)</f>
        <v>#N/A</v>
      </c>
      <c r="E1025" s="1" t="s">
        <v>1482</v>
      </c>
      <c r="F1025" s="5">
        <f t="shared" si="45"/>
        <v>0</v>
      </c>
      <c r="G1025" s="5" t="s">
        <v>1483</v>
      </c>
      <c r="H1025" s="4" t="e">
        <f>VLOOKUP(A1025,المعطيات!$A$1:$J$3500,3,0)</f>
        <v>#N/A</v>
      </c>
      <c r="I1025" s="1" t="s">
        <v>1484</v>
      </c>
      <c r="J1025" s="1" t="s">
        <v>1485</v>
      </c>
      <c r="K1025" s="4" t="e">
        <f>VLOOKUP(A1025,المعطيات!$A$1:$J$3500,6,0)</f>
        <v>#N/A</v>
      </c>
      <c r="L1025" s="1" t="s">
        <v>1486</v>
      </c>
      <c r="M1025" s="1" t="s">
        <v>1487</v>
      </c>
      <c r="N1025" s="4" t="e">
        <f t="shared" si="46"/>
        <v>#N/A</v>
      </c>
      <c r="O1025" s="1" t="s">
        <v>1488</v>
      </c>
      <c r="P1025" s="4" t="e">
        <f>VLOOKUP(A1025,المعطيات!$A$1:$J$3500,4,0)</f>
        <v>#N/A</v>
      </c>
      <c r="Q1025" s="1" t="s">
        <v>1489</v>
      </c>
      <c r="R1025" s="1" t="s">
        <v>1480</v>
      </c>
      <c r="S1025" s="6" t="e">
        <f t="shared" si="47"/>
        <v>#N/A</v>
      </c>
    </row>
    <row r="1026" spans="2:19" x14ac:dyDescent="0.25">
      <c r="B1026" s="1" t="s">
        <v>1479</v>
      </c>
      <c r="C1026" s="1" t="s">
        <v>1481</v>
      </c>
      <c r="D1026" s="4" t="e">
        <f>VLOOKUP(A1026,المعطيات!$A$1:$J$3500,5,0)</f>
        <v>#N/A</v>
      </c>
      <c r="E1026" s="1" t="s">
        <v>1482</v>
      </c>
      <c r="F1026" s="5">
        <f t="shared" ref="F1026:F1089" si="48">A1026</f>
        <v>0</v>
      </c>
      <c r="G1026" s="5" t="s">
        <v>1483</v>
      </c>
      <c r="H1026" s="4" t="e">
        <f>VLOOKUP(A1026,المعطيات!$A$1:$J$3500,3,0)</f>
        <v>#N/A</v>
      </c>
      <c r="I1026" s="1" t="s">
        <v>1484</v>
      </c>
      <c r="J1026" s="1" t="s">
        <v>1485</v>
      </c>
      <c r="K1026" s="4" t="e">
        <f>VLOOKUP(A1026,المعطيات!$A$1:$J$3500,6,0)</f>
        <v>#N/A</v>
      </c>
      <c r="L1026" s="1" t="s">
        <v>1486</v>
      </c>
      <c r="M1026" s="1" t="s">
        <v>1487</v>
      </c>
      <c r="N1026" s="4" t="e">
        <f t="shared" ref="N1026:N1089" si="49">D1026</f>
        <v>#N/A</v>
      </c>
      <c r="O1026" s="1" t="s">
        <v>1488</v>
      </c>
      <c r="P1026" s="4" t="e">
        <f>VLOOKUP(A1026,المعطيات!$A$1:$J$3500,4,0)</f>
        <v>#N/A</v>
      </c>
      <c r="Q1026" s="1" t="s">
        <v>1489</v>
      </c>
      <c r="R1026" s="1" t="s">
        <v>1480</v>
      </c>
      <c r="S1026" s="6" t="e">
        <f t="shared" ref="S1026:S1089" si="50">B1026&amp;""&amp;C1026&amp;""&amp;D1026&amp;""&amp;E1026&amp;""&amp;F1026&amp;""&amp;G1026&amp;""&amp;H1026&amp;""&amp;I1026&amp;""&amp;J1026&amp;""&amp;K1026&amp;""&amp;L1026&amp;""&amp;M1026&amp;""&amp;N1026&amp;""&amp;O1026&amp;""&amp;P1026&amp;""&amp;Q1026&amp;""&amp;R1026</f>
        <v>#N/A</v>
      </c>
    </row>
    <row r="1027" spans="2:19" x14ac:dyDescent="0.25">
      <c r="B1027" s="1" t="s">
        <v>1479</v>
      </c>
      <c r="C1027" s="1" t="s">
        <v>1481</v>
      </c>
      <c r="D1027" s="4" t="e">
        <f>VLOOKUP(A1027,المعطيات!$A$1:$J$3500,5,0)</f>
        <v>#N/A</v>
      </c>
      <c r="E1027" s="1" t="s">
        <v>1482</v>
      </c>
      <c r="F1027" s="5">
        <f t="shared" si="48"/>
        <v>0</v>
      </c>
      <c r="G1027" s="5" t="s">
        <v>1483</v>
      </c>
      <c r="H1027" s="4" t="e">
        <f>VLOOKUP(A1027,المعطيات!$A$1:$J$3500,3,0)</f>
        <v>#N/A</v>
      </c>
      <c r="I1027" s="1" t="s">
        <v>1484</v>
      </c>
      <c r="J1027" s="1" t="s">
        <v>1485</v>
      </c>
      <c r="K1027" s="4" t="e">
        <f>VLOOKUP(A1027,المعطيات!$A$1:$J$3500,6,0)</f>
        <v>#N/A</v>
      </c>
      <c r="L1027" s="1" t="s">
        <v>1486</v>
      </c>
      <c r="M1027" s="1" t="s">
        <v>1487</v>
      </c>
      <c r="N1027" s="4" t="e">
        <f t="shared" si="49"/>
        <v>#N/A</v>
      </c>
      <c r="O1027" s="1" t="s">
        <v>1488</v>
      </c>
      <c r="P1027" s="4" t="e">
        <f>VLOOKUP(A1027,المعطيات!$A$1:$J$3500,4,0)</f>
        <v>#N/A</v>
      </c>
      <c r="Q1027" s="1" t="s">
        <v>1489</v>
      </c>
      <c r="R1027" s="1" t="s">
        <v>1480</v>
      </c>
      <c r="S1027" s="6" t="e">
        <f t="shared" si="50"/>
        <v>#N/A</v>
      </c>
    </row>
    <row r="1028" spans="2:19" x14ac:dyDescent="0.25">
      <c r="B1028" s="1" t="s">
        <v>1479</v>
      </c>
      <c r="C1028" s="1" t="s">
        <v>1481</v>
      </c>
      <c r="D1028" s="4" t="e">
        <f>VLOOKUP(A1028,المعطيات!$A$1:$J$3500,5,0)</f>
        <v>#N/A</v>
      </c>
      <c r="E1028" s="1" t="s">
        <v>1482</v>
      </c>
      <c r="F1028" s="5">
        <f t="shared" si="48"/>
        <v>0</v>
      </c>
      <c r="G1028" s="5" t="s">
        <v>1483</v>
      </c>
      <c r="H1028" s="4" t="e">
        <f>VLOOKUP(A1028,المعطيات!$A$1:$J$3500,3,0)</f>
        <v>#N/A</v>
      </c>
      <c r="I1028" s="1" t="s">
        <v>1484</v>
      </c>
      <c r="J1028" s="1" t="s">
        <v>1485</v>
      </c>
      <c r="K1028" s="4" t="e">
        <f>VLOOKUP(A1028,المعطيات!$A$1:$J$3500,6,0)</f>
        <v>#N/A</v>
      </c>
      <c r="L1028" s="1" t="s">
        <v>1486</v>
      </c>
      <c r="M1028" s="1" t="s">
        <v>1487</v>
      </c>
      <c r="N1028" s="4" t="e">
        <f t="shared" si="49"/>
        <v>#N/A</v>
      </c>
      <c r="O1028" s="1" t="s">
        <v>1488</v>
      </c>
      <c r="P1028" s="4" t="e">
        <f>VLOOKUP(A1028,المعطيات!$A$1:$J$3500,4,0)</f>
        <v>#N/A</v>
      </c>
      <c r="Q1028" s="1" t="s">
        <v>1489</v>
      </c>
      <c r="R1028" s="1" t="s">
        <v>1480</v>
      </c>
      <c r="S1028" s="6" t="e">
        <f t="shared" si="50"/>
        <v>#N/A</v>
      </c>
    </row>
    <row r="1029" spans="2:19" x14ac:dyDescent="0.25">
      <c r="B1029" s="1" t="s">
        <v>1479</v>
      </c>
      <c r="C1029" s="1" t="s">
        <v>1481</v>
      </c>
      <c r="D1029" s="4" t="e">
        <f>VLOOKUP(A1029,المعطيات!$A$1:$J$3500,5,0)</f>
        <v>#N/A</v>
      </c>
      <c r="E1029" s="1" t="s">
        <v>1482</v>
      </c>
      <c r="F1029" s="5">
        <f t="shared" si="48"/>
        <v>0</v>
      </c>
      <c r="G1029" s="5" t="s">
        <v>1483</v>
      </c>
      <c r="H1029" s="4" t="e">
        <f>VLOOKUP(A1029,المعطيات!$A$1:$J$3500,3,0)</f>
        <v>#N/A</v>
      </c>
      <c r="I1029" s="1" t="s">
        <v>1484</v>
      </c>
      <c r="J1029" s="1" t="s">
        <v>1485</v>
      </c>
      <c r="K1029" s="4" t="e">
        <f>VLOOKUP(A1029,المعطيات!$A$1:$J$3500,6,0)</f>
        <v>#N/A</v>
      </c>
      <c r="L1029" s="1" t="s">
        <v>1486</v>
      </c>
      <c r="M1029" s="1" t="s">
        <v>1487</v>
      </c>
      <c r="N1029" s="4" t="e">
        <f t="shared" si="49"/>
        <v>#N/A</v>
      </c>
      <c r="O1029" s="1" t="s">
        <v>1488</v>
      </c>
      <c r="P1029" s="4" t="e">
        <f>VLOOKUP(A1029,المعطيات!$A$1:$J$3500,4,0)</f>
        <v>#N/A</v>
      </c>
      <c r="Q1029" s="1" t="s">
        <v>1489</v>
      </c>
      <c r="R1029" s="1" t="s">
        <v>1480</v>
      </c>
      <c r="S1029" s="6" t="e">
        <f t="shared" si="50"/>
        <v>#N/A</v>
      </c>
    </row>
    <row r="1030" spans="2:19" x14ac:dyDescent="0.25">
      <c r="B1030" s="1" t="s">
        <v>1479</v>
      </c>
      <c r="C1030" s="1" t="s">
        <v>1481</v>
      </c>
      <c r="D1030" s="4" t="e">
        <f>VLOOKUP(A1030,المعطيات!$A$1:$J$3500,5,0)</f>
        <v>#N/A</v>
      </c>
      <c r="E1030" s="1" t="s">
        <v>1482</v>
      </c>
      <c r="F1030" s="5">
        <f t="shared" si="48"/>
        <v>0</v>
      </c>
      <c r="G1030" s="5" t="s">
        <v>1483</v>
      </c>
      <c r="H1030" s="4" t="e">
        <f>VLOOKUP(A1030,المعطيات!$A$1:$J$3500,3,0)</f>
        <v>#N/A</v>
      </c>
      <c r="I1030" s="1" t="s">
        <v>1484</v>
      </c>
      <c r="J1030" s="1" t="s">
        <v>1485</v>
      </c>
      <c r="K1030" s="4" t="e">
        <f>VLOOKUP(A1030,المعطيات!$A$1:$J$3500,6,0)</f>
        <v>#N/A</v>
      </c>
      <c r="L1030" s="1" t="s">
        <v>1486</v>
      </c>
      <c r="M1030" s="1" t="s">
        <v>1487</v>
      </c>
      <c r="N1030" s="4" t="e">
        <f t="shared" si="49"/>
        <v>#N/A</v>
      </c>
      <c r="O1030" s="1" t="s">
        <v>1488</v>
      </c>
      <c r="P1030" s="4" t="e">
        <f>VLOOKUP(A1030,المعطيات!$A$1:$J$3500,4,0)</f>
        <v>#N/A</v>
      </c>
      <c r="Q1030" s="1" t="s">
        <v>1489</v>
      </c>
      <c r="R1030" s="1" t="s">
        <v>1480</v>
      </c>
      <c r="S1030" s="6" t="e">
        <f t="shared" si="50"/>
        <v>#N/A</v>
      </c>
    </row>
    <row r="1031" spans="2:19" x14ac:dyDescent="0.25">
      <c r="B1031" s="1" t="s">
        <v>1479</v>
      </c>
      <c r="C1031" s="1" t="s">
        <v>1481</v>
      </c>
      <c r="D1031" s="4" t="e">
        <f>VLOOKUP(A1031,المعطيات!$A$1:$J$3500,5,0)</f>
        <v>#N/A</v>
      </c>
      <c r="E1031" s="1" t="s">
        <v>1482</v>
      </c>
      <c r="F1031" s="5">
        <f t="shared" si="48"/>
        <v>0</v>
      </c>
      <c r="G1031" s="5" t="s">
        <v>1483</v>
      </c>
      <c r="H1031" s="4" t="e">
        <f>VLOOKUP(A1031,المعطيات!$A$1:$J$3500,3,0)</f>
        <v>#N/A</v>
      </c>
      <c r="I1031" s="1" t="s">
        <v>1484</v>
      </c>
      <c r="J1031" s="1" t="s">
        <v>1485</v>
      </c>
      <c r="K1031" s="4" t="e">
        <f>VLOOKUP(A1031,المعطيات!$A$1:$J$3500,6,0)</f>
        <v>#N/A</v>
      </c>
      <c r="L1031" s="1" t="s">
        <v>1486</v>
      </c>
      <c r="M1031" s="1" t="s">
        <v>1487</v>
      </c>
      <c r="N1031" s="4" t="e">
        <f t="shared" si="49"/>
        <v>#N/A</v>
      </c>
      <c r="O1031" s="1" t="s">
        <v>1488</v>
      </c>
      <c r="P1031" s="4" t="e">
        <f>VLOOKUP(A1031,المعطيات!$A$1:$J$3500,4,0)</f>
        <v>#N/A</v>
      </c>
      <c r="Q1031" s="1" t="s">
        <v>1489</v>
      </c>
      <c r="R1031" s="1" t="s">
        <v>1480</v>
      </c>
      <c r="S1031" s="6" t="e">
        <f t="shared" si="50"/>
        <v>#N/A</v>
      </c>
    </row>
    <row r="1032" spans="2:19" x14ac:dyDescent="0.25">
      <c r="B1032" s="1" t="s">
        <v>1479</v>
      </c>
      <c r="C1032" s="1" t="s">
        <v>1481</v>
      </c>
      <c r="D1032" s="4" t="e">
        <f>VLOOKUP(A1032,المعطيات!$A$1:$J$3500,5,0)</f>
        <v>#N/A</v>
      </c>
      <c r="E1032" s="1" t="s">
        <v>1482</v>
      </c>
      <c r="F1032" s="5">
        <f t="shared" si="48"/>
        <v>0</v>
      </c>
      <c r="G1032" s="5" t="s">
        <v>1483</v>
      </c>
      <c r="H1032" s="4" t="e">
        <f>VLOOKUP(A1032,المعطيات!$A$1:$J$3500,3,0)</f>
        <v>#N/A</v>
      </c>
      <c r="I1032" s="1" t="s">
        <v>1484</v>
      </c>
      <c r="J1032" s="1" t="s">
        <v>1485</v>
      </c>
      <c r="K1032" s="4" t="e">
        <f>VLOOKUP(A1032,المعطيات!$A$1:$J$3500,6,0)</f>
        <v>#N/A</v>
      </c>
      <c r="L1032" s="1" t="s">
        <v>1486</v>
      </c>
      <c r="M1032" s="1" t="s">
        <v>1487</v>
      </c>
      <c r="N1032" s="4" t="e">
        <f t="shared" si="49"/>
        <v>#N/A</v>
      </c>
      <c r="O1032" s="1" t="s">
        <v>1488</v>
      </c>
      <c r="P1032" s="4" t="e">
        <f>VLOOKUP(A1032,المعطيات!$A$1:$J$3500,4,0)</f>
        <v>#N/A</v>
      </c>
      <c r="Q1032" s="1" t="s">
        <v>1489</v>
      </c>
      <c r="R1032" s="1" t="s">
        <v>1480</v>
      </c>
      <c r="S1032" s="6" t="e">
        <f t="shared" si="50"/>
        <v>#N/A</v>
      </c>
    </row>
    <row r="1033" spans="2:19" x14ac:dyDescent="0.25">
      <c r="B1033" s="1" t="s">
        <v>1479</v>
      </c>
      <c r="C1033" s="1" t="s">
        <v>1481</v>
      </c>
      <c r="D1033" s="4" t="e">
        <f>VLOOKUP(A1033,المعطيات!$A$1:$J$3500,5,0)</f>
        <v>#N/A</v>
      </c>
      <c r="E1033" s="1" t="s">
        <v>1482</v>
      </c>
      <c r="F1033" s="5">
        <f t="shared" si="48"/>
        <v>0</v>
      </c>
      <c r="G1033" s="5" t="s">
        <v>1483</v>
      </c>
      <c r="H1033" s="4" t="e">
        <f>VLOOKUP(A1033,المعطيات!$A$1:$J$3500,3,0)</f>
        <v>#N/A</v>
      </c>
      <c r="I1033" s="1" t="s">
        <v>1484</v>
      </c>
      <c r="J1033" s="1" t="s">
        <v>1485</v>
      </c>
      <c r="K1033" s="4" t="e">
        <f>VLOOKUP(A1033,المعطيات!$A$1:$J$3500,6,0)</f>
        <v>#N/A</v>
      </c>
      <c r="L1033" s="1" t="s">
        <v>1486</v>
      </c>
      <c r="M1033" s="1" t="s">
        <v>1487</v>
      </c>
      <c r="N1033" s="4" t="e">
        <f t="shared" si="49"/>
        <v>#N/A</v>
      </c>
      <c r="O1033" s="1" t="s">
        <v>1488</v>
      </c>
      <c r="P1033" s="4" t="e">
        <f>VLOOKUP(A1033,المعطيات!$A$1:$J$3500,4,0)</f>
        <v>#N/A</v>
      </c>
      <c r="Q1033" s="1" t="s">
        <v>1489</v>
      </c>
      <c r="R1033" s="1" t="s">
        <v>1480</v>
      </c>
      <c r="S1033" s="6" t="e">
        <f t="shared" si="50"/>
        <v>#N/A</v>
      </c>
    </row>
    <row r="1034" spans="2:19" x14ac:dyDescent="0.25">
      <c r="B1034" s="1" t="s">
        <v>1479</v>
      </c>
      <c r="C1034" s="1" t="s">
        <v>1481</v>
      </c>
      <c r="D1034" s="4" t="e">
        <f>VLOOKUP(A1034,المعطيات!$A$1:$J$3500,5,0)</f>
        <v>#N/A</v>
      </c>
      <c r="E1034" s="1" t="s">
        <v>1482</v>
      </c>
      <c r="F1034" s="5">
        <f t="shared" si="48"/>
        <v>0</v>
      </c>
      <c r="G1034" s="5" t="s">
        <v>1483</v>
      </c>
      <c r="H1034" s="4" t="e">
        <f>VLOOKUP(A1034,المعطيات!$A$1:$J$3500,3,0)</f>
        <v>#N/A</v>
      </c>
      <c r="I1034" s="1" t="s">
        <v>1484</v>
      </c>
      <c r="J1034" s="1" t="s">
        <v>1485</v>
      </c>
      <c r="K1034" s="4" t="e">
        <f>VLOOKUP(A1034,المعطيات!$A$1:$J$3500,6,0)</f>
        <v>#N/A</v>
      </c>
      <c r="L1034" s="1" t="s">
        <v>1486</v>
      </c>
      <c r="M1034" s="1" t="s">
        <v>1487</v>
      </c>
      <c r="N1034" s="4" t="e">
        <f t="shared" si="49"/>
        <v>#N/A</v>
      </c>
      <c r="O1034" s="1" t="s">
        <v>1488</v>
      </c>
      <c r="P1034" s="4" t="e">
        <f>VLOOKUP(A1034,المعطيات!$A$1:$J$3500,4,0)</f>
        <v>#N/A</v>
      </c>
      <c r="Q1034" s="1" t="s">
        <v>1489</v>
      </c>
      <c r="R1034" s="1" t="s">
        <v>1480</v>
      </c>
      <c r="S1034" s="6" t="e">
        <f t="shared" si="50"/>
        <v>#N/A</v>
      </c>
    </row>
    <row r="1035" spans="2:19" x14ac:dyDescent="0.25">
      <c r="B1035" s="1" t="s">
        <v>1479</v>
      </c>
      <c r="C1035" s="1" t="s">
        <v>1481</v>
      </c>
      <c r="D1035" s="4" t="e">
        <f>VLOOKUP(A1035,المعطيات!$A$1:$J$3500,5,0)</f>
        <v>#N/A</v>
      </c>
      <c r="E1035" s="1" t="s">
        <v>1482</v>
      </c>
      <c r="F1035" s="5">
        <f t="shared" si="48"/>
        <v>0</v>
      </c>
      <c r="G1035" s="5" t="s">
        <v>1483</v>
      </c>
      <c r="H1035" s="4" t="e">
        <f>VLOOKUP(A1035,المعطيات!$A$1:$J$3500,3,0)</f>
        <v>#N/A</v>
      </c>
      <c r="I1035" s="1" t="s">
        <v>1484</v>
      </c>
      <c r="J1035" s="1" t="s">
        <v>1485</v>
      </c>
      <c r="K1035" s="4" t="e">
        <f>VLOOKUP(A1035,المعطيات!$A$1:$J$3500,6,0)</f>
        <v>#N/A</v>
      </c>
      <c r="L1035" s="1" t="s">
        <v>1486</v>
      </c>
      <c r="M1035" s="1" t="s">
        <v>1487</v>
      </c>
      <c r="N1035" s="4" t="e">
        <f t="shared" si="49"/>
        <v>#N/A</v>
      </c>
      <c r="O1035" s="1" t="s">
        <v>1488</v>
      </c>
      <c r="P1035" s="4" t="e">
        <f>VLOOKUP(A1035,المعطيات!$A$1:$J$3500,4,0)</f>
        <v>#N/A</v>
      </c>
      <c r="Q1035" s="1" t="s">
        <v>1489</v>
      </c>
      <c r="R1035" s="1" t="s">
        <v>1480</v>
      </c>
      <c r="S1035" s="6" t="e">
        <f t="shared" si="50"/>
        <v>#N/A</v>
      </c>
    </row>
    <row r="1036" spans="2:19" x14ac:dyDescent="0.25">
      <c r="B1036" s="1" t="s">
        <v>1479</v>
      </c>
      <c r="C1036" s="1" t="s">
        <v>1481</v>
      </c>
      <c r="D1036" s="4" t="e">
        <f>VLOOKUP(A1036,المعطيات!$A$1:$J$3500,5,0)</f>
        <v>#N/A</v>
      </c>
      <c r="E1036" s="1" t="s">
        <v>1482</v>
      </c>
      <c r="F1036" s="5">
        <f t="shared" si="48"/>
        <v>0</v>
      </c>
      <c r="G1036" s="5" t="s">
        <v>1483</v>
      </c>
      <c r="H1036" s="4" t="e">
        <f>VLOOKUP(A1036,المعطيات!$A$1:$J$3500,3,0)</f>
        <v>#N/A</v>
      </c>
      <c r="I1036" s="1" t="s">
        <v>1484</v>
      </c>
      <c r="J1036" s="1" t="s">
        <v>1485</v>
      </c>
      <c r="K1036" s="4" t="e">
        <f>VLOOKUP(A1036,المعطيات!$A$1:$J$3500,6,0)</f>
        <v>#N/A</v>
      </c>
      <c r="L1036" s="1" t="s">
        <v>1486</v>
      </c>
      <c r="M1036" s="1" t="s">
        <v>1487</v>
      </c>
      <c r="N1036" s="4" t="e">
        <f t="shared" si="49"/>
        <v>#N/A</v>
      </c>
      <c r="O1036" s="1" t="s">
        <v>1488</v>
      </c>
      <c r="P1036" s="4" t="e">
        <f>VLOOKUP(A1036,المعطيات!$A$1:$J$3500,4,0)</f>
        <v>#N/A</v>
      </c>
      <c r="Q1036" s="1" t="s">
        <v>1489</v>
      </c>
      <c r="R1036" s="1" t="s">
        <v>1480</v>
      </c>
      <c r="S1036" s="6" t="e">
        <f t="shared" si="50"/>
        <v>#N/A</v>
      </c>
    </row>
    <row r="1037" spans="2:19" x14ac:dyDescent="0.25">
      <c r="B1037" s="1" t="s">
        <v>1479</v>
      </c>
      <c r="C1037" s="1" t="s">
        <v>1481</v>
      </c>
      <c r="D1037" s="4" t="e">
        <f>VLOOKUP(A1037,المعطيات!$A$1:$J$3500,5,0)</f>
        <v>#N/A</v>
      </c>
      <c r="E1037" s="1" t="s">
        <v>1482</v>
      </c>
      <c r="F1037" s="5">
        <f t="shared" si="48"/>
        <v>0</v>
      </c>
      <c r="G1037" s="5" t="s">
        <v>1483</v>
      </c>
      <c r="H1037" s="4" t="e">
        <f>VLOOKUP(A1037,المعطيات!$A$1:$J$3500,3,0)</f>
        <v>#N/A</v>
      </c>
      <c r="I1037" s="1" t="s">
        <v>1484</v>
      </c>
      <c r="J1037" s="1" t="s">
        <v>1485</v>
      </c>
      <c r="K1037" s="4" t="e">
        <f>VLOOKUP(A1037,المعطيات!$A$1:$J$3500,6,0)</f>
        <v>#N/A</v>
      </c>
      <c r="L1037" s="1" t="s">
        <v>1486</v>
      </c>
      <c r="M1037" s="1" t="s">
        <v>1487</v>
      </c>
      <c r="N1037" s="4" t="e">
        <f t="shared" si="49"/>
        <v>#N/A</v>
      </c>
      <c r="O1037" s="1" t="s">
        <v>1488</v>
      </c>
      <c r="P1037" s="4" t="e">
        <f>VLOOKUP(A1037,المعطيات!$A$1:$J$3500,4,0)</f>
        <v>#N/A</v>
      </c>
      <c r="Q1037" s="1" t="s">
        <v>1489</v>
      </c>
      <c r="R1037" s="1" t="s">
        <v>1480</v>
      </c>
      <c r="S1037" s="6" t="e">
        <f t="shared" si="50"/>
        <v>#N/A</v>
      </c>
    </row>
    <row r="1038" spans="2:19" x14ac:dyDescent="0.25">
      <c r="B1038" s="1" t="s">
        <v>1479</v>
      </c>
      <c r="C1038" s="1" t="s">
        <v>1481</v>
      </c>
      <c r="D1038" s="4" t="e">
        <f>VLOOKUP(A1038,المعطيات!$A$1:$J$3500,5,0)</f>
        <v>#N/A</v>
      </c>
      <c r="E1038" s="1" t="s">
        <v>1482</v>
      </c>
      <c r="F1038" s="5">
        <f t="shared" si="48"/>
        <v>0</v>
      </c>
      <c r="G1038" s="5" t="s">
        <v>1483</v>
      </c>
      <c r="H1038" s="4" t="e">
        <f>VLOOKUP(A1038,المعطيات!$A$1:$J$3500,3,0)</f>
        <v>#N/A</v>
      </c>
      <c r="I1038" s="1" t="s">
        <v>1484</v>
      </c>
      <c r="J1038" s="1" t="s">
        <v>1485</v>
      </c>
      <c r="K1038" s="4" t="e">
        <f>VLOOKUP(A1038,المعطيات!$A$1:$J$3500,6,0)</f>
        <v>#N/A</v>
      </c>
      <c r="L1038" s="1" t="s">
        <v>1486</v>
      </c>
      <c r="M1038" s="1" t="s">
        <v>1487</v>
      </c>
      <c r="N1038" s="4" t="e">
        <f t="shared" si="49"/>
        <v>#N/A</v>
      </c>
      <c r="O1038" s="1" t="s">
        <v>1488</v>
      </c>
      <c r="P1038" s="4" t="e">
        <f>VLOOKUP(A1038,المعطيات!$A$1:$J$3500,4,0)</f>
        <v>#N/A</v>
      </c>
      <c r="Q1038" s="1" t="s">
        <v>1489</v>
      </c>
      <c r="R1038" s="1" t="s">
        <v>1480</v>
      </c>
      <c r="S1038" s="6" t="e">
        <f t="shared" si="50"/>
        <v>#N/A</v>
      </c>
    </row>
    <row r="1039" spans="2:19" x14ac:dyDescent="0.25">
      <c r="B1039" s="1" t="s">
        <v>1479</v>
      </c>
      <c r="C1039" s="1" t="s">
        <v>1481</v>
      </c>
      <c r="D1039" s="4" t="e">
        <f>VLOOKUP(A1039,المعطيات!$A$1:$J$3500,5,0)</f>
        <v>#N/A</v>
      </c>
      <c r="E1039" s="1" t="s">
        <v>1482</v>
      </c>
      <c r="F1039" s="5">
        <f t="shared" si="48"/>
        <v>0</v>
      </c>
      <c r="G1039" s="5" t="s">
        <v>1483</v>
      </c>
      <c r="H1039" s="4" t="e">
        <f>VLOOKUP(A1039,المعطيات!$A$1:$J$3500,3,0)</f>
        <v>#N/A</v>
      </c>
      <c r="I1039" s="1" t="s">
        <v>1484</v>
      </c>
      <c r="J1039" s="1" t="s">
        <v>1485</v>
      </c>
      <c r="K1039" s="4" t="e">
        <f>VLOOKUP(A1039,المعطيات!$A$1:$J$3500,6,0)</f>
        <v>#N/A</v>
      </c>
      <c r="L1039" s="1" t="s">
        <v>1486</v>
      </c>
      <c r="M1039" s="1" t="s">
        <v>1487</v>
      </c>
      <c r="N1039" s="4" t="e">
        <f t="shared" si="49"/>
        <v>#N/A</v>
      </c>
      <c r="O1039" s="1" t="s">
        <v>1488</v>
      </c>
      <c r="P1039" s="4" t="e">
        <f>VLOOKUP(A1039,المعطيات!$A$1:$J$3500,4,0)</f>
        <v>#N/A</v>
      </c>
      <c r="Q1039" s="1" t="s">
        <v>1489</v>
      </c>
      <c r="R1039" s="1" t="s">
        <v>1480</v>
      </c>
      <c r="S1039" s="6" t="e">
        <f t="shared" si="50"/>
        <v>#N/A</v>
      </c>
    </row>
    <row r="1040" spans="2:19" x14ac:dyDescent="0.25">
      <c r="B1040" s="1" t="s">
        <v>1479</v>
      </c>
      <c r="C1040" s="1" t="s">
        <v>1481</v>
      </c>
      <c r="D1040" s="4" t="e">
        <f>VLOOKUP(A1040,المعطيات!$A$1:$J$3500,5,0)</f>
        <v>#N/A</v>
      </c>
      <c r="E1040" s="1" t="s">
        <v>1482</v>
      </c>
      <c r="F1040" s="5">
        <f t="shared" si="48"/>
        <v>0</v>
      </c>
      <c r="G1040" s="5" t="s">
        <v>1483</v>
      </c>
      <c r="H1040" s="4" t="e">
        <f>VLOOKUP(A1040,المعطيات!$A$1:$J$3500,3,0)</f>
        <v>#N/A</v>
      </c>
      <c r="I1040" s="1" t="s">
        <v>1484</v>
      </c>
      <c r="J1040" s="1" t="s">
        <v>1485</v>
      </c>
      <c r="K1040" s="4" t="e">
        <f>VLOOKUP(A1040,المعطيات!$A$1:$J$3500,6,0)</f>
        <v>#N/A</v>
      </c>
      <c r="L1040" s="1" t="s">
        <v>1486</v>
      </c>
      <c r="M1040" s="1" t="s">
        <v>1487</v>
      </c>
      <c r="N1040" s="4" t="e">
        <f t="shared" si="49"/>
        <v>#N/A</v>
      </c>
      <c r="O1040" s="1" t="s">
        <v>1488</v>
      </c>
      <c r="P1040" s="4" t="e">
        <f>VLOOKUP(A1040,المعطيات!$A$1:$J$3500,4,0)</f>
        <v>#N/A</v>
      </c>
      <c r="Q1040" s="1" t="s">
        <v>1489</v>
      </c>
      <c r="R1040" s="1" t="s">
        <v>1480</v>
      </c>
      <c r="S1040" s="6" t="e">
        <f t="shared" si="50"/>
        <v>#N/A</v>
      </c>
    </row>
    <row r="1041" spans="2:19" x14ac:dyDescent="0.25">
      <c r="B1041" s="1" t="s">
        <v>1479</v>
      </c>
      <c r="C1041" s="1" t="s">
        <v>1481</v>
      </c>
      <c r="D1041" s="4" t="e">
        <f>VLOOKUP(A1041,المعطيات!$A$1:$J$3500,5,0)</f>
        <v>#N/A</v>
      </c>
      <c r="E1041" s="1" t="s">
        <v>1482</v>
      </c>
      <c r="F1041" s="5">
        <f t="shared" si="48"/>
        <v>0</v>
      </c>
      <c r="G1041" s="5" t="s">
        <v>1483</v>
      </c>
      <c r="H1041" s="4" t="e">
        <f>VLOOKUP(A1041,المعطيات!$A$1:$J$3500,3,0)</f>
        <v>#N/A</v>
      </c>
      <c r="I1041" s="1" t="s">
        <v>1484</v>
      </c>
      <c r="J1041" s="1" t="s">
        <v>1485</v>
      </c>
      <c r="K1041" s="4" t="e">
        <f>VLOOKUP(A1041,المعطيات!$A$1:$J$3500,6,0)</f>
        <v>#N/A</v>
      </c>
      <c r="L1041" s="1" t="s">
        <v>1486</v>
      </c>
      <c r="M1041" s="1" t="s">
        <v>1487</v>
      </c>
      <c r="N1041" s="4" t="e">
        <f t="shared" si="49"/>
        <v>#N/A</v>
      </c>
      <c r="O1041" s="1" t="s">
        <v>1488</v>
      </c>
      <c r="P1041" s="4" t="e">
        <f>VLOOKUP(A1041,المعطيات!$A$1:$J$3500,4,0)</f>
        <v>#N/A</v>
      </c>
      <c r="Q1041" s="1" t="s">
        <v>1489</v>
      </c>
      <c r="R1041" s="1" t="s">
        <v>1480</v>
      </c>
      <c r="S1041" s="6" t="e">
        <f t="shared" si="50"/>
        <v>#N/A</v>
      </c>
    </row>
    <row r="1042" spans="2:19" x14ac:dyDescent="0.25">
      <c r="B1042" s="1" t="s">
        <v>1479</v>
      </c>
      <c r="C1042" s="1" t="s">
        <v>1481</v>
      </c>
      <c r="D1042" s="4" t="e">
        <f>VLOOKUP(A1042,المعطيات!$A$1:$J$3500,5,0)</f>
        <v>#N/A</v>
      </c>
      <c r="E1042" s="1" t="s">
        <v>1482</v>
      </c>
      <c r="F1042" s="5">
        <f t="shared" si="48"/>
        <v>0</v>
      </c>
      <c r="G1042" s="5" t="s">
        <v>1483</v>
      </c>
      <c r="H1042" s="4" t="e">
        <f>VLOOKUP(A1042,المعطيات!$A$1:$J$3500,3,0)</f>
        <v>#N/A</v>
      </c>
      <c r="I1042" s="1" t="s">
        <v>1484</v>
      </c>
      <c r="J1042" s="1" t="s">
        <v>1485</v>
      </c>
      <c r="K1042" s="4" t="e">
        <f>VLOOKUP(A1042,المعطيات!$A$1:$J$3500,6,0)</f>
        <v>#N/A</v>
      </c>
      <c r="L1042" s="1" t="s">
        <v>1486</v>
      </c>
      <c r="M1042" s="1" t="s">
        <v>1487</v>
      </c>
      <c r="N1042" s="4" t="e">
        <f t="shared" si="49"/>
        <v>#N/A</v>
      </c>
      <c r="O1042" s="1" t="s">
        <v>1488</v>
      </c>
      <c r="P1042" s="4" t="e">
        <f>VLOOKUP(A1042,المعطيات!$A$1:$J$3500,4,0)</f>
        <v>#N/A</v>
      </c>
      <c r="Q1042" s="1" t="s">
        <v>1489</v>
      </c>
      <c r="R1042" s="1" t="s">
        <v>1480</v>
      </c>
      <c r="S1042" s="6" t="e">
        <f t="shared" si="50"/>
        <v>#N/A</v>
      </c>
    </row>
    <row r="1043" spans="2:19" x14ac:dyDescent="0.25">
      <c r="B1043" s="1" t="s">
        <v>1479</v>
      </c>
      <c r="C1043" s="1" t="s">
        <v>1481</v>
      </c>
      <c r="D1043" s="4" t="e">
        <f>VLOOKUP(A1043,المعطيات!$A$1:$J$3500,5,0)</f>
        <v>#N/A</v>
      </c>
      <c r="E1043" s="1" t="s">
        <v>1482</v>
      </c>
      <c r="F1043" s="5">
        <f t="shared" si="48"/>
        <v>0</v>
      </c>
      <c r="G1043" s="5" t="s">
        <v>1483</v>
      </c>
      <c r="H1043" s="4" t="e">
        <f>VLOOKUP(A1043,المعطيات!$A$1:$J$3500,3,0)</f>
        <v>#N/A</v>
      </c>
      <c r="I1043" s="1" t="s">
        <v>1484</v>
      </c>
      <c r="J1043" s="1" t="s">
        <v>1485</v>
      </c>
      <c r="K1043" s="4" t="e">
        <f>VLOOKUP(A1043,المعطيات!$A$1:$J$3500,6,0)</f>
        <v>#N/A</v>
      </c>
      <c r="L1043" s="1" t="s">
        <v>1486</v>
      </c>
      <c r="M1043" s="1" t="s">
        <v>1487</v>
      </c>
      <c r="N1043" s="4" t="e">
        <f t="shared" si="49"/>
        <v>#N/A</v>
      </c>
      <c r="O1043" s="1" t="s">
        <v>1488</v>
      </c>
      <c r="P1043" s="4" t="e">
        <f>VLOOKUP(A1043,المعطيات!$A$1:$J$3500,4,0)</f>
        <v>#N/A</v>
      </c>
      <c r="Q1043" s="1" t="s">
        <v>1489</v>
      </c>
      <c r="R1043" s="1" t="s">
        <v>1480</v>
      </c>
      <c r="S1043" s="6" t="e">
        <f t="shared" si="50"/>
        <v>#N/A</v>
      </c>
    </row>
    <row r="1044" spans="2:19" x14ac:dyDescent="0.25">
      <c r="B1044" s="1" t="s">
        <v>1479</v>
      </c>
      <c r="C1044" s="1" t="s">
        <v>1481</v>
      </c>
      <c r="D1044" s="4" t="e">
        <f>VLOOKUP(A1044,المعطيات!$A$1:$J$3500,5,0)</f>
        <v>#N/A</v>
      </c>
      <c r="E1044" s="1" t="s">
        <v>1482</v>
      </c>
      <c r="F1044" s="5">
        <f t="shared" si="48"/>
        <v>0</v>
      </c>
      <c r="G1044" s="5" t="s">
        <v>1483</v>
      </c>
      <c r="H1044" s="4" t="e">
        <f>VLOOKUP(A1044,المعطيات!$A$1:$J$3500,3,0)</f>
        <v>#N/A</v>
      </c>
      <c r="I1044" s="1" t="s">
        <v>1484</v>
      </c>
      <c r="J1044" s="1" t="s">
        <v>1485</v>
      </c>
      <c r="K1044" s="4" t="e">
        <f>VLOOKUP(A1044,المعطيات!$A$1:$J$3500,6,0)</f>
        <v>#N/A</v>
      </c>
      <c r="L1044" s="1" t="s">
        <v>1486</v>
      </c>
      <c r="M1044" s="1" t="s">
        <v>1487</v>
      </c>
      <c r="N1044" s="4" t="e">
        <f t="shared" si="49"/>
        <v>#N/A</v>
      </c>
      <c r="O1044" s="1" t="s">
        <v>1488</v>
      </c>
      <c r="P1044" s="4" t="e">
        <f>VLOOKUP(A1044,المعطيات!$A$1:$J$3500,4,0)</f>
        <v>#N/A</v>
      </c>
      <c r="Q1044" s="1" t="s">
        <v>1489</v>
      </c>
      <c r="R1044" s="1" t="s">
        <v>1480</v>
      </c>
      <c r="S1044" s="6" t="e">
        <f t="shared" si="50"/>
        <v>#N/A</v>
      </c>
    </row>
    <row r="1045" spans="2:19" x14ac:dyDescent="0.25">
      <c r="B1045" s="1" t="s">
        <v>1479</v>
      </c>
      <c r="C1045" s="1" t="s">
        <v>1481</v>
      </c>
      <c r="D1045" s="4" t="e">
        <f>VLOOKUP(A1045,المعطيات!$A$1:$J$3500,5,0)</f>
        <v>#N/A</v>
      </c>
      <c r="E1045" s="1" t="s">
        <v>1482</v>
      </c>
      <c r="F1045" s="5">
        <f t="shared" si="48"/>
        <v>0</v>
      </c>
      <c r="G1045" s="5" t="s">
        <v>1483</v>
      </c>
      <c r="H1045" s="4" t="e">
        <f>VLOOKUP(A1045,المعطيات!$A$1:$J$3500,3,0)</f>
        <v>#N/A</v>
      </c>
      <c r="I1045" s="1" t="s">
        <v>1484</v>
      </c>
      <c r="J1045" s="1" t="s">
        <v>1485</v>
      </c>
      <c r="K1045" s="4" t="e">
        <f>VLOOKUP(A1045,المعطيات!$A$1:$J$3500,6,0)</f>
        <v>#N/A</v>
      </c>
      <c r="L1045" s="1" t="s">
        <v>1486</v>
      </c>
      <c r="M1045" s="1" t="s">
        <v>1487</v>
      </c>
      <c r="N1045" s="4" t="e">
        <f t="shared" si="49"/>
        <v>#N/A</v>
      </c>
      <c r="O1045" s="1" t="s">
        <v>1488</v>
      </c>
      <c r="P1045" s="4" t="e">
        <f>VLOOKUP(A1045,المعطيات!$A$1:$J$3500,4,0)</f>
        <v>#N/A</v>
      </c>
      <c r="Q1045" s="1" t="s">
        <v>1489</v>
      </c>
      <c r="R1045" s="1" t="s">
        <v>1480</v>
      </c>
      <c r="S1045" s="6" t="e">
        <f t="shared" si="50"/>
        <v>#N/A</v>
      </c>
    </row>
    <row r="1046" spans="2:19" x14ac:dyDescent="0.25">
      <c r="B1046" s="1" t="s">
        <v>1479</v>
      </c>
      <c r="C1046" s="1" t="s">
        <v>1481</v>
      </c>
      <c r="D1046" s="4" t="e">
        <f>VLOOKUP(A1046,المعطيات!$A$1:$J$3500,5,0)</f>
        <v>#N/A</v>
      </c>
      <c r="E1046" s="1" t="s">
        <v>1482</v>
      </c>
      <c r="F1046" s="5">
        <f t="shared" si="48"/>
        <v>0</v>
      </c>
      <c r="G1046" s="5" t="s">
        <v>1483</v>
      </c>
      <c r="H1046" s="4" t="e">
        <f>VLOOKUP(A1046,المعطيات!$A$1:$J$3500,3,0)</f>
        <v>#N/A</v>
      </c>
      <c r="I1046" s="1" t="s">
        <v>1484</v>
      </c>
      <c r="J1046" s="1" t="s">
        <v>1485</v>
      </c>
      <c r="K1046" s="4" t="e">
        <f>VLOOKUP(A1046,المعطيات!$A$1:$J$3500,6,0)</f>
        <v>#N/A</v>
      </c>
      <c r="L1046" s="1" t="s">
        <v>1486</v>
      </c>
      <c r="M1046" s="1" t="s">
        <v>1487</v>
      </c>
      <c r="N1046" s="4" t="e">
        <f t="shared" si="49"/>
        <v>#N/A</v>
      </c>
      <c r="O1046" s="1" t="s">
        <v>1488</v>
      </c>
      <c r="P1046" s="4" t="e">
        <f>VLOOKUP(A1046,المعطيات!$A$1:$J$3500,4,0)</f>
        <v>#N/A</v>
      </c>
      <c r="Q1046" s="1" t="s">
        <v>1489</v>
      </c>
      <c r="R1046" s="1" t="s">
        <v>1480</v>
      </c>
      <c r="S1046" s="6" t="e">
        <f t="shared" si="50"/>
        <v>#N/A</v>
      </c>
    </row>
    <row r="1047" spans="2:19" x14ac:dyDescent="0.25">
      <c r="B1047" s="1" t="s">
        <v>1479</v>
      </c>
      <c r="C1047" s="1" t="s">
        <v>1481</v>
      </c>
      <c r="D1047" s="4" t="e">
        <f>VLOOKUP(A1047,المعطيات!$A$1:$J$3500,5,0)</f>
        <v>#N/A</v>
      </c>
      <c r="E1047" s="1" t="s">
        <v>1482</v>
      </c>
      <c r="F1047" s="5">
        <f t="shared" si="48"/>
        <v>0</v>
      </c>
      <c r="G1047" s="5" t="s">
        <v>1483</v>
      </c>
      <c r="H1047" s="4" t="e">
        <f>VLOOKUP(A1047,المعطيات!$A$1:$J$3500,3,0)</f>
        <v>#N/A</v>
      </c>
      <c r="I1047" s="1" t="s">
        <v>1484</v>
      </c>
      <c r="J1047" s="1" t="s">
        <v>1485</v>
      </c>
      <c r="K1047" s="4" t="e">
        <f>VLOOKUP(A1047,المعطيات!$A$1:$J$3500,6,0)</f>
        <v>#N/A</v>
      </c>
      <c r="L1047" s="1" t="s">
        <v>1486</v>
      </c>
      <c r="M1047" s="1" t="s">
        <v>1487</v>
      </c>
      <c r="N1047" s="4" t="e">
        <f t="shared" si="49"/>
        <v>#N/A</v>
      </c>
      <c r="O1047" s="1" t="s">
        <v>1488</v>
      </c>
      <c r="P1047" s="4" t="e">
        <f>VLOOKUP(A1047,المعطيات!$A$1:$J$3500,4,0)</f>
        <v>#N/A</v>
      </c>
      <c r="Q1047" s="1" t="s">
        <v>1489</v>
      </c>
      <c r="R1047" s="1" t="s">
        <v>1480</v>
      </c>
      <c r="S1047" s="6" t="e">
        <f t="shared" si="50"/>
        <v>#N/A</v>
      </c>
    </row>
    <row r="1048" spans="2:19" x14ac:dyDescent="0.25">
      <c r="B1048" s="1" t="s">
        <v>1479</v>
      </c>
      <c r="C1048" s="1" t="s">
        <v>1481</v>
      </c>
      <c r="D1048" s="4" t="e">
        <f>VLOOKUP(A1048,المعطيات!$A$1:$J$3500,5,0)</f>
        <v>#N/A</v>
      </c>
      <c r="E1048" s="1" t="s">
        <v>1482</v>
      </c>
      <c r="F1048" s="5">
        <f t="shared" si="48"/>
        <v>0</v>
      </c>
      <c r="G1048" s="5" t="s">
        <v>1483</v>
      </c>
      <c r="H1048" s="4" t="e">
        <f>VLOOKUP(A1048,المعطيات!$A$1:$J$3500,3,0)</f>
        <v>#N/A</v>
      </c>
      <c r="I1048" s="1" t="s">
        <v>1484</v>
      </c>
      <c r="J1048" s="1" t="s">
        <v>1485</v>
      </c>
      <c r="K1048" s="4" t="e">
        <f>VLOOKUP(A1048,المعطيات!$A$1:$J$3500,6,0)</f>
        <v>#N/A</v>
      </c>
      <c r="L1048" s="1" t="s">
        <v>1486</v>
      </c>
      <c r="M1048" s="1" t="s">
        <v>1487</v>
      </c>
      <c r="N1048" s="4" t="e">
        <f t="shared" si="49"/>
        <v>#N/A</v>
      </c>
      <c r="O1048" s="1" t="s">
        <v>1488</v>
      </c>
      <c r="P1048" s="4" t="e">
        <f>VLOOKUP(A1048,المعطيات!$A$1:$J$3500,4,0)</f>
        <v>#N/A</v>
      </c>
      <c r="Q1048" s="1" t="s">
        <v>1489</v>
      </c>
      <c r="R1048" s="1" t="s">
        <v>1480</v>
      </c>
      <c r="S1048" s="6" t="e">
        <f t="shared" si="50"/>
        <v>#N/A</v>
      </c>
    </row>
    <row r="1049" spans="2:19" x14ac:dyDescent="0.25">
      <c r="B1049" s="1" t="s">
        <v>1479</v>
      </c>
      <c r="C1049" s="1" t="s">
        <v>1481</v>
      </c>
      <c r="D1049" s="4" t="e">
        <f>VLOOKUP(A1049,المعطيات!$A$1:$J$3500,5,0)</f>
        <v>#N/A</v>
      </c>
      <c r="E1049" s="1" t="s">
        <v>1482</v>
      </c>
      <c r="F1049" s="5">
        <f t="shared" si="48"/>
        <v>0</v>
      </c>
      <c r="G1049" s="5" t="s">
        <v>1483</v>
      </c>
      <c r="H1049" s="4" t="e">
        <f>VLOOKUP(A1049,المعطيات!$A$1:$J$3500,3,0)</f>
        <v>#N/A</v>
      </c>
      <c r="I1049" s="1" t="s">
        <v>1484</v>
      </c>
      <c r="J1049" s="1" t="s">
        <v>1485</v>
      </c>
      <c r="K1049" s="4" t="e">
        <f>VLOOKUP(A1049,المعطيات!$A$1:$J$3500,6,0)</f>
        <v>#N/A</v>
      </c>
      <c r="L1049" s="1" t="s">
        <v>1486</v>
      </c>
      <c r="M1049" s="1" t="s">
        <v>1487</v>
      </c>
      <c r="N1049" s="4" t="e">
        <f t="shared" si="49"/>
        <v>#N/A</v>
      </c>
      <c r="O1049" s="1" t="s">
        <v>1488</v>
      </c>
      <c r="P1049" s="4" t="e">
        <f>VLOOKUP(A1049,المعطيات!$A$1:$J$3500,4,0)</f>
        <v>#N/A</v>
      </c>
      <c r="Q1049" s="1" t="s">
        <v>1489</v>
      </c>
      <c r="R1049" s="1" t="s">
        <v>1480</v>
      </c>
      <c r="S1049" s="6" t="e">
        <f t="shared" si="50"/>
        <v>#N/A</v>
      </c>
    </row>
    <row r="1050" spans="2:19" x14ac:dyDescent="0.25">
      <c r="B1050" s="1" t="s">
        <v>1479</v>
      </c>
      <c r="C1050" s="1" t="s">
        <v>1481</v>
      </c>
      <c r="D1050" s="4" t="e">
        <f>VLOOKUP(A1050,المعطيات!$A$1:$J$3500,5,0)</f>
        <v>#N/A</v>
      </c>
      <c r="E1050" s="1" t="s">
        <v>1482</v>
      </c>
      <c r="F1050" s="5">
        <f t="shared" si="48"/>
        <v>0</v>
      </c>
      <c r="G1050" s="5" t="s">
        <v>1483</v>
      </c>
      <c r="H1050" s="4" t="e">
        <f>VLOOKUP(A1050,المعطيات!$A$1:$J$3500,3,0)</f>
        <v>#N/A</v>
      </c>
      <c r="I1050" s="1" t="s">
        <v>1484</v>
      </c>
      <c r="J1050" s="1" t="s">
        <v>1485</v>
      </c>
      <c r="K1050" s="4" t="e">
        <f>VLOOKUP(A1050,المعطيات!$A$1:$J$3500,6,0)</f>
        <v>#N/A</v>
      </c>
      <c r="L1050" s="1" t="s">
        <v>1486</v>
      </c>
      <c r="M1050" s="1" t="s">
        <v>1487</v>
      </c>
      <c r="N1050" s="4" t="e">
        <f t="shared" si="49"/>
        <v>#N/A</v>
      </c>
      <c r="O1050" s="1" t="s">
        <v>1488</v>
      </c>
      <c r="P1050" s="4" t="e">
        <f>VLOOKUP(A1050,المعطيات!$A$1:$J$3500,4,0)</f>
        <v>#N/A</v>
      </c>
      <c r="Q1050" s="1" t="s">
        <v>1489</v>
      </c>
      <c r="R1050" s="1" t="s">
        <v>1480</v>
      </c>
      <c r="S1050" s="6" t="e">
        <f t="shared" si="50"/>
        <v>#N/A</v>
      </c>
    </row>
    <row r="1051" spans="2:19" x14ac:dyDescent="0.25">
      <c r="B1051" s="1" t="s">
        <v>1479</v>
      </c>
      <c r="C1051" s="1" t="s">
        <v>1481</v>
      </c>
      <c r="D1051" s="4" t="e">
        <f>VLOOKUP(A1051,المعطيات!$A$1:$J$3500,5,0)</f>
        <v>#N/A</v>
      </c>
      <c r="E1051" s="1" t="s">
        <v>1482</v>
      </c>
      <c r="F1051" s="5">
        <f t="shared" si="48"/>
        <v>0</v>
      </c>
      <c r="G1051" s="5" t="s">
        <v>1483</v>
      </c>
      <c r="H1051" s="4" t="e">
        <f>VLOOKUP(A1051,المعطيات!$A$1:$J$3500,3,0)</f>
        <v>#N/A</v>
      </c>
      <c r="I1051" s="1" t="s">
        <v>1484</v>
      </c>
      <c r="J1051" s="1" t="s">
        <v>1485</v>
      </c>
      <c r="K1051" s="4" t="e">
        <f>VLOOKUP(A1051,المعطيات!$A$1:$J$3500,6,0)</f>
        <v>#N/A</v>
      </c>
      <c r="L1051" s="1" t="s">
        <v>1486</v>
      </c>
      <c r="M1051" s="1" t="s">
        <v>1487</v>
      </c>
      <c r="N1051" s="4" t="e">
        <f t="shared" si="49"/>
        <v>#N/A</v>
      </c>
      <c r="O1051" s="1" t="s">
        <v>1488</v>
      </c>
      <c r="P1051" s="4" t="e">
        <f>VLOOKUP(A1051,المعطيات!$A$1:$J$3500,4,0)</f>
        <v>#N/A</v>
      </c>
      <c r="Q1051" s="1" t="s">
        <v>1489</v>
      </c>
      <c r="R1051" s="1" t="s">
        <v>1480</v>
      </c>
      <c r="S1051" s="6" t="e">
        <f t="shared" si="50"/>
        <v>#N/A</v>
      </c>
    </row>
    <row r="1052" spans="2:19" x14ac:dyDescent="0.25">
      <c r="B1052" s="1" t="s">
        <v>1479</v>
      </c>
      <c r="C1052" s="1" t="s">
        <v>1481</v>
      </c>
      <c r="D1052" s="4" t="e">
        <f>VLOOKUP(A1052,المعطيات!$A$1:$J$3500,5,0)</f>
        <v>#N/A</v>
      </c>
      <c r="E1052" s="1" t="s">
        <v>1482</v>
      </c>
      <c r="F1052" s="5">
        <f t="shared" si="48"/>
        <v>0</v>
      </c>
      <c r="G1052" s="5" t="s">
        <v>1483</v>
      </c>
      <c r="H1052" s="4" t="e">
        <f>VLOOKUP(A1052,المعطيات!$A$1:$J$3500,3,0)</f>
        <v>#N/A</v>
      </c>
      <c r="I1052" s="1" t="s">
        <v>1484</v>
      </c>
      <c r="J1052" s="1" t="s">
        <v>1485</v>
      </c>
      <c r="K1052" s="4" t="e">
        <f>VLOOKUP(A1052,المعطيات!$A$1:$J$3500,6,0)</f>
        <v>#N/A</v>
      </c>
      <c r="L1052" s="1" t="s">
        <v>1486</v>
      </c>
      <c r="M1052" s="1" t="s">
        <v>1487</v>
      </c>
      <c r="N1052" s="4" t="e">
        <f t="shared" si="49"/>
        <v>#N/A</v>
      </c>
      <c r="O1052" s="1" t="s">
        <v>1488</v>
      </c>
      <c r="P1052" s="4" t="e">
        <f>VLOOKUP(A1052,المعطيات!$A$1:$J$3500,4,0)</f>
        <v>#N/A</v>
      </c>
      <c r="Q1052" s="1" t="s">
        <v>1489</v>
      </c>
      <c r="R1052" s="1" t="s">
        <v>1480</v>
      </c>
      <c r="S1052" s="6" t="e">
        <f t="shared" si="50"/>
        <v>#N/A</v>
      </c>
    </row>
    <row r="1053" spans="2:19" x14ac:dyDescent="0.25">
      <c r="B1053" s="1" t="s">
        <v>1479</v>
      </c>
      <c r="C1053" s="1" t="s">
        <v>1481</v>
      </c>
      <c r="D1053" s="4" t="e">
        <f>VLOOKUP(A1053,المعطيات!$A$1:$J$3500,5,0)</f>
        <v>#N/A</v>
      </c>
      <c r="E1053" s="1" t="s">
        <v>1482</v>
      </c>
      <c r="F1053" s="5">
        <f t="shared" si="48"/>
        <v>0</v>
      </c>
      <c r="G1053" s="5" t="s">
        <v>1483</v>
      </c>
      <c r="H1053" s="4" t="e">
        <f>VLOOKUP(A1053,المعطيات!$A$1:$J$3500,3,0)</f>
        <v>#N/A</v>
      </c>
      <c r="I1053" s="1" t="s">
        <v>1484</v>
      </c>
      <c r="J1053" s="1" t="s">
        <v>1485</v>
      </c>
      <c r="K1053" s="4" t="e">
        <f>VLOOKUP(A1053,المعطيات!$A$1:$J$3500,6,0)</f>
        <v>#N/A</v>
      </c>
      <c r="L1053" s="1" t="s">
        <v>1486</v>
      </c>
      <c r="M1053" s="1" t="s">
        <v>1487</v>
      </c>
      <c r="N1053" s="4" t="e">
        <f t="shared" si="49"/>
        <v>#N/A</v>
      </c>
      <c r="O1053" s="1" t="s">
        <v>1488</v>
      </c>
      <c r="P1053" s="4" t="e">
        <f>VLOOKUP(A1053,المعطيات!$A$1:$J$3500,4,0)</f>
        <v>#N/A</v>
      </c>
      <c r="Q1053" s="1" t="s">
        <v>1489</v>
      </c>
      <c r="R1053" s="1" t="s">
        <v>1480</v>
      </c>
      <c r="S1053" s="6" t="e">
        <f t="shared" si="50"/>
        <v>#N/A</v>
      </c>
    </row>
    <row r="1054" spans="2:19" x14ac:dyDescent="0.25">
      <c r="B1054" s="1" t="s">
        <v>1479</v>
      </c>
      <c r="C1054" s="1" t="s">
        <v>1481</v>
      </c>
      <c r="D1054" s="4" t="e">
        <f>VLOOKUP(A1054,المعطيات!$A$1:$J$3500,5,0)</f>
        <v>#N/A</v>
      </c>
      <c r="E1054" s="1" t="s">
        <v>1482</v>
      </c>
      <c r="F1054" s="5">
        <f t="shared" si="48"/>
        <v>0</v>
      </c>
      <c r="G1054" s="5" t="s">
        <v>1483</v>
      </c>
      <c r="H1054" s="4" t="e">
        <f>VLOOKUP(A1054,المعطيات!$A$1:$J$3500,3,0)</f>
        <v>#N/A</v>
      </c>
      <c r="I1054" s="1" t="s">
        <v>1484</v>
      </c>
      <c r="J1054" s="1" t="s">
        <v>1485</v>
      </c>
      <c r="K1054" s="4" t="e">
        <f>VLOOKUP(A1054,المعطيات!$A$1:$J$3500,6,0)</f>
        <v>#N/A</v>
      </c>
      <c r="L1054" s="1" t="s">
        <v>1486</v>
      </c>
      <c r="M1054" s="1" t="s">
        <v>1487</v>
      </c>
      <c r="N1054" s="4" t="e">
        <f t="shared" si="49"/>
        <v>#N/A</v>
      </c>
      <c r="O1054" s="1" t="s">
        <v>1488</v>
      </c>
      <c r="P1054" s="4" t="e">
        <f>VLOOKUP(A1054,المعطيات!$A$1:$J$3500,4,0)</f>
        <v>#N/A</v>
      </c>
      <c r="Q1054" s="1" t="s">
        <v>1489</v>
      </c>
      <c r="R1054" s="1" t="s">
        <v>1480</v>
      </c>
      <c r="S1054" s="6" t="e">
        <f t="shared" si="50"/>
        <v>#N/A</v>
      </c>
    </row>
    <row r="1055" spans="2:19" x14ac:dyDescent="0.25">
      <c r="B1055" s="1" t="s">
        <v>1479</v>
      </c>
      <c r="C1055" s="1" t="s">
        <v>1481</v>
      </c>
      <c r="D1055" s="4" t="e">
        <f>VLOOKUP(A1055,المعطيات!$A$1:$J$3500,5,0)</f>
        <v>#N/A</v>
      </c>
      <c r="E1055" s="1" t="s">
        <v>1482</v>
      </c>
      <c r="F1055" s="5">
        <f t="shared" si="48"/>
        <v>0</v>
      </c>
      <c r="G1055" s="5" t="s">
        <v>1483</v>
      </c>
      <c r="H1055" s="4" t="e">
        <f>VLOOKUP(A1055,المعطيات!$A$1:$J$3500,3,0)</f>
        <v>#N/A</v>
      </c>
      <c r="I1055" s="1" t="s">
        <v>1484</v>
      </c>
      <c r="J1055" s="1" t="s">
        <v>1485</v>
      </c>
      <c r="K1055" s="4" t="e">
        <f>VLOOKUP(A1055,المعطيات!$A$1:$J$3500,6,0)</f>
        <v>#N/A</v>
      </c>
      <c r="L1055" s="1" t="s">
        <v>1486</v>
      </c>
      <c r="M1055" s="1" t="s">
        <v>1487</v>
      </c>
      <c r="N1055" s="4" t="e">
        <f t="shared" si="49"/>
        <v>#N/A</v>
      </c>
      <c r="O1055" s="1" t="s">
        <v>1488</v>
      </c>
      <c r="P1055" s="4" t="e">
        <f>VLOOKUP(A1055,المعطيات!$A$1:$J$3500,4,0)</f>
        <v>#N/A</v>
      </c>
      <c r="Q1055" s="1" t="s">
        <v>1489</v>
      </c>
      <c r="R1055" s="1" t="s">
        <v>1480</v>
      </c>
      <c r="S1055" s="6" t="e">
        <f t="shared" si="50"/>
        <v>#N/A</v>
      </c>
    </row>
    <row r="1056" spans="2:19" x14ac:dyDescent="0.25">
      <c r="B1056" s="1" t="s">
        <v>1479</v>
      </c>
      <c r="C1056" s="1" t="s">
        <v>1481</v>
      </c>
      <c r="D1056" s="4" t="e">
        <f>VLOOKUP(A1056,المعطيات!$A$1:$J$3500,5,0)</f>
        <v>#N/A</v>
      </c>
      <c r="E1056" s="1" t="s">
        <v>1482</v>
      </c>
      <c r="F1056" s="5">
        <f t="shared" si="48"/>
        <v>0</v>
      </c>
      <c r="G1056" s="5" t="s">
        <v>1483</v>
      </c>
      <c r="H1056" s="4" t="e">
        <f>VLOOKUP(A1056,المعطيات!$A$1:$J$3500,3,0)</f>
        <v>#N/A</v>
      </c>
      <c r="I1056" s="1" t="s">
        <v>1484</v>
      </c>
      <c r="J1056" s="1" t="s">
        <v>1485</v>
      </c>
      <c r="K1056" s="4" t="e">
        <f>VLOOKUP(A1056,المعطيات!$A$1:$J$3500,6,0)</f>
        <v>#N/A</v>
      </c>
      <c r="L1056" s="1" t="s">
        <v>1486</v>
      </c>
      <c r="M1056" s="1" t="s">
        <v>1487</v>
      </c>
      <c r="N1056" s="4" t="e">
        <f t="shared" si="49"/>
        <v>#N/A</v>
      </c>
      <c r="O1056" s="1" t="s">
        <v>1488</v>
      </c>
      <c r="P1056" s="4" t="e">
        <f>VLOOKUP(A1056,المعطيات!$A$1:$J$3500,4,0)</f>
        <v>#N/A</v>
      </c>
      <c r="Q1056" s="1" t="s">
        <v>1489</v>
      </c>
      <c r="R1056" s="1" t="s">
        <v>1480</v>
      </c>
      <c r="S1056" s="6" t="e">
        <f t="shared" si="50"/>
        <v>#N/A</v>
      </c>
    </row>
    <row r="1057" spans="2:19" x14ac:dyDescent="0.25">
      <c r="B1057" s="1" t="s">
        <v>1479</v>
      </c>
      <c r="C1057" s="1" t="s">
        <v>1481</v>
      </c>
      <c r="D1057" s="4" t="e">
        <f>VLOOKUP(A1057,المعطيات!$A$1:$J$3500,5,0)</f>
        <v>#N/A</v>
      </c>
      <c r="E1057" s="1" t="s">
        <v>1482</v>
      </c>
      <c r="F1057" s="5">
        <f t="shared" si="48"/>
        <v>0</v>
      </c>
      <c r="G1057" s="5" t="s">
        <v>1483</v>
      </c>
      <c r="H1057" s="4" t="e">
        <f>VLOOKUP(A1057,المعطيات!$A$1:$J$3500,3,0)</f>
        <v>#N/A</v>
      </c>
      <c r="I1057" s="1" t="s">
        <v>1484</v>
      </c>
      <c r="J1057" s="1" t="s">
        <v>1485</v>
      </c>
      <c r="K1057" s="4" t="e">
        <f>VLOOKUP(A1057,المعطيات!$A$1:$J$3500,6,0)</f>
        <v>#N/A</v>
      </c>
      <c r="L1057" s="1" t="s">
        <v>1486</v>
      </c>
      <c r="M1057" s="1" t="s">
        <v>1487</v>
      </c>
      <c r="N1057" s="4" t="e">
        <f t="shared" si="49"/>
        <v>#N/A</v>
      </c>
      <c r="O1057" s="1" t="s">
        <v>1488</v>
      </c>
      <c r="P1057" s="4" t="e">
        <f>VLOOKUP(A1057,المعطيات!$A$1:$J$3500,4,0)</f>
        <v>#N/A</v>
      </c>
      <c r="Q1057" s="1" t="s">
        <v>1489</v>
      </c>
      <c r="R1057" s="1" t="s">
        <v>1480</v>
      </c>
      <c r="S1057" s="6" t="e">
        <f t="shared" si="50"/>
        <v>#N/A</v>
      </c>
    </row>
    <row r="1058" spans="2:19" x14ac:dyDescent="0.25">
      <c r="B1058" s="1" t="s">
        <v>1479</v>
      </c>
      <c r="C1058" s="1" t="s">
        <v>1481</v>
      </c>
      <c r="D1058" s="4" t="e">
        <f>VLOOKUP(A1058,المعطيات!$A$1:$J$3500,5,0)</f>
        <v>#N/A</v>
      </c>
      <c r="E1058" s="1" t="s">
        <v>1482</v>
      </c>
      <c r="F1058" s="5">
        <f t="shared" si="48"/>
        <v>0</v>
      </c>
      <c r="G1058" s="5" t="s">
        <v>1483</v>
      </c>
      <c r="H1058" s="4" t="e">
        <f>VLOOKUP(A1058,المعطيات!$A$1:$J$3500,3,0)</f>
        <v>#N/A</v>
      </c>
      <c r="I1058" s="1" t="s">
        <v>1484</v>
      </c>
      <c r="J1058" s="1" t="s">
        <v>1485</v>
      </c>
      <c r="K1058" s="4" t="e">
        <f>VLOOKUP(A1058,المعطيات!$A$1:$J$3500,6,0)</f>
        <v>#N/A</v>
      </c>
      <c r="L1058" s="1" t="s">
        <v>1486</v>
      </c>
      <c r="M1058" s="1" t="s">
        <v>1487</v>
      </c>
      <c r="N1058" s="4" t="e">
        <f t="shared" si="49"/>
        <v>#N/A</v>
      </c>
      <c r="O1058" s="1" t="s">
        <v>1488</v>
      </c>
      <c r="P1058" s="4" t="e">
        <f>VLOOKUP(A1058,المعطيات!$A$1:$J$3500,4,0)</f>
        <v>#N/A</v>
      </c>
      <c r="Q1058" s="1" t="s">
        <v>1489</v>
      </c>
      <c r="R1058" s="1" t="s">
        <v>1480</v>
      </c>
      <c r="S1058" s="6" t="e">
        <f t="shared" si="50"/>
        <v>#N/A</v>
      </c>
    </row>
    <row r="1059" spans="2:19" x14ac:dyDescent="0.25">
      <c r="B1059" s="1" t="s">
        <v>1479</v>
      </c>
      <c r="C1059" s="1" t="s">
        <v>1481</v>
      </c>
      <c r="D1059" s="4" t="e">
        <f>VLOOKUP(A1059,المعطيات!$A$1:$J$3500,5,0)</f>
        <v>#N/A</v>
      </c>
      <c r="E1059" s="1" t="s">
        <v>1482</v>
      </c>
      <c r="F1059" s="5">
        <f t="shared" si="48"/>
        <v>0</v>
      </c>
      <c r="G1059" s="5" t="s">
        <v>1483</v>
      </c>
      <c r="H1059" s="4" t="e">
        <f>VLOOKUP(A1059,المعطيات!$A$1:$J$3500,3,0)</f>
        <v>#N/A</v>
      </c>
      <c r="I1059" s="1" t="s">
        <v>1484</v>
      </c>
      <c r="J1059" s="1" t="s">
        <v>1485</v>
      </c>
      <c r="K1059" s="4" t="e">
        <f>VLOOKUP(A1059,المعطيات!$A$1:$J$3500,6,0)</f>
        <v>#N/A</v>
      </c>
      <c r="L1059" s="1" t="s">
        <v>1486</v>
      </c>
      <c r="M1059" s="1" t="s">
        <v>1487</v>
      </c>
      <c r="N1059" s="4" t="e">
        <f t="shared" si="49"/>
        <v>#N/A</v>
      </c>
      <c r="O1059" s="1" t="s">
        <v>1488</v>
      </c>
      <c r="P1059" s="4" t="e">
        <f>VLOOKUP(A1059,المعطيات!$A$1:$J$3500,4,0)</f>
        <v>#N/A</v>
      </c>
      <c r="Q1059" s="1" t="s">
        <v>1489</v>
      </c>
      <c r="R1059" s="1" t="s">
        <v>1480</v>
      </c>
      <c r="S1059" s="6" t="e">
        <f t="shared" si="50"/>
        <v>#N/A</v>
      </c>
    </row>
    <row r="1060" spans="2:19" x14ac:dyDescent="0.25">
      <c r="B1060" s="1" t="s">
        <v>1479</v>
      </c>
      <c r="C1060" s="1" t="s">
        <v>1481</v>
      </c>
      <c r="D1060" s="4" t="e">
        <f>VLOOKUP(A1060,المعطيات!$A$1:$J$3500,5,0)</f>
        <v>#N/A</v>
      </c>
      <c r="E1060" s="1" t="s">
        <v>1482</v>
      </c>
      <c r="F1060" s="5">
        <f t="shared" si="48"/>
        <v>0</v>
      </c>
      <c r="G1060" s="5" t="s">
        <v>1483</v>
      </c>
      <c r="H1060" s="4" t="e">
        <f>VLOOKUP(A1060,المعطيات!$A$1:$J$3500,3,0)</f>
        <v>#N/A</v>
      </c>
      <c r="I1060" s="1" t="s">
        <v>1484</v>
      </c>
      <c r="J1060" s="1" t="s">
        <v>1485</v>
      </c>
      <c r="K1060" s="4" t="e">
        <f>VLOOKUP(A1060,المعطيات!$A$1:$J$3500,6,0)</f>
        <v>#N/A</v>
      </c>
      <c r="L1060" s="1" t="s">
        <v>1486</v>
      </c>
      <c r="M1060" s="1" t="s">
        <v>1487</v>
      </c>
      <c r="N1060" s="4" t="e">
        <f t="shared" si="49"/>
        <v>#N/A</v>
      </c>
      <c r="O1060" s="1" t="s">
        <v>1488</v>
      </c>
      <c r="P1060" s="4" t="e">
        <f>VLOOKUP(A1060,المعطيات!$A$1:$J$3500,4,0)</f>
        <v>#N/A</v>
      </c>
      <c r="Q1060" s="1" t="s">
        <v>1489</v>
      </c>
      <c r="R1060" s="1" t="s">
        <v>1480</v>
      </c>
      <c r="S1060" s="6" t="e">
        <f t="shared" si="50"/>
        <v>#N/A</v>
      </c>
    </row>
    <row r="1061" spans="2:19" x14ac:dyDescent="0.25">
      <c r="B1061" s="1" t="s">
        <v>1479</v>
      </c>
      <c r="C1061" s="1" t="s">
        <v>1481</v>
      </c>
      <c r="D1061" s="4" t="e">
        <f>VLOOKUP(A1061,المعطيات!$A$1:$J$3500,5,0)</f>
        <v>#N/A</v>
      </c>
      <c r="E1061" s="1" t="s">
        <v>1482</v>
      </c>
      <c r="F1061" s="5">
        <f t="shared" si="48"/>
        <v>0</v>
      </c>
      <c r="G1061" s="5" t="s">
        <v>1483</v>
      </c>
      <c r="H1061" s="4" t="e">
        <f>VLOOKUP(A1061,المعطيات!$A$1:$J$3500,3,0)</f>
        <v>#N/A</v>
      </c>
      <c r="I1061" s="1" t="s">
        <v>1484</v>
      </c>
      <c r="J1061" s="1" t="s">
        <v>1485</v>
      </c>
      <c r="K1061" s="4" t="e">
        <f>VLOOKUP(A1061,المعطيات!$A$1:$J$3500,6,0)</f>
        <v>#N/A</v>
      </c>
      <c r="L1061" s="1" t="s">
        <v>1486</v>
      </c>
      <c r="M1061" s="1" t="s">
        <v>1487</v>
      </c>
      <c r="N1061" s="4" t="e">
        <f t="shared" si="49"/>
        <v>#N/A</v>
      </c>
      <c r="O1061" s="1" t="s">
        <v>1488</v>
      </c>
      <c r="P1061" s="4" t="e">
        <f>VLOOKUP(A1061,المعطيات!$A$1:$J$3500,4,0)</f>
        <v>#N/A</v>
      </c>
      <c r="Q1061" s="1" t="s">
        <v>1489</v>
      </c>
      <c r="R1061" s="1" t="s">
        <v>1480</v>
      </c>
      <c r="S1061" s="6" t="e">
        <f t="shared" si="50"/>
        <v>#N/A</v>
      </c>
    </row>
    <row r="1062" spans="2:19" x14ac:dyDescent="0.25">
      <c r="B1062" s="1" t="s">
        <v>1479</v>
      </c>
      <c r="C1062" s="1" t="s">
        <v>1481</v>
      </c>
      <c r="D1062" s="4" t="e">
        <f>VLOOKUP(A1062,المعطيات!$A$1:$J$3500,5,0)</f>
        <v>#N/A</v>
      </c>
      <c r="E1062" s="1" t="s">
        <v>1482</v>
      </c>
      <c r="F1062" s="5">
        <f t="shared" si="48"/>
        <v>0</v>
      </c>
      <c r="G1062" s="5" t="s">
        <v>1483</v>
      </c>
      <c r="H1062" s="4" t="e">
        <f>VLOOKUP(A1062,المعطيات!$A$1:$J$3500,3,0)</f>
        <v>#N/A</v>
      </c>
      <c r="I1062" s="1" t="s">
        <v>1484</v>
      </c>
      <c r="J1062" s="1" t="s">
        <v>1485</v>
      </c>
      <c r="K1062" s="4" t="e">
        <f>VLOOKUP(A1062,المعطيات!$A$1:$J$3500,6,0)</f>
        <v>#N/A</v>
      </c>
      <c r="L1062" s="1" t="s">
        <v>1486</v>
      </c>
      <c r="M1062" s="1" t="s">
        <v>1487</v>
      </c>
      <c r="N1062" s="4" t="e">
        <f t="shared" si="49"/>
        <v>#N/A</v>
      </c>
      <c r="O1062" s="1" t="s">
        <v>1488</v>
      </c>
      <c r="P1062" s="4" t="e">
        <f>VLOOKUP(A1062,المعطيات!$A$1:$J$3500,4,0)</f>
        <v>#N/A</v>
      </c>
      <c r="Q1062" s="1" t="s">
        <v>1489</v>
      </c>
      <c r="R1062" s="1" t="s">
        <v>1480</v>
      </c>
      <c r="S1062" s="6" t="e">
        <f t="shared" si="50"/>
        <v>#N/A</v>
      </c>
    </row>
    <row r="1063" spans="2:19" x14ac:dyDescent="0.25">
      <c r="B1063" s="1" t="s">
        <v>1479</v>
      </c>
      <c r="C1063" s="1" t="s">
        <v>1481</v>
      </c>
      <c r="D1063" s="4" t="e">
        <f>VLOOKUP(A1063,المعطيات!$A$1:$J$3500,5,0)</f>
        <v>#N/A</v>
      </c>
      <c r="E1063" s="1" t="s">
        <v>1482</v>
      </c>
      <c r="F1063" s="5">
        <f t="shared" si="48"/>
        <v>0</v>
      </c>
      <c r="G1063" s="5" t="s">
        <v>1483</v>
      </c>
      <c r="H1063" s="4" t="e">
        <f>VLOOKUP(A1063,المعطيات!$A$1:$J$3500,3,0)</f>
        <v>#N/A</v>
      </c>
      <c r="I1063" s="1" t="s">
        <v>1484</v>
      </c>
      <c r="J1063" s="1" t="s">
        <v>1485</v>
      </c>
      <c r="K1063" s="4" t="e">
        <f>VLOOKUP(A1063,المعطيات!$A$1:$J$3500,6,0)</f>
        <v>#N/A</v>
      </c>
      <c r="L1063" s="1" t="s">
        <v>1486</v>
      </c>
      <c r="M1063" s="1" t="s">
        <v>1487</v>
      </c>
      <c r="N1063" s="4" t="e">
        <f t="shared" si="49"/>
        <v>#N/A</v>
      </c>
      <c r="O1063" s="1" t="s">
        <v>1488</v>
      </c>
      <c r="P1063" s="4" t="e">
        <f>VLOOKUP(A1063,المعطيات!$A$1:$J$3500,4,0)</f>
        <v>#N/A</v>
      </c>
      <c r="Q1063" s="1" t="s">
        <v>1489</v>
      </c>
      <c r="R1063" s="1" t="s">
        <v>1480</v>
      </c>
      <c r="S1063" s="6" t="e">
        <f t="shared" si="50"/>
        <v>#N/A</v>
      </c>
    </row>
    <row r="1064" spans="2:19" x14ac:dyDescent="0.25">
      <c r="B1064" s="1" t="s">
        <v>1479</v>
      </c>
      <c r="C1064" s="1" t="s">
        <v>1481</v>
      </c>
      <c r="D1064" s="4" t="e">
        <f>VLOOKUP(A1064,المعطيات!$A$1:$J$3500,5,0)</f>
        <v>#N/A</v>
      </c>
      <c r="E1064" s="1" t="s">
        <v>1482</v>
      </c>
      <c r="F1064" s="5">
        <f t="shared" si="48"/>
        <v>0</v>
      </c>
      <c r="G1064" s="5" t="s">
        <v>1483</v>
      </c>
      <c r="H1064" s="4" t="e">
        <f>VLOOKUP(A1064,المعطيات!$A$1:$J$3500,3,0)</f>
        <v>#N/A</v>
      </c>
      <c r="I1064" s="1" t="s">
        <v>1484</v>
      </c>
      <c r="J1064" s="1" t="s">
        <v>1485</v>
      </c>
      <c r="K1064" s="4" t="e">
        <f>VLOOKUP(A1064,المعطيات!$A$1:$J$3500,6,0)</f>
        <v>#N/A</v>
      </c>
      <c r="L1064" s="1" t="s">
        <v>1486</v>
      </c>
      <c r="M1064" s="1" t="s">
        <v>1487</v>
      </c>
      <c r="N1064" s="4" t="e">
        <f t="shared" si="49"/>
        <v>#N/A</v>
      </c>
      <c r="O1064" s="1" t="s">
        <v>1488</v>
      </c>
      <c r="P1064" s="4" t="e">
        <f>VLOOKUP(A1064,المعطيات!$A$1:$J$3500,4,0)</f>
        <v>#N/A</v>
      </c>
      <c r="Q1064" s="1" t="s">
        <v>1489</v>
      </c>
      <c r="R1064" s="1" t="s">
        <v>1480</v>
      </c>
      <c r="S1064" s="6" t="e">
        <f t="shared" si="50"/>
        <v>#N/A</v>
      </c>
    </row>
    <row r="1065" spans="2:19" x14ac:dyDescent="0.25">
      <c r="B1065" s="1" t="s">
        <v>1479</v>
      </c>
      <c r="C1065" s="1" t="s">
        <v>1481</v>
      </c>
      <c r="D1065" s="4" t="e">
        <f>VLOOKUP(A1065,المعطيات!$A$1:$J$3500,5,0)</f>
        <v>#N/A</v>
      </c>
      <c r="E1065" s="1" t="s">
        <v>1482</v>
      </c>
      <c r="F1065" s="5">
        <f t="shared" si="48"/>
        <v>0</v>
      </c>
      <c r="G1065" s="5" t="s">
        <v>1483</v>
      </c>
      <c r="H1065" s="4" t="e">
        <f>VLOOKUP(A1065,المعطيات!$A$1:$J$3500,3,0)</f>
        <v>#N/A</v>
      </c>
      <c r="I1065" s="1" t="s">
        <v>1484</v>
      </c>
      <c r="J1065" s="1" t="s">
        <v>1485</v>
      </c>
      <c r="K1065" s="4" t="e">
        <f>VLOOKUP(A1065,المعطيات!$A$1:$J$3500,6,0)</f>
        <v>#N/A</v>
      </c>
      <c r="L1065" s="1" t="s">
        <v>1486</v>
      </c>
      <c r="M1065" s="1" t="s">
        <v>1487</v>
      </c>
      <c r="N1065" s="4" t="e">
        <f t="shared" si="49"/>
        <v>#N/A</v>
      </c>
      <c r="O1065" s="1" t="s">
        <v>1488</v>
      </c>
      <c r="P1065" s="4" t="e">
        <f>VLOOKUP(A1065,المعطيات!$A$1:$J$3500,4,0)</f>
        <v>#N/A</v>
      </c>
      <c r="Q1065" s="1" t="s">
        <v>1489</v>
      </c>
      <c r="R1065" s="1" t="s">
        <v>1480</v>
      </c>
      <c r="S1065" s="6" t="e">
        <f t="shared" si="50"/>
        <v>#N/A</v>
      </c>
    </row>
    <row r="1066" spans="2:19" x14ac:dyDescent="0.25">
      <c r="B1066" s="1" t="s">
        <v>1479</v>
      </c>
      <c r="C1066" s="1" t="s">
        <v>1481</v>
      </c>
      <c r="D1066" s="4" t="e">
        <f>VLOOKUP(A1066,المعطيات!$A$1:$J$3500,5,0)</f>
        <v>#N/A</v>
      </c>
      <c r="E1066" s="1" t="s">
        <v>1482</v>
      </c>
      <c r="F1066" s="5">
        <f t="shared" si="48"/>
        <v>0</v>
      </c>
      <c r="G1066" s="5" t="s">
        <v>1483</v>
      </c>
      <c r="H1066" s="4" t="e">
        <f>VLOOKUP(A1066,المعطيات!$A$1:$J$3500,3,0)</f>
        <v>#N/A</v>
      </c>
      <c r="I1066" s="1" t="s">
        <v>1484</v>
      </c>
      <c r="J1066" s="1" t="s">
        <v>1485</v>
      </c>
      <c r="K1066" s="4" t="e">
        <f>VLOOKUP(A1066,المعطيات!$A$1:$J$3500,6,0)</f>
        <v>#N/A</v>
      </c>
      <c r="L1066" s="1" t="s">
        <v>1486</v>
      </c>
      <c r="M1066" s="1" t="s">
        <v>1487</v>
      </c>
      <c r="N1066" s="4" t="e">
        <f t="shared" si="49"/>
        <v>#N/A</v>
      </c>
      <c r="O1066" s="1" t="s">
        <v>1488</v>
      </c>
      <c r="P1066" s="4" t="e">
        <f>VLOOKUP(A1066,المعطيات!$A$1:$J$3500,4,0)</f>
        <v>#N/A</v>
      </c>
      <c r="Q1066" s="1" t="s">
        <v>1489</v>
      </c>
      <c r="R1066" s="1" t="s">
        <v>1480</v>
      </c>
      <c r="S1066" s="6" t="e">
        <f t="shared" si="50"/>
        <v>#N/A</v>
      </c>
    </row>
    <row r="1067" spans="2:19" x14ac:dyDescent="0.25">
      <c r="B1067" s="1" t="s">
        <v>1479</v>
      </c>
      <c r="C1067" s="1" t="s">
        <v>1481</v>
      </c>
      <c r="D1067" s="4" t="e">
        <f>VLOOKUP(A1067,المعطيات!$A$1:$J$3500,5,0)</f>
        <v>#N/A</v>
      </c>
      <c r="E1067" s="1" t="s">
        <v>1482</v>
      </c>
      <c r="F1067" s="5">
        <f t="shared" si="48"/>
        <v>0</v>
      </c>
      <c r="G1067" s="5" t="s">
        <v>1483</v>
      </c>
      <c r="H1067" s="4" t="e">
        <f>VLOOKUP(A1067,المعطيات!$A$1:$J$3500,3,0)</f>
        <v>#N/A</v>
      </c>
      <c r="I1067" s="1" t="s">
        <v>1484</v>
      </c>
      <c r="J1067" s="1" t="s">
        <v>1485</v>
      </c>
      <c r="K1067" s="4" t="e">
        <f>VLOOKUP(A1067,المعطيات!$A$1:$J$3500,6,0)</f>
        <v>#N/A</v>
      </c>
      <c r="L1067" s="1" t="s">
        <v>1486</v>
      </c>
      <c r="M1067" s="1" t="s">
        <v>1487</v>
      </c>
      <c r="N1067" s="4" t="e">
        <f t="shared" si="49"/>
        <v>#N/A</v>
      </c>
      <c r="O1067" s="1" t="s">
        <v>1488</v>
      </c>
      <c r="P1067" s="4" t="e">
        <f>VLOOKUP(A1067,المعطيات!$A$1:$J$3500,4,0)</f>
        <v>#N/A</v>
      </c>
      <c r="Q1067" s="1" t="s">
        <v>1489</v>
      </c>
      <c r="R1067" s="1" t="s">
        <v>1480</v>
      </c>
      <c r="S1067" s="6" t="e">
        <f t="shared" si="50"/>
        <v>#N/A</v>
      </c>
    </row>
    <row r="1068" spans="2:19" x14ac:dyDescent="0.25">
      <c r="B1068" s="1" t="s">
        <v>1479</v>
      </c>
      <c r="C1068" s="1" t="s">
        <v>1481</v>
      </c>
      <c r="D1068" s="4" t="e">
        <f>VLOOKUP(A1068,المعطيات!$A$1:$J$3500,5,0)</f>
        <v>#N/A</v>
      </c>
      <c r="E1068" s="1" t="s">
        <v>1482</v>
      </c>
      <c r="F1068" s="5">
        <f t="shared" si="48"/>
        <v>0</v>
      </c>
      <c r="G1068" s="5" t="s">
        <v>1483</v>
      </c>
      <c r="H1068" s="4" t="e">
        <f>VLOOKUP(A1068,المعطيات!$A$1:$J$3500,3,0)</f>
        <v>#N/A</v>
      </c>
      <c r="I1068" s="1" t="s">
        <v>1484</v>
      </c>
      <c r="J1068" s="1" t="s">
        <v>1485</v>
      </c>
      <c r="K1068" s="4" t="e">
        <f>VLOOKUP(A1068,المعطيات!$A$1:$J$3500,6,0)</f>
        <v>#N/A</v>
      </c>
      <c r="L1068" s="1" t="s">
        <v>1486</v>
      </c>
      <c r="M1068" s="1" t="s">
        <v>1487</v>
      </c>
      <c r="N1068" s="4" t="e">
        <f t="shared" si="49"/>
        <v>#N/A</v>
      </c>
      <c r="O1068" s="1" t="s">
        <v>1488</v>
      </c>
      <c r="P1068" s="4" t="e">
        <f>VLOOKUP(A1068,المعطيات!$A$1:$J$3500,4,0)</f>
        <v>#N/A</v>
      </c>
      <c r="Q1068" s="1" t="s">
        <v>1489</v>
      </c>
      <c r="R1068" s="1" t="s">
        <v>1480</v>
      </c>
      <c r="S1068" s="6" t="e">
        <f t="shared" si="50"/>
        <v>#N/A</v>
      </c>
    </row>
    <row r="1069" spans="2:19" x14ac:dyDescent="0.25">
      <c r="B1069" s="1" t="s">
        <v>1479</v>
      </c>
      <c r="C1069" s="1" t="s">
        <v>1481</v>
      </c>
      <c r="D1069" s="4" t="e">
        <f>VLOOKUP(A1069,المعطيات!$A$1:$J$3500,5,0)</f>
        <v>#N/A</v>
      </c>
      <c r="E1069" s="1" t="s">
        <v>1482</v>
      </c>
      <c r="F1069" s="5">
        <f t="shared" si="48"/>
        <v>0</v>
      </c>
      <c r="G1069" s="5" t="s">
        <v>1483</v>
      </c>
      <c r="H1069" s="4" t="e">
        <f>VLOOKUP(A1069,المعطيات!$A$1:$J$3500,3,0)</f>
        <v>#N/A</v>
      </c>
      <c r="I1069" s="1" t="s">
        <v>1484</v>
      </c>
      <c r="J1069" s="1" t="s">
        <v>1485</v>
      </c>
      <c r="K1069" s="4" t="e">
        <f>VLOOKUP(A1069,المعطيات!$A$1:$J$3500,6,0)</f>
        <v>#N/A</v>
      </c>
      <c r="L1069" s="1" t="s">
        <v>1486</v>
      </c>
      <c r="M1069" s="1" t="s">
        <v>1487</v>
      </c>
      <c r="N1069" s="4" t="e">
        <f t="shared" si="49"/>
        <v>#N/A</v>
      </c>
      <c r="O1069" s="1" t="s">
        <v>1488</v>
      </c>
      <c r="P1069" s="4" t="e">
        <f>VLOOKUP(A1069,المعطيات!$A$1:$J$3500,4,0)</f>
        <v>#N/A</v>
      </c>
      <c r="Q1069" s="1" t="s">
        <v>1489</v>
      </c>
      <c r="R1069" s="1" t="s">
        <v>1480</v>
      </c>
      <c r="S1069" s="6" t="e">
        <f t="shared" si="50"/>
        <v>#N/A</v>
      </c>
    </row>
    <row r="1070" spans="2:19" x14ac:dyDescent="0.25">
      <c r="B1070" s="1" t="s">
        <v>1479</v>
      </c>
      <c r="C1070" s="1" t="s">
        <v>1481</v>
      </c>
      <c r="D1070" s="4" t="e">
        <f>VLOOKUP(A1070,المعطيات!$A$1:$J$3500,5,0)</f>
        <v>#N/A</v>
      </c>
      <c r="E1070" s="1" t="s">
        <v>1482</v>
      </c>
      <c r="F1070" s="5">
        <f t="shared" si="48"/>
        <v>0</v>
      </c>
      <c r="G1070" s="5" t="s">
        <v>1483</v>
      </c>
      <c r="H1070" s="4" t="e">
        <f>VLOOKUP(A1070,المعطيات!$A$1:$J$3500,3,0)</f>
        <v>#N/A</v>
      </c>
      <c r="I1070" s="1" t="s">
        <v>1484</v>
      </c>
      <c r="J1070" s="1" t="s">
        <v>1485</v>
      </c>
      <c r="K1070" s="4" t="e">
        <f>VLOOKUP(A1070,المعطيات!$A$1:$J$3500,6,0)</f>
        <v>#N/A</v>
      </c>
      <c r="L1070" s="1" t="s">
        <v>1486</v>
      </c>
      <c r="M1070" s="1" t="s">
        <v>1487</v>
      </c>
      <c r="N1070" s="4" t="e">
        <f t="shared" si="49"/>
        <v>#N/A</v>
      </c>
      <c r="O1070" s="1" t="s">
        <v>1488</v>
      </c>
      <c r="P1070" s="4" t="e">
        <f>VLOOKUP(A1070,المعطيات!$A$1:$J$3500,4,0)</f>
        <v>#N/A</v>
      </c>
      <c r="Q1070" s="1" t="s">
        <v>1489</v>
      </c>
      <c r="R1070" s="1" t="s">
        <v>1480</v>
      </c>
      <c r="S1070" s="6" t="e">
        <f t="shared" si="50"/>
        <v>#N/A</v>
      </c>
    </row>
    <row r="1071" spans="2:19" x14ac:dyDescent="0.25">
      <c r="B1071" s="1" t="s">
        <v>1479</v>
      </c>
      <c r="C1071" s="1" t="s">
        <v>1481</v>
      </c>
      <c r="D1071" s="4" t="e">
        <f>VLOOKUP(A1071,المعطيات!$A$1:$J$3500,5,0)</f>
        <v>#N/A</v>
      </c>
      <c r="E1071" s="1" t="s">
        <v>1482</v>
      </c>
      <c r="F1071" s="5">
        <f t="shared" si="48"/>
        <v>0</v>
      </c>
      <c r="G1071" s="5" t="s">
        <v>1483</v>
      </c>
      <c r="H1071" s="4" t="e">
        <f>VLOOKUP(A1071,المعطيات!$A$1:$J$3500,3,0)</f>
        <v>#N/A</v>
      </c>
      <c r="I1071" s="1" t="s">
        <v>1484</v>
      </c>
      <c r="J1071" s="1" t="s">
        <v>1485</v>
      </c>
      <c r="K1071" s="4" t="e">
        <f>VLOOKUP(A1071,المعطيات!$A$1:$J$3500,6,0)</f>
        <v>#N/A</v>
      </c>
      <c r="L1071" s="1" t="s">
        <v>1486</v>
      </c>
      <c r="M1071" s="1" t="s">
        <v>1487</v>
      </c>
      <c r="N1071" s="4" t="e">
        <f t="shared" si="49"/>
        <v>#N/A</v>
      </c>
      <c r="O1071" s="1" t="s">
        <v>1488</v>
      </c>
      <c r="P1071" s="4" t="e">
        <f>VLOOKUP(A1071,المعطيات!$A$1:$J$3500,4,0)</f>
        <v>#N/A</v>
      </c>
      <c r="Q1071" s="1" t="s">
        <v>1489</v>
      </c>
      <c r="R1071" s="1" t="s">
        <v>1480</v>
      </c>
      <c r="S1071" s="6" t="e">
        <f t="shared" si="50"/>
        <v>#N/A</v>
      </c>
    </row>
    <row r="1072" spans="2:19" x14ac:dyDescent="0.25">
      <c r="B1072" s="1" t="s">
        <v>1479</v>
      </c>
      <c r="C1072" s="1" t="s">
        <v>1481</v>
      </c>
      <c r="D1072" s="4" t="e">
        <f>VLOOKUP(A1072,المعطيات!$A$1:$J$3500,5,0)</f>
        <v>#N/A</v>
      </c>
      <c r="E1072" s="1" t="s">
        <v>1482</v>
      </c>
      <c r="F1072" s="5">
        <f t="shared" si="48"/>
        <v>0</v>
      </c>
      <c r="G1072" s="5" t="s">
        <v>1483</v>
      </c>
      <c r="H1072" s="4" t="e">
        <f>VLOOKUP(A1072,المعطيات!$A$1:$J$3500,3,0)</f>
        <v>#N/A</v>
      </c>
      <c r="I1072" s="1" t="s">
        <v>1484</v>
      </c>
      <c r="J1072" s="1" t="s">
        <v>1485</v>
      </c>
      <c r="K1072" s="4" t="e">
        <f>VLOOKUP(A1072,المعطيات!$A$1:$J$3500,6,0)</f>
        <v>#N/A</v>
      </c>
      <c r="L1072" s="1" t="s">
        <v>1486</v>
      </c>
      <c r="M1072" s="1" t="s">
        <v>1487</v>
      </c>
      <c r="N1072" s="4" t="e">
        <f t="shared" si="49"/>
        <v>#N/A</v>
      </c>
      <c r="O1072" s="1" t="s">
        <v>1488</v>
      </c>
      <c r="P1072" s="4" t="e">
        <f>VLOOKUP(A1072,المعطيات!$A$1:$J$3500,4,0)</f>
        <v>#N/A</v>
      </c>
      <c r="Q1072" s="1" t="s">
        <v>1489</v>
      </c>
      <c r="R1072" s="1" t="s">
        <v>1480</v>
      </c>
      <c r="S1072" s="6" t="e">
        <f t="shared" si="50"/>
        <v>#N/A</v>
      </c>
    </row>
    <row r="1073" spans="2:19" x14ac:dyDescent="0.25">
      <c r="B1073" s="1" t="s">
        <v>1479</v>
      </c>
      <c r="C1073" s="1" t="s">
        <v>1481</v>
      </c>
      <c r="D1073" s="4" t="e">
        <f>VLOOKUP(A1073,المعطيات!$A$1:$J$3500,5,0)</f>
        <v>#N/A</v>
      </c>
      <c r="E1073" s="1" t="s">
        <v>1482</v>
      </c>
      <c r="F1073" s="5">
        <f t="shared" si="48"/>
        <v>0</v>
      </c>
      <c r="G1073" s="5" t="s">
        <v>1483</v>
      </c>
      <c r="H1073" s="4" t="e">
        <f>VLOOKUP(A1073,المعطيات!$A$1:$J$3500,3,0)</f>
        <v>#N/A</v>
      </c>
      <c r="I1073" s="1" t="s">
        <v>1484</v>
      </c>
      <c r="J1073" s="1" t="s">
        <v>1485</v>
      </c>
      <c r="K1073" s="4" t="e">
        <f>VLOOKUP(A1073,المعطيات!$A$1:$J$3500,6,0)</f>
        <v>#N/A</v>
      </c>
      <c r="L1073" s="1" t="s">
        <v>1486</v>
      </c>
      <c r="M1073" s="1" t="s">
        <v>1487</v>
      </c>
      <c r="N1073" s="4" t="e">
        <f t="shared" si="49"/>
        <v>#N/A</v>
      </c>
      <c r="O1073" s="1" t="s">
        <v>1488</v>
      </c>
      <c r="P1073" s="4" t="e">
        <f>VLOOKUP(A1073,المعطيات!$A$1:$J$3500,4,0)</f>
        <v>#N/A</v>
      </c>
      <c r="Q1073" s="1" t="s">
        <v>1489</v>
      </c>
      <c r="R1073" s="1" t="s">
        <v>1480</v>
      </c>
      <c r="S1073" s="6" t="e">
        <f t="shared" si="50"/>
        <v>#N/A</v>
      </c>
    </row>
    <row r="1074" spans="2:19" x14ac:dyDescent="0.25">
      <c r="B1074" s="1" t="s">
        <v>1479</v>
      </c>
      <c r="C1074" s="1" t="s">
        <v>1481</v>
      </c>
      <c r="D1074" s="4" t="e">
        <f>VLOOKUP(A1074,المعطيات!$A$1:$J$3500,5,0)</f>
        <v>#N/A</v>
      </c>
      <c r="E1074" s="1" t="s">
        <v>1482</v>
      </c>
      <c r="F1074" s="5">
        <f t="shared" si="48"/>
        <v>0</v>
      </c>
      <c r="G1074" s="5" t="s">
        <v>1483</v>
      </c>
      <c r="H1074" s="4" t="e">
        <f>VLOOKUP(A1074,المعطيات!$A$1:$J$3500,3,0)</f>
        <v>#N/A</v>
      </c>
      <c r="I1074" s="1" t="s">
        <v>1484</v>
      </c>
      <c r="J1074" s="1" t="s">
        <v>1485</v>
      </c>
      <c r="K1074" s="4" t="e">
        <f>VLOOKUP(A1074,المعطيات!$A$1:$J$3500,6,0)</f>
        <v>#N/A</v>
      </c>
      <c r="L1074" s="1" t="s">
        <v>1486</v>
      </c>
      <c r="M1074" s="1" t="s">
        <v>1487</v>
      </c>
      <c r="N1074" s="4" t="e">
        <f t="shared" si="49"/>
        <v>#N/A</v>
      </c>
      <c r="O1074" s="1" t="s">
        <v>1488</v>
      </c>
      <c r="P1074" s="4" t="e">
        <f>VLOOKUP(A1074,المعطيات!$A$1:$J$3500,4,0)</f>
        <v>#N/A</v>
      </c>
      <c r="Q1074" s="1" t="s">
        <v>1489</v>
      </c>
      <c r="R1074" s="1" t="s">
        <v>1480</v>
      </c>
      <c r="S1074" s="6" t="e">
        <f t="shared" si="50"/>
        <v>#N/A</v>
      </c>
    </row>
    <row r="1075" spans="2:19" x14ac:dyDescent="0.25">
      <c r="B1075" s="1" t="s">
        <v>1479</v>
      </c>
      <c r="C1075" s="1" t="s">
        <v>1481</v>
      </c>
      <c r="D1075" s="4" t="e">
        <f>VLOOKUP(A1075,المعطيات!$A$1:$J$3500,5,0)</f>
        <v>#N/A</v>
      </c>
      <c r="E1075" s="1" t="s">
        <v>1482</v>
      </c>
      <c r="F1075" s="5">
        <f t="shared" si="48"/>
        <v>0</v>
      </c>
      <c r="G1075" s="5" t="s">
        <v>1483</v>
      </c>
      <c r="H1075" s="4" t="e">
        <f>VLOOKUP(A1075,المعطيات!$A$1:$J$3500,3,0)</f>
        <v>#N/A</v>
      </c>
      <c r="I1075" s="1" t="s">
        <v>1484</v>
      </c>
      <c r="J1075" s="1" t="s">
        <v>1485</v>
      </c>
      <c r="K1075" s="4" t="e">
        <f>VLOOKUP(A1075,المعطيات!$A$1:$J$3500,6,0)</f>
        <v>#N/A</v>
      </c>
      <c r="L1075" s="1" t="s">
        <v>1486</v>
      </c>
      <c r="M1075" s="1" t="s">
        <v>1487</v>
      </c>
      <c r="N1075" s="4" t="e">
        <f t="shared" si="49"/>
        <v>#N/A</v>
      </c>
      <c r="O1075" s="1" t="s">
        <v>1488</v>
      </c>
      <c r="P1075" s="4" t="e">
        <f>VLOOKUP(A1075,المعطيات!$A$1:$J$3500,4,0)</f>
        <v>#N/A</v>
      </c>
      <c r="Q1075" s="1" t="s">
        <v>1489</v>
      </c>
      <c r="R1075" s="1" t="s">
        <v>1480</v>
      </c>
      <c r="S1075" s="6" t="e">
        <f t="shared" si="50"/>
        <v>#N/A</v>
      </c>
    </row>
    <row r="1076" spans="2:19" x14ac:dyDescent="0.25">
      <c r="B1076" s="1" t="s">
        <v>1479</v>
      </c>
      <c r="C1076" s="1" t="s">
        <v>1481</v>
      </c>
      <c r="D1076" s="4" t="e">
        <f>VLOOKUP(A1076,المعطيات!$A$1:$J$3500,5,0)</f>
        <v>#N/A</v>
      </c>
      <c r="E1076" s="1" t="s">
        <v>1482</v>
      </c>
      <c r="F1076" s="5">
        <f t="shared" si="48"/>
        <v>0</v>
      </c>
      <c r="G1076" s="5" t="s">
        <v>1483</v>
      </c>
      <c r="H1076" s="4" t="e">
        <f>VLOOKUP(A1076,المعطيات!$A$1:$J$3500,3,0)</f>
        <v>#N/A</v>
      </c>
      <c r="I1076" s="1" t="s">
        <v>1484</v>
      </c>
      <c r="J1076" s="1" t="s">
        <v>1485</v>
      </c>
      <c r="K1076" s="4" t="e">
        <f>VLOOKUP(A1076,المعطيات!$A$1:$J$3500,6,0)</f>
        <v>#N/A</v>
      </c>
      <c r="L1076" s="1" t="s">
        <v>1486</v>
      </c>
      <c r="M1076" s="1" t="s">
        <v>1487</v>
      </c>
      <c r="N1076" s="4" t="e">
        <f t="shared" si="49"/>
        <v>#N/A</v>
      </c>
      <c r="O1076" s="1" t="s">
        <v>1488</v>
      </c>
      <c r="P1076" s="4" t="e">
        <f>VLOOKUP(A1076,المعطيات!$A$1:$J$3500,4,0)</f>
        <v>#N/A</v>
      </c>
      <c r="Q1076" s="1" t="s">
        <v>1489</v>
      </c>
      <c r="R1076" s="1" t="s">
        <v>1480</v>
      </c>
      <c r="S1076" s="6" t="e">
        <f t="shared" si="50"/>
        <v>#N/A</v>
      </c>
    </row>
    <row r="1077" spans="2:19" x14ac:dyDescent="0.25">
      <c r="B1077" s="1" t="s">
        <v>1479</v>
      </c>
      <c r="C1077" s="1" t="s">
        <v>1481</v>
      </c>
      <c r="D1077" s="4" t="e">
        <f>VLOOKUP(A1077,المعطيات!$A$1:$J$3500,5,0)</f>
        <v>#N/A</v>
      </c>
      <c r="E1077" s="1" t="s">
        <v>1482</v>
      </c>
      <c r="F1077" s="5">
        <f t="shared" si="48"/>
        <v>0</v>
      </c>
      <c r="G1077" s="5" t="s">
        <v>1483</v>
      </c>
      <c r="H1077" s="4" t="e">
        <f>VLOOKUP(A1077,المعطيات!$A$1:$J$3500,3,0)</f>
        <v>#N/A</v>
      </c>
      <c r="I1077" s="1" t="s">
        <v>1484</v>
      </c>
      <c r="J1077" s="1" t="s">
        <v>1485</v>
      </c>
      <c r="K1077" s="4" t="e">
        <f>VLOOKUP(A1077,المعطيات!$A$1:$J$3500,6,0)</f>
        <v>#N/A</v>
      </c>
      <c r="L1077" s="1" t="s">
        <v>1486</v>
      </c>
      <c r="M1077" s="1" t="s">
        <v>1487</v>
      </c>
      <c r="N1077" s="4" t="e">
        <f t="shared" si="49"/>
        <v>#N/A</v>
      </c>
      <c r="O1077" s="1" t="s">
        <v>1488</v>
      </c>
      <c r="P1077" s="4" t="e">
        <f>VLOOKUP(A1077,المعطيات!$A$1:$J$3500,4,0)</f>
        <v>#N/A</v>
      </c>
      <c r="Q1077" s="1" t="s">
        <v>1489</v>
      </c>
      <c r="R1077" s="1" t="s">
        <v>1480</v>
      </c>
      <c r="S1077" s="6" t="e">
        <f t="shared" si="50"/>
        <v>#N/A</v>
      </c>
    </row>
    <row r="1078" spans="2:19" x14ac:dyDescent="0.25">
      <c r="B1078" s="1" t="s">
        <v>1479</v>
      </c>
      <c r="C1078" s="1" t="s">
        <v>1481</v>
      </c>
      <c r="D1078" s="4" t="e">
        <f>VLOOKUP(A1078,المعطيات!$A$1:$J$3500,5,0)</f>
        <v>#N/A</v>
      </c>
      <c r="E1078" s="1" t="s">
        <v>1482</v>
      </c>
      <c r="F1078" s="5">
        <f t="shared" si="48"/>
        <v>0</v>
      </c>
      <c r="G1078" s="5" t="s">
        <v>1483</v>
      </c>
      <c r="H1078" s="4" t="e">
        <f>VLOOKUP(A1078,المعطيات!$A$1:$J$3500,3,0)</f>
        <v>#N/A</v>
      </c>
      <c r="I1078" s="1" t="s">
        <v>1484</v>
      </c>
      <c r="J1078" s="1" t="s">
        <v>1485</v>
      </c>
      <c r="K1078" s="4" t="e">
        <f>VLOOKUP(A1078,المعطيات!$A$1:$J$3500,6,0)</f>
        <v>#N/A</v>
      </c>
      <c r="L1078" s="1" t="s">
        <v>1486</v>
      </c>
      <c r="M1078" s="1" t="s">
        <v>1487</v>
      </c>
      <c r="N1078" s="4" t="e">
        <f t="shared" si="49"/>
        <v>#N/A</v>
      </c>
      <c r="O1078" s="1" t="s">
        <v>1488</v>
      </c>
      <c r="P1078" s="4" t="e">
        <f>VLOOKUP(A1078,المعطيات!$A$1:$J$3500,4,0)</f>
        <v>#N/A</v>
      </c>
      <c r="Q1078" s="1" t="s">
        <v>1489</v>
      </c>
      <c r="R1078" s="1" t="s">
        <v>1480</v>
      </c>
      <c r="S1078" s="6" t="e">
        <f t="shared" si="50"/>
        <v>#N/A</v>
      </c>
    </row>
    <row r="1079" spans="2:19" x14ac:dyDescent="0.25">
      <c r="B1079" s="1" t="s">
        <v>1479</v>
      </c>
      <c r="C1079" s="1" t="s">
        <v>1481</v>
      </c>
      <c r="D1079" s="4" t="e">
        <f>VLOOKUP(A1079,المعطيات!$A$1:$J$3500,5,0)</f>
        <v>#N/A</v>
      </c>
      <c r="E1079" s="1" t="s">
        <v>1482</v>
      </c>
      <c r="F1079" s="5">
        <f t="shared" si="48"/>
        <v>0</v>
      </c>
      <c r="G1079" s="5" t="s">
        <v>1483</v>
      </c>
      <c r="H1079" s="4" t="e">
        <f>VLOOKUP(A1079,المعطيات!$A$1:$J$3500,3,0)</f>
        <v>#N/A</v>
      </c>
      <c r="I1079" s="1" t="s">
        <v>1484</v>
      </c>
      <c r="J1079" s="1" t="s">
        <v>1485</v>
      </c>
      <c r="K1079" s="4" t="e">
        <f>VLOOKUP(A1079,المعطيات!$A$1:$J$3500,6,0)</f>
        <v>#N/A</v>
      </c>
      <c r="L1079" s="1" t="s">
        <v>1486</v>
      </c>
      <c r="M1079" s="1" t="s">
        <v>1487</v>
      </c>
      <c r="N1079" s="4" t="e">
        <f t="shared" si="49"/>
        <v>#N/A</v>
      </c>
      <c r="O1079" s="1" t="s">
        <v>1488</v>
      </c>
      <c r="P1079" s="4" t="e">
        <f>VLOOKUP(A1079,المعطيات!$A$1:$J$3500,4,0)</f>
        <v>#N/A</v>
      </c>
      <c r="Q1079" s="1" t="s">
        <v>1489</v>
      </c>
      <c r="R1079" s="1" t="s">
        <v>1480</v>
      </c>
      <c r="S1079" s="6" t="e">
        <f t="shared" si="50"/>
        <v>#N/A</v>
      </c>
    </row>
    <row r="1080" spans="2:19" x14ac:dyDescent="0.25">
      <c r="B1080" s="1" t="s">
        <v>1479</v>
      </c>
      <c r="C1080" s="1" t="s">
        <v>1481</v>
      </c>
      <c r="D1080" s="4" t="e">
        <f>VLOOKUP(A1080,المعطيات!$A$1:$J$3500,5,0)</f>
        <v>#N/A</v>
      </c>
      <c r="E1080" s="1" t="s">
        <v>1482</v>
      </c>
      <c r="F1080" s="5">
        <f t="shared" si="48"/>
        <v>0</v>
      </c>
      <c r="G1080" s="5" t="s">
        <v>1483</v>
      </c>
      <c r="H1080" s="4" t="e">
        <f>VLOOKUP(A1080,المعطيات!$A$1:$J$3500,3,0)</f>
        <v>#N/A</v>
      </c>
      <c r="I1080" s="1" t="s">
        <v>1484</v>
      </c>
      <c r="J1080" s="1" t="s">
        <v>1485</v>
      </c>
      <c r="K1080" s="4" t="e">
        <f>VLOOKUP(A1080,المعطيات!$A$1:$J$3500,6,0)</f>
        <v>#N/A</v>
      </c>
      <c r="L1080" s="1" t="s">
        <v>1486</v>
      </c>
      <c r="M1080" s="1" t="s">
        <v>1487</v>
      </c>
      <c r="N1080" s="4" t="e">
        <f t="shared" si="49"/>
        <v>#N/A</v>
      </c>
      <c r="O1080" s="1" t="s">
        <v>1488</v>
      </c>
      <c r="P1080" s="4" t="e">
        <f>VLOOKUP(A1080,المعطيات!$A$1:$J$3500,4,0)</f>
        <v>#N/A</v>
      </c>
      <c r="Q1080" s="1" t="s">
        <v>1489</v>
      </c>
      <c r="R1080" s="1" t="s">
        <v>1480</v>
      </c>
      <c r="S1080" s="6" t="e">
        <f t="shared" si="50"/>
        <v>#N/A</v>
      </c>
    </row>
    <row r="1081" spans="2:19" x14ac:dyDescent="0.25">
      <c r="B1081" s="1" t="s">
        <v>1479</v>
      </c>
      <c r="C1081" s="1" t="s">
        <v>1481</v>
      </c>
      <c r="D1081" s="4" t="e">
        <f>VLOOKUP(A1081,المعطيات!$A$1:$J$3500,5,0)</f>
        <v>#N/A</v>
      </c>
      <c r="E1081" s="1" t="s">
        <v>1482</v>
      </c>
      <c r="F1081" s="5">
        <f t="shared" si="48"/>
        <v>0</v>
      </c>
      <c r="G1081" s="5" t="s">
        <v>1483</v>
      </c>
      <c r="H1081" s="4" t="e">
        <f>VLOOKUP(A1081,المعطيات!$A$1:$J$3500,3,0)</f>
        <v>#N/A</v>
      </c>
      <c r="I1081" s="1" t="s">
        <v>1484</v>
      </c>
      <c r="J1081" s="1" t="s">
        <v>1485</v>
      </c>
      <c r="K1081" s="4" t="e">
        <f>VLOOKUP(A1081,المعطيات!$A$1:$J$3500,6,0)</f>
        <v>#N/A</v>
      </c>
      <c r="L1081" s="1" t="s">
        <v>1486</v>
      </c>
      <c r="M1081" s="1" t="s">
        <v>1487</v>
      </c>
      <c r="N1081" s="4" t="e">
        <f t="shared" si="49"/>
        <v>#N/A</v>
      </c>
      <c r="O1081" s="1" t="s">
        <v>1488</v>
      </c>
      <c r="P1081" s="4" t="e">
        <f>VLOOKUP(A1081,المعطيات!$A$1:$J$3500,4,0)</f>
        <v>#N/A</v>
      </c>
      <c r="Q1081" s="1" t="s">
        <v>1489</v>
      </c>
      <c r="R1081" s="1" t="s">
        <v>1480</v>
      </c>
      <c r="S1081" s="6" t="e">
        <f t="shared" si="50"/>
        <v>#N/A</v>
      </c>
    </row>
    <row r="1082" spans="2:19" x14ac:dyDescent="0.25">
      <c r="B1082" s="1" t="s">
        <v>1479</v>
      </c>
      <c r="C1082" s="1" t="s">
        <v>1481</v>
      </c>
      <c r="D1082" s="4" t="e">
        <f>VLOOKUP(A1082,المعطيات!$A$1:$J$3500,5,0)</f>
        <v>#N/A</v>
      </c>
      <c r="E1082" s="1" t="s">
        <v>1482</v>
      </c>
      <c r="F1082" s="5">
        <f t="shared" si="48"/>
        <v>0</v>
      </c>
      <c r="G1082" s="5" t="s">
        <v>1483</v>
      </c>
      <c r="H1082" s="4" t="e">
        <f>VLOOKUP(A1082,المعطيات!$A$1:$J$3500,3,0)</f>
        <v>#N/A</v>
      </c>
      <c r="I1082" s="1" t="s">
        <v>1484</v>
      </c>
      <c r="J1082" s="1" t="s">
        <v>1485</v>
      </c>
      <c r="K1082" s="4" t="e">
        <f>VLOOKUP(A1082,المعطيات!$A$1:$J$3500,6,0)</f>
        <v>#N/A</v>
      </c>
      <c r="L1082" s="1" t="s">
        <v>1486</v>
      </c>
      <c r="M1082" s="1" t="s">
        <v>1487</v>
      </c>
      <c r="N1082" s="4" t="e">
        <f t="shared" si="49"/>
        <v>#N/A</v>
      </c>
      <c r="O1082" s="1" t="s">
        <v>1488</v>
      </c>
      <c r="P1082" s="4" t="e">
        <f>VLOOKUP(A1082,المعطيات!$A$1:$J$3500,4,0)</f>
        <v>#N/A</v>
      </c>
      <c r="Q1082" s="1" t="s">
        <v>1489</v>
      </c>
      <c r="R1082" s="1" t="s">
        <v>1480</v>
      </c>
      <c r="S1082" s="6" t="e">
        <f t="shared" si="50"/>
        <v>#N/A</v>
      </c>
    </row>
    <row r="1083" spans="2:19" x14ac:dyDescent="0.25">
      <c r="B1083" s="1" t="s">
        <v>1479</v>
      </c>
      <c r="C1083" s="1" t="s">
        <v>1481</v>
      </c>
      <c r="D1083" s="4" t="e">
        <f>VLOOKUP(A1083,المعطيات!$A$1:$J$3500,5,0)</f>
        <v>#N/A</v>
      </c>
      <c r="E1083" s="1" t="s">
        <v>1482</v>
      </c>
      <c r="F1083" s="5">
        <f t="shared" si="48"/>
        <v>0</v>
      </c>
      <c r="G1083" s="5" t="s">
        <v>1483</v>
      </c>
      <c r="H1083" s="4" t="e">
        <f>VLOOKUP(A1083,المعطيات!$A$1:$J$3500,3,0)</f>
        <v>#N/A</v>
      </c>
      <c r="I1083" s="1" t="s">
        <v>1484</v>
      </c>
      <c r="J1083" s="1" t="s">
        <v>1485</v>
      </c>
      <c r="K1083" s="4" t="e">
        <f>VLOOKUP(A1083,المعطيات!$A$1:$J$3500,6,0)</f>
        <v>#N/A</v>
      </c>
      <c r="L1083" s="1" t="s">
        <v>1486</v>
      </c>
      <c r="M1083" s="1" t="s">
        <v>1487</v>
      </c>
      <c r="N1083" s="4" t="e">
        <f t="shared" si="49"/>
        <v>#N/A</v>
      </c>
      <c r="O1083" s="1" t="s">
        <v>1488</v>
      </c>
      <c r="P1083" s="4" t="e">
        <f>VLOOKUP(A1083,المعطيات!$A$1:$J$3500,4,0)</f>
        <v>#N/A</v>
      </c>
      <c r="Q1083" s="1" t="s">
        <v>1489</v>
      </c>
      <c r="R1083" s="1" t="s">
        <v>1480</v>
      </c>
      <c r="S1083" s="6" t="e">
        <f t="shared" si="50"/>
        <v>#N/A</v>
      </c>
    </row>
    <row r="1084" spans="2:19" x14ac:dyDescent="0.25">
      <c r="B1084" s="1" t="s">
        <v>1479</v>
      </c>
      <c r="C1084" s="1" t="s">
        <v>1481</v>
      </c>
      <c r="D1084" s="4" t="e">
        <f>VLOOKUP(A1084,المعطيات!$A$1:$J$3500,5,0)</f>
        <v>#N/A</v>
      </c>
      <c r="E1084" s="1" t="s">
        <v>1482</v>
      </c>
      <c r="F1084" s="5">
        <f t="shared" si="48"/>
        <v>0</v>
      </c>
      <c r="G1084" s="5" t="s">
        <v>1483</v>
      </c>
      <c r="H1084" s="4" t="e">
        <f>VLOOKUP(A1084,المعطيات!$A$1:$J$3500,3,0)</f>
        <v>#N/A</v>
      </c>
      <c r="I1084" s="1" t="s">
        <v>1484</v>
      </c>
      <c r="J1084" s="1" t="s">
        <v>1485</v>
      </c>
      <c r="K1084" s="4" t="e">
        <f>VLOOKUP(A1084,المعطيات!$A$1:$J$3500,6,0)</f>
        <v>#N/A</v>
      </c>
      <c r="L1084" s="1" t="s">
        <v>1486</v>
      </c>
      <c r="M1084" s="1" t="s">
        <v>1487</v>
      </c>
      <c r="N1084" s="4" t="e">
        <f t="shared" si="49"/>
        <v>#N/A</v>
      </c>
      <c r="O1084" s="1" t="s">
        <v>1488</v>
      </c>
      <c r="P1084" s="4" t="e">
        <f>VLOOKUP(A1084,المعطيات!$A$1:$J$3500,4,0)</f>
        <v>#N/A</v>
      </c>
      <c r="Q1084" s="1" t="s">
        <v>1489</v>
      </c>
      <c r="R1084" s="1" t="s">
        <v>1480</v>
      </c>
      <c r="S1084" s="6" t="e">
        <f t="shared" si="50"/>
        <v>#N/A</v>
      </c>
    </row>
    <row r="1085" spans="2:19" x14ac:dyDescent="0.25">
      <c r="B1085" s="1" t="s">
        <v>1479</v>
      </c>
      <c r="C1085" s="1" t="s">
        <v>1481</v>
      </c>
      <c r="D1085" s="4" t="e">
        <f>VLOOKUP(A1085,المعطيات!$A$1:$J$3500,5,0)</f>
        <v>#N/A</v>
      </c>
      <c r="E1085" s="1" t="s">
        <v>1482</v>
      </c>
      <c r="F1085" s="5">
        <f t="shared" si="48"/>
        <v>0</v>
      </c>
      <c r="G1085" s="5" t="s">
        <v>1483</v>
      </c>
      <c r="H1085" s="4" t="e">
        <f>VLOOKUP(A1085,المعطيات!$A$1:$J$3500,3,0)</f>
        <v>#N/A</v>
      </c>
      <c r="I1085" s="1" t="s">
        <v>1484</v>
      </c>
      <c r="J1085" s="1" t="s">
        <v>1485</v>
      </c>
      <c r="K1085" s="4" t="e">
        <f>VLOOKUP(A1085,المعطيات!$A$1:$J$3500,6,0)</f>
        <v>#N/A</v>
      </c>
      <c r="L1085" s="1" t="s">
        <v>1486</v>
      </c>
      <c r="M1085" s="1" t="s">
        <v>1487</v>
      </c>
      <c r="N1085" s="4" t="e">
        <f t="shared" si="49"/>
        <v>#N/A</v>
      </c>
      <c r="O1085" s="1" t="s">
        <v>1488</v>
      </c>
      <c r="P1085" s="4" t="e">
        <f>VLOOKUP(A1085,المعطيات!$A$1:$J$3500,4,0)</f>
        <v>#N/A</v>
      </c>
      <c r="Q1085" s="1" t="s">
        <v>1489</v>
      </c>
      <c r="R1085" s="1" t="s">
        <v>1480</v>
      </c>
      <c r="S1085" s="6" t="e">
        <f t="shared" si="50"/>
        <v>#N/A</v>
      </c>
    </row>
    <row r="1086" spans="2:19" x14ac:dyDescent="0.25">
      <c r="B1086" s="1" t="s">
        <v>1479</v>
      </c>
      <c r="C1086" s="1" t="s">
        <v>1481</v>
      </c>
      <c r="D1086" s="4" t="e">
        <f>VLOOKUP(A1086,المعطيات!$A$1:$J$3500,5,0)</f>
        <v>#N/A</v>
      </c>
      <c r="E1086" s="1" t="s">
        <v>1482</v>
      </c>
      <c r="F1086" s="5">
        <f t="shared" si="48"/>
        <v>0</v>
      </c>
      <c r="G1086" s="5" t="s">
        <v>1483</v>
      </c>
      <c r="H1086" s="4" t="e">
        <f>VLOOKUP(A1086,المعطيات!$A$1:$J$3500,3,0)</f>
        <v>#N/A</v>
      </c>
      <c r="I1086" s="1" t="s">
        <v>1484</v>
      </c>
      <c r="J1086" s="1" t="s">
        <v>1485</v>
      </c>
      <c r="K1086" s="4" t="e">
        <f>VLOOKUP(A1086,المعطيات!$A$1:$J$3500,6,0)</f>
        <v>#N/A</v>
      </c>
      <c r="L1086" s="1" t="s">
        <v>1486</v>
      </c>
      <c r="M1086" s="1" t="s">
        <v>1487</v>
      </c>
      <c r="N1086" s="4" t="e">
        <f t="shared" si="49"/>
        <v>#N/A</v>
      </c>
      <c r="O1086" s="1" t="s">
        <v>1488</v>
      </c>
      <c r="P1086" s="4" t="e">
        <f>VLOOKUP(A1086,المعطيات!$A$1:$J$3500,4,0)</f>
        <v>#N/A</v>
      </c>
      <c r="Q1086" s="1" t="s">
        <v>1489</v>
      </c>
      <c r="R1086" s="1" t="s">
        <v>1480</v>
      </c>
      <c r="S1086" s="6" t="e">
        <f t="shared" si="50"/>
        <v>#N/A</v>
      </c>
    </row>
    <row r="1087" spans="2:19" x14ac:dyDescent="0.25">
      <c r="B1087" s="1" t="s">
        <v>1479</v>
      </c>
      <c r="C1087" s="1" t="s">
        <v>1481</v>
      </c>
      <c r="D1087" s="4" t="e">
        <f>VLOOKUP(A1087,المعطيات!$A$1:$J$3500,5,0)</f>
        <v>#N/A</v>
      </c>
      <c r="E1087" s="1" t="s">
        <v>1482</v>
      </c>
      <c r="F1087" s="5">
        <f t="shared" si="48"/>
        <v>0</v>
      </c>
      <c r="G1087" s="5" t="s">
        <v>1483</v>
      </c>
      <c r="H1087" s="4" t="e">
        <f>VLOOKUP(A1087,المعطيات!$A$1:$J$3500,3,0)</f>
        <v>#N/A</v>
      </c>
      <c r="I1087" s="1" t="s">
        <v>1484</v>
      </c>
      <c r="J1087" s="1" t="s">
        <v>1485</v>
      </c>
      <c r="K1087" s="4" t="e">
        <f>VLOOKUP(A1087,المعطيات!$A$1:$J$3500,6,0)</f>
        <v>#N/A</v>
      </c>
      <c r="L1087" s="1" t="s">
        <v>1486</v>
      </c>
      <c r="M1087" s="1" t="s">
        <v>1487</v>
      </c>
      <c r="N1087" s="4" t="e">
        <f t="shared" si="49"/>
        <v>#N/A</v>
      </c>
      <c r="O1087" s="1" t="s">
        <v>1488</v>
      </c>
      <c r="P1087" s="4" t="e">
        <f>VLOOKUP(A1087,المعطيات!$A$1:$J$3500,4,0)</f>
        <v>#N/A</v>
      </c>
      <c r="Q1087" s="1" t="s">
        <v>1489</v>
      </c>
      <c r="R1087" s="1" t="s">
        <v>1480</v>
      </c>
      <c r="S1087" s="6" t="e">
        <f t="shared" si="50"/>
        <v>#N/A</v>
      </c>
    </row>
    <row r="1088" spans="2:19" x14ac:dyDescent="0.25">
      <c r="B1088" s="1" t="s">
        <v>1479</v>
      </c>
      <c r="C1088" s="1" t="s">
        <v>1481</v>
      </c>
      <c r="D1088" s="4" t="e">
        <f>VLOOKUP(A1088,المعطيات!$A$1:$J$3500,5,0)</f>
        <v>#N/A</v>
      </c>
      <c r="E1088" s="1" t="s">
        <v>1482</v>
      </c>
      <c r="F1088" s="5">
        <f t="shared" si="48"/>
        <v>0</v>
      </c>
      <c r="G1088" s="5" t="s">
        <v>1483</v>
      </c>
      <c r="H1088" s="4" t="e">
        <f>VLOOKUP(A1088,المعطيات!$A$1:$J$3500,3,0)</f>
        <v>#N/A</v>
      </c>
      <c r="I1088" s="1" t="s">
        <v>1484</v>
      </c>
      <c r="J1088" s="1" t="s">
        <v>1485</v>
      </c>
      <c r="K1088" s="4" t="e">
        <f>VLOOKUP(A1088,المعطيات!$A$1:$J$3500,6,0)</f>
        <v>#N/A</v>
      </c>
      <c r="L1088" s="1" t="s">
        <v>1486</v>
      </c>
      <c r="M1088" s="1" t="s">
        <v>1487</v>
      </c>
      <c r="N1088" s="4" t="e">
        <f t="shared" si="49"/>
        <v>#N/A</v>
      </c>
      <c r="O1088" s="1" t="s">
        <v>1488</v>
      </c>
      <c r="P1088" s="4" t="e">
        <f>VLOOKUP(A1088,المعطيات!$A$1:$J$3500,4,0)</f>
        <v>#N/A</v>
      </c>
      <c r="Q1088" s="1" t="s">
        <v>1489</v>
      </c>
      <c r="R1088" s="1" t="s">
        <v>1480</v>
      </c>
      <c r="S1088" s="6" t="e">
        <f t="shared" si="50"/>
        <v>#N/A</v>
      </c>
    </row>
    <row r="1089" spans="2:19" x14ac:dyDescent="0.25">
      <c r="B1089" s="1" t="s">
        <v>1479</v>
      </c>
      <c r="C1089" s="1" t="s">
        <v>1481</v>
      </c>
      <c r="D1089" s="4" t="e">
        <f>VLOOKUP(A1089,المعطيات!$A$1:$J$3500,5,0)</f>
        <v>#N/A</v>
      </c>
      <c r="E1089" s="1" t="s">
        <v>1482</v>
      </c>
      <c r="F1089" s="5">
        <f t="shared" si="48"/>
        <v>0</v>
      </c>
      <c r="G1089" s="5" t="s">
        <v>1483</v>
      </c>
      <c r="H1089" s="4" t="e">
        <f>VLOOKUP(A1089,المعطيات!$A$1:$J$3500,3,0)</f>
        <v>#N/A</v>
      </c>
      <c r="I1089" s="1" t="s">
        <v>1484</v>
      </c>
      <c r="J1089" s="1" t="s">
        <v>1485</v>
      </c>
      <c r="K1089" s="4" t="e">
        <f>VLOOKUP(A1089,المعطيات!$A$1:$J$3500,6,0)</f>
        <v>#N/A</v>
      </c>
      <c r="L1089" s="1" t="s">
        <v>1486</v>
      </c>
      <c r="M1089" s="1" t="s">
        <v>1487</v>
      </c>
      <c r="N1089" s="4" t="e">
        <f t="shared" si="49"/>
        <v>#N/A</v>
      </c>
      <c r="O1089" s="1" t="s">
        <v>1488</v>
      </c>
      <c r="P1089" s="4" t="e">
        <f>VLOOKUP(A1089,المعطيات!$A$1:$J$3500,4,0)</f>
        <v>#N/A</v>
      </c>
      <c r="Q1089" s="1" t="s">
        <v>1489</v>
      </c>
      <c r="R1089" s="1" t="s">
        <v>1480</v>
      </c>
      <c r="S1089" s="6" t="e">
        <f t="shared" si="50"/>
        <v>#N/A</v>
      </c>
    </row>
    <row r="1090" spans="2:19" x14ac:dyDescent="0.25">
      <c r="B1090" s="1" t="s">
        <v>1479</v>
      </c>
      <c r="C1090" s="1" t="s">
        <v>1481</v>
      </c>
      <c r="D1090" s="4" t="e">
        <f>VLOOKUP(A1090,المعطيات!$A$1:$J$3500,5,0)</f>
        <v>#N/A</v>
      </c>
      <c r="E1090" s="1" t="s">
        <v>1482</v>
      </c>
      <c r="F1090" s="5">
        <f t="shared" ref="F1090:F1153" si="51">A1090</f>
        <v>0</v>
      </c>
      <c r="G1090" s="5" t="s">
        <v>1483</v>
      </c>
      <c r="H1090" s="4" t="e">
        <f>VLOOKUP(A1090,المعطيات!$A$1:$J$3500,3,0)</f>
        <v>#N/A</v>
      </c>
      <c r="I1090" s="1" t="s">
        <v>1484</v>
      </c>
      <c r="J1090" s="1" t="s">
        <v>1485</v>
      </c>
      <c r="K1090" s="4" t="e">
        <f>VLOOKUP(A1090,المعطيات!$A$1:$J$3500,6,0)</f>
        <v>#N/A</v>
      </c>
      <c r="L1090" s="1" t="s">
        <v>1486</v>
      </c>
      <c r="M1090" s="1" t="s">
        <v>1487</v>
      </c>
      <c r="N1090" s="4" t="e">
        <f t="shared" ref="N1090:N1153" si="52">D1090</f>
        <v>#N/A</v>
      </c>
      <c r="O1090" s="1" t="s">
        <v>1488</v>
      </c>
      <c r="P1090" s="4" t="e">
        <f>VLOOKUP(A1090,المعطيات!$A$1:$J$3500,4,0)</f>
        <v>#N/A</v>
      </c>
      <c r="Q1090" s="1" t="s">
        <v>1489</v>
      </c>
      <c r="R1090" s="1" t="s">
        <v>1480</v>
      </c>
      <c r="S1090" s="6" t="e">
        <f t="shared" ref="S1090:S1153" si="53">B1090&amp;""&amp;C1090&amp;""&amp;D1090&amp;""&amp;E1090&amp;""&amp;F1090&amp;""&amp;G1090&amp;""&amp;H1090&amp;""&amp;I1090&amp;""&amp;J1090&amp;""&amp;K1090&amp;""&amp;L1090&amp;""&amp;M1090&amp;""&amp;N1090&amp;""&amp;O1090&amp;""&amp;P1090&amp;""&amp;Q1090&amp;""&amp;R1090</f>
        <v>#N/A</v>
      </c>
    </row>
    <row r="1091" spans="2:19" x14ac:dyDescent="0.25">
      <c r="B1091" s="1" t="s">
        <v>1479</v>
      </c>
      <c r="C1091" s="1" t="s">
        <v>1481</v>
      </c>
      <c r="D1091" s="4" t="e">
        <f>VLOOKUP(A1091,المعطيات!$A$1:$J$3500,5,0)</f>
        <v>#N/A</v>
      </c>
      <c r="E1091" s="1" t="s">
        <v>1482</v>
      </c>
      <c r="F1091" s="5">
        <f t="shared" si="51"/>
        <v>0</v>
      </c>
      <c r="G1091" s="5" t="s">
        <v>1483</v>
      </c>
      <c r="H1091" s="4" t="e">
        <f>VLOOKUP(A1091,المعطيات!$A$1:$J$3500,3,0)</f>
        <v>#N/A</v>
      </c>
      <c r="I1091" s="1" t="s">
        <v>1484</v>
      </c>
      <c r="J1091" s="1" t="s">
        <v>1485</v>
      </c>
      <c r="K1091" s="4" t="e">
        <f>VLOOKUP(A1091,المعطيات!$A$1:$J$3500,6,0)</f>
        <v>#N/A</v>
      </c>
      <c r="L1091" s="1" t="s">
        <v>1486</v>
      </c>
      <c r="M1091" s="1" t="s">
        <v>1487</v>
      </c>
      <c r="N1091" s="4" t="e">
        <f t="shared" si="52"/>
        <v>#N/A</v>
      </c>
      <c r="O1091" s="1" t="s">
        <v>1488</v>
      </c>
      <c r="P1091" s="4" t="e">
        <f>VLOOKUP(A1091,المعطيات!$A$1:$J$3500,4,0)</f>
        <v>#N/A</v>
      </c>
      <c r="Q1091" s="1" t="s">
        <v>1489</v>
      </c>
      <c r="R1091" s="1" t="s">
        <v>1480</v>
      </c>
      <c r="S1091" s="6" t="e">
        <f t="shared" si="53"/>
        <v>#N/A</v>
      </c>
    </row>
    <row r="1092" spans="2:19" x14ac:dyDescent="0.25">
      <c r="B1092" s="1" t="s">
        <v>1479</v>
      </c>
      <c r="C1092" s="1" t="s">
        <v>1481</v>
      </c>
      <c r="D1092" s="4" t="e">
        <f>VLOOKUP(A1092,المعطيات!$A$1:$J$3500,5,0)</f>
        <v>#N/A</v>
      </c>
      <c r="E1092" s="1" t="s">
        <v>1482</v>
      </c>
      <c r="F1092" s="5">
        <f t="shared" si="51"/>
        <v>0</v>
      </c>
      <c r="G1092" s="5" t="s">
        <v>1483</v>
      </c>
      <c r="H1092" s="4" t="e">
        <f>VLOOKUP(A1092,المعطيات!$A$1:$J$3500,3,0)</f>
        <v>#N/A</v>
      </c>
      <c r="I1092" s="1" t="s">
        <v>1484</v>
      </c>
      <c r="J1092" s="1" t="s">
        <v>1485</v>
      </c>
      <c r="K1092" s="4" t="e">
        <f>VLOOKUP(A1092,المعطيات!$A$1:$J$3500,6,0)</f>
        <v>#N/A</v>
      </c>
      <c r="L1092" s="1" t="s">
        <v>1486</v>
      </c>
      <c r="M1092" s="1" t="s">
        <v>1487</v>
      </c>
      <c r="N1092" s="4" t="e">
        <f t="shared" si="52"/>
        <v>#N/A</v>
      </c>
      <c r="O1092" s="1" t="s">
        <v>1488</v>
      </c>
      <c r="P1092" s="4" t="e">
        <f>VLOOKUP(A1092,المعطيات!$A$1:$J$3500,4,0)</f>
        <v>#N/A</v>
      </c>
      <c r="Q1092" s="1" t="s">
        <v>1489</v>
      </c>
      <c r="R1092" s="1" t="s">
        <v>1480</v>
      </c>
      <c r="S1092" s="6" t="e">
        <f t="shared" si="53"/>
        <v>#N/A</v>
      </c>
    </row>
    <row r="1093" spans="2:19" x14ac:dyDescent="0.25">
      <c r="B1093" s="1" t="s">
        <v>1479</v>
      </c>
      <c r="C1093" s="1" t="s">
        <v>1481</v>
      </c>
      <c r="D1093" s="4" t="e">
        <f>VLOOKUP(A1093,المعطيات!$A$1:$J$3500,5,0)</f>
        <v>#N/A</v>
      </c>
      <c r="E1093" s="1" t="s">
        <v>1482</v>
      </c>
      <c r="F1093" s="5">
        <f t="shared" si="51"/>
        <v>0</v>
      </c>
      <c r="G1093" s="5" t="s">
        <v>1483</v>
      </c>
      <c r="H1093" s="4" t="e">
        <f>VLOOKUP(A1093,المعطيات!$A$1:$J$3500,3,0)</f>
        <v>#N/A</v>
      </c>
      <c r="I1093" s="1" t="s">
        <v>1484</v>
      </c>
      <c r="J1093" s="1" t="s">
        <v>1485</v>
      </c>
      <c r="K1093" s="4" t="e">
        <f>VLOOKUP(A1093,المعطيات!$A$1:$J$3500,6,0)</f>
        <v>#N/A</v>
      </c>
      <c r="L1093" s="1" t="s">
        <v>1486</v>
      </c>
      <c r="M1093" s="1" t="s">
        <v>1487</v>
      </c>
      <c r="N1093" s="4" t="e">
        <f t="shared" si="52"/>
        <v>#N/A</v>
      </c>
      <c r="O1093" s="1" t="s">
        <v>1488</v>
      </c>
      <c r="P1093" s="4" t="e">
        <f>VLOOKUP(A1093,المعطيات!$A$1:$J$3500,4,0)</f>
        <v>#N/A</v>
      </c>
      <c r="Q1093" s="1" t="s">
        <v>1489</v>
      </c>
      <c r="R1093" s="1" t="s">
        <v>1480</v>
      </c>
      <c r="S1093" s="6" t="e">
        <f t="shared" si="53"/>
        <v>#N/A</v>
      </c>
    </row>
    <row r="1094" spans="2:19" x14ac:dyDescent="0.25">
      <c r="B1094" s="1" t="s">
        <v>1479</v>
      </c>
      <c r="C1094" s="1" t="s">
        <v>1481</v>
      </c>
      <c r="D1094" s="4" t="e">
        <f>VLOOKUP(A1094,المعطيات!$A$1:$J$3500,5,0)</f>
        <v>#N/A</v>
      </c>
      <c r="E1094" s="1" t="s">
        <v>1482</v>
      </c>
      <c r="F1094" s="5">
        <f t="shared" si="51"/>
        <v>0</v>
      </c>
      <c r="G1094" s="5" t="s">
        <v>1483</v>
      </c>
      <c r="H1094" s="4" t="e">
        <f>VLOOKUP(A1094,المعطيات!$A$1:$J$3500,3,0)</f>
        <v>#N/A</v>
      </c>
      <c r="I1094" s="1" t="s">
        <v>1484</v>
      </c>
      <c r="J1094" s="1" t="s">
        <v>1485</v>
      </c>
      <c r="K1094" s="4" t="e">
        <f>VLOOKUP(A1094,المعطيات!$A$1:$J$3500,6,0)</f>
        <v>#N/A</v>
      </c>
      <c r="L1094" s="1" t="s">
        <v>1486</v>
      </c>
      <c r="M1094" s="1" t="s">
        <v>1487</v>
      </c>
      <c r="N1094" s="4" t="e">
        <f t="shared" si="52"/>
        <v>#N/A</v>
      </c>
      <c r="O1094" s="1" t="s">
        <v>1488</v>
      </c>
      <c r="P1094" s="4" t="e">
        <f>VLOOKUP(A1094,المعطيات!$A$1:$J$3500,4,0)</f>
        <v>#N/A</v>
      </c>
      <c r="Q1094" s="1" t="s">
        <v>1489</v>
      </c>
      <c r="R1094" s="1" t="s">
        <v>1480</v>
      </c>
      <c r="S1094" s="6" t="e">
        <f t="shared" si="53"/>
        <v>#N/A</v>
      </c>
    </row>
    <row r="1095" spans="2:19" x14ac:dyDescent="0.25">
      <c r="B1095" s="1" t="s">
        <v>1479</v>
      </c>
      <c r="C1095" s="1" t="s">
        <v>1481</v>
      </c>
      <c r="D1095" s="4" t="e">
        <f>VLOOKUP(A1095,المعطيات!$A$1:$J$3500,5,0)</f>
        <v>#N/A</v>
      </c>
      <c r="E1095" s="1" t="s">
        <v>1482</v>
      </c>
      <c r="F1095" s="5">
        <f t="shared" si="51"/>
        <v>0</v>
      </c>
      <c r="G1095" s="5" t="s">
        <v>1483</v>
      </c>
      <c r="H1095" s="4" t="e">
        <f>VLOOKUP(A1095,المعطيات!$A$1:$J$3500,3,0)</f>
        <v>#N/A</v>
      </c>
      <c r="I1095" s="1" t="s">
        <v>1484</v>
      </c>
      <c r="J1095" s="1" t="s">
        <v>1485</v>
      </c>
      <c r="K1095" s="4" t="e">
        <f>VLOOKUP(A1095,المعطيات!$A$1:$J$3500,6,0)</f>
        <v>#N/A</v>
      </c>
      <c r="L1095" s="1" t="s">
        <v>1486</v>
      </c>
      <c r="M1095" s="1" t="s">
        <v>1487</v>
      </c>
      <c r="N1095" s="4" t="e">
        <f t="shared" si="52"/>
        <v>#N/A</v>
      </c>
      <c r="O1095" s="1" t="s">
        <v>1488</v>
      </c>
      <c r="P1095" s="4" t="e">
        <f>VLOOKUP(A1095,المعطيات!$A$1:$J$3500,4,0)</f>
        <v>#N/A</v>
      </c>
      <c r="Q1095" s="1" t="s">
        <v>1489</v>
      </c>
      <c r="R1095" s="1" t="s">
        <v>1480</v>
      </c>
      <c r="S1095" s="6" t="e">
        <f t="shared" si="53"/>
        <v>#N/A</v>
      </c>
    </row>
    <row r="1096" spans="2:19" x14ac:dyDescent="0.25">
      <c r="B1096" s="1" t="s">
        <v>1479</v>
      </c>
      <c r="C1096" s="1" t="s">
        <v>1481</v>
      </c>
      <c r="D1096" s="4" t="e">
        <f>VLOOKUP(A1096,المعطيات!$A$1:$J$3500,5,0)</f>
        <v>#N/A</v>
      </c>
      <c r="E1096" s="1" t="s">
        <v>1482</v>
      </c>
      <c r="F1096" s="5">
        <f t="shared" si="51"/>
        <v>0</v>
      </c>
      <c r="G1096" s="5" t="s">
        <v>1483</v>
      </c>
      <c r="H1096" s="4" t="e">
        <f>VLOOKUP(A1096,المعطيات!$A$1:$J$3500,3,0)</f>
        <v>#N/A</v>
      </c>
      <c r="I1096" s="1" t="s">
        <v>1484</v>
      </c>
      <c r="J1096" s="1" t="s">
        <v>1485</v>
      </c>
      <c r="K1096" s="4" t="e">
        <f>VLOOKUP(A1096,المعطيات!$A$1:$J$3500,6,0)</f>
        <v>#N/A</v>
      </c>
      <c r="L1096" s="1" t="s">
        <v>1486</v>
      </c>
      <c r="M1096" s="1" t="s">
        <v>1487</v>
      </c>
      <c r="N1096" s="4" t="e">
        <f t="shared" si="52"/>
        <v>#N/A</v>
      </c>
      <c r="O1096" s="1" t="s">
        <v>1488</v>
      </c>
      <c r="P1096" s="4" t="e">
        <f>VLOOKUP(A1096,المعطيات!$A$1:$J$3500,4,0)</f>
        <v>#N/A</v>
      </c>
      <c r="Q1096" s="1" t="s">
        <v>1489</v>
      </c>
      <c r="R1096" s="1" t="s">
        <v>1480</v>
      </c>
      <c r="S1096" s="6" t="e">
        <f t="shared" si="53"/>
        <v>#N/A</v>
      </c>
    </row>
    <row r="1097" spans="2:19" x14ac:dyDescent="0.25">
      <c r="B1097" s="1" t="s">
        <v>1479</v>
      </c>
      <c r="C1097" s="1" t="s">
        <v>1481</v>
      </c>
      <c r="D1097" s="4" t="e">
        <f>VLOOKUP(A1097,المعطيات!$A$1:$J$3500,5,0)</f>
        <v>#N/A</v>
      </c>
      <c r="E1097" s="1" t="s">
        <v>1482</v>
      </c>
      <c r="F1097" s="5">
        <f t="shared" si="51"/>
        <v>0</v>
      </c>
      <c r="G1097" s="5" t="s">
        <v>1483</v>
      </c>
      <c r="H1097" s="4" t="e">
        <f>VLOOKUP(A1097,المعطيات!$A$1:$J$3500,3,0)</f>
        <v>#N/A</v>
      </c>
      <c r="I1097" s="1" t="s">
        <v>1484</v>
      </c>
      <c r="J1097" s="1" t="s">
        <v>1485</v>
      </c>
      <c r="K1097" s="4" t="e">
        <f>VLOOKUP(A1097,المعطيات!$A$1:$J$3500,6,0)</f>
        <v>#N/A</v>
      </c>
      <c r="L1097" s="1" t="s">
        <v>1486</v>
      </c>
      <c r="M1097" s="1" t="s">
        <v>1487</v>
      </c>
      <c r="N1097" s="4" t="e">
        <f t="shared" si="52"/>
        <v>#N/A</v>
      </c>
      <c r="O1097" s="1" t="s">
        <v>1488</v>
      </c>
      <c r="P1097" s="4" t="e">
        <f>VLOOKUP(A1097,المعطيات!$A$1:$J$3500,4,0)</f>
        <v>#N/A</v>
      </c>
      <c r="Q1097" s="1" t="s">
        <v>1489</v>
      </c>
      <c r="R1097" s="1" t="s">
        <v>1480</v>
      </c>
      <c r="S1097" s="6" t="e">
        <f t="shared" si="53"/>
        <v>#N/A</v>
      </c>
    </row>
    <row r="1098" spans="2:19" x14ac:dyDescent="0.25">
      <c r="B1098" s="1" t="s">
        <v>1479</v>
      </c>
      <c r="C1098" s="1" t="s">
        <v>1481</v>
      </c>
      <c r="D1098" s="4" t="e">
        <f>VLOOKUP(A1098,المعطيات!$A$1:$J$3500,5,0)</f>
        <v>#N/A</v>
      </c>
      <c r="E1098" s="1" t="s">
        <v>1482</v>
      </c>
      <c r="F1098" s="5">
        <f t="shared" si="51"/>
        <v>0</v>
      </c>
      <c r="G1098" s="5" t="s">
        <v>1483</v>
      </c>
      <c r="H1098" s="4" t="e">
        <f>VLOOKUP(A1098,المعطيات!$A$1:$J$3500,3,0)</f>
        <v>#N/A</v>
      </c>
      <c r="I1098" s="1" t="s">
        <v>1484</v>
      </c>
      <c r="J1098" s="1" t="s">
        <v>1485</v>
      </c>
      <c r="K1098" s="4" t="e">
        <f>VLOOKUP(A1098,المعطيات!$A$1:$J$3500,6,0)</f>
        <v>#N/A</v>
      </c>
      <c r="L1098" s="1" t="s">
        <v>1486</v>
      </c>
      <c r="M1098" s="1" t="s">
        <v>1487</v>
      </c>
      <c r="N1098" s="4" t="e">
        <f t="shared" si="52"/>
        <v>#N/A</v>
      </c>
      <c r="O1098" s="1" t="s">
        <v>1488</v>
      </c>
      <c r="P1098" s="4" t="e">
        <f>VLOOKUP(A1098,المعطيات!$A$1:$J$3500,4,0)</f>
        <v>#N/A</v>
      </c>
      <c r="Q1098" s="1" t="s">
        <v>1489</v>
      </c>
      <c r="R1098" s="1" t="s">
        <v>1480</v>
      </c>
      <c r="S1098" s="6" t="e">
        <f t="shared" si="53"/>
        <v>#N/A</v>
      </c>
    </row>
    <row r="1099" spans="2:19" x14ac:dyDescent="0.25">
      <c r="B1099" s="1" t="s">
        <v>1479</v>
      </c>
      <c r="C1099" s="1" t="s">
        <v>1481</v>
      </c>
      <c r="D1099" s="4" t="e">
        <f>VLOOKUP(A1099,المعطيات!$A$1:$J$3500,5,0)</f>
        <v>#N/A</v>
      </c>
      <c r="E1099" s="1" t="s">
        <v>1482</v>
      </c>
      <c r="F1099" s="5">
        <f t="shared" si="51"/>
        <v>0</v>
      </c>
      <c r="G1099" s="5" t="s">
        <v>1483</v>
      </c>
      <c r="H1099" s="4" t="e">
        <f>VLOOKUP(A1099,المعطيات!$A$1:$J$3500,3,0)</f>
        <v>#N/A</v>
      </c>
      <c r="I1099" s="1" t="s">
        <v>1484</v>
      </c>
      <c r="J1099" s="1" t="s">
        <v>1485</v>
      </c>
      <c r="K1099" s="4" t="e">
        <f>VLOOKUP(A1099,المعطيات!$A$1:$J$3500,6,0)</f>
        <v>#N/A</v>
      </c>
      <c r="L1099" s="1" t="s">
        <v>1486</v>
      </c>
      <c r="M1099" s="1" t="s">
        <v>1487</v>
      </c>
      <c r="N1099" s="4" t="e">
        <f t="shared" si="52"/>
        <v>#N/A</v>
      </c>
      <c r="O1099" s="1" t="s">
        <v>1488</v>
      </c>
      <c r="P1099" s="4" t="e">
        <f>VLOOKUP(A1099,المعطيات!$A$1:$J$3500,4,0)</f>
        <v>#N/A</v>
      </c>
      <c r="Q1099" s="1" t="s">
        <v>1489</v>
      </c>
      <c r="R1099" s="1" t="s">
        <v>1480</v>
      </c>
      <c r="S1099" s="6" t="e">
        <f t="shared" si="53"/>
        <v>#N/A</v>
      </c>
    </row>
    <row r="1100" spans="2:19" x14ac:dyDescent="0.25">
      <c r="B1100" s="1" t="s">
        <v>1479</v>
      </c>
      <c r="C1100" s="1" t="s">
        <v>1481</v>
      </c>
      <c r="D1100" s="4" t="e">
        <f>VLOOKUP(A1100,المعطيات!$A$1:$J$3500,5,0)</f>
        <v>#N/A</v>
      </c>
      <c r="E1100" s="1" t="s">
        <v>1482</v>
      </c>
      <c r="F1100" s="5">
        <f t="shared" si="51"/>
        <v>0</v>
      </c>
      <c r="G1100" s="5" t="s">
        <v>1483</v>
      </c>
      <c r="H1100" s="4" t="e">
        <f>VLOOKUP(A1100,المعطيات!$A$1:$J$3500,3,0)</f>
        <v>#N/A</v>
      </c>
      <c r="I1100" s="1" t="s">
        <v>1484</v>
      </c>
      <c r="J1100" s="1" t="s">
        <v>1485</v>
      </c>
      <c r="K1100" s="4" t="e">
        <f>VLOOKUP(A1100,المعطيات!$A$1:$J$3500,6,0)</f>
        <v>#N/A</v>
      </c>
      <c r="L1100" s="1" t="s">
        <v>1486</v>
      </c>
      <c r="M1100" s="1" t="s">
        <v>1487</v>
      </c>
      <c r="N1100" s="4" t="e">
        <f t="shared" si="52"/>
        <v>#N/A</v>
      </c>
      <c r="O1100" s="1" t="s">
        <v>1488</v>
      </c>
      <c r="P1100" s="4" t="e">
        <f>VLOOKUP(A1100,المعطيات!$A$1:$J$3500,4,0)</f>
        <v>#N/A</v>
      </c>
      <c r="Q1100" s="1" t="s">
        <v>1489</v>
      </c>
      <c r="R1100" s="1" t="s">
        <v>1480</v>
      </c>
      <c r="S1100" s="6" t="e">
        <f t="shared" si="53"/>
        <v>#N/A</v>
      </c>
    </row>
    <row r="1101" spans="2:19" x14ac:dyDescent="0.25">
      <c r="B1101" s="1" t="s">
        <v>1479</v>
      </c>
      <c r="C1101" s="1" t="s">
        <v>1481</v>
      </c>
      <c r="D1101" s="4" t="e">
        <f>VLOOKUP(A1101,المعطيات!$A$1:$J$3500,5,0)</f>
        <v>#N/A</v>
      </c>
      <c r="E1101" s="1" t="s">
        <v>1482</v>
      </c>
      <c r="F1101" s="5">
        <f t="shared" si="51"/>
        <v>0</v>
      </c>
      <c r="G1101" s="5" t="s">
        <v>1483</v>
      </c>
      <c r="H1101" s="4" t="e">
        <f>VLOOKUP(A1101,المعطيات!$A$1:$J$3500,3,0)</f>
        <v>#N/A</v>
      </c>
      <c r="I1101" s="1" t="s">
        <v>1484</v>
      </c>
      <c r="J1101" s="1" t="s">
        <v>1485</v>
      </c>
      <c r="K1101" s="4" t="e">
        <f>VLOOKUP(A1101,المعطيات!$A$1:$J$3500,6,0)</f>
        <v>#N/A</v>
      </c>
      <c r="L1101" s="1" t="s">
        <v>1486</v>
      </c>
      <c r="M1101" s="1" t="s">
        <v>1487</v>
      </c>
      <c r="N1101" s="4" t="e">
        <f t="shared" si="52"/>
        <v>#N/A</v>
      </c>
      <c r="O1101" s="1" t="s">
        <v>1488</v>
      </c>
      <c r="P1101" s="4" t="e">
        <f>VLOOKUP(A1101,المعطيات!$A$1:$J$3500,4,0)</f>
        <v>#N/A</v>
      </c>
      <c r="Q1101" s="1" t="s">
        <v>1489</v>
      </c>
      <c r="R1101" s="1" t="s">
        <v>1480</v>
      </c>
      <c r="S1101" s="6" t="e">
        <f t="shared" si="53"/>
        <v>#N/A</v>
      </c>
    </row>
    <row r="1102" spans="2:19" x14ac:dyDescent="0.25">
      <c r="B1102" s="1" t="s">
        <v>1479</v>
      </c>
      <c r="C1102" s="1" t="s">
        <v>1481</v>
      </c>
      <c r="D1102" s="4" t="e">
        <f>VLOOKUP(A1102,المعطيات!$A$1:$J$3500,5,0)</f>
        <v>#N/A</v>
      </c>
      <c r="E1102" s="1" t="s">
        <v>1482</v>
      </c>
      <c r="F1102" s="5">
        <f t="shared" si="51"/>
        <v>0</v>
      </c>
      <c r="G1102" s="5" t="s">
        <v>1483</v>
      </c>
      <c r="H1102" s="4" t="e">
        <f>VLOOKUP(A1102,المعطيات!$A$1:$J$3500,3,0)</f>
        <v>#N/A</v>
      </c>
      <c r="I1102" s="1" t="s">
        <v>1484</v>
      </c>
      <c r="J1102" s="1" t="s">
        <v>1485</v>
      </c>
      <c r="K1102" s="4" t="e">
        <f>VLOOKUP(A1102,المعطيات!$A$1:$J$3500,6,0)</f>
        <v>#N/A</v>
      </c>
      <c r="L1102" s="1" t="s">
        <v>1486</v>
      </c>
      <c r="M1102" s="1" t="s">
        <v>1487</v>
      </c>
      <c r="N1102" s="4" t="e">
        <f t="shared" si="52"/>
        <v>#N/A</v>
      </c>
      <c r="O1102" s="1" t="s">
        <v>1488</v>
      </c>
      <c r="P1102" s="4" t="e">
        <f>VLOOKUP(A1102,المعطيات!$A$1:$J$3500,4,0)</f>
        <v>#N/A</v>
      </c>
      <c r="Q1102" s="1" t="s">
        <v>1489</v>
      </c>
      <c r="R1102" s="1" t="s">
        <v>1480</v>
      </c>
      <c r="S1102" s="6" t="e">
        <f t="shared" si="53"/>
        <v>#N/A</v>
      </c>
    </row>
    <row r="1103" spans="2:19" x14ac:dyDescent="0.25">
      <c r="B1103" s="1" t="s">
        <v>1479</v>
      </c>
      <c r="C1103" s="1" t="s">
        <v>1481</v>
      </c>
      <c r="D1103" s="4" t="e">
        <f>VLOOKUP(A1103,المعطيات!$A$1:$J$3500,5,0)</f>
        <v>#N/A</v>
      </c>
      <c r="E1103" s="1" t="s">
        <v>1482</v>
      </c>
      <c r="F1103" s="5">
        <f t="shared" si="51"/>
        <v>0</v>
      </c>
      <c r="G1103" s="5" t="s">
        <v>1483</v>
      </c>
      <c r="H1103" s="4" t="e">
        <f>VLOOKUP(A1103,المعطيات!$A$1:$J$3500,3,0)</f>
        <v>#N/A</v>
      </c>
      <c r="I1103" s="1" t="s">
        <v>1484</v>
      </c>
      <c r="J1103" s="1" t="s">
        <v>1485</v>
      </c>
      <c r="K1103" s="4" t="e">
        <f>VLOOKUP(A1103,المعطيات!$A$1:$J$3500,6,0)</f>
        <v>#N/A</v>
      </c>
      <c r="L1103" s="1" t="s">
        <v>1486</v>
      </c>
      <c r="M1103" s="1" t="s">
        <v>1487</v>
      </c>
      <c r="N1103" s="4" t="e">
        <f t="shared" si="52"/>
        <v>#N/A</v>
      </c>
      <c r="O1103" s="1" t="s">
        <v>1488</v>
      </c>
      <c r="P1103" s="4" t="e">
        <f>VLOOKUP(A1103,المعطيات!$A$1:$J$3500,4,0)</f>
        <v>#N/A</v>
      </c>
      <c r="Q1103" s="1" t="s">
        <v>1489</v>
      </c>
      <c r="R1103" s="1" t="s">
        <v>1480</v>
      </c>
      <c r="S1103" s="6" t="e">
        <f t="shared" si="53"/>
        <v>#N/A</v>
      </c>
    </row>
    <row r="1104" spans="2:19" x14ac:dyDescent="0.25">
      <c r="B1104" s="1" t="s">
        <v>1479</v>
      </c>
      <c r="C1104" s="1" t="s">
        <v>1481</v>
      </c>
      <c r="D1104" s="4" t="e">
        <f>VLOOKUP(A1104,المعطيات!$A$1:$J$3500,5,0)</f>
        <v>#N/A</v>
      </c>
      <c r="E1104" s="1" t="s">
        <v>1482</v>
      </c>
      <c r="F1104" s="5">
        <f t="shared" si="51"/>
        <v>0</v>
      </c>
      <c r="G1104" s="5" t="s">
        <v>1483</v>
      </c>
      <c r="H1104" s="4" t="e">
        <f>VLOOKUP(A1104,المعطيات!$A$1:$J$3500,3,0)</f>
        <v>#N/A</v>
      </c>
      <c r="I1104" s="1" t="s">
        <v>1484</v>
      </c>
      <c r="J1104" s="1" t="s">
        <v>1485</v>
      </c>
      <c r="K1104" s="4" t="e">
        <f>VLOOKUP(A1104,المعطيات!$A$1:$J$3500,6,0)</f>
        <v>#N/A</v>
      </c>
      <c r="L1104" s="1" t="s">
        <v>1486</v>
      </c>
      <c r="M1104" s="1" t="s">
        <v>1487</v>
      </c>
      <c r="N1104" s="4" t="e">
        <f t="shared" si="52"/>
        <v>#N/A</v>
      </c>
      <c r="O1104" s="1" t="s">
        <v>1488</v>
      </c>
      <c r="P1104" s="4" t="e">
        <f>VLOOKUP(A1104,المعطيات!$A$1:$J$3500,4,0)</f>
        <v>#N/A</v>
      </c>
      <c r="Q1104" s="1" t="s">
        <v>1489</v>
      </c>
      <c r="R1104" s="1" t="s">
        <v>1480</v>
      </c>
      <c r="S1104" s="6" t="e">
        <f t="shared" si="53"/>
        <v>#N/A</v>
      </c>
    </row>
    <row r="1105" spans="2:19" x14ac:dyDescent="0.25">
      <c r="B1105" s="1" t="s">
        <v>1479</v>
      </c>
      <c r="C1105" s="1" t="s">
        <v>1481</v>
      </c>
      <c r="D1105" s="4" t="e">
        <f>VLOOKUP(A1105,المعطيات!$A$1:$J$3500,5,0)</f>
        <v>#N/A</v>
      </c>
      <c r="E1105" s="1" t="s">
        <v>1482</v>
      </c>
      <c r="F1105" s="5">
        <f t="shared" si="51"/>
        <v>0</v>
      </c>
      <c r="G1105" s="5" t="s">
        <v>1483</v>
      </c>
      <c r="H1105" s="4" t="e">
        <f>VLOOKUP(A1105,المعطيات!$A$1:$J$3500,3,0)</f>
        <v>#N/A</v>
      </c>
      <c r="I1105" s="1" t="s">
        <v>1484</v>
      </c>
      <c r="J1105" s="1" t="s">
        <v>1485</v>
      </c>
      <c r="K1105" s="4" t="e">
        <f>VLOOKUP(A1105,المعطيات!$A$1:$J$3500,6,0)</f>
        <v>#N/A</v>
      </c>
      <c r="L1105" s="1" t="s">
        <v>1486</v>
      </c>
      <c r="M1105" s="1" t="s">
        <v>1487</v>
      </c>
      <c r="N1105" s="4" t="e">
        <f t="shared" si="52"/>
        <v>#N/A</v>
      </c>
      <c r="O1105" s="1" t="s">
        <v>1488</v>
      </c>
      <c r="P1105" s="4" t="e">
        <f>VLOOKUP(A1105,المعطيات!$A$1:$J$3500,4,0)</f>
        <v>#N/A</v>
      </c>
      <c r="Q1105" s="1" t="s">
        <v>1489</v>
      </c>
      <c r="R1105" s="1" t="s">
        <v>1480</v>
      </c>
      <c r="S1105" s="6" t="e">
        <f t="shared" si="53"/>
        <v>#N/A</v>
      </c>
    </row>
    <row r="1106" spans="2:19" x14ac:dyDescent="0.25">
      <c r="B1106" s="1" t="s">
        <v>1479</v>
      </c>
      <c r="C1106" s="1" t="s">
        <v>1481</v>
      </c>
      <c r="D1106" s="4" t="e">
        <f>VLOOKUP(A1106,المعطيات!$A$1:$J$3500,5,0)</f>
        <v>#N/A</v>
      </c>
      <c r="E1106" s="1" t="s">
        <v>1482</v>
      </c>
      <c r="F1106" s="5">
        <f t="shared" si="51"/>
        <v>0</v>
      </c>
      <c r="G1106" s="5" t="s">
        <v>1483</v>
      </c>
      <c r="H1106" s="4" t="e">
        <f>VLOOKUP(A1106,المعطيات!$A$1:$J$3500,3,0)</f>
        <v>#N/A</v>
      </c>
      <c r="I1106" s="1" t="s">
        <v>1484</v>
      </c>
      <c r="J1106" s="1" t="s">
        <v>1485</v>
      </c>
      <c r="K1106" s="4" t="e">
        <f>VLOOKUP(A1106,المعطيات!$A$1:$J$3500,6,0)</f>
        <v>#N/A</v>
      </c>
      <c r="L1106" s="1" t="s">
        <v>1486</v>
      </c>
      <c r="M1106" s="1" t="s">
        <v>1487</v>
      </c>
      <c r="N1106" s="4" t="e">
        <f t="shared" si="52"/>
        <v>#N/A</v>
      </c>
      <c r="O1106" s="1" t="s">
        <v>1488</v>
      </c>
      <c r="P1106" s="4" t="e">
        <f>VLOOKUP(A1106,المعطيات!$A$1:$J$3500,4,0)</f>
        <v>#N/A</v>
      </c>
      <c r="Q1106" s="1" t="s">
        <v>1489</v>
      </c>
      <c r="R1106" s="1" t="s">
        <v>1480</v>
      </c>
      <c r="S1106" s="6" t="e">
        <f t="shared" si="53"/>
        <v>#N/A</v>
      </c>
    </row>
    <row r="1107" spans="2:19" x14ac:dyDescent="0.25">
      <c r="B1107" s="1" t="s">
        <v>1479</v>
      </c>
      <c r="C1107" s="1" t="s">
        <v>1481</v>
      </c>
      <c r="D1107" s="4" t="e">
        <f>VLOOKUP(A1107,المعطيات!$A$1:$J$3500,5,0)</f>
        <v>#N/A</v>
      </c>
      <c r="E1107" s="1" t="s">
        <v>1482</v>
      </c>
      <c r="F1107" s="5">
        <f t="shared" si="51"/>
        <v>0</v>
      </c>
      <c r="G1107" s="5" t="s">
        <v>1483</v>
      </c>
      <c r="H1107" s="4" t="e">
        <f>VLOOKUP(A1107,المعطيات!$A$1:$J$3500,3,0)</f>
        <v>#N/A</v>
      </c>
      <c r="I1107" s="1" t="s">
        <v>1484</v>
      </c>
      <c r="J1107" s="1" t="s">
        <v>1485</v>
      </c>
      <c r="K1107" s="4" t="e">
        <f>VLOOKUP(A1107,المعطيات!$A$1:$J$3500,6,0)</f>
        <v>#N/A</v>
      </c>
      <c r="L1107" s="1" t="s">
        <v>1486</v>
      </c>
      <c r="M1107" s="1" t="s">
        <v>1487</v>
      </c>
      <c r="N1107" s="4" t="e">
        <f t="shared" si="52"/>
        <v>#N/A</v>
      </c>
      <c r="O1107" s="1" t="s">
        <v>1488</v>
      </c>
      <c r="P1107" s="4" t="e">
        <f>VLOOKUP(A1107,المعطيات!$A$1:$J$3500,4,0)</f>
        <v>#N/A</v>
      </c>
      <c r="Q1107" s="1" t="s">
        <v>1489</v>
      </c>
      <c r="R1107" s="1" t="s">
        <v>1480</v>
      </c>
      <c r="S1107" s="6" t="e">
        <f t="shared" si="53"/>
        <v>#N/A</v>
      </c>
    </row>
    <row r="1108" spans="2:19" x14ac:dyDescent="0.25">
      <c r="B1108" s="1" t="s">
        <v>1479</v>
      </c>
      <c r="C1108" s="1" t="s">
        <v>1481</v>
      </c>
      <c r="D1108" s="4" t="e">
        <f>VLOOKUP(A1108,المعطيات!$A$1:$J$3500,5,0)</f>
        <v>#N/A</v>
      </c>
      <c r="E1108" s="1" t="s">
        <v>1482</v>
      </c>
      <c r="F1108" s="5">
        <f t="shared" si="51"/>
        <v>0</v>
      </c>
      <c r="G1108" s="5" t="s">
        <v>1483</v>
      </c>
      <c r="H1108" s="4" t="e">
        <f>VLOOKUP(A1108,المعطيات!$A$1:$J$3500,3,0)</f>
        <v>#N/A</v>
      </c>
      <c r="I1108" s="1" t="s">
        <v>1484</v>
      </c>
      <c r="J1108" s="1" t="s">
        <v>1485</v>
      </c>
      <c r="K1108" s="4" t="e">
        <f>VLOOKUP(A1108,المعطيات!$A$1:$J$3500,6,0)</f>
        <v>#N/A</v>
      </c>
      <c r="L1108" s="1" t="s">
        <v>1486</v>
      </c>
      <c r="M1108" s="1" t="s">
        <v>1487</v>
      </c>
      <c r="N1108" s="4" t="e">
        <f t="shared" si="52"/>
        <v>#N/A</v>
      </c>
      <c r="O1108" s="1" t="s">
        <v>1488</v>
      </c>
      <c r="P1108" s="4" t="e">
        <f>VLOOKUP(A1108,المعطيات!$A$1:$J$3500,4,0)</f>
        <v>#N/A</v>
      </c>
      <c r="Q1108" s="1" t="s">
        <v>1489</v>
      </c>
      <c r="R1108" s="1" t="s">
        <v>1480</v>
      </c>
      <c r="S1108" s="6" t="e">
        <f t="shared" si="53"/>
        <v>#N/A</v>
      </c>
    </row>
    <row r="1109" spans="2:19" x14ac:dyDescent="0.25">
      <c r="B1109" s="1" t="s">
        <v>1479</v>
      </c>
      <c r="C1109" s="1" t="s">
        <v>1481</v>
      </c>
      <c r="D1109" s="4" t="e">
        <f>VLOOKUP(A1109,المعطيات!$A$1:$J$3500,5,0)</f>
        <v>#N/A</v>
      </c>
      <c r="E1109" s="1" t="s">
        <v>1482</v>
      </c>
      <c r="F1109" s="5">
        <f t="shared" si="51"/>
        <v>0</v>
      </c>
      <c r="G1109" s="5" t="s">
        <v>1483</v>
      </c>
      <c r="H1109" s="4" t="e">
        <f>VLOOKUP(A1109,المعطيات!$A$1:$J$3500,3,0)</f>
        <v>#N/A</v>
      </c>
      <c r="I1109" s="1" t="s">
        <v>1484</v>
      </c>
      <c r="J1109" s="1" t="s">
        <v>1485</v>
      </c>
      <c r="K1109" s="4" t="e">
        <f>VLOOKUP(A1109,المعطيات!$A$1:$J$3500,6,0)</f>
        <v>#N/A</v>
      </c>
      <c r="L1109" s="1" t="s">
        <v>1486</v>
      </c>
      <c r="M1109" s="1" t="s">
        <v>1487</v>
      </c>
      <c r="N1109" s="4" t="e">
        <f t="shared" si="52"/>
        <v>#N/A</v>
      </c>
      <c r="O1109" s="1" t="s">
        <v>1488</v>
      </c>
      <c r="P1109" s="4" t="e">
        <f>VLOOKUP(A1109,المعطيات!$A$1:$J$3500,4,0)</f>
        <v>#N/A</v>
      </c>
      <c r="Q1109" s="1" t="s">
        <v>1489</v>
      </c>
      <c r="R1109" s="1" t="s">
        <v>1480</v>
      </c>
      <c r="S1109" s="6" t="e">
        <f t="shared" si="53"/>
        <v>#N/A</v>
      </c>
    </row>
    <row r="1110" spans="2:19" x14ac:dyDescent="0.25">
      <c r="B1110" s="1" t="s">
        <v>1479</v>
      </c>
      <c r="C1110" s="1" t="s">
        <v>1481</v>
      </c>
      <c r="D1110" s="4" t="e">
        <f>VLOOKUP(A1110,المعطيات!$A$1:$J$3500,5,0)</f>
        <v>#N/A</v>
      </c>
      <c r="E1110" s="1" t="s">
        <v>1482</v>
      </c>
      <c r="F1110" s="5">
        <f t="shared" si="51"/>
        <v>0</v>
      </c>
      <c r="G1110" s="5" t="s">
        <v>1483</v>
      </c>
      <c r="H1110" s="4" t="e">
        <f>VLOOKUP(A1110,المعطيات!$A$1:$J$3500,3,0)</f>
        <v>#N/A</v>
      </c>
      <c r="I1110" s="1" t="s">
        <v>1484</v>
      </c>
      <c r="J1110" s="1" t="s">
        <v>1485</v>
      </c>
      <c r="K1110" s="4" t="e">
        <f>VLOOKUP(A1110,المعطيات!$A$1:$J$3500,6,0)</f>
        <v>#N/A</v>
      </c>
      <c r="L1110" s="1" t="s">
        <v>1486</v>
      </c>
      <c r="M1110" s="1" t="s">
        <v>1487</v>
      </c>
      <c r="N1110" s="4" t="e">
        <f t="shared" si="52"/>
        <v>#N/A</v>
      </c>
      <c r="O1110" s="1" t="s">
        <v>1488</v>
      </c>
      <c r="P1110" s="4" t="e">
        <f>VLOOKUP(A1110,المعطيات!$A$1:$J$3500,4,0)</f>
        <v>#N/A</v>
      </c>
      <c r="Q1110" s="1" t="s">
        <v>1489</v>
      </c>
      <c r="R1110" s="1" t="s">
        <v>1480</v>
      </c>
      <c r="S1110" s="6" t="e">
        <f t="shared" si="53"/>
        <v>#N/A</v>
      </c>
    </row>
    <row r="1111" spans="2:19" x14ac:dyDescent="0.25">
      <c r="B1111" s="1" t="s">
        <v>1479</v>
      </c>
      <c r="C1111" s="1" t="s">
        <v>1481</v>
      </c>
      <c r="D1111" s="4" t="e">
        <f>VLOOKUP(A1111,المعطيات!$A$1:$J$3500,5,0)</f>
        <v>#N/A</v>
      </c>
      <c r="E1111" s="1" t="s">
        <v>1482</v>
      </c>
      <c r="F1111" s="5">
        <f t="shared" si="51"/>
        <v>0</v>
      </c>
      <c r="G1111" s="5" t="s">
        <v>1483</v>
      </c>
      <c r="H1111" s="4" t="e">
        <f>VLOOKUP(A1111,المعطيات!$A$1:$J$3500,3,0)</f>
        <v>#N/A</v>
      </c>
      <c r="I1111" s="1" t="s">
        <v>1484</v>
      </c>
      <c r="J1111" s="1" t="s">
        <v>1485</v>
      </c>
      <c r="K1111" s="4" t="e">
        <f>VLOOKUP(A1111,المعطيات!$A$1:$J$3500,6,0)</f>
        <v>#N/A</v>
      </c>
      <c r="L1111" s="1" t="s">
        <v>1486</v>
      </c>
      <c r="M1111" s="1" t="s">
        <v>1487</v>
      </c>
      <c r="N1111" s="4" t="e">
        <f t="shared" si="52"/>
        <v>#N/A</v>
      </c>
      <c r="O1111" s="1" t="s">
        <v>1488</v>
      </c>
      <c r="P1111" s="4" t="e">
        <f>VLOOKUP(A1111,المعطيات!$A$1:$J$3500,4,0)</f>
        <v>#N/A</v>
      </c>
      <c r="Q1111" s="1" t="s">
        <v>1489</v>
      </c>
      <c r="R1111" s="1" t="s">
        <v>1480</v>
      </c>
      <c r="S1111" s="6" t="e">
        <f t="shared" si="53"/>
        <v>#N/A</v>
      </c>
    </row>
    <row r="1112" spans="2:19" x14ac:dyDescent="0.25">
      <c r="B1112" s="1" t="s">
        <v>1479</v>
      </c>
      <c r="C1112" s="1" t="s">
        <v>1481</v>
      </c>
      <c r="D1112" s="4" t="e">
        <f>VLOOKUP(A1112,المعطيات!$A$1:$J$3500,5,0)</f>
        <v>#N/A</v>
      </c>
      <c r="E1112" s="1" t="s">
        <v>1482</v>
      </c>
      <c r="F1112" s="5">
        <f t="shared" si="51"/>
        <v>0</v>
      </c>
      <c r="G1112" s="5" t="s">
        <v>1483</v>
      </c>
      <c r="H1112" s="4" t="e">
        <f>VLOOKUP(A1112,المعطيات!$A$1:$J$3500,3,0)</f>
        <v>#N/A</v>
      </c>
      <c r="I1112" s="1" t="s">
        <v>1484</v>
      </c>
      <c r="J1112" s="1" t="s">
        <v>1485</v>
      </c>
      <c r="K1112" s="4" t="e">
        <f>VLOOKUP(A1112,المعطيات!$A$1:$J$3500,6,0)</f>
        <v>#N/A</v>
      </c>
      <c r="L1112" s="1" t="s">
        <v>1486</v>
      </c>
      <c r="M1112" s="1" t="s">
        <v>1487</v>
      </c>
      <c r="N1112" s="4" t="e">
        <f t="shared" si="52"/>
        <v>#N/A</v>
      </c>
      <c r="O1112" s="1" t="s">
        <v>1488</v>
      </c>
      <c r="P1112" s="4" t="e">
        <f>VLOOKUP(A1112,المعطيات!$A$1:$J$3500,4,0)</f>
        <v>#N/A</v>
      </c>
      <c r="Q1112" s="1" t="s">
        <v>1489</v>
      </c>
      <c r="R1112" s="1" t="s">
        <v>1480</v>
      </c>
      <c r="S1112" s="6" t="e">
        <f t="shared" si="53"/>
        <v>#N/A</v>
      </c>
    </row>
    <row r="1113" spans="2:19" x14ac:dyDescent="0.25">
      <c r="B1113" s="1" t="s">
        <v>1479</v>
      </c>
      <c r="C1113" s="1" t="s">
        <v>1481</v>
      </c>
      <c r="D1113" s="4" t="e">
        <f>VLOOKUP(A1113,المعطيات!$A$1:$J$3500,5,0)</f>
        <v>#N/A</v>
      </c>
      <c r="E1113" s="1" t="s">
        <v>1482</v>
      </c>
      <c r="F1113" s="5">
        <f t="shared" si="51"/>
        <v>0</v>
      </c>
      <c r="G1113" s="5" t="s">
        <v>1483</v>
      </c>
      <c r="H1113" s="4" t="e">
        <f>VLOOKUP(A1113,المعطيات!$A$1:$J$3500,3,0)</f>
        <v>#N/A</v>
      </c>
      <c r="I1113" s="1" t="s">
        <v>1484</v>
      </c>
      <c r="J1113" s="1" t="s">
        <v>1485</v>
      </c>
      <c r="K1113" s="4" t="e">
        <f>VLOOKUP(A1113,المعطيات!$A$1:$J$3500,6,0)</f>
        <v>#N/A</v>
      </c>
      <c r="L1113" s="1" t="s">
        <v>1486</v>
      </c>
      <c r="M1113" s="1" t="s">
        <v>1487</v>
      </c>
      <c r="N1113" s="4" t="e">
        <f t="shared" si="52"/>
        <v>#N/A</v>
      </c>
      <c r="O1113" s="1" t="s">
        <v>1488</v>
      </c>
      <c r="P1113" s="4" t="e">
        <f>VLOOKUP(A1113,المعطيات!$A$1:$J$3500,4,0)</f>
        <v>#N/A</v>
      </c>
      <c r="Q1113" s="1" t="s">
        <v>1489</v>
      </c>
      <c r="R1113" s="1" t="s">
        <v>1480</v>
      </c>
      <c r="S1113" s="6" t="e">
        <f t="shared" si="53"/>
        <v>#N/A</v>
      </c>
    </row>
    <row r="1114" spans="2:19" x14ac:dyDescent="0.25">
      <c r="B1114" s="1" t="s">
        <v>1479</v>
      </c>
      <c r="C1114" s="1" t="s">
        <v>1481</v>
      </c>
      <c r="D1114" s="4" t="e">
        <f>VLOOKUP(A1114,المعطيات!$A$1:$J$3500,5,0)</f>
        <v>#N/A</v>
      </c>
      <c r="E1114" s="1" t="s">
        <v>1482</v>
      </c>
      <c r="F1114" s="5">
        <f t="shared" si="51"/>
        <v>0</v>
      </c>
      <c r="G1114" s="5" t="s">
        <v>1483</v>
      </c>
      <c r="H1114" s="4" t="e">
        <f>VLOOKUP(A1114,المعطيات!$A$1:$J$3500,3,0)</f>
        <v>#N/A</v>
      </c>
      <c r="I1114" s="1" t="s">
        <v>1484</v>
      </c>
      <c r="J1114" s="1" t="s">
        <v>1485</v>
      </c>
      <c r="K1114" s="4" t="e">
        <f>VLOOKUP(A1114,المعطيات!$A$1:$J$3500,6,0)</f>
        <v>#N/A</v>
      </c>
      <c r="L1114" s="1" t="s">
        <v>1486</v>
      </c>
      <c r="M1114" s="1" t="s">
        <v>1487</v>
      </c>
      <c r="N1114" s="4" t="e">
        <f t="shared" si="52"/>
        <v>#N/A</v>
      </c>
      <c r="O1114" s="1" t="s">
        <v>1488</v>
      </c>
      <c r="P1114" s="4" t="e">
        <f>VLOOKUP(A1114,المعطيات!$A$1:$J$3500,4,0)</f>
        <v>#N/A</v>
      </c>
      <c r="Q1114" s="1" t="s">
        <v>1489</v>
      </c>
      <c r="R1114" s="1" t="s">
        <v>1480</v>
      </c>
      <c r="S1114" s="6" t="e">
        <f t="shared" si="53"/>
        <v>#N/A</v>
      </c>
    </row>
    <row r="1115" spans="2:19" x14ac:dyDescent="0.25">
      <c r="B1115" s="1" t="s">
        <v>1479</v>
      </c>
      <c r="C1115" s="1" t="s">
        <v>1481</v>
      </c>
      <c r="D1115" s="4" t="e">
        <f>VLOOKUP(A1115,المعطيات!$A$1:$J$3500,5,0)</f>
        <v>#N/A</v>
      </c>
      <c r="E1115" s="1" t="s">
        <v>1482</v>
      </c>
      <c r="F1115" s="5">
        <f t="shared" si="51"/>
        <v>0</v>
      </c>
      <c r="G1115" s="5" t="s">
        <v>1483</v>
      </c>
      <c r="H1115" s="4" t="e">
        <f>VLOOKUP(A1115,المعطيات!$A$1:$J$3500,3,0)</f>
        <v>#N/A</v>
      </c>
      <c r="I1115" s="1" t="s">
        <v>1484</v>
      </c>
      <c r="J1115" s="1" t="s">
        <v>1485</v>
      </c>
      <c r="K1115" s="4" t="e">
        <f>VLOOKUP(A1115,المعطيات!$A$1:$J$3500,6,0)</f>
        <v>#N/A</v>
      </c>
      <c r="L1115" s="1" t="s">
        <v>1486</v>
      </c>
      <c r="M1115" s="1" t="s">
        <v>1487</v>
      </c>
      <c r="N1115" s="4" t="e">
        <f t="shared" si="52"/>
        <v>#N/A</v>
      </c>
      <c r="O1115" s="1" t="s">
        <v>1488</v>
      </c>
      <c r="P1115" s="4" t="e">
        <f>VLOOKUP(A1115,المعطيات!$A$1:$J$3500,4,0)</f>
        <v>#N/A</v>
      </c>
      <c r="Q1115" s="1" t="s">
        <v>1489</v>
      </c>
      <c r="R1115" s="1" t="s">
        <v>1480</v>
      </c>
      <c r="S1115" s="6" t="e">
        <f t="shared" si="53"/>
        <v>#N/A</v>
      </c>
    </row>
    <row r="1116" spans="2:19" x14ac:dyDescent="0.25">
      <c r="B1116" s="1" t="s">
        <v>1479</v>
      </c>
      <c r="C1116" s="1" t="s">
        <v>1481</v>
      </c>
      <c r="D1116" s="4" t="e">
        <f>VLOOKUP(A1116,المعطيات!$A$1:$J$3500,5,0)</f>
        <v>#N/A</v>
      </c>
      <c r="E1116" s="1" t="s">
        <v>1482</v>
      </c>
      <c r="F1116" s="5">
        <f t="shared" si="51"/>
        <v>0</v>
      </c>
      <c r="G1116" s="5" t="s">
        <v>1483</v>
      </c>
      <c r="H1116" s="4" t="e">
        <f>VLOOKUP(A1116,المعطيات!$A$1:$J$3500,3,0)</f>
        <v>#N/A</v>
      </c>
      <c r="I1116" s="1" t="s">
        <v>1484</v>
      </c>
      <c r="J1116" s="1" t="s">
        <v>1485</v>
      </c>
      <c r="K1116" s="4" t="e">
        <f>VLOOKUP(A1116,المعطيات!$A$1:$J$3500,6,0)</f>
        <v>#N/A</v>
      </c>
      <c r="L1116" s="1" t="s">
        <v>1486</v>
      </c>
      <c r="M1116" s="1" t="s">
        <v>1487</v>
      </c>
      <c r="N1116" s="4" t="e">
        <f t="shared" si="52"/>
        <v>#N/A</v>
      </c>
      <c r="O1116" s="1" t="s">
        <v>1488</v>
      </c>
      <c r="P1116" s="4" t="e">
        <f>VLOOKUP(A1116,المعطيات!$A$1:$J$3500,4,0)</f>
        <v>#N/A</v>
      </c>
      <c r="Q1116" s="1" t="s">
        <v>1489</v>
      </c>
      <c r="R1116" s="1" t="s">
        <v>1480</v>
      </c>
      <c r="S1116" s="6" t="e">
        <f t="shared" si="53"/>
        <v>#N/A</v>
      </c>
    </row>
    <row r="1117" spans="2:19" x14ac:dyDescent="0.25">
      <c r="B1117" s="1" t="s">
        <v>1479</v>
      </c>
      <c r="C1117" s="1" t="s">
        <v>1481</v>
      </c>
      <c r="D1117" s="4" t="e">
        <f>VLOOKUP(A1117,المعطيات!$A$1:$J$3500,5,0)</f>
        <v>#N/A</v>
      </c>
      <c r="E1117" s="1" t="s">
        <v>1482</v>
      </c>
      <c r="F1117" s="5">
        <f t="shared" si="51"/>
        <v>0</v>
      </c>
      <c r="G1117" s="5" t="s">
        <v>1483</v>
      </c>
      <c r="H1117" s="4" t="e">
        <f>VLOOKUP(A1117,المعطيات!$A$1:$J$3500,3,0)</f>
        <v>#N/A</v>
      </c>
      <c r="I1117" s="1" t="s">
        <v>1484</v>
      </c>
      <c r="J1117" s="1" t="s">
        <v>1485</v>
      </c>
      <c r="K1117" s="4" t="e">
        <f>VLOOKUP(A1117,المعطيات!$A$1:$J$3500,6,0)</f>
        <v>#N/A</v>
      </c>
      <c r="L1117" s="1" t="s">
        <v>1486</v>
      </c>
      <c r="M1117" s="1" t="s">
        <v>1487</v>
      </c>
      <c r="N1117" s="4" t="e">
        <f t="shared" si="52"/>
        <v>#N/A</v>
      </c>
      <c r="O1117" s="1" t="s">
        <v>1488</v>
      </c>
      <c r="P1117" s="4" t="e">
        <f>VLOOKUP(A1117,المعطيات!$A$1:$J$3500,4,0)</f>
        <v>#N/A</v>
      </c>
      <c r="Q1117" s="1" t="s">
        <v>1489</v>
      </c>
      <c r="R1117" s="1" t="s">
        <v>1480</v>
      </c>
      <c r="S1117" s="6" t="e">
        <f t="shared" si="53"/>
        <v>#N/A</v>
      </c>
    </row>
    <row r="1118" spans="2:19" x14ac:dyDescent="0.25">
      <c r="B1118" s="1" t="s">
        <v>1479</v>
      </c>
      <c r="C1118" s="1" t="s">
        <v>1481</v>
      </c>
      <c r="D1118" s="4" t="e">
        <f>VLOOKUP(A1118,المعطيات!$A$1:$J$3500,5,0)</f>
        <v>#N/A</v>
      </c>
      <c r="E1118" s="1" t="s">
        <v>1482</v>
      </c>
      <c r="F1118" s="5">
        <f t="shared" si="51"/>
        <v>0</v>
      </c>
      <c r="G1118" s="5" t="s">
        <v>1483</v>
      </c>
      <c r="H1118" s="4" t="e">
        <f>VLOOKUP(A1118,المعطيات!$A$1:$J$3500,3,0)</f>
        <v>#N/A</v>
      </c>
      <c r="I1118" s="1" t="s">
        <v>1484</v>
      </c>
      <c r="J1118" s="1" t="s">
        <v>1485</v>
      </c>
      <c r="K1118" s="4" t="e">
        <f>VLOOKUP(A1118,المعطيات!$A$1:$J$3500,6,0)</f>
        <v>#N/A</v>
      </c>
      <c r="L1118" s="1" t="s">
        <v>1486</v>
      </c>
      <c r="M1118" s="1" t="s">
        <v>1487</v>
      </c>
      <c r="N1118" s="4" t="e">
        <f t="shared" si="52"/>
        <v>#N/A</v>
      </c>
      <c r="O1118" s="1" t="s">
        <v>1488</v>
      </c>
      <c r="P1118" s="4" t="e">
        <f>VLOOKUP(A1118,المعطيات!$A$1:$J$3500,4,0)</f>
        <v>#N/A</v>
      </c>
      <c r="Q1118" s="1" t="s">
        <v>1489</v>
      </c>
      <c r="R1118" s="1" t="s">
        <v>1480</v>
      </c>
      <c r="S1118" s="6" t="e">
        <f t="shared" si="53"/>
        <v>#N/A</v>
      </c>
    </row>
    <row r="1119" spans="2:19" x14ac:dyDescent="0.25">
      <c r="B1119" s="1" t="s">
        <v>1479</v>
      </c>
      <c r="C1119" s="1" t="s">
        <v>1481</v>
      </c>
      <c r="D1119" s="4" t="e">
        <f>VLOOKUP(A1119,المعطيات!$A$1:$J$3500,5,0)</f>
        <v>#N/A</v>
      </c>
      <c r="E1119" s="1" t="s">
        <v>1482</v>
      </c>
      <c r="F1119" s="5">
        <f t="shared" si="51"/>
        <v>0</v>
      </c>
      <c r="G1119" s="5" t="s">
        <v>1483</v>
      </c>
      <c r="H1119" s="4" t="e">
        <f>VLOOKUP(A1119,المعطيات!$A$1:$J$3500,3,0)</f>
        <v>#N/A</v>
      </c>
      <c r="I1119" s="1" t="s">
        <v>1484</v>
      </c>
      <c r="J1119" s="1" t="s">
        <v>1485</v>
      </c>
      <c r="K1119" s="4" t="e">
        <f>VLOOKUP(A1119,المعطيات!$A$1:$J$3500,6,0)</f>
        <v>#N/A</v>
      </c>
      <c r="L1119" s="1" t="s">
        <v>1486</v>
      </c>
      <c r="M1119" s="1" t="s">
        <v>1487</v>
      </c>
      <c r="N1119" s="4" t="e">
        <f t="shared" si="52"/>
        <v>#N/A</v>
      </c>
      <c r="O1119" s="1" t="s">
        <v>1488</v>
      </c>
      <c r="P1119" s="4" t="e">
        <f>VLOOKUP(A1119,المعطيات!$A$1:$J$3500,4,0)</f>
        <v>#N/A</v>
      </c>
      <c r="Q1119" s="1" t="s">
        <v>1489</v>
      </c>
      <c r="R1119" s="1" t="s">
        <v>1480</v>
      </c>
      <c r="S1119" s="6" t="e">
        <f t="shared" si="53"/>
        <v>#N/A</v>
      </c>
    </row>
    <row r="1120" spans="2:19" x14ac:dyDescent="0.25">
      <c r="B1120" s="1" t="s">
        <v>1479</v>
      </c>
      <c r="C1120" s="1" t="s">
        <v>1481</v>
      </c>
      <c r="D1120" s="4" t="e">
        <f>VLOOKUP(A1120,المعطيات!$A$1:$J$3500,5,0)</f>
        <v>#N/A</v>
      </c>
      <c r="E1120" s="1" t="s">
        <v>1482</v>
      </c>
      <c r="F1120" s="5">
        <f t="shared" si="51"/>
        <v>0</v>
      </c>
      <c r="G1120" s="5" t="s">
        <v>1483</v>
      </c>
      <c r="H1120" s="4" t="e">
        <f>VLOOKUP(A1120,المعطيات!$A$1:$J$3500,3,0)</f>
        <v>#N/A</v>
      </c>
      <c r="I1120" s="1" t="s">
        <v>1484</v>
      </c>
      <c r="J1120" s="1" t="s">
        <v>1485</v>
      </c>
      <c r="K1120" s="4" t="e">
        <f>VLOOKUP(A1120,المعطيات!$A$1:$J$3500,6,0)</f>
        <v>#N/A</v>
      </c>
      <c r="L1120" s="1" t="s">
        <v>1486</v>
      </c>
      <c r="M1120" s="1" t="s">
        <v>1487</v>
      </c>
      <c r="N1120" s="4" t="e">
        <f t="shared" si="52"/>
        <v>#N/A</v>
      </c>
      <c r="O1120" s="1" t="s">
        <v>1488</v>
      </c>
      <c r="P1120" s="4" t="e">
        <f>VLOOKUP(A1120,المعطيات!$A$1:$J$3500,4,0)</f>
        <v>#N/A</v>
      </c>
      <c r="Q1120" s="1" t="s">
        <v>1489</v>
      </c>
      <c r="R1120" s="1" t="s">
        <v>1480</v>
      </c>
      <c r="S1120" s="6" t="e">
        <f t="shared" si="53"/>
        <v>#N/A</v>
      </c>
    </row>
    <row r="1121" spans="2:19" x14ac:dyDescent="0.25">
      <c r="B1121" s="1" t="s">
        <v>1479</v>
      </c>
      <c r="C1121" s="1" t="s">
        <v>1481</v>
      </c>
      <c r="D1121" s="4" t="e">
        <f>VLOOKUP(A1121,المعطيات!$A$1:$J$3500,5,0)</f>
        <v>#N/A</v>
      </c>
      <c r="E1121" s="1" t="s">
        <v>1482</v>
      </c>
      <c r="F1121" s="5">
        <f t="shared" si="51"/>
        <v>0</v>
      </c>
      <c r="G1121" s="5" t="s">
        <v>1483</v>
      </c>
      <c r="H1121" s="4" t="e">
        <f>VLOOKUP(A1121,المعطيات!$A$1:$J$3500,3,0)</f>
        <v>#N/A</v>
      </c>
      <c r="I1121" s="1" t="s">
        <v>1484</v>
      </c>
      <c r="J1121" s="1" t="s">
        <v>1485</v>
      </c>
      <c r="K1121" s="4" t="e">
        <f>VLOOKUP(A1121,المعطيات!$A$1:$J$3500,6,0)</f>
        <v>#N/A</v>
      </c>
      <c r="L1121" s="1" t="s">
        <v>1486</v>
      </c>
      <c r="M1121" s="1" t="s">
        <v>1487</v>
      </c>
      <c r="N1121" s="4" t="e">
        <f t="shared" si="52"/>
        <v>#N/A</v>
      </c>
      <c r="O1121" s="1" t="s">
        <v>1488</v>
      </c>
      <c r="P1121" s="4" t="e">
        <f>VLOOKUP(A1121,المعطيات!$A$1:$J$3500,4,0)</f>
        <v>#N/A</v>
      </c>
      <c r="Q1121" s="1" t="s">
        <v>1489</v>
      </c>
      <c r="R1121" s="1" t="s">
        <v>1480</v>
      </c>
      <c r="S1121" s="6" t="e">
        <f t="shared" si="53"/>
        <v>#N/A</v>
      </c>
    </row>
    <row r="1122" spans="2:19" x14ac:dyDescent="0.25">
      <c r="B1122" s="1" t="s">
        <v>1479</v>
      </c>
      <c r="C1122" s="1" t="s">
        <v>1481</v>
      </c>
      <c r="D1122" s="4" t="e">
        <f>VLOOKUP(A1122,المعطيات!$A$1:$J$3500,5,0)</f>
        <v>#N/A</v>
      </c>
      <c r="E1122" s="1" t="s">
        <v>1482</v>
      </c>
      <c r="F1122" s="5">
        <f t="shared" si="51"/>
        <v>0</v>
      </c>
      <c r="G1122" s="5" t="s">
        <v>1483</v>
      </c>
      <c r="H1122" s="4" t="e">
        <f>VLOOKUP(A1122,المعطيات!$A$1:$J$3500,3,0)</f>
        <v>#N/A</v>
      </c>
      <c r="I1122" s="1" t="s">
        <v>1484</v>
      </c>
      <c r="J1122" s="1" t="s">
        <v>1485</v>
      </c>
      <c r="K1122" s="4" t="e">
        <f>VLOOKUP(A1122,المعطيات!$A$1:$J$3500,6,0)</f>
        <v>#N/A</v>
      </c>
      <c r="L1122" s="1" t="s">
        <v>1486</v>
      </c>
      <c r="M1122" s="1" t="s">
        <v>1487</v>
      </c>
      <c r="N1122" s="4" t="e">
        <f t="shared" si="52"/>
        <v>#N/A</v>
      </c>
      <c r="O1122" s="1" t="s">
        <v>1488</v>
      </c>
      <c r="P1122" s="4" t="e">
        <f>VLOOKUP(A1122,المعطيات!$A$1:$J$3500,4,0)</f>
        <v>#N/A</v>
      </c>
      <c r="Q1122" s="1" t="s">
        <v>1489</v>
      </c>
      <c r="R1122" s="1" t="s">
        <v>1480</v>
      </c>
      <c r="S1122" s="6" t="e">
        <f t="shared" si="53"/>
        <v>#N/A</v>
      </c>
    </row>
    <row r="1123" spans="2:19" x14ac:dyDescent="0.25">
      <c r="B1123" s="1" t="s">
        <v>1479</v>
      </c>
      <c r="C1123" s="1" t="s">
        <v>1481</v>
      </c>
      <c r="D1123" s="4" t="e">
        <f>VLOOKUP(A1123,المعطيات!$A$1:$J$3500,5,0)</f>
        <v>#N/A</v>
      </c>
      <c r="E1123" s="1" t="s">
        <v>1482</v>
      </c>
      <c r="F1123" s="5">
        <f t="shared" si="51"/>
        <v>0</v>
      </c>
      <c r="G1123" s="5" t="s">
        <v>1483</v>
      </c>
      <c r="H1123" s="4" t="e">
        <f>VLOOKUP(A1123,المعطيات!$A$1:$J$3500,3,0)</f>
        <v>#N/A</v>
      </c>
      <c r="I1123" s="1" t="s">
        <v>1484</v>
      </c>
      <c r="J1123" s="1" t="s">
        <v>1485</v>
      </c>
      <c r="K1123" s="4" t="e">
        <f>VLOOKUP(A1123,المعطيات!$A$1:$J$3500,6,0)</f>
        <v>#N/A</v>
      </c>
      <c r="L1123" s="1" t="s">
        <v>1486</v>
      </c>
      <c r="M1123" s="1" t="s">
        <v>1487</v>
      </c>
      <c r="N1123" s="4" t="e">
        <f t="shared" si="52"/>
        <v>#N/A</v>
      </c>
      <c r="O1123" s="1" t="s">
        <v>1488</v>
      </c>
      <c r="P1123" s="4" t="e">
        <f>VLOOKUP(A1123,المعطيات!$A$1:$J$3500,4,0)</f>
        <v>#N/A</v>
      </c>
      <c r="Q1123" s="1" t="s">
        <v>1489</v>
      </c>
      <c r="R1123" s="1" t="s">
        <v>1480</v>
      </c>
      <c r="S1123" s="6" t="e">
        <f t="shared" si="53"/>
        <v>#N/A</v>
      </c>
    </row>
    <row r="1124" spans="2:19" x14ac:dyDescent="0.25">
      <c r="B1124" s="1" t="s">
        <v>1479</v>
      </c>
      <c r="C1124" s="1" t="s">
        <v>1481</v>
      </c>
      <c r="D1124" s="4" t="e">
        <f>VLOOKUP(A1124,المعطيات!$A$1:$J$3500,5,0)</f>
        <v>#N/A</v>
      </c>
      <c r="E1124" s="1" t="s">
        <v>1482</v>
      </c>
      <c r="F1124" s="5">
        <f t="shared" si="51"/>
        <v>0</v>
      </c>
      <c r="G1124" s="5" t="s">
        <v>1483</v>
      </c>
      <c r="H1124" s="4" t="e">
        <f>VLOOKUP(A1124,المعطيات!$A$1:$J$3500,3,0)</f>
        <v>#N/A</v>
      </c>
      <c r="I1124" s="1" t="s">
        <v>1484</v>
      </c>
      <c r="J1124" s="1" t="s">
        <v>1485</v>
      </c>
      <c r="K1124" s="4" t="e">
        <f>VLOOKUP(A1124,المعطيات!$A$1:$J$3500,6,0)</f>
        <v>#N/A</v>
      </c>
      <c r="L1124" s="1" t="s">
        <v>1486</v>
      </c>
      <c r="M1124" s="1" t="s">
        <v>1487</v>
      </c>
      <c r="N1124" s="4" t="e">
        <f t="shared" si="52"/>
        <v>#N/A</v>
      </c>
      <c r="O1124" s="1" t="s">
        <v>1488</v>
      </c>
      <c r="P1124" s="4" t="e">
        <f>VLOOKUP(A1124,المعطيات!$A$1:$J$3500,4,0)</f>
        <v>#N/A</v>
      </c>
      <c r="Q1124" s="1" t="s">
        <v>1489</v>
      </c>
      <c r="R1124" s="1" t="s">
        <v>1480</v>
      </c>
      <c r="S1124" s="6" t="e">
        <f t="shared" si="53"/>
        <v>#N/A</v>
      </c>
    </row>
    <row r="1125" spans="2:19" x14ac:dyDescent="0.25">
      <c r="B1125" s="1" t="s">
        <v>1479</v>
      </c>
      <c r="C1125" s="1" t="s">
        <v>1481</v>
      </c>
      <c r="D1125" s="4" t="e">
        <f>VLOOKUP(A1125,المعطيات!$A$1:$J$3500,5,0)</f>
        <v>#N/A</v>
      </c>
      <c r="E1125" s="1" t="s">
        <v>1482</v>
      </c>
      <c r="F1125" s="5">
        <f t="shared" si="51"/>
        <v>0</v>
      </c>
      <c r="G1125" s="5" t="s">
        <v>1483</v>
      </c>
      <c r="H1125" s="4" t="e">
        <f>VLOOKUP(A1125,المعطيات!$A$1:$J$3500,3,0)</f>
        <v>#N/A</v>
      </c>
      <c r="I1125" s="1" t="s">
        <v>1484</v>
      </c>
      <c r="J1125" s="1" t="s">
        <v>1485</v>
      </c>
      <c r="K1125" s="4" t="e">
        <f>VLOOKUP(A1125,المعطيات!$A$1:$J$3500,6,0)</f>
        <v>#N/A</v>
      </c>
      <c r="L1125" s="1" t="s">
        <v>1486</v>
      </c>
      <c r="M1125" s="1" t="s">
        <v>1487</v>
      </c>
      <c r="N1125" s="4" t="e">
        <f t="shared" si="52"/>
        <v>#N/A</v>
      </c>
      <c r="O1125" s="1" t="s">
        <v>1488</v>
      </c>
      <c r="P1125" s="4" t="e">
        <f>VLOOKUP(A1125,المعطيات!$A$1:$J$3500,4,0)</f>
        <v>#N/A</v>
      </c>
      <c r="Q1125" s="1" t="s">
        <v>1489</v>
      </c>
      <c r="R1125" s="1" t="s">
        <v>1480</v>
      </c>
      <c r="S1125" s="6" t="e">
        <f t="shared" si="53"/>
        <v>#N/A</v>
      </c>
    </row>
    <row r="1126" spans="2:19" x14ac:dyDescent="0.25">
      <c r="B1126" s="1" t="s">
        <v>1479</v>
      </c>
      <c r="C1126" s="1" t="s">
        <v>1481</v>
      </c>
      <c r="D1126" s="4" t="e">
        <f>VLOOKUP(A1126,المعطيات!$A$1:$J$3500,5,0)</f>
        <v>#N/A</v>
      </c>
      <c r="E1126" s="1" t="s">
        <v>1482</v>
      </c>
      <c r="F1126" s="5">
        <f t="shared" si="51"/>
        <v>0</v>
      </c>
      <c r="G1126" s="5" t="s">
        <v>1483</v>
      </c>
      <c r="H1126" s="4" t="e">
        <f>VLOOKUP(A1126,المعطيات!$A$1:$J$3500,3,0)</f>
        <v>#N/A</v>
      </c>
      <c r="I1126" s="1" t="s">
        <v>1484</v>
      </c>
      <c r="J1126" s="1" t="s">
        <v>1485</v>
      </c>
      <c r="K1126" s="4" t="e">
        <f>VLOOKUP(A1126,المعطيات!$A$1:$J$3500,6,0)</f>
        <v>#N/A</v>
      </c>
      <c r="L1126" s="1" t="s">
        <v>1486</v>
      </c>
      <c r="M1126" s="1" t="s">
        <v>1487</v>
      </c>
      <c r="N1126" s="4" t="e">
        <f t="shared" si="52"/>
        <v>#N/A</v>
      </c>
      <c r="O1126" s="1" t="s">
        <v>1488</v>
      </c>
      <c r="P1126" s="4" t="e">
        <f>VLOOKUP(A1126,المعطيات!$A$1:$J$3500,4,0)</f>
        <v>#N/A</v>
      </c>
      <c r="Q1126" s="1" t="s">
        <v>1489</v>
      </c>
      <c r="R1126" s="1" t="s">
        <v>1480</v>
      </c>
      <c r="S1126" s="6" t="e">
        <f t="shared" si="53"/>
        <v>#N/A</v>
      </c>
    </row>
    <row r="1127" spans="2:19" x14ac:dyDescent="0.25">
      <c r="B1127" s="1" t="s">
        <v>1479</v>
      </c>
      <c r="C1127" s="1" t="s">
        <v>1481</v>
      </c>
      <c r="D1127" s="4" t="e">
        <f>VLOOKUP(A1127,المعطيات!$A$1:$J$3500,5,0)</f>
        <v>#N/A</v>
      </c>
      <c r="E1127" s="1" t="s">
        <v>1482</v>
      </c>
      <c r="F1127" s="5">
        <f t="shared" si="51"/>
        <v>0</v>
      </c>
      <c r="G1127" s="5" t="s">
        <v>1483</v>
      </c>
      <c r="H1127" s="4" t="e">
        <f>VLOOKUP(A1127,المعطيات!$A$1:$J$3500,3,0)</f>
        <v>#N/A</v>
      </c>
      <c r="I1127" s="1" t="s">
        <v>1484</v>
      </c>
      <c r="J1127" s="1" t="s">
        <v>1485</v>
      </c>
      <c r="K1127" s="4" t="e">
        <f>VLOOKUP(A1127,المعطيات!$A$1:$J$3500,6,0)</f>
        <v>#N/A</v>
      </c>
      <c r="L1127" s="1" t="s">
        <v>1486</v>
      </c>
      <c r="M1127" s="1" t="s">
        <v>1487</v>
      </c>
      <c r="N1127" s="4" t="e">
        <f t="shared" si="52"/>
        <v>#N/A</v>
      </c>
      <c r="O1127" s="1" t="s">
        <v>1488</v>
      </c>
      <c r="P1127" s="4" t="e">
        <f>VLOOKUP(A1127,المعطيات!$A$1:$J$3500,4,0)</f>
        <v>#N/A</v>
      </c>
      <c r="Q1127" s="1" t="s">
        <v>1489</v>
      </c>
      <c r="R1127" s="1" t="s">
        <v>1480</v>
      </c>
      <c r="S1127" s="6" t="e">
        <f t="shared" si="53"/>
        <v>#N/A</v>
      </c>
    </row>
    <row r="1128" spans="2:19" x14ac:dyDescent="0.25">
      <c r="B1128" s="1" t="s">
        <v>1479</v>
      </c>
      <c r="C1128" s="1" t="s">
        <v>1481</v>
      </c>
      <c r="D1128" s="4" t="e">
        <f>VLOOKUP(A1128,المعطيات!$A$1:$J$3500,5,0)</f>
        <v>#N/A</v>
      </c>
      <c r="E1128" s="1" t="s">
        <v>1482</v>
      </c>
      <c r="F1128" s="5">
        <f t="shared" si="51"/>
        <v>0</v>
      </c>
      <c r="G1128" s="5" t="s">
        <v>1483</v>
      </c>
      <c r="H1128" s="4" t="e">
        <f>VLOOKUP(A1128,المعطيات!$A$1:$J$3500,3,0)</f>
        <v>#N/A</v>
      </c>
      <c r="I1128" s="1" t="s">
        <v>1484</v>
      </c>
      <c r="J1128" s="1" t="s">
        <v>1485</v>
      </c>
      <c r="K1128" s="4" t="e">
        <f>VLOOKUP(A1128,المعطيات!$A$1:$J$3500,6,0)</f>
        <v>#N/A</v>
      </c>
      <c r="L1128" s="1" t="s">
        <v>1486</v>
      </c>
      <c r="M1128" s="1" t="s">
        <v>1487</v>
      </c>
      <c r="N1128" s="4" t="e">
        <f t="shared" si="52"/>
        <v>#N/A</v>
      </c>
      <c r="O1128" s="1" t="s">
        <v>1488</v>
      </c>
      <c r="P1128" s="4" t="e">
        <f>VLOOKUP(A1128,المعطيات!$A$1:$J$3500,4,0)</f>
        <v>#N/A</v>
      </c>
      <c r="Q1128" s="1" t="s">
        <v>1489</v>
      </c>
      <c r="R1128" s="1" t="s">
        <v>1480</v>
      </c>
      <c r="S1128" s="6" t="e">
        <f t="shared" si="53"/>
        <v>#N/A</v>
      </c>
    </row>
    <row r="1129" spans="2:19" x14ac:dyDescent="0.25">
      <c r="B1129" s="1" t="s">
        <v>1479</v>
      </c>
      <c r="C1129" s="1" t="s">
        <v>1481</v>
      </c>
      <c r="D1129" s="4" t="e">
        <f>VLOOKUP(A1129,المعطيات!$A$1:$J$3500,5,0)</f>
        <v>#N/A</v>
      </c>
      <c r="E1129" s="1" t="s">
        <v>1482</v>
      </c>
      <c r="F1129" s="5">
        <f t="shared" si="51"/>
        <v>0</v>
      </c>
      <c r="G1129" s="5" t="s">
        <v>1483</v>
      </c>
      <c r="H1129" s="4" t="e">
        <f>VLOOKUP(A1129,المعطيات!$A$1:$J$3500,3,0)</f>
        <v>#N/A</v>
      </c>
      <c r="I1129" s="1" t="s">
        <v>1484</v>
      </c>
      <c r="J1129" s="1" t="s">
        <v>1485</v>
      </c>
      <c r="K1129" s="4" t="e">
        <f>VLOOKUP(A1129,المعطيات!$A$1:$J$3500,6,0)</f>
        <v>#N/A</v>
      </c>
      <c r="L1129" s="1" t="s">
        <v>1486</v>
      </c>
      <c r="M1129" s="1" t="s">
        <v>1487</v>
      </c>
      <c r="N1129" s="4" t="e">
        <f t="shared" si="52"/>
        <v>#N/A</v>
      </c>
      <c r="O1129" s="1" t="s">
        <v>1488</v>
      </c>
      <c r="P1129" s="4" t="e">
        <f>VLOOKUP(A1129,المعطيات!$A$1:$J$3500,4,0)</f>
        <v>#N/A</v>
      </c>
      <c r="Q1129" s="1" t="s">
        <v>1489</v>
      </c>
      <c r="R1129" s="1" t="s">
        <v>1480</v>
      </c>
      <c r="S1129" s="6" t="e">
        <f t="shared" si="53"/>
        <v>#N/A</v>
      </c>
    </row>
    <row r="1130" spans="2:19" x14ac:dyDescent="0.25">
      <c r="B1130" s="1" t="s">
        <v>1479</v>
      </c>
      <c r="C1130" s="1" t="s">
        <v>1481</v>
      </c>
      <c r="D1130" s="4" t="e">
        <f>VLOOKUP(A1130,المعطيات!$A$1:$J$3500,5,0)</f>
        <v>#N/A</v>
      </c>
      <c r="E1130" s="1" t="s">
        <v>1482</v>
      </c>
      <c r="F1130" s="5">
        <f t="shared" si="51"/>
        <v>0</v>
      </c>
      <c r="G1130" s="5" t="s">
        <v>1483</v>
      </c>
      <c r="H1130" s="4" t="e">
        <f>VLOOKUP(A1130,المعطيات!$A$1:$J$3500,3,0)</f>
        <v>#N/A</v>
      </c>
      <c r="I1130" s="1" t="s">
        <v>1484</v>
      </c>
      <c r="J1130" s="1" t="s">
        <v>1485</v>
      </c>
      <c r="K1130" s="4" t="e">
        <f>VLOOKUP(A1130,المعطيات!$A$1:$J$3500,6,0)</f>
        <v>#N/A</v>
      </c>
      <c r="L1130" s="1" t="s">
        <v>1486</v>
      </c>
      <c r="M1130" s="1" t="s">
        <v>1487</v>
      </c>
      <c r="N1130" s="4" t="e">
        <f t="shared" si="52"/>
        <v>#N/A</v>
      </c>
      <c r="O1130" s="1" t="s">
        <v>1488</v>
      </c>
      <c r="P1130" s="4" t="e">
        <f>VLOOKUP(A1130,المعطيات!$A$1:$J$3500,4,0)</f>
        <v>#N/A</v>
      </c>
      <c r="Q1130" s="1" t="s">
        <v>1489</v>
      </c>
      <c r="R1130" s="1" t="s">
        <v>1480</v>
      </c>
      <c r="S1130" s="6" t="e">
        <f t="shared" si="53"/>
        <v>#N/A</v>
      </c>
    </row>
    <row r="1131" spans="2:19" x14ac:dyDescent="0.25">
      <c r="B1131" s="1" t="s">
        <v>1479</v>
      </c>
      <c r="C1131" s="1" t="s">
        <v>1481</v>
      </c>
      <c r="D1131" s="4" t="e">
        <f>VLOOKUP(A1131,المعطيات!$A$1:$J$3500,5,0)</f>
        <v>#N/A</v>
      </c>
      <c r="E1131" s="1" t="s">
        <v>1482</v>
      </c>
      <c r="F1131" s="5">
        <f t="shared" si="51"/>
        <v>0</v>
      </c>
      <c r="G1131" s="5" t="s">
        <v>1483</v>
      </c>
      <c r="H1131" s="4" t="e">
        <f>VLOOKUP(A1131,المعطيات!$A$1:$J$3500,3,0)</f>
        <v>#N/A</v>
      </c>
      <c r="I1131" s="1" t="s">
        <v>1484</v>
      </c>
      <c r="J1131" s="1" t="s">
        <v>1485</v>
      </c>
      <c r="K1131" s="4" t="e">
        <f>VLOOKUP(A1131,المعطيات!$A$1:$J$3500,6,0)</f>
        <v>#N/A</v>
      </c>
      <c r="L1131" s="1" t="s">
        <v>1486</v>
      </c>
      <c r="M1131" s="1" t="s">
        <v>1487</v>
      </c>
      <c r="N1131" s="4" t="e">
        <f t="shared" si="52"/>
        <v>#N/A</v>
      </c>
      <c r="O1131" s="1" t="s">
        <v>1488</v>
      </c>
      <c r="P1131" s="4" t="e">
        <f>VLOOKUP(A1131,المعطيات!$A$1:$J$3500,4,0)</f>
        <v>#N/A</v>
      </c>
      <c r="Q1131" s="1" t="s">
        <v>1489</v>
      </c>
      <c r="R1131" s="1" t="s">
        <v>1480</v>
      </c>
      <c r="S1131" s="6" t="e">
        <f t="shared" si="53"/>
        <v>#N/A</v>
      </c>
    </row>
    <row r="1132" spans="2:19" x14ac:dyDescent="0.25">
      <c r="B1132" s="1" t="s">
        <v>1479</v>
      </c>
      <c r="C1132" s="1" t="s">
        <v>1481</v>
      </c>
      <c r="D1132" s="4" t="e">
        <f>VLOOKUP(A1132,المعطيات!$A$1:$J$3500,5,0)</f>
        <v>#N/A</v>
      </c>
      <c r="E1132" s="1" t="s">
        <v>1482</v>
      </c>
      <c r="F1132" s="5">
        <f t="shared" si="51"/>
        <v>0</v>
      </c>
      <c r="G1132" s="5" t="s">
        <v>1483</v>
      </c>
      <c r="H1132" s="4" t="e">
        <f>VLOOKUP(A1132,المعطيات!$A$1:$J$3500,3,0)</f>
        <v>#N/A</v>
      </c>
      <c r="I1132" s="1" t="s">
        <v>1484</v>
      </c>
      <c r="J1132" s="1" t="s">
        <v>1485</v>
      </c>
      <c r="K1132" s="4" t="e">
        <f>VLOOKUP(A1132,المعطيات!$A$1:$J$3500,6,0)</f>
        <v>#N/A</v>
      </c>
      <c r="L1132" s="1" t="s">
        <v>1486</v>
      </c>
      <c r="M1132" s="1" t="s">
        <v>1487</v>
      </c>
      <c r="N1132" s="4" t="e">
        <f t="shared" si="52"/>
        <v>#N/A</v>
      </c>
      <c r="O1132" s="1" t="s">
        <v>1488</v>
      </c>
      <c r="P1132" s="4" t="e">
        <f>VLOOKUP(A1132,المعطيات!$A$1:$J$3500,4,0)</f>
        <v>#N/A</v>
      </c>
      <c r="Q1132" s="1" t="s">
        <v>1489</v>
      </c>
      <c r="R1132" s="1" t="s">
        <v>1480</v>
      </c>
      <c r="S1132" s="6" t="e">
        <f t="shared" si="53"/>
        <v>#N/A</v>
      </c>
    </row>
    <row r="1133" spans="2:19" x14ac:dyDescent="0.25">
      <c r="B1133" s="1" t="s">
        <v>1479</v>
      </c>
      <c r="C1133" s="1" t="s">
        <v>1481</v>
      </c>
      <c r="D1133" s="4" t="e">
        <f>VLOOKUP(A1133,المعطيات!$A$1:$J$3500,5,0)</f>
        <v>#N/A</v>
      </c>
      <c r="E1133" s="1" t="s">
        <v>1482</v>
      </c>
      <c r="F1133" s="5">
        <f t="shared" si="51"/>
        <v>0</v>
      </c>
      <c r="G1133" s="5" t="s">
        <v>1483</v>
      </c>
      <c r="H1133" s="4" t="e">
        <f>VLOOKUP(A1133,المعطيات!$A$1:$J$3500,3,0)</f>
        <v>#N/A</v>
      </c>
      <c r="I1133" s="1" t="s">
        <v>1484</v>
      </c>
      <c r="J1133" s="1" t="s">
        <v>1485</v>
      </c>
      <c r="K1133" s="4" t="e">
        <f>VLOOKUP(A1133,المعطيات!$A$1:$J$3500,6,0)</f>
        <v>#N/A</v>
      </c>
      <c r="L1133" s="1" t="s">
        <v>1486</v>
      </c>
      <c r="M1133" s="1" t="s">
        <v>1487</v>
      </c>
      <c r="N1133" s="4" t="e">
        <f t="shared" si="52"/>
        <v>#N/A</v>
      </c>
      <c r="O1133" s="1" t="s">
        <v>1488</v>
      </c>
      <c r="P1133" s="4" t="e">
        <f>VLOOKUP(A1133,المعطيات!$A$1:$J$3500,4,0)</f>
        <v>#N/A</v>
      </c>
      <c r="Q1133" s="1" t="s">
        <v>1489</v>
      </c>
      <c r="R1133" s="1" t="s">
        <v>1480</v>
      </c>
      <c r="S1133" s="6" t="e">
        <f t="shared" si="53"/>
        <v>#N/A</v>
      </c>
    </row>
    <row r="1134" spans="2:19" x14ac:dyDescent="0.25">
      <c r="B1134" s="1" t="s">
        <v>1479</v>
      </c>
      <c r="C1134" s="1" t="s">
        <v>1481</v>
      </c>
      <c r="D1134" s="4" t="e">
        <f>VLOOKUP(A1134,المعطيات!$A$1:$J$3500,5,0)</f>
        <v>#N/A</v>
      </c>
      <c r="E1134" s="1" t="s">
        <v>1482</v>
      </c>
      <c r="F1134" s="5">
        <f t="shared" si="51"/>
        <v>0</v>
      </c>
      <c r="G1134" s="5" t="s">
        <v>1483</v>
      </c>
      <c r="H1134" s="4" t="e">
        <f>VLOOKUP(A1134,المعطيات!$A$1:$J$3500,3,0)</f>
        <v>#N/A</v>
      </c>
      <c r="I1134" s="1" t="s">
        <v>1484</v>
      </c>
      <c r="J1134" s="1" t="s">
        <v>1485</v>
      </c>
      <c r="K1134" s="4" t="e">
        <f>VLOOKUP(A1134,المعطيات!$A$1:$J$3500,6,0)</f>
        <v>#N/A</v>
      </c>
      <c r="L1134" s="1" t="s">
        <v>1486</v>
      </c>
      <c r="M1134" s="1" t="s">
        <v>1487</v>
      </c>
      <c r="N1134" s="4" t="e">
        <f t="shared" si="52"/>
        <v>#N/A</v>
      </c>
      <c r="O1134" s="1" t="s">
        <v>1488</v>
      </c>
      <c r="P1134" s="4" t="e">
        <f>VLOOKUP(A1134,المعطيات!$A$1:$J$3500,4,0)</f>
        <v>#N/A</v>
      </c>
      <c r="Q1134" s="1" t="s">
        <v>1489</v>
      </c>
      <c r="R1134" s="1" t="s">
        <v>1480</v>
      </c>
      <c r="S1134" s="6" t="e">
        <f t="shared" si="53"/>
        <v>#N/A</v>
      </c>
    </row>
    <row r="1135" spans="2:19" x14ac:dyDescent="0.25">
      <c r="B1135" s="1" t="s">
        <v>1479</v>
      </c>
      <c r="C1135" s="1" t="s">
        <v>1481</v>
      </c>
      <c r="D1135" s="4" t="e">
        <f>VLOOKUP(A1135,المعطيات!$A$1:$J$3500,5,0)</f>
        <v>#N/A</v>
      </c>
      <c r="E1135" s="1" t="s">
        <v>1482</v>
      </c>
      <c r="F1135" s="5">
        <f t="shared" si="51"/>
        <v>0</v>
      </c>
      <c r="G1135" s="5" t="s">
        <v>1483</v>
      </c>
      <c r="H1135" s="4" t="e">
        <f>VLOOKUP(A1135,المعطيات!$A$1:$J$3500,3,0)</f>
        <v>#N/A</v>
      </c>
      <c r="I1135" s="1" t="s">
        <v>1484</v>
      </c>
      <c r="J1135" s="1" t="s">
        <v>1485</v>
      </c>
      <c r="K1135" s="4" t="e">
        <f>VLOOKUP(A1135,المعطيات!$A$1:$J$3500,6,0)</f>
        <v>#N/A</v>
      </c>
      <c r="L1135" s="1" t="s">
        <v>1486</v>
      </c>
      <c r="M1135" s="1" t="s">
        <v>1487</v>
      </c>
      <c r="N1135" s="4" t="e">
        <f t="shared" si="52"/>
        <v>#N/A</v>
      </c>
      <c r="O1135" s="1" t="s">
        <v>1488</v>
      </c>
      <c r="P1135" s="4" t="e">
        <f>VLOOKUP(A1135,المعطيات!$A$1:$J$3500,4,0)</f>
        <v>#N/A</v>
      </c>
      <c r="Q1135" s="1" t="s">
        <v>1489</v>
      </c>
      <c r="R1135" s="1" t="s">
        <v>1480</v>
      </c>
      <c r="S1135" s="6" t="e">
        <f t="shared" si="53"/>
        <v>#N/A</v>
      </c>
    </row>
    <row r="1136" spans="2:19" x14ac:dyDescent="0.25">
      <c r="B1136" s="1" t="s">
        <v>1479</v>
      </c>
      <c r="C1136" s="1" t="s">
        <v>1481</v>
      </c>
      <c r="D1136" s="4" t="e">
        <f>VLOOKUP(A1136,المعطيات!$A$1:$J$3500,5,0)</f>
        <v>#N/A</v>
      </c>
      <c r="E1136" s="1" t="s">
        <v>1482</v>
      </c>
      <c r="F1136" s="5">
        <f t="shared" si="51"/>
        <v>0</v>
      </c>
      <c r="G1136" s="5" t="s">
        <v>1483</v>
      </c>
      <c r="H1136" s="4" t="e">
        <f>VLOOKUP(A1136,المعطيات!$A$1:$J$3500,3,0)</f>
        <v>#N/A</v>
      </c>
      <c r="I1136" s="1" t="s">
        <v>1484</v>
      </c>
      <c r="J1136" s="1" t="s">
        <v>1485</v>
      </c>
      <c r="K1136" s="4" t="e">
        <f>VLOOKUP(A1136,المعطيات!$A$1:$J$3500,6,0)</f>
        <v>#N/A</v>
      </c>
      <c r="L1136" s="1" t="s">
        <v>1486</v>
      </c>
      <c r="M1136" s="1" t="s">
        <v>1487</v>
      </c>
      <c r="N1136" s="4" t="e">
        <f t="shared" si="52"/>
        <v>#N/A</v>
      </c>
      <c r="O1136" s="1" t="s">
        <v>1488</v>
      </c>
      <c r="P1136" s="4" t="e">
        <f>VLOOKUP(A1136,المعطيات!$A$1:$J$3500,4,0)</f>
        <v>#N/A</v>
      </c>
      <c r="Q1136" s="1" t="s">
        <v>1489</v>
      </c>
      <c r="R1136" s="1" t="s">
        <v>1480</v>
      </c>
      <c r="S1136" s="6" t="e">
        <f t="shared" si="53"/>
        <v>#N/A</v>
      </c>
    </row>
    <row r="1137" spans="2:19" x14ac:dyDescent="0.25">
      <c r="B1137" s="1" t="s">
        <v>1479</v>
      </c>
      <c r="C1137" s="1" t="s">
        <v>1481</v>
      </c>
      <c r="D1137" s="4" t="e">
        <f>VLOOKUP(A1137,المعطيات!$A$1:$J$3500,5,0)</f>
        <v>#N/A</v>
      </c>
      <c r="E1137" s="1" t="s">
        <v>1482</v>
      </c>
      <c r="F1137" s="5">
        <f t="shared" si="51"/>
        <v>0</v>
      </c>
      <c r="G1137" s="5" t="s">
        <v>1483</v>
      </c>
      <c r="H1137" s="4" t="e">
        <f>VLOOKUP(A1137,المعطيات!$A$1:$J$3500,3,0)</f>
        <v>#N/A</v>
      </c>
      <c r="I1137" s="1" t="s">
        <v>1484</v>
      </c>
      <c r="J1137" s="1" t="s">
        <v>1485</v>
      </c>
      <c r="K1137" s="4" t="e">
        <f>VLOOKUP(A1137,المعطيات!$A$1:$J$3500,6,0)</f>
        <v>#N/A</v>
      </c>
      <c r="L1137" s="1" t="s">
        <v>1486</v>
      </c>
      <c r="M1137" s="1" t="s">
        <v>1487</v>
      </c>
      <c r="N1137" s="4" t="e">
        <f t="shared" si="52"/>
        <v>#N/A</v>
      </c>
      <c r="O1137" s="1" t="s">
        <v>1488</v>
      </c>
      <c r="P1137" s="4" t="e">
        <f>VLOOKUP(A1137,المعطيات!$A$1:$J$3500,4,0)</f>
        <v>#N/A</v>
      </c>
      <c r="Q1137" s="1" t="s">
        <v>1489</v>
      </c>
      <c r="R1137" s="1" t="s">
        <v>1480</v>
      </c>
      <c r="S1137" s="6" t="e">
        <f t="shared" si="53"/>
        <v>#N/A</v>
      </c>
    </row>
    <row r="1138" spans="2:19" x14ac:dyDescent="0.25">
      <c r="B1138" s="1" t="s">
        <v>1479</v>
      </c>
      <c r="C1138" s="1" t="s">
        <v>1481</v>
      </c>
      <c r="D1138" s="4" t="e">
        <f>VLOOKUP(A1138,المعطيات!$A$1:$J$3500,5,0)</f>
        <v>#N/A</v>
      </c>
      <c r="E1138" s="1" t="s">
        <v>1482</v>
      </c>
      <c r="F1138" s="5">
        <f t="shared" si="51"/>
        <v>0</v>
      </c>
      <c r="G1138" s="5" t="s">
        <v>1483</v>
      </c>
      <c r="H1138" s="4" t="e">
        <f>VLOOKUP(A1138,المعطيات!$A$1:$J$3500,3,0)</f>
        <v>#N/A</v>
      </c>
      <c r="I1138" s="1" t="s">
        <v>1484</v>
      </c>
      <c r="J1138" s="1" t="s">
        <v>1485</v>
      </c>
      <c r="K1138" s="4" t="e">
        <f>VLOOKUP(A1138,المعطيات!$A$1:$J$3500,6,0)</f>
        <v>#N/A</v>
      </c>
      <c r="L1138" s="1" t="s">
        <v>1486</v>
      </c>
      <c r="M1138" s="1" t="s">
        <v>1487</v>
      </c>
      <c r="N1138" s="4" t="e">
        <f t="shared" si="52"/>
        <v>#N/A</v>
      </c>
      <c r="O1138" s="1" t="s">
        <v>1488</v>
      </c>
      <c r="P1138" s="4" t="e">
        <f>VLOOKUP(A1138,المعطيات!$A$1:$J$3500,4,0)</f>
        <v>#N/A</v>
      </c>
      <c r="Q1138" s="1" t="s">
        <v>1489</v>
      </c>
      <c r="R1138" s="1" t="s">
        <v>1480</v>
      </c>
      <c r="S1138" s="6" t="e">
        <f t="shared" si="53"/>
        <v>#N/A</v>
      </c>
    </row>
    <row r="1139" spans="2:19" x14ac:dyDescent="0.25">
      <c r="B1139" s="1" t="s">
        <v>1479</v>
      </c>
      <c r="C1139" s="1" t="s">
        <v>1481</v>
      </c>
      <c r="D1139" s="4" t="e">
        <f>VLOOKUP(A1139,المعطيات!$A$1:$J$3500,5,0)</f>
        <v>#N/A</v>
      </c>
      <c r="E1139" s="1" t="s">
        <v>1482</v>
      </c>
      <c r="F1139" s="5">
        <f t="shared" si="51"/>
        <v>0</v>
      </c>
      <c r="G1139" s="5" t="s">
        <v>1483</v>
      </c>
      <c r="H1139" s="4" t="e">
        <f>VLOOKUP(A1139,المعطيات!$A$1:$J$3500,3,0)</f>
        <v>#N/A</v>
      </c>
      <c r="I1139" s="1" t="s">
        <v>1484</v>
      </c>
      <c r="J1139" s="1" t="s">
        <v>1485</v>
      </c>
      <c r="K1139" s="4" t="e">
        <f>VLOOKUP(A1139,المعطيات!$A$1:$J$3500,6,0)</f>
        <v>#N/A</v>
      </c>
      <c r="L1139" s="1" t="s">
        <v>1486</v>
      </c>
      <c r="M1139" s="1" t="s">
        <v>1487</v>
      </c>
      <c r="N1139" s="4" t="e">
        <f t="shared" si="52"/>
        <v>#N/A</v>
      </c>
      <c r="O1139" s="1" t="s">
        <v>1488</v>
      </c>
      <c r="P1139" s="4" t="e">
        <f>VLOOKUP(A1139,المعطيات!$A$1:$J$3500,4,0)</f>
        <v>#N/A</v>
      </c>
      <c r="Q1139" s="1" t="s">
        <v>1489</v>
      </c>
      <c r="R1139" s="1" t="s">
        <v>1480</v>
      </c>
      <c r="S1139" s="6" t="e">
        <f t="shared" si="53"/>
        <v>#N/A</v>
      </c>
    </row>
    <row r="1140" spans="2:19" x14ac:dyDescent="0.25">
      <c r="B1140" s="1" t="s">
        <v>1479</v>
      </c>
      <c r="C1140" s="1" t="s">
        <v>1481</v>
      </c>
      <c r="D1140" s="4" t="e">
        <f>VLOOKUP(A1140,المعطيات!$A$1:$J$3500,5,0)</f>
        <v>#N/A</v>
      </c>
      <c r="E1140" s="1" t="s">
        <v>1482</v>
      </c>
      <c r="F1140" s="5">
        <f t="shared" si="51"/>
        <v>0</v>
      </c>
      <c r="G1140" s="5" t="s">
        <v>1483</v>
      </c>
      <c r="H1140" s="4" t="e">
        <f>VLOOKUP(A1140,المعطيات!$A$1:$J$3500,3,0)</f>
        <v>#N/A</v>
      </c>
      <c r="I1140" s="1" t="s">
        <v>1484</v>
      </c>
      <c r="J1140" s="1" t="s">
        <v>1485</v>
      </c>
      <c r="K1140" s="4" t="e">
        <f>VLOOKUP(A1140,المعطيات!$A$1:$J$3500,6,0)</f>
        <v>#N/A</v>
      </c>
      <c r="L1140" s="1" t="s">
        <v>1486</v>
      </c>
      <c r="M1140" s="1" t="s">
        <v>1487</v>
      </c>
      <c r="N1140" s="4" t="e">
        <f t="shared" si="52"/>
        <v>#N/A</v>
      </c>
      <c r="O1140" s="1" t="s">
        <v>1488</v>
      </c>
      <c r="P1140" s="4" t="e">
        <f>VLOOKUP(A1140,المعطيات!$A$1:$J$3500,4,0)</f>
        <v>#N/A</v>
      </c>
      <c r="Q1140" s="1" t="s">
        <v>1489</v>
      </c>
      <c r="R1140" s="1" t="s">
        <v>1480</v>
      </c>
      <c r="S1140" s="6" t="e">
        <f t="shared" si="53"/>
        <v>#N/A</v>
      </c>
    </row>
    <row r="1141" spans="2:19" x14ac:dyDescent="0.25">
      <c r="B1141" s="1" t="s">
        <v>1479</v>
      </c>
      <c r="C1141" s="1" t="s">
        <v>1481</v>
      </c>
      <c r="D1141" s="4" t="e">
        <f>VLOOKUP(A1141,المعطيات!$A$1:$J$3500,5,0)</f>
        <v>#N/A</v>
      </c>
      <c r="E1141" s="1" t="s">
        <v>1482</v>
      </c>
      <c r="F1141" s="5">
        <f t="shared" si="51"/>
        <v>0</v>
      </c>
      <c r="G1141" s="5" t="s">
        <v>1483</v>
      </c>
      <c r="H1141" s="4" t="e">
        <f>VLOOKUP(A1141,المعطيات!$A$1:$J$3500,3,0)</f>
        <v>#N/A</v>
      </c>
      <c r="I1141" s="1" t="s">
        <v>1484</v>
      </c>
      <c r="J1141" s="1" t="s">
        <v>1485</v>
      </c>
      <c r="K1141" s="4" t="e">
        <f>VLOOKUP(A1141,المعطيات!$A$1:$J$3500,6,0)</f>
        <v>#N/A</v>
      </c>
      <c r="L1141" s="1" t="s">
        <v>1486</v>
      </c>
      <c r="M1141" s="1" t="s">
        <v>1487</v>
      </c>
      <c r="N1141" s="4" t="e">
        <f t="shared" si="52"/>
        <v>#N/A</v>
      </c>
      <c r="O1141" s="1" t="s">
        <v>1488</v>
      </c>
      <c r="P1141" s="4" t="e">
        <f>VLOOKUP(A1141,المعطيات!$A$1:$J$3500,4,0)</f>
        <v>#N/A</v>
      </c>
      <c r="Q1141" s="1" t="s">
        <v>1489</v>
      </c>
      <c r="R1141" s="1" t="s">
        <v>1480</v>
      </c>
      <c r="S1141" s="6" t="e">
        <f t="shared" si="53"/>
        <v>#N/A</v>
      </c>
    </row>
    <row r="1142" spans="2:19" x14ac:dyDescent="0.25">
      <c r="B1142" s="1" t="s">
        <v>1479</v>
      </c>
      <c r="C1142" s="1" t="s">
        <v>1481</v>
      </c>
      <c r="D1142" s="4" t="e">
        <f>VLOOKUP(A1142,المعطيات!$A$1:$J$3500,5,0)</f>
        <v>#N/A</v>
      </c>
      <c r="E1142" s="1" t="s">
        <v>1482</v>
      </c>
      <c r="F1142" s="5">
        <f t="shared" si="51"/>
        <v>0</v>
      </c>
      <c r="G1142" s="5" t="s">
        <v>1483</v>
      </c>
      <c r="H1142" s="4" t="e">
        <f>VLOOKUP(A1142,المعطيات!$A$1:$J$3500,3,0)</f>
        <v>#N/A</v>
      </c>
      <c r="I1142" s="1" t="s">
        <v>1484</v>
      </c>
      <c r="J1142" s="1" t="s">
        <v>1485</v>
      </c>
      <c r="K1142" s="4" t="e">
        <f>VLOOKUP(A1142,المعطيات!$A$1:$J$3500,6,0)</f>
        <v>#N/A</v>
      </c>
      <c r="L1142" s="1" t="s">
        <v>1486</v>
      </c>
      <c r="M1142" s="1" t="s">
        <v>1487</v>
      </c>
      <c r="N1142" s="4" t="e">
        <f t="shared" si="52"/>
        <v>#N/A</v>
      </c>
      <c r="O1142" s="1" t="s">
        <v>1488</v>
      </c>
      <c r="P1142" s="4" t="e">
        <f>VLOOKUP(A1142,المعطيات!$A$1:$J$3500,4,0)</f>
        <v>#N/A</v>
      </c>
      <c r="Q1142" s="1" t="s">
        <v>1489</v>
      </c>
      <c r="R1142" s="1" t="s">
        <v>1480</v>
      </c>
      <c r="S1142" s="6" t="e">
        <f t="shared" si="53"/>
        <v>#N/A</v>
      </c>
    </row>
    <row r="1143" spans="2:19" x14ac:dyDescent="0.25">
      <c r="B1143" s="1" t="s">
        <v>1479</v>
      </c>
      <c r="C1143" s="1" t="s">
        <v>1481</v>
      </c>
      <c r="D1143" s="4" t="e">
        <f>VLOOKUP(A1143,المعطيات!$A$1:$J$3500,5,0)</f>
        <v>#N/A</v>
      </c>
      <c r="E1143" s="1" t="s">
        <v>1482</v>
      </c>
      <c r="F1143" s="5">
        <f t="shared" si="51"/>
        <v>0</v>
      </c>
      <c r="G1143" s="5" t="s">
        <v>1483</v>
      </c>
      <c r="H1143" s="4" t="e">
        <f>VLOOKUP(A1143,المعطيات!$A$1:$J$3500,3,0)</f>
        <v>#N/A</v>
      </c>
      <c r="I1143" s="1" t="s">
        <v>1484</v>
      </c>
      <c r="J1143" s="1" t="s">
        <v>1485</v>
      </c>
      <c r="K1143" s="4" t="e">
        <f>VLOOKUP(A1143,المعطيات!$A$1:$J$3500,6,0)</f>
        <v>#N/A</v>
      </c>
      <c r="L1143" s="1" t="s">
        <v>1486</v>
      </c>
      <c r="M1143" s="1" t="s">
        <v>1487</v>
      </c>
      <c r="N1143" s="4" t="e">
        <f t="shared" si="52"/>
        <v>#N/A</v>
      </c>
      <c r="O1143" s="1" t="s">
        <v>1488</v>
      </c>
      <c r="P1143" s="4" t="e">
        <f>VLOOKUP(A1143,المعطيات!$A$1:$J$3500,4,0)</f>
        <v>#N/A</v>
      </c>
      <c r="Q1143" s="1" t="s">
        <v>1489</v>
      </c>
      <c r="R1143" s="1" t="s">
        <v>1480</v>
      </c>
      <c r="S1143" s="6" t="e">
        <f t="shared" si="53"/>
        <v>#N/A</v>
      </c>
    </row>
    <row r="1144" spans="2:19" x14ac:dyDescent="0.25">
      <c r="B1144" s="1" t="s">
        <v>1479</v>
      </c>
      <c r="C1144" s="1" t="s">
        <v>1481</v>
      </c>
      <c r="D1144" s="4" t="e">
        <f>VLOOKUP(A1144,المعطيات!$A$1:$J$3500,5,0)</f>
        <v>#N/A</v>
      </c>
      <c r="E1144" s="1" t="s">
        <v>1482</v>
      </c>
      <c r="F1144" s="5">
        <f t="shared" si="51"/>
        <v>0</v>
      </c>
      <c r="G1144" s="5" t="s">
        <v>1483</v>
      </c>
      <c r="H1144" s="4" t="e">
        <f>VLOOKUP(A1144,المعطيات!$A$1:$J$3500,3,0)</f>
        <v>#N/A</v>
      </c>
      <c r="I1144" s="1" t="s">
        <v>1484</v>
      </c>
      <c r="J1144" s="1" t="s">
        <v>1485</v>
      </c>
      <c r="K1144" s="4" t="e">
        <f>VLOOKUP(A1144,المعطيات!$A$1:$J$3500,6,0)</f>
        <v>#N/A</v>
      </c>
      <c r="L1144" s="1" t="s">
        <v>1486</v>
      </c>
      <c r="M1144" s="1" t="s">
        <v>1487</v>
      </c>
      <c r="N1144" s="4" t="e">
        <f t="shared" si="52"/>
        <v>#N/A</v>
      </c>
      <c r="O1144" s="1" t="s">
        <v>1488</v>
      </c>
      <c r="P1144" s="4" t="e">
        <f>VLOOKUP(A1144,المعطيات!$A$1:$J$3500,4,0)</f>
        <v>#N/A</v>
      </c>
      <c r="Q1144" s="1" t="s">
        <v>1489</v>
      </c>
      <c r="R1144" s="1" t="s">
        <v>1480</v>
      </c>
      <c r="S1144" s="6" t="e">
        <f t="shared" si="53"/>
        <v>#N/A</v>
      </c>
    </row>
    <row r="1145" spans="2:19" x14ac:dyDescent="0.25">
      <c r="B1145" s="1" t="s">
        <v>1479</v>
      </c>
      <c r="C1145" s="1" t="s">
        <v>1481</v>
      </c>
      <c r="D1145" s="4" t="e">
        <f>VLOOKUP(A1145,المعطيات!$A$1:$J$3500,5,0)</f>
        <v>#N/A</v>
      </c>
      <c r="E1145" s="1" t="s">
        <v>1482</v>
      </c>
      <c r="F1145" s="5">
        <f t="shared" si="51"/>
        <v>0</v>
      </c>
      <c r="G1145" s="5" t="s">
        <v>1483</v>
      </c>
      <c r="H1145" s="4" t="e">
        <f>VLOOKUP(A1145,المعطيات!$A$1:$J$3500,3,0)</f>
        <v>#N/A</v>
      </c>
      <c r="I1145" s="1" t="s">
        <v>1484</v>
      </c>
      <c r="J1145" s="1" t="s">
        <v>1485</v>
      </c>
      <c r="K1145" s="4" t="e">
        <f>VLOOKUP(A1145,المعطيات!$A$1:$J$3500,6,0)</f>
        <v>#N/A</v>
      </c>
      <c r="L1145" s="1" t="s">
        <v>1486</v>
      </c>
      <c r="M1145" s="1" t="s">
        <v>1487</v>
      </c>
      <c r="N1145" s="4" t="e">
        <f t="shared" si="52"/>
        <v>#N/A</v>
      </c>
      <c r="O1145" s="1" t="s">
        <v>1488</v>
      </c>
      <c r="P1145" s="4" t="e">
        <f>VLOOKUP(A1145,المعطيات!$A$1:$J$3500,4,0)</f>
        <v>#N/A</v>
      </c>
      <c r="Q1145" s="1" t="s">
        <v>1489</v>
      </c>
      <c r="R1145" s="1" t="s">
        <v>1480</v>
      </c>
      <c r="S1145" s="6" t="e">
        <f t="shared" si="53"/>
        <v>#N/A</v>
      </c>
    </row>
    <row r="1146" spans="2:19" x14ac:dyDescent="0.25">
      <c r="B1146" s="1" t="s">
        <v>1479</v>
      </c>
      <c r="C1146" s="1" t="s">
        <v>1481</v>
      </c>
      <c r="D1146" s="4" t="e">
        <f>VLOOKUP(A1146,المعطيات!$A$1:$J$3500,5,0)</f>
        <v>#N/A</v>
      </c>
      <c r="E1146" s="1" t="s">
        <v>1482</v>
      </c>
      <c r="F1146" s="5">
        <f t="shared" si="51"/>
        <v>0</v>
      </c>
      <c r="G1146" s="5" t="s">
        <v>1483</v>
      </c>
      <c r="H1146" s="4" t="e">
        <f>VLOOKUP(A1146,المعطيات!$A$1:$J$3500,3,0)</f>
        <v>#N/A</v>
      </c>
      <c r="I1146" s="1" t="s">
        <v>1484</v>
      </c>
      <c r="J1146" s="1" t="s">
        <v>1485</v>
      </c>
      <c r="K1146" s="4" t="e">
        <f>VLOOKUP(A1146,المعطيات!$A$1:$J$3500,6,0)</f>
        <v>#N/A</v>
      </c>
      <c r="L1146" s="1" t="s">
        <v>1486</v>
      </c>
      <c r="M1146" s="1" t="s">
        <v>1487</v>
      </c>
      <c r="N1146" s="4" t="e">
        <f t="shared" si="52"/>
        <v>#N/A</v>
      </c>
      <c r="O1146" s="1" t="s">
        <v>1488</v>
      </c>
      <c r="P1146" s="4" t="e">
        <f>VLOOKUP(A1146,المعطيات!$A$1:$J$3500,4,0)</f>
        <v>#N/A</v>
      </c>
      <c r="Q1146" s="1" t="s">
        <v>1489</v>
      </c>
      <c r="R1146" s="1" t="s">
        <v>1480</v>
      </c>
      <c r="S1146" s="6" t="e">
        <f t="shared" si="53"/>
        <v>#N/A</v>
      </c>
    </row>
    <row r="1147" spans="2:19" x14ac:dyDescent="0.25">
      <c r="B1147" s="1" t="s">
        <v>1479</v>
      </c>
      <c r="C1147" s="1" t="s">
        <v>1481</v>
      </c>
      <c r="D1147" s="4" t="e">
        <f>VLOOKUP(A1147,المعطيات!$A$1:$J$3500,5,0)</f>
        <v>#N/A</v>
      </c>
      <c r="E1147" s="1" t="s">
        <v>1482</v>
      </c>
      <c r="F1147" s="5">
        <f t="shared" si="51"/>
        <v>0</v>
      </c>
      <c r="G1147" s="5" t="s">
        <v>1483</v>
      </c>
      <c r="H1147" s="4" t="e">
        <f>VLOOKUP(A1147,المعطيات!$A$1:$J$3500,3,0)</f>
        <v>#N/A</v>
      </c>
      <c r="I1147" s="1" t="s">
        <v>1484</v>
      </c>
      <c r="J1147" s="1" t="s">
        <v>1485</v>
      </c>
      <c r="K1147" s="4" t="e">
        <f>VLOOKUP(A1147,المعطيات!$A$1:$J$3500,6,0)</f>
        <v>#N/A</v>
      </c>
      <c r="L1147" s="1" t="s">
        <v>1486</v>
      </c>
      <c r="M1147" s="1" t="s">
        <v>1487</v>
      </c>
      <c r="N1147" s="4" t="e">
        <f t="shared" si="52"/>
        <v>#N/A</v>
      </c>
      <c r="O1147" s="1" t="s">
        <v>1488</v>
      </c>
      <c r="P1147" s="4" t="e">
        <f>VLOOKUP(A1147,المعطيات!$A$1:$J$3500,4,0)</f>
        <v>#N/A</v>
      </c>
      <c r="Q1147" s="1" t="s">
        <v>1489</v>
      </c>
      <c r="R1147" s="1" t="s">
        <v>1480</v>
      </c>
      <c r="S1147" s="6" t="e">
        <f t="shared" si="53"/>
        <v>#N/A</v>
      </c>
    </row>
    <row r="1148" spans="2:19" x14ac:dyDescent="0.25">
      <c r="B1148" s="1" t="s">
        <v>1479</v>
      </c>
      <c r="C1148" s="1" t="s">
        <v>1481</v>
      </c>
      <c r="D1148" s="4" t="e">
        <f>VLOOKUP(A1148,المعطيات!$A$1:$J$3500,5,0)</f>
        <v>#N/A</v>
      </c>
      <c r="E1148" s="1" t="s">
        <v>1482</v>
      </c>
      <c r="F1148" s="5">
        <f t="shared" si="51"/>
        <v>0</v>
      </c>
      <c r="G1148" s="5" t="s">
        <v>1483</v>
      </c>
      <c r="H1148" s="4" t="e">
        <f>VLOOKUP(A1148,المعطيات!$A$1:$J$3500,3,0)</f>
        <v>#N/A</v>
      </c>
      <c r="I1148" s="1" t="s">
        <v>1484</v>
      </c>
      <c r="J1148" s="1" t="s">
        <v>1485</v>
      </c>
      <c r="K1148" s="4" t="e">
        <f>VLOOKUP(A1148,المعطيات!$A$1:$J$3500,6,0)</f>
        <v>#N/A</v>
      </c>
      <c r="L1148" s="1" t="s">
        <v>1486</v>
      </c>
      <c r="M1148" s="1" t="s">
        <v>1487</v>
      </c>
      <c r="N1148" s="4" t="e">
        <f t="shared" si="52"/>
        <v>#N/A</v>
      </c>
      <c r="O1148" s="1" t="s">
        <v>1488</v>
      </c>
      <c r="P1148" s="4" t="e">
        <f>VLOOKUP(A1148,المعطيات!$A$1:$J$3500,4,0)</f>
        <v>#N/A</v>
      </c>
      <c r="Q1148" s="1" t="s">
        <v>1489</v>
      </c>
      <c r="R1148" s="1" t="s">
        <v>1480</v>
      </c>
      <c r="S1148" s="6" t="e">
        <f t="shared" si="53"/>
        <v>#N/A</v>
      </c>
    </row>
    <row r="1149" spans="2:19" x14ac:dyDescent="0.25">
      <c r="B1149" s="1" t="s">
        <v>1479</v>
      </c>
      <c r="C1149" s="1" t="s">
        <v>1481</v>
      </c>
      <c r="D1149" s="4" t="e">
        <f>VLOOKUP(A1149,المعطيات!$A$1:$J$3500,5,0)</f>
        <v>#N/A</v>
      </c>
      <c r="E1149" s="1" t="s">
        <v>1482</v>
      </c>
      <c r="F1149" s="5">
        <f t="shared" si="51"/>
        <v>0</v>
      </c>
      <c r="G1149" s="5" t="s">
        <v>1483</v>
      </c>
      <c r="H1149" s="4" t="e">
        <f>VLOOKUP(A1149,المعطيات!$A$1:$J$3500,3,0)</f>
        <v>#N/A</v>
      </c>
      <c r="I1149" s="1" t="s">
        <v>1484</v>
      </c>
      <c r="J1149" s="1" t="s">
        <v>1485</v>
      </c>
      <c r="K1149" s="4" t="e">
        <f>VLOOKUP(A1149,المعطيات!$A$1:$J$3500,6,0)</f>
        <v>#N/A</v>
      </c>
      <c r="L1149" s="1" t="s">
        <v>1486</v>
      </c>
      <c r="M1149" s="1" t="s">
        <v>1487</v>
      </c>
      <c r="N1149" s="4" t="e">
        <f t="shared" si="52"/>
        <v>#N/A</v>
      </c>
      <c r="O1149" s="1" t="s">
        <v>1488</v>
      </c>
      <c r="P1149" s="4" t="e">
        <f>VLOOKUP(A1149,المعطيات!$A$1:$J$3500,4,0)</f>
        <v>#N/A</v>
      </c>
      <c r="Q1149" s="1" t="s">
        <v>1489</v>
      </c>
      <c r="R1149" s="1" t="s">
        <v>1480</v>
      </c>
      <c r="S1149" s="6" t="e">
        <f t="shared" si="53"/>
        <v>#N/A</v>
      </c>
    </row>
    <row r="1150" spans="2:19" x14ac:dyDescent="0.25">
      <c r="B1150" s="1" t="s">
        <v>1479</v>
      </c>
      <c r="C1150" s="1" t="s">
        <v>1481</v>
      </c>
      <c r="D1150" s="4" t="e">
        <f>VLOOKUP(A1150,المعطيات!$A$1:$J$3500,5,0)</f>
        <v>#N/A</v>
      </c>
      <c r="E1150" s="1" t="s">
        <v>1482</v>
      </c>
      <c r="F1150" s="5">
        <f t="shared" si="51"/>
        <v>0</v>
      </c>
      <c r="G1150" s="5" t="s">
        <v>1483</v>
      </c>
      <c r="H1150" s="4" t="e">
        <f>VLOOKUP(A1150,المعطيات!$A$1:$J$3500,3,0)</f>
        <v>#N/A</v>
      </c>
      <c r="I1150" s="1" t="s">
        <v>1484</v>
      </c>
      <c r="J1150" s="1" t="s">
        <v>1485</v>
      </c>
      <c r="K1150" s="4" t="e">
        <f>VLOOKUP(A1150,المعطيات!$A$1:$J$3500,6,0)</f>
        <v>#N/A</v>
      </c>
      <c r="L1150" s="1" t="s">
        <v>1486</v>
      </c>
      <c r="M1150" s="1" t="s">
        <v>1487</v>
      </c>
      <c r="N1150" s="4" t="e">
        <f t="shared" si="52"/>
        <v>#N/A</v>
      </c>
      <c r="O1150" s="1" t="s">
        <v>1488</v>
      </c>
      <c r="P1150" s="4" t="e">
        <f>VLOOKUP(A1150,المعطيات!$A$1:$J$3500,4,0)</f>
        <v>#N/A</v>
      </c>
      <c r="Q1150" s="1" t="s">
        <v>1489</v>
      </c>
      <c r="R1150" s="1" t="s">
        <v>1480</v>
      </c>
      <c r="S1150" s="6" t="e">
        <f t="shared" si="53"/>
        <v>#N/A</v>
      </c>
    </row>
    <row r="1151" spans="2:19" x14ac:dyDescent="0.25">
      <c r="B1151" s="1" t="s">
        <v>1479</v>
      </c>
      <c r="C1151" s="1" t="s">
        <v>1481</v>
      </c>
      <c r="D1151" s="4" t="e">
        <f>VLOOKUP(A1151,المعطيات!$A$1:$J$3500,5,0)</f>
        <v>#N/A</v>
      </c>
      <c r="E1151" s="1" t="s">
        <v>1482</v>
      </c>
      <c r="F1151" s="5">
        <f t="shared" si="51"/>
        <v>0</v>
      </c>
      <c r="G1151" s="5" t="s">
        <v>1483</v>
      </c>
      <c r="H1151" s="4" t="e">
        <f>VLOOKUP(A1151,المعطيات!$A$1:$J$3500,3,0)</f>
        <v>#N/A</v>
      </c>
      <c r="I1151" s="1" t="s">
        <v>1484</v>
      </c>
      <c r="J1151" s="1" t="s">
        <v>1485</v>
      </c>
      <c r="K1151" s="4" t="e">
        <f>VLOOKUP(A1151,المعطيات!$A$1:$J$3500,6,0)</f>
        <v>#N/A</v>
      </c>
      <c r="L1151" s="1" t="s">
        <v>1486</v>
      </c>
      <c r="M1151" s="1" t="s">
        <v>1487</v>
      </c>
      <c r="N1151" s="4" t="e">
        <f t="shared" si="52"/>
        <v>#N/A</v>
      </c>
      <c r="O1151" s="1" t="s">
        <v>1488</v>
      </c>
      <c r="P1151" s="4" t="e">
        <f>VLOOKUP(A1151,المعطيات!$A$1:$J$3500,4,0)</f>
        <v>#N/A</v>
      </c>
      <c r="Q1151" s="1" t="s">
        <v>1489</v>
      </c>
      <c r="R1151" s="1" t="s">
        <v>1480</v>
      </c>
      <c r="S1151" s="6" t="e">
        <f t="shared" si="53"/>
        <v>#N/A</v>
      </c>
    </row>
    <row r="1152" spans="2:19" x14ac:dyDescent="0.25">
      <c r="B1152" s="1" t="s">
        <v>1479</v>
      </c>
      <c r="C1152" s="1" t="s">
        <v>1481</v>
      </c>
      <c r="D1152" s="4" t="e">
        <f>VLOOKUP(A1152,المعطيات!$A$1:$J$3500,5,0)</f>
        <v>#N/A</v>
      </c>
      <c r="E1152" s="1" t="s">
        <v>1482</v>
      </c>
      <c r="F1152" s="5">
        <f t="shared" si="51"/>
        <v>0</v>
      </c>
      <c r="G1152" s="5" t="s">
        <v>1483</v>
      </c>
      <c r="H1152" s="4" t="e">
        <f>VLOOKUP(A1152,المعطيات!$A$1:$J$3500,3,0)</f>
        <v>#N/A</v>
      </c>
      <c r="I1152" s="1" t="s">
        <v>1484</v>
      </c>
      <c r="J1152" s="1" t="s">
        <v>1485</v>
      </c>
      <c r="K1152" s="4" t="e">
        <f>VLOOKUP(A1152,المعطيات!$A$1:$J$3500,6,0)</f>
        <v>#N/A</v>
      </c>
      <c r="L1152" s="1" t="s">
        <v>1486</v>
      </c>
      <c r="M1152" s="1" t="s">
        <v>1487</v>
      </c>
      <c r="N1152" s="4" t="e">
        <f t="shared" si="52"/>
        <v>#N/A</v>
      </c>
      <c r="O1152" s="1" t="s">
        <v>1488</v>
      </c>
      <c r="P1152" s="4" t="e">
        <f>VLOOKUP(A1152,المعطيات!$A$1:$J$3500,4,0)</f>
        <v>#N/A</v>
      </c>
      <c r="Q1152" s="1" t="s">
        <v>1489</v>
      </c>
      <c r="R1152" s="1" t="s">
        <v>1480</v>
      </c>
      <c r="S1152" s="6" t="e">
        <f t="shared" si="53"/>
        <v>#N/A</v>
      </c>
    </row>
    <row r="1153" spans="2:19" x14ac:dyDescent="0.25">
      <c r="B1153" s="1" t="s">
        <v>1479</v>
      </c>
      <c r="C1153" s="1" t="s">
        <v>1481</v>
      </c>
      <c r="D1153" s="4" t="e">
        <f>VLOOKUP(A1153,المعطيات!$A$1:$J$3500,5,0)</f>
        <v>#N/A</v>
      </c>
      <c r="E1153" s="1" t="s">
        <v>1482</v>
      </c>
      <c r="F1153" s="5">
        <f t="shared" si="51"/>
        <v>0</v>
      </c>
      <c r="G1153" s="5" t="s">
        <v>1483</v>
      </c>
      <c r="H1153" s="4" t="e">
        <f>VLOOKUP(A1153,المعطيات!$A$1:$J$3500,3,0)</f>
        <v>#N/A</v>
      </c>
      <c r="I1153" s="1" t="s">
        <v>1484</v>
      </c>
      <c r="J1153" s="1" t="s">
        <v>1485</v>
      </c>
      <c r="K1153" s="4" t="e">
        <f>VLOOKUP(A1153,المعطيات!$A$1:$J$3500,6,0)</f>
        <v>#N/A</v>
      </c>
      <c r="L1153" s="1" t="s">
        <v>1486</v>
      </c>
      <c r="M1153" s="1" t="s">
        <v>1487</v>
      </c>
      <c r="N1153" s="4" t="e">
        <f t="shared" si="52"/>
        <v>#N/A</v>
      </c>
      <c r="O1153" s="1" t="s">
        <v>1488</v>
      </c>
      <c r="P1153" s="4" t="e">
        <f>VLOOKUP(A1153,المعطيات!$A$1:$J$3500,4,0)</f>
        <v>#N/A</v>
      </c>
      <c r="Q1153" s="1" t="s">
        <v>1489</v>
      </c>
      <c r="R1153" s="1" t="s">
        <v>1480</v>
      </c>
      <c r="S1153" s="6" t="e">
        <f t="shared" si="53"/>
        <v>#N/A</v>
      </c>
    </row>
    <row r="1154" spans="2:19" x14ac:dyDescent="0.25">
      <c r="B1154" s="1" t="s">
        <v>1479</v>
      </c>
      <c r="C1154" s="1" t="s">
        <v>1481</v>
      </c>
      <c r="D1154" s="4" t="e">
        <f>VLOOKUP(A1154,المعطيات!$A$1:$J$3500,5,0)</f>
        <v>#N/A</v>
      </c>
      <c r="E1154" s="1" t="s">
        <v>1482</v>
      </c>
      <c r="F1154" s="5">
        <f t="shared" ref="F1154:F1217" si="54">A1154</f>
        <v>0</v>
      </c>
      <c r="G1154" s="5" t="s">
        <v>1483</v>
      </c>
      <c r="H1154" s="4" t="e">
        <f>VLOOKUP(A1154,المعطيات!$A$1:$J$3500,3,0)</f>
        <v>#N/A</v>
      </c>
      <c r="I1154" s="1" t="s">
        <v>1484</v>
      </c>
      <c r="J1154" s="1" t="s">
        <v>1485</v>
      </c>
      <c r="K1154" s="4" t="e">
        <f>VLOOKUP(A1154,المعطيات!$A$1:$J$3500,6,0)</f>
        <v>#N/A</v>
      </c>
      <c r="L1154" s="1" t="s">
        <v>1486</v>
      </c>
      <c r="M1154" s="1" t="s">
        <v>1487</v>
      </c>
      <c r="N1154" s="4" t="e">
        <f t="shared" ref="N1154:N1217" si="55">D1154</f>
        <v>#N/A</v>
      </c>
      <c r="O1154" s="1" t="s">
        <v>1488</v>
      </c>
      <c r="P1154" s="4" t="e">
        <f>VLOOKUP(A1154,المعطيات!$A$1:$J$3500,4,0)</f>
        <v>#N/A</v>
      </c>
      <c r="Q1154" s="1" t="s">
        <v>1489</v>
      </c>
      <c r="R1154" s="1" t="s">
        <v>1480</v>
      </c>
      <c r="S1154" s="6" t="e">
        <f t="shared" ref="S1154:S1217" si="56">B1154&amp;""&amp;C1154&amp;""&amp;D1154&amp;""&amp;E1154&amp;""&amp;F1154&amp;""&amp;G1154&amp;""&amp;H1154&amp;""&amp;I1154&amp;""&amp;J1154&amp;""&amp;K1154&amp;""&amp;L1154&amp;""&amp;M1154&amp;""&amp;N1154&amp;""&amp;O1154&amp;""&amp;P1154&amp;""&amp;Q1154&amp;""&amp;R1154</f>
        <v>#N/A</v>
      </c>
    </row>
    <row r="1155" spans="2:19" x14ac:dyDescent="0.25">
      <c r="B1155" s="1" t="s">
        <v>1479</v>
      </c>
      <c r="C1155" s="1" t="s">
        <v>1481</v>
      </c>
      <c r="D1155" s="4" t="e">
        <f>VLOOKUP(A1155,المعطيات!$A$1:$J$3500,5,0)</f>
        <v>#N/A</v>
      </c>
      <c r="E1155" s="1" t="s">
        <v>1482</v>
      </c>
      <c r="F1155" s="5">
        <f t="shared" si="54"/>
        <v>0</v>
      </c>
      <c r="G1155" s="5" t="s">
        <v>1483</v>
      </c>
      <c r="H1155" s="4" t="e">
        <f>VLOOKUP(A1155,المعطيات!$A$1:$J$3500,3,0)</f>
        <v>#N/A</v>
      </c>
      <c r="I1155" s="1" t="s">
        <v>1484</v>
      </c>
      <c r="J1155" s="1" t="s">
        <v>1485</v>
      </c>
      <c r="K1155" s="4" t="e">
        <f>VLOOKUP(A1155,المعطيات!$A$1:$J$3500,6,0)</f>
        <v>#N/A</v>
      </c>
      <c r="L1155" s="1" t="s">
        <v>1486</v>
      </c>
      <c r="M1155" s="1" t="s">
        <v>1487</v>
      </c>
      <c r="N1155" s="4" t="e">
        <f t="shared" si="55"/>
        <v>#N/A</v>
      </c>
      <c r="O1155" s="1" t="s">
        <v>1488</v>
      </c>
      <c r="P1155" s="4" t="e">
        <f>VLOOKUP(A1155,المعطيات!$A$1:$J$3500,4,0)</f>
        <v>#N/A</v>
      </c>
      <c r="Q1155" s="1" t="s">
        <v>1489</v>
      </c>
      <c r="R1155" s="1" t="s">
        <v>1480</v>
      </c>
      <c r="S1155" s="6" t="e">
        <f t="shared" si="56"/>
        <v>#N/A</v>
      </c>
    </row>
    <row r="1156" spans="2:19" x14ac:dyDescent="0.25">
      <c r="B1156" s="1" t="s">
        <v>1479</v>
      </c>
      <c r="C1156" s="1" t="s">
        <v>1481</v>
      </c>
      <c r="D1156" s="4" t="e">
        <f>VLOOKUP(A1156,المعطيات!$A$1:$J$3500,5,0)</f>
        <v>#N/A</v>
      </c>
      <c r="E1156" s="1" t="s">
        <v>1482</v>
      </c>
      <c r="F1156" s="5">
        <f t="shared" si="54"/>
        <v>0</v>
      </c>
      <c r="G1156" s="5" t="s">
        <v>1483</v>
      </c>
      <c r="H1156" s="4" t="e">
        <f>VLOOKUP(A1156,المعطيات!$A$1:$J$3500,3,0)</f>
        <v>#N/A</v>
      </c>
      <c r="I1156" s="1" t="s">
        <v>1484</v>
      </c>
      <c r="J1156" s="1" t="s">
        <v>1485</v>
      </c>
      <c r="K1156" s="4" t="e">
        <f>VLOOKUP(A1156,المعطيات!$A$1:$J$3500,6,0)</f>
        <v>#N/A</v>
      </c>
      <c r="L1156" s="1" t="s">
        <v>1486</v>
      </c>
      <c r="M1156" s="1" t="s">
        <v>1487</v>
      </c>
      <c r="N1156" s="4" t="e">
        <f t="shared" si="55"/>
        <v>#N/A</v>
      </c>
      <c r="O1156" s="1" t="s">
        <v>1488</v>
      </c>
      <c r="P1156" s="4" t="e">
        <f>VLOOKUP(A1156,المعطيات!$A$1:$J$3500,4,0)</f>
        <v>#N/A</v>
      </c>
      <c r="Q1156" s="1" t="s">
        <v>1489</v>
      </c>
      <c r="R1156" s="1" t="s">
        <v>1480</v>
      </c>
      <c r="S1156" s="6" t="e">
        <f t="shared" si="56"/>
        <v>#N/A</v>
      </c>
    </row>
    <row r="1157" spans="2:19" x14ac:dyDescent="0.25">
      <c r="B1157" s="1" t="s">
        <v>1479</v>
      </c>
      <c r="C1157" s="1" t="s">
        <v>1481</v>
      </c>
      <c r="D1157" s="4" t="e">
        <f>VLOOKUP(A1157,المعطيات!$A$1:$J$3500,5,0)</f>
        <v>#N/A</v>
      </c>
      <c r="E1157" s="1" t="s">
        <v>1482</v>
      </c>
      <c r="F1157" s="5">
        <f t="shared" si="54"/>
        <v>0</v>
      </c>
      <c r="G1157" s="5" t="s">
        <v>1483</v>
      </c>
      <c r="H1157" s="4" t="e">
        <f>VLOOKUP(A1157,المعطيات!$A$1:$J$3500,3,0)</f>
        <v>#N/A</v>
      </c>
      <c r="I1157" s="1" t="s">
        <v>1484</v>
      </c>
      <c r="J1157" s="1" t="s">
        <v>1485</v>
      </c>
      <c r="K1157" s="4" t="e">
        <f>VLOOKUP(A1157,المعطيات!$A$1:$J$3500,6,0)</f>
        <v>#N/A</v>
      </c>
      <c r="L1157" s="1" t="s">
        <v>1486</v>
      </c>
      <c r="M1157" s="1" t="s">
        <v>1487</v>
      </c>
      <c r="N1157" s="4" t="e">
        <f t="shared" si="55"/>
        <v>#N/A</v>
      </c>
      <c r="O1157" s="1" t="s">
        <v>1488</v>
      </c>
      <c r="P1157" s="4" t="e">
        <f>VLOOKUP(A1157,المعطيات!$A$1:$J$3500,4,0)</f>
        <v>#N/A</v>
      </c>
      <c r="Q1157" s="1" t="s">
        <v>1489</v>
      </c>
      <c r="R1157" s="1" t="s">
        <v>1480</v>
      </c>
      <c r="S1157" s="6" t="e">
        <f t="shared" si="56"/>
        <v>#N/A</v>
      </c>
    </row>
    <row r="1158" spans="2:19" x14ac:dyDescent="0.25">
      <c r="B1158" s="1" t="s">
        <v>1479</v>
      </c>
      <c r="C1158" s="1" t="s">
        <v>1481</v>
      </c>
      <c r="D1158" s="4" t="e">
        <f>VLOOKUP(A1158,المعطيات!$A$1:$J$3500,5,0)</f>
        <v>#N/A</v>
      </c>
      <c r="E1158" s="1" t="s">
        <v>1482</v>
      </c>
      <c r="F1158" s="5">
        <f t="shared" si="54"/>
        <v>0</v>
      </c>
      <c r="G1158" s="5" t="s">
        <v>1483</v>
      </c>
      <c r="H1158" s="4" t="e">
        <f>VLOOKUP(A1158,المعطيات!$A$1:$J$3500,3,0)</f>
        <v>#N/A</v>
      </c>
      <c r="I1158" s="1" t="s">
        <v>1484</v>
      </c>
      <c r="J1158" s="1" t="s">
        <v>1485</v>
      </c>
      <c r="K1158" s="4" t="e">
        <f>VLOOKUP(A1158,المعطيات!$A$1:$J$3500,6,0)</f>
        <v>#N/A</v>
      </c>
      <c r="L1158" s="1" t="s">
        <v>1486</v>
      </c>
      <c r="M1158" s="1" t="s">
        <v>1487</v>
      </c>
      <c r="N1158" s="4" t="e">
        <f t="shared" si="55"/>
        <v>#N/A</v>
      </c>
      <c r="O1158" s="1" t="s">
        <v>1488</v>
      </c>
      <c r="P1158" s="4" t="e">
        <f>VLOOKUP(A1158,المعطيات!$A$1:$J$3500,4,0)</f>
        <v>#N/A</v>
      </c>
      <c r="Q1158" s="1" t="s">
        <v>1489</v>
      </c>
      <c r="R1158" s="1" t="s">
        <v>1480</v>
      </c>
      <c r="S1158" s="6" t="e">
        <f t="shared" si="56"/>
        <v>#N/A</v>
      </c>
    </row>
    <row r="1159" spans="2:19" x14ac:dyDescent="0.25">
      <c r="B1159" s="1" t="s">
        <v>1479</v>
      </c>
      <c r="C1159" s="1" t="s">
        <v>1481</v>
      </c>
      <c r="D1159" s="4" t="e">
        <f>VLOOKUP(A1159,المعطيات!$A$1:$J$3500,5,0)</f>
        <v>#N/A</v>
      </c>
      <c r="E1159" s="1" t="s">
        <v>1482</v>
      </c>
      <c r="F1159" s="5">
        <f t="shared" si="54"/>
        <v>0</v>
      </c>
      <c r="G1159" s="5" t="s">
        <v>1483</v>
      </c>
      <c r="H1159" s="4" t="e">
        <f>VLOOKUP(A1159,المعطيات!$A$1:$J$3500,3,0)</f>
        <v>#N/A</v>
      </c>
      <c r="I1159" s="1" t="s">
        <v>1484</v>
      </c>
      <c r="J1159" s="1" t="s">
        <v>1485</v>
      </c>
      <c r="K1159" s="4" t="e">
        <f>VLOOKUP(A1159,المعطيات!$A$1:$J$3500,6,0)</f>
        <v>#N/A</v>
      </c>
      <c r="L1159" s="1" t="s">
        <v>1486</v>
      </c>
      <c r="M1159" s="1" t="s">
        <v>1487</v>
      </c>
      <c r="N1159" s="4" t="e">
        <f t="shared" si="55"/>
        <v>#N/A</v>
      </c>
      <c r="O1159" s="1" t="s">
        <v>1488</v>
      </c>
      <c r="P1159" s="4" t="e">
        <f>VLOOKUP(A1159,المعطيات!$A$1:$J$3500,4,0)</f>
        <v>#N/A</v>
      </c>
      <c r="Q1159" s="1" t="s">
        <v>1489</v>
      </c>
      <c r="R1159" s="1" t="s">
        <v>1480</v>
      </c>
      <c r="S1159" s="6" t="e">
        <f t="shared" si="56"/>
        <v>#N/A</v>
      </c>
    </row>
    <row r="1160" spans="2:19" x14ac:dyDescent="0.25">
      <c r="B1160" s="1" t="s">
        <v>1479</v>
      </c>
      <c r="C1160" s="1" t="s">
        <v>1481</v>
      </c>
      <c r="D1160" s="4" t="e">
        <f>VLOOKUP(A1160,المعطيات!$A$1:$J$3500,5,0)</f>
        <v>#N/A</v>
      </c>
      <c r="E1160" s="1" t="s">
        <v>1482</v>
      </c>
      <c r="F1160" s="5">
        <f t="shared" si="54"/>
        <v>0</v>
      </c>
      <c r="G1160" s="5" t="s">
        <v>1483</v>
      </c>
      <c r="H1160" s="4" t="e">
        <f>VLOOKUP(A1160,المعطيات!$A$1:$J$3500,3,0)</f>
        <v>#N/A</v>
      </c>
      <c r="I1160" s="1" t="s">
        <v>1484</v>
      </c>
      <c r="J1160" s="1" t="s">
        <v>1485</v>
      </c>
      <c r="K1160" s="4" t="e">
        <f>VLOOKUP(A1160,المعطيات!$A$1:$J$3500,6,0)</f>
        <v>#N/A</v>
      </c>
      <c r="L1160" s="1" t="s">
        <v>1486</v>
      </c>
      <c r="M1160" s="1" t="s">
        <v>1487</v>
      </c>
      <c r="N1160" s="4" t="e">
        <f t="shared" si="55"/>
        <v>#N/A</v>
      </c>
      <c r="O1160" s="1" t="s">
        <v>1488</v>
      </c>
      <c r="P1160" s="4" t="e">
        <f>VLOOKUP(A1160,المعطيات!$A$1:$J$3500,4,0)</f>
        <v>#N/A</v>
      </c>
      <c r="Q1160" s="1" t="s">
        <v>1489</v>
      </c>
      <c r="R1160" s="1" t="s">
        <v>1480</v>
      </c>
      <c r="S1160" s="6" t="e">
        <f t="shared" si="56"/>
        <v>#N/A</v>
      </c>
    </row>
    <row r="1161" spans="2:19" x14ac:dyDescent="0.25">
      <c r="B1161" s="1" t="s">
        <v>1479</v>
      </c>
      <c r="C1161" s="1" t="s">
        <v>1481</v>
      </c>
      <c r="D1161" s="4" t="e">
        <f>VLOOKUP(A1161,المعطيات!$A$1:$J$3500,5,0)</f>
        <v>#N/A</v>
      </c>
      <c r="E1161" s="1" t="s">
        <v>1482</v>
      </c>
      <c r="F1161" s="5">
        <f t="shared" si="54"/>
        <v>0</v>
      </c>
      <c r="G1161" s="5" t="s">
        <v>1483</v>
      </c>
      <c r="H1161" s="4" t="e">
        <f>VLOOKUP(A1161,المعطيات!$A$1:$J$3500,3,0)</f>
        <v>#N/A</v>
      </c>
      <c r="I1161" s="1" t="s">
        <v>1484</v>
      </c>
      <c r="J1161" s="1" t="s">
        <v>1485</v>
      </c>
      <c r="K1161" s="4" t="e">
        <f>VLOOKUP(A1161,المعطيات!$A$1:$J$3500,6,0)</f>
        <v>#N/A</v>
      </c>
      <c r="L1161" s="1" t="s">
        <v>1486</v>
      </c>
      <c r="M1161" s="1" t="s">
        <v>1487</v>
      </c>
      <c r="N1161" s="4" t="e">
        <f t="shared" si="55"/>
        <v>#N/A</v>
      </c>
      <c r="O1161" s="1" t="s">
        <v>1488</v>
      </c>
      <c r="P1161" s="4" t="e">
        <f>VLOOKUP(A1161,المعطيات!$A$1:$J$3500,4,0)</f>
        <v>#N/A</v>
      </c>
      <c r="Q1161" s="1" t="s">
        <v>1489</v>
      </c>
      <c r="R1161" s="1" t="s">
        <v>1480</v>
      </c>
      <c r="S1161" s="6" t="e">
        <f t="shared" si="56"/>
        <v>#N/A</v>
      </c>
    </row>
    <row r="1162" spans="2:19" x14ac:dyDescent="0.25">
      <c r="B1162" s="1" t="s">
        <v>1479</v>
      </c>
      <c r="C1162" s="1" t="s">
        <v>1481</v>
      </c>
      <c r="D1162" s="4" t="e">
        <f>VLOOKUP(A1162,المعطيات!$A$1:$J$3500,5,0)</f>
        <v>#N/A</v>
      </c>
      <c r="E1162" s="1" t="s">
        <v>1482</v>
      </c>
      <c r="F1162" s="5">
        <f t="shared" si="54"/>
        <v>0</v>
      </c>
      <c r="G1162" s="5" t="s">
        <v>1483</v>
      </c>
      <c r="H1162" s="4" t="e">
        <f>VLOOKUP(A1162,المعطيات!$A$1:$J$3500,3,0)</f>
        <v>#N/A</v>
      </c>
      <c r="I1162" s="1" t="s">
        <v>1484</v>
      </c>
      <c r="J1162" s="1" t="s">
        <v>1485</v>
      </c>
      <c r="K1162" s="4" t="e">
        <f>VLOOKUP(A1162,المعطيات!$A$1:$J$3500,6,0)</f>
        <v>#N/A</v>
      </c>
      <c r="L1162" s="1" t="s">
        <v>1486</v>
      </c>
      <c r="M1162" s="1" t="s">
        <v>1487</v>
      </c>
      <c r="N1162" s="4" t="e">
        <f t="shared" si="55"/>
        <v>#N/A</v>
      </c>
      <c r="O1162" s="1" t="s">
        <v>1488</v>
      </c>
      <c r="P1162" s="4" t="e">
        <f>VLOOKUP(A1162,المعطيات!$A$1:$J$3500,4,0)</f>
        <v>#N/A</v>
      </c>
      <c r="Q1162" s="1" t="s">
        <v>1489</v>
      </c>
      <c r="R1162" s="1" t="s">
        <v>1480</v>
      </c>
      <c r="S1162" s="6" t="e">
        <f t="shared" si="56"/>
        <v>#N/A</v>
      </c>
    </row>
    <row r="1163" spans="2:19" x14ac:dyDescent="0.25">
      <c r="B1163" s="1" t="s">
        <v>1479</v>
      </c>
      <c r="C1163" s="1" t="s">
        <v>1481</v>
      </c>
      <c r="D1163" s="4" t="e">
        <f>VLOOKUP(A1163,المعطيات!$A$1:$J$3500,5,0)</f>
        <v>#N/A</v>
      </c>
      <c r="E1163" s="1" t="s">
        <v>1482</v>
      </c>
      <c r="F1163" s="5">
        <f t="shared" si="54"/>
        <v>0</v>
      </c>
      <c r="G1163" s="5" t="s">
        <v>1483</v>
      </c>
      <c r="H1163" s="4" t="e">
        <f>VLOOKUP(A1163,المعطيات!$A$1:$J$3500,3,0)</f>
        <v>#N/A</v>
      </c>
      <c r="I1163" s="1" t="s">
        <v>1484</v>
      </c>
      <c r="J1163" s="1" t="s">
        <v>1485</v>
      </c>
      <c r="K1163" s="4" t="e">
        <f>VLOOKUP(A1163,المعطيات!$A$1:$J$3500,6,0)</f>
        <v>#N/A</v>
      </c>
      <c r="L1163" s="1" t="s">
        <v>1486</v>
      </c>
      <c r="M1163" s="1" t="s">
        <v>1487</v>
      </c>
      <c r="N1163" s="4" t="e">
        <f t="shared" si="55"/>
        <v>#N/A</v>
      </c>
      <c r="O1163" s="1" t="s">
        <v>1488</v>
      </c>
      <c r="P1163" s="4" t="e">
        <f>VLOOKUP(A1163,المعطيات!$A$1:$J$3500,4,0)</f>
        <v>#N/A</v>
      </c>
      <c r="Q1163" s="1" t="s">
        <v>1489</v>
      </c>
      <c r="R1163" s="1" t="s">
        <v>1480</v>
      </c>
      <c r="S1163" s="6" t="e">
        <f t="shared" si="56"/>
        <v>#N/A</v>
      </c>
    </row>
    <row r="1164" spans="2:19" x14ac:dyDescent="0.25">
      <c r="B1164" s="1" t="s">
        <v>1479</v>
      </c>
      <c r="C1164" s="1" t="s">
        <v>1481</v>
      </c>
      <c r="D1164" s="4" t="e">
        <f>VLOOKUP(A1164,المعطيات!$A$1:$J$3500,5,0)</f>
        <v>#N/A</v>
      </c>
      <c r="E1164" s="1" t="s">
        <v>1482</v>
      </c>
      <c r="F1164" s="5">
        <f t="shared" si="54"/>
        <v>0</v>
      </c>
      <c r="G1164" s="5" t="s">
        <v>1483</v>
      </c>
      <c r="H1164" s="4" t="e">
        <f>VLOOKUP(A1164,المعطيات!$A$1:$J$3500,3,0)</f>
        <v>#N/A</v>
      </c>
      <c r="I1164" s="1" t="s">
        <v>1484</v>
      </c>
      <c r="J1164" s="1" t="s">
        <v>1485</v>
      </c>
      <c r="K1164" s="4" t="e">
        <f>VLOOKUP(A1164,المعطيات!$A$1:$J$3500,6,0)</f>
        <v>#N/A</v>
      </c>
      <c r="L1164" s="1" t="s">
        <v>1486</v>
      </c>
      <c r="M1164" s="1" t="s">
        <v>1487</v>
      </c>
      <c r="N1164" s="4" t="e">
        <f t="shared" si="55"/>
        <v>#N/A</v>
      </c>
      <c r="O1164" s="1" t="s">
        <v>1488</v>
      </c>
      <c r="P1164" s="4" t="e">
        <f>VLOOKUP(A1164,المعطيات!$A$1:$J$3500,4,0)</f>
        <v>#N/A</v>
      </c>
      <c r="Q1164" s="1" t="s">
        <v>1489</v>
      </c>
      <c r="R1164" s="1" t="s">
        <v>1480</v>
      </c>
      <c r="S1164" s="6" t="e">
        <f t="shared" si="56"/>
        <v>#N/A</v>
      </c>
    </row>
    <row r="1165" spans="2:19" x14ac:dyDescent="0.25">
      <c r="B1165" s="1" t="s">
        <v>1479</v>
      </c>
      <c r="C1165" s="1" t="s">
        <v>1481</v>
      </c>
      <c r="D1165" s="4" t="e">
        <f>VLOOKUP(A1165,المعطيات!$A$1:$J$3500,5,0)</f>
        <v>#N/A</v>
      </c>
      <c r="E1165" s="1" t="s">
        <v>1482</v>
      </c>
      <c r="F1165" s="5">
        <f t="shared" si="54"/>
        <v>0</v>
      </c>
      <c r="G1165" s="5" t="s">
        <v>1483</v>
      </c>
      <c r="H1165" s="4" t="e">
        <f>VLOOKUP(A1165,المعطيات!$A$1:$J$3500,3,0)</f>
        <v>#N/A</v>
      </c>
      <c r="I1165" s="1" t="s">
        <v>1484</v>
      </c>
      <c r="J1165" s="1" t="s">
        <v>1485</v>
      </c>
      <c r="K1165" s="4" t="e">
        <f>VLOOKUP(A1165,المعطيات!$A$1:$J$3500,6,0)</f>
        <v>#N/A</v>
      </c>
      <c r="L1165" s="1" t="s">
        <v>1486</v>
      </c>
      <c r="M1165" s="1" t="s">
        <v>1487</v>
      </c>
      <c r="N1165" s="4" t="e">
        <f t="shared" si="55"/>
        <v>#N/A</v>
      </c>
      <c r="O1165" s="1" t="s">
        <v>1488</v>
      </c>
      <c r="P1165" s="4" t="e">
        <f>VLOOKUP(A1165,المعطيات!$A$1:$J$3500,4,0)</f>
        <v>#N/A</v>
      </c>
      <c r="Q1165" s="1" t="s">
        <v>1489</v>
      </c>
      <c r="R1165" s="1" t="s">
        <v>1480</v>
      </c>
      <c r="S1165" s="6" t="e">
        <f t="shared" si="56"/>
        <v>#N/A</v>
      </c>
    </row>
    <row r="1166" spans="2:19" x14ac:dyDescent="0.25">
      <c r="B1166" s="1" t="s">
        <v>1479</v>
      </c>
      <c r="C1166" s="1" t="s">
        <v>1481</v>
      </c>
      <c r="D1166" s="4" t="e">
        <f>VLOOKUP(A1166,المعطيات!$A$1:$J$3500,5,0)</f>
        <v>#N/A</v>
      </c>
      <c r="E1166" s="1" t="s">
        <v>1482</v>
      </c>
      <c r="F1166" s="5">
        <f t="shared" si="54"/>
        <v>0</v>
      </c>
      <c r="G1166" s="5" t="s">
        <v>1483</v>
      </c>
      <c r="H1166" s="4" t="e">
        <f>VLOOKUP(A1166,المعطيات!$A$1:$J$3500,3,0)</f>
        <v>#N/A</v>
      </c>
      <c r="I1166" s="1" t="s">
        <v>1484</v>
      </c>
      <c r="J1166" s="1" t="s">
        <v>1485</v>
      </c>
      <c r="K1166" s="4" t="e">
        <f>VLOOKUP(A1166,المعطيات!$A$1:$J$3500,6,0)</f>
        <v>#N/A</v>
      </c>
      <c r="L1166" s="1" t="s">
        <v>1486</v>
      </c>
      <c r="M1166" s="1" t="s">
        <v>1487</v>
      </c>
      <c r="N1166" s="4" t="e">
        <f t="shared" si="55"/>
        <v>#N/A</v>
      </c>
      <c r="O1166" s="1" t="s">
        <v>1488</v>
      </c>
      <c r="P1166" s="4" t="e">
        <f>VLOOKUP(A1166,المعطيات!$A$1:$J$3500,4,0)</f>
        <v>#N/A</v>
      </c>
      <c r="Q1166" s="1" t="s">
        <v>1489</v>
      </c>
      <c r="R1166" s="1" t="s">
        <v>1480</v>
      </c>
      <c r="S1166" s="6" t="e">
        <f t="shared" si="56"/>
        <v>#N/A</v>
      </c>
    </row>
    <row r="1167" spans="2:19" x14ac:dyDescent="0.25">
      <c r="B1167" s="1" t="s">
        <v>1479</v>
      </c>
      <c r="C1167" s="1" t="s">
        <v>1481</v>
      </c>
      <c r="D1167" s="4" t="e">
        <f>VLOOKUP(A1167,المعطيات!$A$1:$J$3500,5,0)</f>
        <v>#N/A</v>
      </c>
      <c r="E1167" s="1" t="s">
        <v>1482</v>
      </c>
      <c r="F1167" s="5">
        <f t="shared" si="54"/>
        <v>0</v>
      </c>
      <c r="G1167" s="5" t="s">
        <v>1483</v>
      </c>
      <c r="H1167" s="4" t="e">
        <f>VLOOKUP(A1167,المعطيات!$A$1:$J$3500,3,0)</f>
        <v>#N/A</v>
      </c>
      <c r="I1167" s="1" t="s">
        <v>1484</v>
      </c>
      <c r="J1167" s="1" t="s">
        <v>1485</v>
      </c>
      <c r="K1167" s="4" t="e">
        <f>VLOOKUP(A1167,المعطيات!$A$1:$J$3500,6,0)</f>
        <v>#N/A</v>
      </c>
      <c r="L1167" s="1" t="s">
        <v>1486</v>
      </c>
      <c r="M1167" s="1" t="s">
        <v>1487</v>
      </c>
      <c r="N1167" s="4" t="e">
        <f t="shared" si="55"/>
        <v>#N/A</v>
      </c>
      <c r="O1167" s="1" t="s">
        <v>1488</v>
      </c>
      <c r="P1167" s="4" t="e">
        <f>VLOOKUP(A1167,المعطيات!$A$1:$J$3500,4,0)</f>
        <v>#N/A</v>
      </c>
      <c r="Q1167" s="1" t="s">
        <v>1489</v>
      </c>
      <c r="R1167" s="1" t="s">
        <v>1480</v>
      </c>
      <c r="S1167" s="6" t="e">
        <f t="shared" si="56"/>
        <v>#N/A</v>
      </c>
    </row>
    <row r="1168" spans="2:19" x14ac:dyDescent="0.25">
      <c r="B1168" s="1" t="s">
        <v>1479</v>
      </c>
      <c r="C1168" s="1" t="s">
        <v>1481</v>
      </c>
      <c r="D1168" s="4" t="e">
        <f>VLOOKUP(A1168,المعطيات!$A$1:$J$3500,5,0)</f>
        <v>#N/A</v>
      </c>
      <c r="E1168" s="1" t="s">
        <v>1482</v>
      </c>
      <c r="F1168" s="5">
        <f t="shared" si="54"/>
        <v>0</v>
      </c>
      <c r="G1168" s="5" t="s">
        <v>1483</v>
      </c>
      <c r="H1168" s="4" t="e">
        <f>VLOOKUP(A1168,المعطيات!$A$1:$J$3500,3,0)</f>
        <v>#N/A</v>
      </c>
      <c r="I1168" s="1" t="s">
        <v>1484</v>
      </c>
      <c r="J1168" s="1" t="s">
        <v>1485</v>
      </c>
      <c r="K1168" s="4" t="e">
        <f>VLOOKUP(A1168,المعطيات!$A$1:$J$3500,6,0)</f>
        <v>#N/A</v>
      </c>
      <c r="L1168" s="1" t="s">
        <v>1486</v>
      </c>
      <c r="M1168" s="1" t="s">
        <v>1487</v>
      </c>
      <c r="N1168" s="4" t="e">
        <f t="shared" si="55"/>
        <v>#N/A</v>
      </c>
      <c r="O1168" s="1" t="s">
        <v>1488</v>
      </c>
      <c r="P1168" s="4" t="e">
        <f>VLOOKUP(A1168,المعطيات!$A$1:$J$3500,4,0)</f>
        <v>#N/A</v>
      </c>
      <c r="Q1168" s="1" t="s">
        <v>1489</v>
      </c>
      <c r="R1168" s="1" t="s">
        <v>1480</v>
      </c>
      <c r="S1168" s="6" t="e">
        <f t="shared" si="56"/>
        <v>#N/A</v>
      </c>
    </row>
    <row r="1169" spans="2:19" x14ac:dyDescent="0.25">
      <c r="B1169" s="1" t="s">
        <v>1479</v>
      </c>
      <c r="C1169" s="1" t="s">
        <v>1481</v>
      </c>
      <c r="D1169" s="4" t="e">
        <f>VLOOKUP(A1169,المعطيات!$A$1:$J$3500,5,0)</f>
        <v>#N/A</v>
      </c>
      <c r="E1169" s="1" t="s">
        <v>1482</v>
      </c>
      <c r="F1169" s="5">
        <f t="shared" si="54"/>
        <v>0</v>
      </c>
      <c r="G1169" s="5" t="s">
        <v>1483</v>
      </c>
      <c r="H1169" s="4" t="e">
        <f>VLOOKUP(A1169,المعطيات!$A$1:$J$3500,3,0)</f>
        <v>#N/A</v>
      </c>
      <c r="I1169" s="1" t="s">
        <v>1484</v>
      </c>
      <c r="J1169" s="1" t="s">
        <v>1485</v>
      </c>
      <c r="K1169" s="4" t="e">
        <f>VLOOKUP(A1169,المعطيات!$A$1:$J$3500,6,0)</f>
        <v>#N/A</v>
      </c>
      <c r="L1169" s="1" t="s">
        <v>1486</v>
      </c>
      <c r="M1169" s="1" t="s">
        <v>1487</v>
      </c>
      <c r="N1169" s="4" t="e">
        <f t="shared" si="55"/>
        <v>#N/A</v>
      </c>
      <c r="O1169" s="1" t="s">
        <v>1488</v>
      </c>
      <c r="P1169" s="4" t="e">
        <f>VLOOKUP(A1169,المعطيات!$A$1:$J$3500,4,0)</f>
        <v>#N/A</v>
      </c>
      <c r="Q1169" s="1" t="s">
        <v>1489</v>
      </c>
      <c r="R1169" s="1" t="s">
        <v>1480</v>
      </c>
      <c r="S1169" s="6" t="e">
        <f t="shared" si="56"/>
        <v>#N/A</v>
      </c>
    </row>
    <row r="1170" spans="2:19" x14ac:dyDescent="0.25">
      <c r="B1170" s="1" t="s">
        <v>1479</v>
      </c>
      <c r="C1170" s="1" t="s">
        <v>1481</v>
      </c>
      <c r="D1170" s="4" t="e">
        <f>VLOOKUP(A1170,المعطيات!$A$1:$J$3500,5,0)</f>
        <v>#N/A</v>
      </c>
      <c r="E1170" s="1" t="s">
        <v>1482</v>
      </c>
      <c r="F1170" s="5">
        <f t="shared" si="54"/>
        <v>0</v>
      </c>
      <c r="G1170" s="5" t="s">
        <v>1483</v>
      </c>
      <c r="H1170" s="4" t="e">
        <f>VLOOKUP(A1170,المعطيات!$A$1:$J$3500,3,0)</f>
        <v>#N/A</v>
      </c>
      <c r="I1170" s="1" t="s">
        <v>1484</v>
      </c>
      <c r="J1170" s="1" t="s">
        <v>1485</v>
      </c>
      <c r="K1170" s="4" t="e">
        <f>VLOOKUP(A1170,المعطيات!$A$1:$J$3500,6,0)</f>
        <v>#N/A</v>
      </c>
      <c r="L1170" s="1" t="s">
        <v>1486</v>
      </c>
      <c r="M1170" s="1" t="s">
        <v>1487</v>
      </c>
      <c r="N1170" s="4" t="e">
        <f t="shared" si="55"/>
        <v>#N/A</v>
      </c>
      <c r="O1170" s="1" t="s">
        <v>1488</v>
      </c>
      <c r="P1170" s="4" t="e">
        <f>VLOOKUP(A1170,المعطيات!$A$1:$J$3500,4,0)</f>
        <v>#N/A</v>
      </c>
      <c r="Q1170" s="1" t="s">
        <v>1489</v>
      </c>
      <c r="R1170" s="1" t="s">
        <v>1480</v>
      </c>
      <c r="S1170" s="6" t="e">
        <f t="shared" si="56"/>
        <v>#N/A</v>
      </c>
    </row>
    <row r="1171" spans="2:19" x14ac:dyDescent="0.25">
      <c r="B1171" s="1" t="s">
        <v>1479</v>
      </c>
      <c r="C1171" s="1" t="s">
        <v>1481</v>
      </c>
      <c r="D1171" s="4" t="e">
        <f>VLOOKUP(A1171,المعطيات!$A$1:$J$3500,5,0)</f>
        <v>#N/A</v>
      </c>
      <c r="E1171" s="1" t="s">
        <v>1482</v>
      </c>
      <c r="F1171" s="5">
        <f t="shared" si="54"/>
        <v>0</v>
      </c>
      <c r="G1171" s="5" t="s">
        <v>1483</v>
      </c>
      <c r="H1171" s="4" t="e">
        <f>VLOOKUP(A1171,المعطيات!$A$1:$J$3500,3,0)</f>
        <v>#N/A</v>
      </c>
      <c r="I1171" s="1" t="s">
        <v>1484</v>
      </c>
      <c r="J1171" s="1" t="s">
        <v>1485</v>
      </c>
      <c r="K1171" s="4" t="e">
        <f>VLOOKUP(A1171,المعطيات!$A$1:$J$3500,6,0)</f>
        <v>#N/A</v>
      </c>
      <c r="L1171" s="1" t="s">
        <v>1486</v>
      </c>
      <c r="M1171" s="1" t="s">
        <v>1487</v>
      </c>
      <c r="N1171" s="4" t="e">
        <f t="shared" si="55"/>
        <v>#N/A</v>
      </c>
      <c r="O1171" s="1" t="s">
        <v>1488</v>
      </c>
      <c r="P1171" s="4" t="e">
        <f>VLOOKUP(A1171,المعطيات!$A$1:$J$3500,4,0)</f>
        <v>#N/A</v>
      </c>
      <c r="Q1171" s="1" t="s">
        <v>1489</v>
      </c>
      <c r="R1171" s="1" t="s">
        <v>1480</v>
      </c>
      <c r="S1171" s="6" t="e">
        <f t="shared" si="56"/>
        <v>#N/A</v>
      </c>
    </row>
    <row r="1172" spans="2:19" x14ac:dyDescent="0.25">
      <c r="B1172" s="1" t="s">
        <v>1479</v>
      </c>
      <c r="C1172" s="1" t="s">
        <v>1481</v>
      </c>
      <c r="D1172" s="4" t="e">
        <f>VLOOKUP(A1172,المعطيات!$A$1:$J$3500,5,0)</f>
        <v>#N/A</v>
      </c>
      <c r="E1172" s="1" t="s">
        <v>1482</v>
      </c>
      <c r="F1172" s="5">
        <f t="shared" si="54"/>
        <v>0</v>
      </c>
      <c r="G1172" s="5" t="s">
        <v>1483</v>
      </c>
      <c r="H1172" s="4" t="e">
        <f>VLOOKUP(A1172,المعطيات!$A$1:$J$3500,3,0)</f>
        <v>#N/A</v>
      </c>
      <c r="I1172" s="1" t="s">
        <v>1484</v>
      </c>
      <c r="J1172" s="1" t="s">
        <v>1485</v>
      </c>
      <c r="K1172" s="4" t="e">
        <f>VLOOKUP(A1172,المعطيات!$A$1:$J$3500,6,0)</f>
        <v>#N/A</v>
      </c>
      <c r="L1172" s="1" t="s">
        <v>1486</v>
      </c>
      <c r="M1172" s="1" t="s">
        <v>1487</v>
      </c>
      <c r="N1172" s="4" t="e">
        <f t="shared" si="55"/>
        <v>#N/A</v>
      </c>
      <c r="O1172" s="1" t="s">
        <v>1488</v>
      </c>
      <c r="P1172" s="4" t="e">
        <f>VLOOKUP(A1172,المعطيات!$A$1:$J$3500,4,0)</f>
        <v>#N/A</v>
      </c>
      <c r="Q1172" s="1" t="s">
        <v>1489</v>
      </c>
      <c r="R1172" s="1" t="s">
        <v>1480</v>
      </c>
      <c r="S1172" s="6" t="e">
        <f t="shared" si="56"/>
        <v>#N/A</v>
      </c>
    </row>
    <row r="1173" spans="2:19" x14ac:dyDescent="0.25">
      <c r="B1173" s="1" t="s">
        <v>1479</v>
      </c>
      <c r="C1173" s="1" t="s">
        <v>1481</v>
      </c>
      <c r="D1173" s="4" t="e">
        <f>VLOOKUP(A1173,المعطيات!$A$1:$J$3500,5,0)</f>
        <v>#N/A</v>
      </c>
      <c r="E1173" s="1" t="s">
        <v>1482</v>
      </c>
      <c r="F1173" s="5">
        <f t="shared" si="54"/>
        <v>0</v>
      </c>
      <c r="G1173" s="5" t="s">
        <v>1483</v>
      </c>
      <c r="H1173" s="4" t="e">
        <f>VLOOKUP(A1173,المعطيات!$A$1:$J$3500,3,0)</f>
        <v>#N/A</v>
      </c>
      <c r="I1173" s="1" t="s">
        <v>1484</v>
      </c>
      <c r="J1173" s="1" t="s">
        <v>1485</v>
      </c>
      <c r="K1173" s="4" t="e">
        <f>VLOOKUP(A1173,المعطيات!$A$1:$J$3500,6,0)</f>
        <v>#N/A</v>
      </c>
      <c r="L1173" s="1" t="s">
        <v>1486</v>
      </c>
      <c r="M1173" s="1" t="s">
        <v>1487</v>
      </c>
      <c r="N1173" s="4" t="e">
        <f t="shared" si="55"/>
        <v>#N/A</v>
      </c>
      <c r="O1173" s="1" t="s">
        <v>1488</v>
      </c>
      <c r="P1173" s="4" t="e">
        <f>VLOOKUP(A1173,المعطيات!$A$1:$J$3500,4,0)</f>
        <v>#N/A</v>
      </c>
      <c r="Q1173" s="1" t="s">
        <v>1489</v>
      </c>
      <c r="R1173" s="1" t="s">
        <v>1480</v>
      </c>
      <c r="S1173" s="6" t="e">
        <f t="shared" si="56"/>
        <v>#N/A</v>
      </c>
    </row>
    <row r="1174" spans="2:19" x14ac:dyDescent="0.25">
      <c r="B1174" s="1" t="s">
        <v>1479</v>
      </c>
      <c r="C1174" s="1" t="s">
        <v>1481</v>
      </c>
      <c r="D1174" s="4" t="e">
        <f>VLOOKUP(A1174,المعطيات!$A$1:$J$3500,5,0)</f>
        <v>#N/A</v>
      </c>
      <c r="E1174" s="1" t="s">
        <v>1482</v>
      </c>
      <c r="F1174" s="5">
        <f t="shared" si="54"/>
        <v>0</v>
      </c>
      <c r="G1174" s="5" t="s">
        <v>1483</v>
      </c>
      <c r="H1174" s="4" t="e">
        <f>VLOOKUP(A1174,المعطيات!$A$1:$J$3500,3,0)</f>
        <v>#N/A</v>
      </c>
      <c r="I1174" s="1" t="s">
        <v>1484</v>
      </c>
      <c r="J1174" s="1" t="s">
        <v>1485</v>
      </c>
      <c r="K1174" s="4" t="e">
        <f>VLOOKUP(A1174,المعطيات!$A$1:$J$3500,6,0)</f>
        <v>#N/A</v>
      </c>
      <c r="L1174" s="1" t="s">
        <v>1486</v>
      </c>
      <c r="M1174" s="1" t="s">
        <v>1487</v>
      </c>
      <c r="N1174" s="4" t="e">
        <f t="shared" si="55"/>
        <v>#N/A</v>
      </c>
      <c r="O1174" s="1" t="s">
        <v>1488</v>
      </c>
      <c r="P1174" s="4" t="e">
        <f>VLOOKUP(A1174,المعطيات!$A$1:$J$3500,4,0)</f>
        <v>#N/A</v>
      </c>
      <c r="Q1174" s="1" t="s">
        <v>1489</v>
      </c>
      <c r="R1174" s="1" t="s">
        <v>1480</v>
      </c>
      <c r="S1174" s="6" t="e">
        <f t="shared" si="56"/>
        <v>#N/A</v>
      </c>
    </row>
    <row r="1175" spans="2:19" x14ac:dyDescent="0.25">
      <c r="B1175" s="1" t="s">
        <v>1479</v>
      </c>
      <c r="C1175" s="1" t="s">
        <v>1481</v>
      </c>
      <c r="D1175" s="4" t="e">
        <f>VLOOKUP(A1175,المعطيات!$A$1:$J$3500,5,0)</f>
        <v>#N/A</v>
      </c>
      <c r="E1175" s="1" t="s">
        <v>1482</v>
      </c>
      <c r="F1175" s="5">
        <f t="shared" si="54"/>
        <v>0</v>
      </c>
      <c r="G1175" s="5" t="s">
        <v>1483</v>
      </c>
      <c r="H1175" s="4" t="e">
        <f>VLOOKUP(A1175,المعطيات!$A$1:$J$3500,3,0)</f>
        <v>#N/A</v>
      </c>
      <c r="I1175" s="1" t="s">
        <v>1484</v>
      </c>
      <c r="J1175" s="1" t="s">
        <v>1485</v>
      </c>
      <c r="K1175" s="4" t="e">
        <f>VLOOKUP(A1175,المعطيات!$A$1:$J$3500,6,0)</f>
        <v>#N/A</v>
      </c>
      <c r="L1175" s="1" t="s">
        <v>1486</v>
      </c>
      <c r="M1175" s="1" t="s">
        <v>1487</v>
      </c>
      <c r="N1175" s="4" t="e">
        <f t="shared" si="55"/>
        <v>#N/A</v>
      </c>
      <c r="O1175" s="1" t="s">
        <v>1488</v>
      </c>
      <c r="P1175" s="4" t="e">
        <f>VLOOKUP(A1175,المعطيات!$A$1:$J$3500,4,0)</f>
        <v>#N/A</v>
      </c>
      <c r="Q1175" s="1" t="s">
        <v>1489</v>
      </c>
      <c r="R1175" s="1" t="s">
        <v>1480</v>
      </c>
      <c r="S1175" s="6" t="e">
        <f t="shared" si="56"/>
        <v>#N/A</v>
      </c>
    </row>
    <row r="1176" spans="2:19" x14ac:dyDescent="0.25">
      <c r="B1176" s="1" t="s">
        <v>1479</v>
      </c>
      <c r="C1176" s="1" t="s">
        <v>1481</v>
      </c>
      <c r="D1176" s="4" t="e">
        <f>VLOOKUP(A1176,المعطيات!$A$1:$J$3500,5,0)</f>
        <v>#N/A</v>
      </c>
      <c r="E1176" s="1" t="s">
        <v>1482</v>
      </c>
      <c r="F1176" s="5">
        <f t="shared" si="54"/>
        <v>0</v>
      </c>
      <c r="G1176" s="5" t="s">
        <v>1483</v>
      </c>
      <c r="H1176" s="4" t="e">
        <f>VLOOKUP(A1176,المعطيات!$A$1:$J$3500,3,0)</f>
        <v>#N/A</v>
      </c>
      <c r="I1176" s="1" t="s">
        <v>1484</v>
      </c>
      <c r="J1176" s="1" t="s">
        <v>1485</v>
      </c>
      <c r="K1176" s="4" t="e">
        <f>VLOOKUP(A1176,المعطيات!$A$1:$J$3500,6,0)</f>
        <v>#N/A</v>
      </c>
      <c r="L1176" s="1" t="s">
        <v>1486</v>
      </c>
      <c r="M1176" s="1" t="s">
        <v>1487</v>
      </c>
      <c r="N1176" s="4" t="e">
        <f t="shared" si="55"/>
        <v>#N/A</v>
      </c>
      <c r="O1176" s="1" t="s">
        <v>1488</v>
      </c>
      <c r="P1176" s="4" t="e">
        <f>VLOOKUP(A1176,المعطيات!$A$1:$J$3500,4,0)</f>
        <v>#N/A</v>
      </c>
      <c r="Q1176" s="1" t="s">
        <v>1489</v>
      </c>
      <c r="R1176" s="1" t="s">
        <v>1480</v>
      </c>
      <c r="S1176" s="6" t="e">
        <f t="shared" si="56"/>
        <v>#N/A</v>
      </c>
    </row>
    <row r="1177" spans="2:19" x14ac:dyDescent="0.25">
      <c r="B1177" s="1" t="s">
        <v>1479</v>
      </c>
      <c r="C1177" s="1" t="s">
        <v>1481</v>
      </c>
      <c r="D1177" s="4" t="e">
        <f>VLOOKUP(A1177,المعطيات!$A$1:$J$3500,5,0)</f>
        <v>#N/A</v>
      </c>
      <c r="E1177" s="1" t="s">
        <v>1482</v>
      </c>
      <c r="F1177" s="5">
        <f t="shared" si="54"/>
        <v>0</v>
      </c>
      <c r="G1177" s="5" t="s">
        <v>1483</v>
      </c>
      <c r="H1177" s="4" t="e">
        <f>VLOOKUP(A1177,المعطيات!$A$1:$J$3500,3,0)</f>
        <v>#N/A</v>
      </c>
      <c r="I1177" s="1" t="s">
        <v>1484</v>
      </c>
      <c r="J1177" s="1" t="s">
        <v>1485</v>
      </c>
      <c r="K1177" s="4" t="e">
        <f>VLOOKUP(A1177,المعطيات!$A$1:$J$3500,6,0)</f>
        <v>#N/A</v>
      </c>
      <c r="L1177" s="1" t="s">
        <v>1486</v>
      </c>
      <c r="M1177" s="1" t="s">
        <v>1487</v>
      </c>
      <c r="N1177" s="4" t="e">
        <f t="shared" si="55"/>
        <v>#N/A</v>
      </c>
      <c r="O1177" s="1" t="s">
        <v>1488</v>
      </c>
      <c r="P1177" s="4" t="e">
        <f>VLOOKUP(A1177,المعطيات!$A$1:$J$3500,4,0)</f>
        <v>#N/A</v>
      </c>
      <c r="Q1177" s="1" t="s">
        <v>1489</v>
      </c>
      <c r="R1177" s="1" t="s">
        <v>1480</v>
      </c>
      <c r="S1177" s="6" t="e">
        <f t="shared" si="56"/>
        <v>#N/A</v>
      </c>
    </row>
    <row r="1178" spans="2:19" x14ac:dyDescent="0.25">
      <c r="B1178" s="1" t="s">
        <v>1479</v>
      </c>
      <c r="C1178" s="1" t="s">
        <v>1481</v>
      </c>
      <c r="D1178" s="4" t="e">
        <f>VLOOKUP(A1178,المعطيات!$A$1:$J$3500,5,0)</f>
        <v>#N/A</v>
      </c>
      <c r="E1178" s="1" t="s">
        <v>1482</v>
      </c>
      <c r="F1178" s="5">
        <f t="shared" si="54"/>
        <v>0</v>
      </c>
      <c r="G1178" s="5" t="s">
        <v>1483</v>
      </c>
      <c r="H1178" s="4" t="e">
        <f>VLOOKUP(A1178,المعطيات!$A$1:$J$3500,3,0)</f>
        <v>#N/A</v>
      </c>
      <c r="I1178" s="1" t="s">
        <v>1484</v>
      </c>
      <c r="J1178" s="1" t="s">
        <v>1485</v>
      </c>
      <c r="K1178" s="4" t="e">
        <f>VLOOKUP(A1178,المعطيات!$A$1:$J$3500,6,0)</f>
        <v>#N/A</v>
      </c>
      <c r="L1178" s="1" t="s">
        <v>1486</v>
      </c>
      <c r="M1178" s="1" t="s">
        <v>1487</v>
      </c>
      <c r="N1178" s="4" t="e">
        <f t="shared" si="55"/>
        <v>#N/A</v>
      </c>
      <c r="O1178" s="1" t="s">
        <v>1488</v>
      </c>
      <c r="P1178" s="4" t="e">
        <f>VLOOKUP(A1178,المعطيات!$A$1:$J$3500,4,0)</f>
        <v>#N/A</v>
      </c>
      <c r="Q1178" s="1" t="s">
        <v>1489</v>
      </c>
      <c r="R1178" s="1" t="s">
        <v>1480</v>
      </c>
      <c r="S1178" s="6" t="e">
        <f t="shared" si="56"/>
        <v>#N/A</v>
      </c>
    </row>
    <row r="1179" spans="2:19" x14ac:dyDescent="0.25">
      <c r="B1179" s="1" t="s">
        <v>1479</v>
      </c>
      <c r="C1179" s="1" t="s">
        <v>1481</v>
      </c>
      <c r="D1179" s="4" t="e">
        <f>VLOOKUP(A1179,المعطيات!$A$1:$J$3500,5,0)</f>
        <v>#N/A</v>
      </c>
      <c r="E1179" s="1" t="s">
        <v>1482</v>
      </c>
      <c r="F1179" s="5">
        <f t="shared" si="54"/>
        <v>0</v>
      </c>
      <c r="G1179" s="5" t="s">
        <v>1483</v>
      </c>
      <c r="H1179" s="4" t="e">
        <f>VLOOKUP(A1179,المعطيات!$A$1:$J$3500,3,0)</f>
        <v>#N/A</v>
      </c>
      <c r="I1179" s="1" t="s">
        <v>1484</v>
      </c>
      <c r="J1179" s="1" t="s">
        <v>1485</v>
      </c>
      <c r="K1179" s="4" t="e">
        <f>VLOOKUP(A1179,المعطيات!$A$1:$J$3500,6,0)</f>
        <v>#N/A</v>
      </c>
      <c r="L1179" s="1" t="s">
        <v>1486</v>
      </c>
      <c r="M1179" s="1" t="s">
        <v>1487</v>
      </c>
      <c r="N1179" s="4" t="e">
        <f t="shared" si="55"/>
        <v>#N/A</v>
      </c>
      <c r="O1179" s="1" t="s">
        <v>1488</v>
      </c>
      <c r="P1179" s="4" t="e">
        <f>VLOOKUP(A1179,المعطيات!$A$1:$J$3500,4,0)</f>
        <v>#N/A</v>
      </c>
      <c r="Q1179" s="1" t="s">
        <v>1489</v>
      </c>
      <c r="R1179" s="1" t="s">
        <v>1480</v>
      </c>
      <c r="S1179" s="6" t="e">
        <f t="shared" si="56"/>
        <v>#N/A</v>
      </c>
    </row>
    <row r="1180" spans="2:19" x14ac:dyDescent="0.25">
      <c r="B1180" s="1" t="s">
        <v>1479</v>
      </c>
      <c r="C1180" s="1" t="s">
        <v>1481</v>
      </c>
      <c r="D1180" s="4" t="e">
        <f>VLOOKUP(A1180,المعطيات!$A$1:$J$3500,5,0)</f>
        <v>#N/A</v>
      </c>
      <c r="E1180" s="1" t="s">
        <v>1482</v>
      </c>
      <c r="F1180" s="5">
        <f t="shared" si="54"/>
        <v>0</v>
      </c>
      <c r="G1180" s="5" t="s">
        <v>1483</v>
      </c>
      <c r="H1180" s="4" t="e">
        <f>VLOOKUP(A1180,المعطيات!$A$1:$J$3500,3,0)</f>
        <v>#N/A</v>
      </c>
      <c r="I1180" s="1" t="s">
        <v>1484</v>
      </c>
      <c r="J1180" s="1" t="s">
        <v>1485</v>
      </c>
      <c r="K1180" s="4" t="e">
        <f>VLOOKUP(A1180,المعطيات!$A$1:$J$3500,6,0)</f>
        <v>#N/A</v>
      </c>
      <c r="L1180" s="1" t="s">
        <v>1486</v>
      </c>
      <c r="M1180" s="1" t="s">
        <v>1487</v>
      </c>
      <c r="N1180" s="4" t="e">
        <f t="shared" si="55"/>
        <v>#N/A</v>
      </c>
      <c r="O1180" s="1" t="s">
        <v>1488</v>
      </c>
      <c r="P1180" s="4" t="e">
        <f>VLOOKUP(A1180,المعطيات!$A$1:$J$3500,4,0)</f>
        <v>#N/A</v>
      </c>
      <c r="Q1180" s="1" t="s">
        <v>1489</v>
      </c>
      <c r="R1180" s="1" t="s">
        <v>1480</v>
      </c>
      <c r="S1180" s="6" t="e">
        <f t="shared" si="56"/>
        <v>#N/A</v>
      </c>
    </row>
    <row r="1181" spans="2:19" x14ac:dyDescent="0.25">
      <c r="B1181" s="1" t="s">
        <v>1479</v>
      </c>
      <c r="C1181" s="1" t="s">
        <v>1481</v>
      </c>
      <c r="D1181" s="4" t="e">
        <f>VLOOKUP(A1181,المعطيات!$A$1:$J$3500,5,0)</f>
        <v>#N/A</v>
      </c>
      <c r="E1181" s="1" t="s">
        <v>1482</v>
      </c>
      <c r="F1181" s="5">
        <f t="shared" si="54"/>
        <v>0</v>
      </c>
      <c r="G1181" s="5" t="s">
        <v>1483</v>
      </c>
      <c r="H1181" s="4" t="e">
        <f>VLOOKUP(A1181,المعطيات!$A$1:$J$3500,3,0)</f>
        <v>#N/A</v>
      </c>
      <c r="I1181" s="1" t="s">
        <v>1484</v>
      </c>
      <c r="J1181" s="1" t="s">
        <v>1485</v>
      </c>
      <c r="K1181" s="4" t="e">
        <f>VLOOKUP(A1181,المعطيات!$A$1:$J$3500,6,0)</f>
        <v>#N/A</v>
      </c>
      <c r="L1181" s="1" t="s">
        <v>1486</v>
      </c>
      <c r="M1181" s="1" t="s">
        <v>1487</v>
      </c>
      <c r="N1181" s="4" t="e">
        <f t="shared" si="55"/>
        <v>#N/A</v>
      </c>
      <c r="O1181" s="1" t="s">
        <v>1488</v>
      </c>
      <c r="P1181" s="4" t="e">
        <f>VLOOKUP(A1181,المعطيات!$A$1:$J$3500,4,0)</f>
        <v>#N/A</v>
      </c>
      <c r="Q1181" s="1" t="s">
        <v>1489</v>
      </c>
      <c r="R1181" s="1" t="s">
        <v>1480</v>
      </c>
      <c r="S1181" s="6" t="e">
        <f t="shared" si="56"/>
        <v>#N/A</v>
      </c>
    </row>
    <row r="1182" spans="2:19" x14ac:dyDescent="0.25">
      <c r="B1182" s="1" t="s">
        <v>1479</v>
      </c>
      <c r="C1182" s="1" t="s">
        <v>1481</v>
      </c>
      <c r="D1182" s="4" t="e">
        <f>VLOOKUP(A1182,المعطيات!$A$1:$J$3500,5,0)</f>
        <v>#N/A</v>
      </c>
      <c r="E1182" s="1" t="s">
        <v>1482</v>
      </c>
      <c r="F1182" s="5">
        <f t="shared" si="54"/>
        <v>0</v>
      </c>
      <c r="G1182" s="5" t="s">
        <v>1483</v>
      </c>
      <c r="H1182" s="4" t="e">
        <f>VLOOKUP(A1182,المعطيات!$A$1:$J$3500,3,0)</f>
        <v>#N/A</v>
      </c>
      <c r="I1182" s="1" t="s">
        <v>1484</v>
      </c>
      <c r="J1182" s="1" t="s">
        <v>1485</v>
      </c>
      <c r="K1182" s="4" t="e">
        <f>VLOOKUP(A1182,المعطيات!$A$1:$J$3500,6,0)</f>
        <v>#N/A</v>
      </c>
      <c r="L1182" s="1" t="s">
        <v>1486</v>
      </c>
      <c r="M1182" s="1" t="s">
        <v>1487</v>
      </c>
      <c r="N1182" s="4" t="e">
        <f t="shared" si="55"/>
        <v>#N/A</v>
      </c>
      <c r="O1182" s="1" t="s">
        <v>1488</v>
      </c>
      <c r="P1182" s="4" t="e">
        <f>VLOOKUP(A1182,المعطيات!$A$1:$J$3500,4,0)</f>
        <v>#N/A</v>
      </c>
      <c r="Q1182" s="1" t="s">
        <v>1489</v>
      </c>
      <c r="R1182" s="1" t="s">
        <v>1480</v>
      </c>
      <c r="S1182" s="6" t="e">
        <f t="shared" si="56"/>
        <v>#N/A</v>
      </c>
    </row>
    <row r="1183" spans="2:19" x14ac:dyDescent="0.25">
      <c r="B1183" s="1" t="s">
        <v>1479</v>
      </c>
      <c r="C1183" s="1" t="s">
        <v>1481</v>
      </c>
      <c r="D1183" s="4" t="e">
        <f>VLOOKUP(A1183,المعطيات!$A$1:$J$3500,5,0)</f>
        <v>#N/A</v>
      </c>
      <c r="E1183" s="1" t="s">
        <v>1482</v>
      </c>
      <c r="F1183" s="5">
        <f t="shared" si="54"/>
        <v>0</v>
      </c>
      <c r="G1183" s="5" t="s">
        <v>1483</v>
      </c>
      <c r="H1183" s="4" t="e">
        <f>VLOOKUP(A1183,المعطيات!$A$1:$J$3500,3,0)</f>
        <v>#N/A</v>
      </c>
      <c r="I1183" s="1" t="s">
        <v>1484</v>
      </c>
      <c r="J1183" s="1" t="s">
        <v>1485</v>
      </c>
      <c r="K1183" s="4" t="e">
        <f>VLOOKUP(A1183,المعطيات!$A$1:$J$3500,6,0)</f>
        <v>#N/A</v>
      </c>
      <c r="L1183" s="1" t="s">
        <v>1486</v>
      </c>
      <c r="M1183" s="1" t="s">
        <v>1487</v>
      </c>
      <c r="N1183" s="4" t="e">
        <f t="shared" si="55"/>
        <v>#N/A</v>
      </c>
      <c r="O1183" s="1" t="s">
        <v>1488</v>
      </c>
      <c r="P1183" s="4" t="e">
        <f>VLOOKUP(A1183,المعطيات!$A$1:$J$3500,4,0)</f>
        <v>#N/A</v>
      </c>
      <c r="Q1183" s="1" t="s">
        <v>1489</v>
      </c>
      <c r="R1183" s="1" t="s">
        <v>1480</v>
      </c>
      <c r="S1183" s="6" t="e">
        <f t="shared" si="56"/>
        <v>#N/A</v>
      </c>
    </row>
    <row r="1184" spans="2:19" x14ac:dyDescent="0.25">
      <c r="B1184" s="1" t="s">
        <v>1479</v>
      </c>
      <c r="C1184" s="1" t="s">
        <v>1481</v>
      </c>
      <c r="D1184" s="4" t="e">
        <f>VLOOKUP(A1184,المعطيات!$A$1:$J$3500,5,0)</f>
        <v>#N/A</v>
      </c>
      <c r="E1184" s="1" t="s">
        <v>1482</v>
      </c>
      <c r="F1184" s="5">
        <f t="shared" si="54"/>
        <v>0</v>
      </c>
      <c r="G1184" s="5" t="s">
        <v>1483</v>
      </c>
      <c r="H1184" s="4" t="e">
        <f>VLOOKUP(A1184,المعطيات!$A$1:$J$3500,3,0)</f>
        <v>#N/A</v>
      </c>
      <c r="I1184" s="1" t="s">
        <v>1484</v>
      </c>
      <c r="J1184" s="1" t="s">
        <v>1485</v>
      </c>
      <c r="K1184" s="4" t="e">
        <f>VLOOKUP(A1184,المعطيات!$A$1:$J$3500,6,0)</f>
        <v>#N/A</v>
      </c>
      <c r="L1184" s="1" t="s">
        <v>1486</v>
      </c>
      <c r="M1184" s="1" t="s">
        <v>1487</v>
      </c>
      <c r="N1184" s="4" t="e">
        <f t="shared" si="55"/>
        <v>#N/A</v>
      </c>
      <c r="O1184" s="1" t="s">
        <v>1488</v>
      </c>
      <c r="P1184" s="4" t="e">
        <f>VLOOKUP(A1184,المعطيات!$A$1:$J$3500,4,0)</f>
        <v>#N/A</v>
      </c>
      <c r="Q1184" s="1" t="s">
        <v>1489</v>
      </c>
      <c r="R1184" s="1" t="s">
        <v>1480</v>
      </c>
      <c r="S1184" s="6" t="e">
        <f t="shared" si="56"/>
        <v>#N/A</v>
      </c>
    </row>
    <row r="1185" spans="2:19" x14ac:dyDescent="0.25">
      <c r="B1185" s="1" t="s">
        <v>1479</v>
      </c>
      <c r="C1185" s="1" t="s">
        <v>1481</v>
      </c>
      <c r="D1185" s="4" t="e">
        <f>VLOOKUP(A1185,المعطيات!$A$1:$J$3500,5,0)</f>
        <v>#N/A</v>
      </c>
      <c r="E1185" s="1" t="s">
        <v>1482</v>
      </c>
      <c r="F1185" s="5">
        <f t="shared" si="54"/>
        <v>0</v>
      </c>
      <c r="G1185" s="5" t="s">
        <v>1483</v>
      </c>
      <c r="H1185" s="4" t="e">
        <f>VLOOKUP(A1185,المعطيات!$A$1:$J$3500,3,0)</f>
        <v>#N/A</v>
      </c>
      <c r="I1185" s="1" t="s">
        <v>1484</v>
      </c>
      <c r="J1185" s="1" t="s">
        <v>1485</v>
      </c>
      <c r="K1185" s="4" t="e">
        <f>VLOOKUP(A1185,المعطيات!$A$1:$J$3500,6,0)</f>
        <v>#N/A</v>
      </c>
      <c r="L1185" s="1" t="s">
        <v>1486</v>
      </c>
      <c r="M1185" s="1" t="s">
        <v>1487</v>
      </c>
      <c r="N1185" s="4" t="e">
        <f t="shared" si="55"/>
        <v>#N/A</v>
      </c>
      <c r="O1185" s="1" t="s">
        <v>1488</v>
      </c>
      <c r="P1185" s="4" t="e">
        <f>VLOOKUP(A1185,المعطيات!$A$1:$J$3500,4,0)</f>
        <v>#N/A</v>
      </c>
      <c r="Q1185" s="1" t="s">
        <v>1489</v>
      </c>
      <c r="R1185" s="1" t="s">
        <v>1480</v>
      </c>
      <c r="S1185" s="6" t="e">
        <f t="shared" si="56"/>
        <v>#N/A</v>
      </c>
    </row>
    <row r="1186" spans="2:19" x14ac:dyDescent="0.25">
      <c r="B1186" s="1" t="s">
        <v>1479</v>
      </c>
      <c r="C1186" s="1" t="s">
        <v>1481</v>
      </c>
      <c r="D1186" s="4" t="e">
        <f>VLOOKUP(A1186,المعطيات!$A$1:$J$3500,5,0)</f>
        <v>#N/A</v>
      </c>
      <c r="E1186" s="1" t="s">
        <v>1482</v>
      </c>
      <c r="F1186" s="5">
        <f t="shared" si="54"/>
        <v>0</v>
      </c>
      <c r="G1186" s="5" t="s">
        <v>1483</v>
      </c>
      <c r="H1186" s="4" t="e">
        <f>VLOOKUP(A1186,المعطيات!$A$1:$J$3500,3,0)</f>
        <v>#N/A</v>
      </c>
      <c r="I1186" s="1" t="s">
        <v>1484</v>
      </c>
      <c r="J1186" s="1" t="s">
        <v>1485</v>
      </c>
      <c r="K1186" s="4" t="e">
        <f>VLOOKUP(A1186,المعطيات!$A$1:$J$3500,6,0)</f>
        <v>#N/A</v>
      </c>
      <c r="L1186" s="1" t="s">
        <v>1486</v>
      </c>
      <c r="M1186" s="1" t="s">
        <v>1487</v>
      </c>
      <c r="N1186" s="4" t="e">
        <f t="shared" si="55"/>
        <v>#N/A</v>
      </c>
      <c r="O1186" s="1" t="s">
        <v>1488</v>
      </c>
      <c r="P1186" s="4" t="e">
        <f>VLOOKUP(A1186,المعطيات!$A$1:$J$3500,4,0)</f>
        <v>#N/A</v>
      </c>
      <c r="Q1186" s="1" t="s">
        <v>1489</v>
      </c>
      <c r="R1186" s="1" t="s">
        <v>1480</v>
      </c>
      <c r="S1186" s="6" t="e">
        <f t="shared" si="56"/>
        <v>#N/A</v>
      </c>
    </row>
    <row r="1187" spans="2:19" x14ac:dyDescent="0.25">
      <c r="B1187" s="1" t="s">
        <v>1479</v>
      </c>
      <c r="C1187" s="1" t="s">
        <v>1481</v>
      </c>
      <c r="D1187" s="4" t="e">
        <f>VLOOKUP(A1187,المعطيات!$A$1:$J$3500,5,0)</f>
        <v>#N/A</v>
      </c>
      <c r="E1187" s="1" t="s">
        <v>1482</v>
      </c>
      <c r="F1187" s="5">
        <f t="shared" si="54"/>
        <v>0</v>
      </c>
      <c r="G1187" s="5" t="s">
        <v>1483</v>
      </c>
      <c r="H1187" s="4" t="e">
        <f>VLOOKUP(A1187,المعطيات!$A$1:$J$3500,3,0)</f>
        <v>#N/A</v>
      </c>
      <c r="I1187" s="1" t="s">
        <v>1484</v>
      </c>
      <c r="J1187" s="1" t="s">
        <v>1485</v>
      </c>
      <c r="K1187" s="4" t="e">
        <f>VLOOKUP(A1187,المعطيات!$A$1:$J$3500,6,0)</f>
        <v>#N/A</v>
      </c>
      <c r="L1187" s="1" t="s">
        <v>1486</v>
      </c>
      <c r="M1187" s="1" t="s">
        <v>1487</v>
      </c>
      <c r="N1187" s="4" t="e">
        <f t="shared" si="55"/>
        <v>#N/A</v>
      </c>
      <c r="O1187" s="1" t="s">
        <v>1488</v>
      </c>
      <c r="P1187" s="4" t="e">
        <f>VLOOKUP(A1187,المعطيات!$A$1:$J$3500,4,0)</f>
        <v>#N/A</v>
      </c>
      <c r="Q1187" s="1" t="s">
        <v>1489</v>
      </c>
      <c r="R1187" s="1" t="s">
        <v>1480</v>
      </c>
      <c r="S1187" s="6" t="e">
        <f t="shared" si="56"/>
        <v>#N/A</v>
      </c>
    </row>
    <row r="1188" spans="2:19" x14ac:dyDescent="0.25">
      <c r="B1188" s="1" t="s">
        <v>1479</v>
      </c>
      <c r="C1188" s="1" t="s">
        <v>1481</v>
      </c>
      <c r="D1188" s="4" t="e">
        <f>VLOOKUP(A1188,المعطيات!$A$1:$J$3500,5,0)</f>
        <v>#N/A</v>
      </c>
      <c r="E1188" s="1" t="s">
        <v>1482</v>
      </c>
      <c r="F1188" s="5">
        <f t="shared" si="54"/>
        <v>0</v>
      </c>
      <c r="G1188" s="5" t="s">
        <v>1483</v>
      </c>
      <c r="H1188" s="4" t="e">
        <f>VLOOKUP(A1188,المعطيات!$A$1:$J$3500,3,0)</f>
        <v>#N/A</v>
      </c>
      <c r="I1188" s="1" t="s">
        <v>1484</v>
      </c>
      <c r="J1188" s="1" t="s">
        <v>1485</v>
      </c>
      <c r="K1188" s="4" t="e">
        <f>VLOOKUP(A1188,المعطيات!$A$1:$J$3500,6,0)</f>
        <v>#N/A</v>
      </c>
      <c r="L1188" s="1" t="s">
        <v>1486</v>
      </c>
      <c r="M1188" s="1" t="s">
        <v>1487</v>
      </c>
      <c r="N1188" s="4" t="e">
        <f t="shared" si="55"/>
        <v>#N/A</v>
      </c>
      <c r="O1188" s="1" t="s">
        <v>1488</v>
      </c>
      <c r="P1188" s="4" t="e">
        <f>VLOOKUP(A1188,المعطيات!$A$1:$J$3500,4,0)</f>
        <v>#N/A</v>
      </c>
      <c r="Q1188" s="1" t="s">
        <v>1489</v>
      </c>
      <c r="R1188" s="1" t="s">
        <v>1480</v>
      </c>
      <c r="S1188" s="6" t="e">
        <f t="shared" si="56"/>
        <v>#N/A</v>
      </c>
    </row>
    <row r="1189" spans="2:19" x14ac:dyDescent="0.25">
      <c r="B1189" s="1" t="s">
        <v>1479</v>
      </c>
      <c r="C1189" s="1" t="s">
        <v>1481</v>
      </c>
      <c r="D1189" s="4" t="e">
        <f>VLOOKUP(A1189,المعطيات!$A$1:$J$3500,5,0)</f>
        <v>#N/A</v>
      </c>
      <c r="E1189" s="1" t="s">
        <v>1482</v>
      </c>
      <c r="F1189" s="5">
        <f t="shared" si="54"/>
        <v>0</v>
      </c>
      <c r="G1189" s="5" t="s">
        <v>1483</v>
      </c>
      <c r="H1189" s="4" t="e">
        <f>VLOOKUP(A1189,المعطيات!$A$1:$J$3500,3,0)</f>
        <v>#N/A</v>
      </c>
      <c r="I1189" s="1" t="s">
        <v>1484</v>
      </c>
      <c r="J1189" s="1" t="s">
        <v>1485</v>
      </c>
      <c r="K1189" s="4" t="e">
        <f>VLOOKUP(A1189,المعطيات!$A$1:$J$3500,6,0)</f>
        <v>#N/A</v>
      </c>
      <c r="L1189" s="1" t="s">
        <v>1486</v>
      </c>
      <c r="M1189" s="1" t="s">
        <v>1487</v>
      </c>
      <c r="N1189" s="4" t="e">
        <f t="shared" si="55"/>
        <v>#N/A</v>
      </c>
      <c r="O1189" s="1" t="s">
        <v>1488</v>
      </c>
      <c r="P1189" s="4" t="e">
        <f>VLOOKUP(A1189,المعطيات!$A$1:$J$3500,4,0)</f>
        <v>#N/A</v>
      </c>
      <c r="Q1189" s="1" t="s">
        <v>1489</v>
      </c>
      <c r="R1189" s="1" t="s">
        <v>1480</v>
      </c>
      <c r="S1189" s="6" t="e">
        <f t="shared" si="56"/>
        <v>#N/A</v>
      </c>
    </row>
    <row r="1190" spans="2:19" x14ac:dyDescent="0.25">
      <c r="B1190" s="1" t="s">
        <v>1479</v>
      </c>
      <c r="C1190" s="1" t="s">
        <v>1481</v>
      </c>
      <c r="D1190" s="4" t="e">
        <f>VLOOKUP(A1190,المعطيات!$A$1:$J$3500,5,0)</f>
        <v>#N/A</v>
      </c>
      <c r="E1190" s="1" t="s">
        <v>1482</v>
      </c>
      <c r="F1190" s="5">
        <f t="shared" si="54"/>
        <v>0</v>
      </c>
      <c r="G1190" s="5" t="s">
        <v>1483</v>
      </c>
      <c r="H1190" s="4" t="e">
        <f>VLOOKUP(A1190,المعطيات!$A$1:$J$3500,3,0)</f>
        <v>#N/A</v>
      </c>
      <c r="I1190" s="1" t="s">
        <v>1484</v>
      </c>
      <c r="J1190" s="1" t="s">
        <v>1485</v>
      </c>
      <c r="K1190" s="4" t="e">
        <f>VLOOKUP(A1190,المعطيات!$A$1:$J$3500,6,0)</f>
        <v>#N/A</v>
      </c>
      <c r="L1190" s="1" t="s">
        <v>1486</v>
      </c>
      <c r="M1190" s="1" t="s">
        <v>1487</v>
      </c>
      <c r="N1190" s="4" t="e">
        <f t="shared" si="55"/>
        <v>#N/A</v>
      </c>
      <c r="O1190" s="1" t="s">
        <v>1488</v>
      </c>
      <c r="P1190" s="4" t="e">
        <f>VLOOKUP(A1190,المعطيات!$A$1:$J$3500,4,0)</f>
        <v>#N/A</v>
      </c>
      <c r="Q1190" s="1" t="s">
        <v>1489</v>
      </c>
      <c r="R1190" s="1" t="s">
        <v>1480</v>
      </c>
      <c r="S1190" s="6" t="e">
        <f t="shared" si="56"/>
        <v>#N/A</v>
      </c>
    </row>
    <row r="1191" spans="2:19" x14ac:dyDescent="0.25">
      <c r="B1191" s="1" t="s">
        <v>1479</v>
      </c>
      <c r="C1191" s="1" t="s">
        <v>1481</v>
      </c>
      <c r="D1191" s="4" t="e">
        <f>VLOOKUP(A1191,المعطيات!$A$1:$J$3500,5,0)</f>
        <v>#N/A</v>
      </c>
      <c r="E1191" s="1" t="s">
        <v>1482</v>
      </c>
      <c r="F1191" s="5">
        <f t="shared" si="54"/>
        <v>0</v>
      </c>
      <c r="G1191" s="5" t="s">
        <v>1483</v>
      </c>
      <c r="H1191" s="4" t="e">
        <f>VLOOKUP(A1191,المعطيات!$A$1:$J$3500,3,0)</f>
        <v>#N/A</v>
      </c>
      <c r="I1191" s="1" t="s">
        <v>1484</v>
      </c>
      <c r="J1191" s="1" t="s">
        <v>1485</v>
      </c>
      <c r="K1191" s="4" t="e">
        <f>VLOOKUP(A1191,المعطيات!$A$1:$J$3500,6,0)</f>
        <v>#N/A</v>
      </c>
      <c r="L1191" s="1" t="s">
        <v>1486</v>
      </c>
      <c r="M1191" s="1" t="s">
        <v>1487</v>
      </c>
      <c r="N1191" s="4" t="e">
        <f t="shared" si="55"/>
        <v>#N/A</v>
      </c>
      <c r="O1191" s="1" t="s">
        <v>1488</v>
      </c>
      <c r="P1191" s="4" t="e">
        <f>VLOOKUP(A1191,المعطيات!$A$1:$J$3500,4,0)</f>
        <v>#N/A</v>
      </c>
      <c r="Q1191" s="1" t="s">
        <v>1489</v>
      </c>
      <c r="R1191" s="1" t="s">
        <v>1480</v>
      </c>
      <c r="S1191" s="6" t="e">
        <f t="shared" si="56"/>
        <v>#N/A</v>
      </c>
    </row>
    <row r="1192" spans="2:19" x14ac:dyDescent="0.25">
      <c r="B1192" s="1" t="s">
        <v>1479</v>
      </c>
      <c r="C1192" s="1" t="s">
        <v>1481</v>
      </c>
      <c r="D1192" s="4" t="e">
        <f>VLOOKUP(A1192,المعطيات!$A$1:$J$3500,5,0)</f>
        <v>#N/A</v>
      </c>
      <c r="E1192" s="1" t="s">
        <v>1482</v>
      </c>
      <c r="F1192" s="5">
        <f t="shared" si="54"/>
        <v>0</v>
      </c>
      <c r="G1192" s="5" t="s">
        <v>1483</v>
      </c>
      <c r="H1192" s="4" t="e">
        <f>VLOOKUP(A1192,المعطيات!$A$1:$J$3500,3,0)</f>
        <v>#N/A</v>
      </c>
      <c r="I1192" s="1" t="s">
        <v>1484</v>
      </c>
      <c r="J1192" s="1" t="s">
        <v>1485</v>
      </c>
      <c r="K1192" s="4" t="e">
        <f>VLOOKUP(A1192,المعطيات!$A$1:$J$3500,6,0)</f>
        <v>#N/A</v>
      </c>
      <c r="L1192" s="1" t="s">
        <v>1486</v>
      </c>
      <c r="M1192" s="1" t="s">
        <v>1487</v>
      </c>
      <c r="N1192" s="4" t="e">
        <f t="shared" si="55"/>
        <v>#N/A</v>
      </c>
      <c r="O1192" s="1" t="s">
        <v>1488</v>
      </c>
      <c r="P1192" s="4" t="e">
        <f>VLOOKUP(A1192,المعطيات!$A$1:$J$3500,4,0)</f>
        <v>#N/A</v>
      </c>
      <c r="Q1192" s="1" t="s">
        <v>1489</v>
      </c>
      <c r="R1192" s="1" t="s">
        <v>1480</v>
      </c>
      <c r="S1192" s="6" t="e">
        <f t="shared" si="56"/>
        <v>#N/A</v>
      </c>
    </row>
    <row r="1193" spans="2:19" x14ac:dyDescent="0.25">
      <c r="B1193" s="1" t="s">
        <v>1479</v>
      </c>
      <c r="C1193" s="1" t="s">
        <v>1481</v>
      </c>
      <c r="D1193" s="4" t="e">
        <f>VLOOKUP(A1193,المعطيات!$A$1:$J$3500,5,0)</f>
        <v>#N/A</v>
      </c>
      <c r="E1193" s="1" t="s">
        <v>1482</v>
      </c>
      <c r="F1193" s="5">
        <f t="shared" si="54"/>
        <v>0</v>
      </c>
      <c r="G1193" s="5" t="s">
        <v>1483</v>
      </c>
      <c r="H1193" s="4" t="e">
        <f>VLOOKUP(A1193,المعطيات!$A$1:$J$3500,3,0)</f>
        <v>#N/A</v>
      </c>
      <c r="I1193" s="1" t="s">
        <v>1484</v>
      </c>
      <c r="J1193" s="1" t="s">
        <v>1485</v>
      </c>
      <c r="K1193" s="4" t="e">
        <f>VLOOKUP(A1193,المعطيات!$A$1:$J$3500,6,0)</f>
        <v>#N/A</v>
      </c>
      <c r="L1193" s="1" t="s">
        <v>1486</v>
      </c>
      <c r="M1193" s="1" t="s">
        <v>1487</v>
      </c>
      <c r="N1193" s="4" t="e">
        <f t="shared" si="55"/>
        <v>#N/A</v>
      </c>
      <c r="O1193" s="1" t="s">
        <v>1488</v>
      </c>
      <c r="P1193" s="4" t="e">
        <f>VLOOKUP(A1193,المعطيات!$A$1:$J$3500,4,0)</f>
        <v>#N/A</v>
      </c>
      <c r="Q1193" s="1" t="s">
        <v>1489</v>
      </c>
      <c r="R1193" s="1" t="s">
        <v>1480</v>
      </c>
      <c r="S1193" s="6" t="e">
        <f t="shared" si="56"/>
        <v>#N/A</v>
      </c>
    </row>
    <row r="1194" spans="2:19" x14ac:dyDescent="0.25">
      <c r="B1194" s="1" t="s">
        <v>1479</v>
      </c>
      <c r="C1194" s="1" t="s">
        <v>1481</v>
      </c>
      <c r="D1194" s="4" t="e">
        <f>VLOOKUP(A1194,المعطيات!$A$1:$J$3500,5,0)</f>
        <v>#N/A</v>
      </c>
      <c r="E1194" s="1" t="s">
        <v>1482</v>
      </c>
      <c r="F1194" s="5">
        <f t="shared" si="54"/>
        <v>0</v>
      </c>
      <c r="G1194" s="5" t="s">
        <v>1483</v>
      </c>
      <c r="H1194" s="4" t="e">
        <f>VLOOKUP(A1194,المعطيات!$A$1:$J$3500,3,0)</f>
        <v>#N/A</v>
      </c>
      <c r="I1194" s="1" t="s">
        <v>1484</v>
      </c>
      <c r="J1194" s="1" t="s">
        <v>1485</v>
      </c>
      <c r="K1194" s="4" t="e">
        <f>VLOOKUP(A1194,المعطيات!$A$1:$J$3500,6,0)</f>
        <v>#N/A</v>
      </c>
      <c r="L1194" s="1" t="s">
        <v>1486</v>
      </c>
      <c r="M1194" s="1" t="s">
        <v>1487</v>
      </c>
      <c r="N1194" s="4" t="e">
        <f t="shared" si="55"/>
        <v>#N/A</v>
      </c>
      <c r="O1194" s="1" t="s">
        <v>1488</v>
      </c>
      <c r="P1194" s="4" t="e">
        <f>VLOOKUP(A1194,المعطيات!$A$1:$J$3500,4,0)</f>
        <v>#N/A</v>
      </c>
      <c r="Q1194" s="1" t="s">
        <v>1489</v>
      </c>
      <c r="R1194" s="1" t="s">
        <v>1480</v>
      </c>
      <c r="S1194" s="6" t="e">
        <f t="shared" si="56"/>
        <v>#N/A</v>
      </c>
    </row>
    <row r="1195" spans="2:19" x14ac:dyDescent="0.25">
      <c r="B1195" s="1" t="s">
        <v>1479</v>
      </c>
      <c r="C1195" s="1" t="s">
        <v>1481</v>
      </c>
      <c r="D1195" s="4" t="e">
        <f>VLOOKUP(A1195,المعطيات!$A$1:$J$3500,5,0)</f>
        <v>#N/A</v>
      </c>
      <c r="E1195" s="1" t="s">
        <v>1482</v>
      </c>
      <c r="F1195" s="5">
        <f t="shared" si="54"/>
        <v>0</v>
      </c>
      <c r="G1195" s="5" t="s">
        <v>1483</v>
      </c>
      <c r="H1195" s="4" t="e">
        <f>VLOOKUP(A1195,المعطيات!$A$1:$J$3500,3,0)</f>
        <v>#N/A</v>
      </c>
      <c r="I1195" s="1" t="s">
        <v>1484</v>
      </c>
      <c r="J1195" s="1" t="s">
        <v>1485</v>
      </c>
      <c r="K1195" s="4" t="e">
        <f>VLOOKUP(A1195,المعطيات!$A$1:$J$3500,6,0)</f>
        <v>#N/A</v>
      </c>
      <c r="L1195" s="1" t="s">
        <v>1486</v>
      </c>
      <c r="M1195" s="1" t="s">
        <v>1487</v>
      </c>
      <c r="N1195" s="4" t="e">
        <f t="shared" si="55"/>
        <v>#N/A</v>
      </c>
      <c r="O1195" s="1" t="s">
        <v>1488</v>
      </c>
      <c r="P1195" s="4" t="e">
        <f>VLOOKUP(A1195,المعطيات!$A$1:$J$3500,4,0)</f>
        <v>#N/A</v>
      </c>
      <c r="Q1195" s="1" t="s">
        <v>1489</v>
      </c>
      <c r="R1195" s="1" t="s">
        <v>1480</v>
      </c>
      <c r="S1195" s="6" t="e">
        <f t="shared" si="56"/>
        <v>#N/A</v>
      </c>
    </row>
    <row r="1196" spans="2:19" x14ac:dyDescent="0.25">
      <c r="B1196" s="1" t="s">
        <v>1479</v>
      </c>
      <c r="C1196" s="1" t="s">
        <v>1481</v>
      </c>
      <c r="D1196" s="4" t="e">
        <f>VLOOKUP(A1196,المعطيات!$A$1:$J$3500,5,0)</f>
        <v>#N/A</v>
      </c>
      <c r="E1196" s="1" t="s">
        <v>1482</v>
      </c>
      <c r="F1196" s="5">
        <f t="shared" si="54"/>
        <v>0</v>
      </c>
      <c r="G1196" s="5" t="s">
        <v>1483</v>
      </c>
      <c r="H1196" s="4" t="e">
        <f>VLOOKUP(A1196,المعطيات!$A$1:$J$3500,3,0)</f>
        <v>#N/A</v>
      </c>
      <c r="I1196" s="1" t="s">
        <v>1484</v>
      </c>
      <c r="J1196" s="1" t="s">
        <v>1485</v>
      </c>
      <c r="K1196" s="4" t="e">
        <f>VLOOKUP(A1196,المعطيات!$A$1:$J$3500,6,0)</f>
        <v>#N/A</v>
      </c>
      <c r="L1196" s="1" t="s">
        <v>1486</v>
      </c>
      <c r="M1196" s="1" t="s">
        <v>1487</v>
      </c>
      <c r="N1196" s="4" t="e">
        <f t="shared" si="55"/>
        <v>#N/A</v>
      </c>
      <c r="O1196" s="1" t="s">
        <v>1488</v>
      </c>
      <c r="P1196" s="4" t="e">
        <f>VLOOKUP(A1196,المعطيات!$A$1:$J$3500,4,0)</f>
        <v>#N/A</v>
      </c>
      <c r="Q1196" s="1" t="s">
        <v>1489</v>
      </c>
      <c r="R1196" s="1" t="s">
        <v>1480</v>
      </c>
      <c r="S1196" s="6" t="e">
        <f t="shared" si="56"/>
        <v>#N/A</v>
      </c>
    </row>
    <row r="1197" spans="2:19" x14ac:dyDescent="0.25">
      <c r="B1197" s="1" t="s">
        <v>1479</v>
      </c>
      <c r="C1197" s="1" t="s">
        <v>1481</v>
      </c>
      <c r="D1197" s="4" t="e">
        <f>VLOOKUP(A1197,المعطيات!$A$1:$J$3500,5,0)</f>
        <v>#N/A</v>
      </c>
      <c r="E1197" s="1" t="s">
        <v>1482</v>
      </c>
      <c r="F1197" s="5">
        <f t="shared" si="54"/>
        <v>0</v>
      </c>
      <c r="G1197" s="5" t="s">
        <v>1483</v>
      </c>
      <c r="H1197" s="4" t="e">
        <f>VLOOKUP(A1197,المعطيات!$A$1:$J$3500,3,0)</f>
        <v>#N/A</v>
      </c>
      <c r="I1197" s="1" t="s">
        <v>1484</v>
      </c>
      <c r="J1197" s="1" t="s">
        <v>1485</v>
      </c>
      <c r="K1197" s="4" t="e">
        <f>VLOOKUP(A1197,المعطيات!$A$1:$J$3500,6,0)</f>
        <v>#N/A</v>
      </c>
      <c r="L1197" s="1" t="s">
        <v>1486</v>
      </c>
      <c r="M1197" s="1" t="s">
        <v>1487</v>
      </c>
      <c r="N1197" s="4" t="e">
        <f t="shared" si="55"/>
        <v>#N/A</v>
      </c>
      <c r="O1197" s="1" t="s">
        <v>1488</v>
      </c>
      <c r="P1197" s="4" t="e">
        <f>VLOOKUP(A1197,المعطيات!$A$1:$J$3500,4,0)</f>
        <v>#N/A</v>
      </c>
      <c r="Q1197" s="1" t="s">
        <v>1489</v>
      </c>
      <c r="R1197" s="1" t="s">
        <v>1480</v>
      </c>
      <c r="S1197" s="6" t="e">
        <f t="shared" si="56"/>
        <v>#N/A</v>
      </c>
    </row>
    <row r="1198" spans="2:19" x14ac:dyDescent="0.25">
      <c r="B1198" s="1" t="s">
        <v>1479</v>
      </c>
      <c r="C1198" s="1" t="s">
        <v>1481</v>
      </c>
      <c r="D1198" s="4" t="e">
        <f>VLOOKUP(A1198,المعطيات!$A$1:$J$3500,5,0)</f>
        <v>#N/A</v>
      </c>
      <c r="E1198" s="1" t="s">
        <v>1482</v>
      </c>
      <c r="F1198" s="5">
        <f t="shared" si="54"/>
        <v>0</v>
      </c>
      <c r="G1198" s="5" t="s">
        <v>1483</v>
      </c>
      <c r="H1198" s="4" t="e">
        <f>VLOOKUP(A1198,المعطيات!$A$1:$J$3500,3,0)</f>
        <v>#N/A</v>
      </c>
      <c r="I1198" s="1" t="s">
        <v>1484</v>
      </c>
      <c r="J1198" s="1" t="s">
        <v>1485</v>
      </c>
      <c r="K1198" s="4" t="e">
        <f>VLOOKUP(A1198,المعطيات!$A$1:$J$3500,6,0)</f>
        <v>#N/A</v>
      </c>
      <c r="L1198" s="1" t="s">
        <v>1486</v>
      </c>
      <c r="M1198" s="1" t="s">
        <v>1487</v>
      </c>
      <c r="N1198" s="4" t="e">
        <f t="shared" si="55"/>
        <v>#N/A</v>
      </c>
      <c r="O1198" s="1" t="s">
        <v>1488</v>
      </c>
      <c r="P1198" s="4" t="e">
        <f>VLOOKUP(A1198,المعطيات!$A$1:$J$3500,4,0)</f>
        <v>#N/A</v>
      </c>
      <c r="Q1198" s="1" t="s">
        <v>1489</v>
      </c>
      <c r="R1198" s="1" t="s">
        <v>1480</v>
      </c>
      <c r="S1198" s="6" t="e">
        <f t="shared" si="56"/>
        <v>#N/A</v>
      </c>
    </row>
    <row r="1199" spans="2:19" x14ac:dyDescent="0.25">
      <c r="B1199" s="1" t="s">
        <v>1479</v>
      </c>
      <c r="C1199" s="1" t="s">
        <v>1481</v>
      </c>
      <c r="D1199" s="4" t="e">
        <f>VLOOKUP(A1199,المعطيات!$A$1:$J$3500,5,0)</f>
        <v>#N/A</v>
      </c>
      <c r="E1199" s="1" t="s">
        <v>1482</v>
      </c>
      <c r="F1199" s="5">
        <f t="shared" si="54"/>
        <v>0</v>
      </c>
      <c r="G1199" s="5" t="s">
        <v>1483</v>
      </c>
      <c r="H1199" s="4" t="e">
        <f>VLOOKUP(A1199,المعطيات!$A$1:$J$3500,3,0)</f>
        <v>#N/A</v>
      </c>
      <c r="I1199" s="1" t="s">
        <v>1484</v>
      </c>
      <c r="J1199" s="1" t="s">
        <v>1485</v>
      </c>
      <c r="K1199" s="4" t="e">
        <f>VLOOKUP(A1199,المعطيات!$A$1:$J$3500,6,0)</f>
        <v>#N/A</v>
      </c>
      <c r="L1199" s="1" t="s">
        <v>1486</v>
      </c>
      <c r="M1199" s="1" t="s">
        <v>1487</v>
      </c>
      <c r="N1199" s="4" t="e">
        <f t="shared" si="55"/>
        <v>#N/A</v>
      </c>
      <c r="O1199" s="1" t="s">
        <v>1488</v>
      </c>
      <c r="P1199" s="4" t="e">
        <f>VLOOKUP(A1199,المعطيات!$A$1:$J$3500,4,0)</f>
        <v>#N/A</v>
      </c>
      <c r="Q1199" s="1" t="s">
        <v>1489</v>
      </c>
      <c r="R1199" s="1" t="s">
        <v>1480</v>
      </c>
      <c r="S1199" s="6" t="e">
        <f t="shared" si="56"/>
        <v>#N/A</v>
      </c>
    </row>
    <row r="1200" spans="2:19" x14ac:dyDescent="0.25">
      <c r="B1200" s="1" t="s">
        <v>1479</v>
      </c>
      <c r="C1200" s="1" t="s">
        <v>1481</v>
      </c>
      <c r="D1200" s="4" t="e">
        <f>VLOOKUP(A1200,المعطيات!$A$1:$J$3500,5,0)</f>
        <v>#N/A</v>
      </c>
      <c r="E1200" s="1" t="s">
        <v>1482</v>
      </c>
      <c r="F1200" s="5">
        <f t="shared" si="54"/>
        <v>0</v>
      </c>
      <c r="G1200" s="5" t="s">
        <v>1483</v>
      </c>
      <c r="H1200" s="4" t="e">
        <f>VLOOKUP(A1200,المعطيات!$A$1:$J$3500,3,0)</f>
        <v>#N/A</v>
      </c>
      <c r="I1200" s="1" t="s">
        <v>1484</v>
      </c>
      <c r="J1200" s="1" t="s">
        <v>1485</v>
      </c>
      <c r="K1200" s="4" t="e">
        <f>VLOOKUP(A1200,المعطيات!$A$1:$J$3500,6,0)</f>
        <v>#N/A</v>
      </c>
      <c r="L1200" s="1" t="s">
        <v>1486</v>
      </c>
      <c r="M1200" s="1" t="s">
        <v>1487</v>
      </c>
      <c r="N1200" s="4" t="e">
        <f t="shared" si="55"/>
        <v>#N/A</v>
      </c>
      <c r="O1200" s="1" t="s">
        <v>1488</v>
      </c>
      <c r="P1200" s="4" t="e">
        <f>VLOOKUP(A1200,المعطيات!$A$1:$J$3500,4,0)</f>
        <v>#N/A</v>
      </c>
      <c r="Q1200" s="1" t="s">
        <v>1489</v>
      </c>
      <c r="R1200" s="1" t="s">
        <v>1480</v>
      </c>
      <c r="S1200" s="6" t="e">
        <f t="shared" si="56"/>
        <v>#N/A</v>
      </c>
    </row>
    <row r="1201" spans="2:19" x14ac:dyDescent="0.25">
      <c r="B1201" s="1" t="s">
        <v>1479</v>
      </c>
      <c r="C1201" s="1" t="s">
        <v>1481</v>
      </c>
      <c r="D1201" s="4" t="e">
        <f>VLOOKUP(A1201,المعطيات!$A$1:$J$3500,5,0)</f>
        <v>#N/A</v>
      </c>
      <c r="E1201" s="1" t="s">
        <v>1482</v>
      </c>
      <c r="F1201" s="5">
        <f t="shared" si="54"/>
        <v>0</v>
      </c>
      <c r="G1201" s="5" t="s">
        <v>1483</v>
      </c>
      <c r="H1201" s="4" t="e">
        <f>VLOOKUP(A1201,المعطيات!$A$1:$J$3500,3,0)</f>
        <v>#N/A</v>
      </c>
      <c r="I1201" s="1" t="s">
        <v>1484</v>
      </c>
      <c r="J1201" s="1" t="s">
        <v>1485</v>
      </c>
      <c r="K1201" s="4" t="e">
        <f>VLOOKUP(A1201,المعطيات!$A$1:$J$3500,6,0)</f>
        <v>#N/A</v>
      </c>
      <c r="L1201" s="1" t="s">
        <v>1486</v>
      </c>
      <c r="M1201" s="1" t="s">
        <v>1487</v>
      </c>
      <c r="N1201" s="4" t="e">
        <f t="shared" si="55"/>
        <v>#N/A</v>
      </c>
      <c r="O1201" s="1" t="s">
        <v>1488</v>
      </c>
      <c r="P1201" s="4" t="e">
        <f>VLOOKUP(A1201,المعطيات!$A$1:$J$3500,4,0)</f>
        <v>#N/A</v>
      </c>
      <c r="Q1201" s="1" t="s">
        <v>1489</v>
      </c>
      <c r="R1201" s="1" t="s">
        <v>1480</v>
      </c>
      <c r="S1201" s="6" t="e">
        <f t="shared" si="56"/>
        <v>#N/A</v>
      </c>
    </row>
    <row r="1202" spans="2:19" x14ac:dyDescent="0.25">
      <c r="B1202" s="1" t="s">
        <v>1479</v>
      </c>
      <c r="C1202" s="1" t="s">
        <v>1481</v>
      </c>
      <c r="D1202" s="4" t="e">
        <f>VLOOKUP(A1202,المعطيات!$A$1:$J$3500,5,0)</f>
        <v>#N/A</v>
      </c>
      <c r="E1202" s="1" t="s">
        <v>1482</v>
      </c>
      <c r="F1202" s="5">
        <f t="shared" si="54"/>
        <v>0</v>
      </c>
      <c r="G1202" s="5" t="s">
        <v>1483</v>
      </c>
      <c r="H1202" s="4" t="e">
        <f>VLOOKUP(A1202,المعطيات!$A$1:$J$3500,3,0)</f>
        <v>#N/A</v>
      </c>
      <c r="I1202" s="1" t="s">
        <v>1484</v>
      </c>
      <c r="J1202" s="1" t="s">
        <v>1485</v>
      </c>
      <c r="K1202" s="4" t="e">
        <f>VLOOKUP(A1202,المعطيات!$A$1:$J$3500,6,0)</f>
        <v>#N/A</v>
      </c>
      <c r="L1202" s="1" t="s">
        <v>1486</v>
      </c>
      <c r="M1202" s="1" t="s">
        <v>1487</v>
      </c>
      <c r="N1202" s="4" t="e">
        <f t="shared" si="55"/>
        <v>#N/A</v>
      </c>
      <c r="O1202" s="1" t="s">
        <v>1488</v>
      </c>
      <c r="P1202" s="4" t="e">
        <f>VLOOKUP(A1202,المعطيات!$A$1:$J$3500,4,0)</f>
        <v>#N/A</v>
      </c>
      <c r="Q1202" s="1" t="s">
        <v>1489</v>
      </c>
      <c r="R1202" s="1" t="s">
        <v>1480</v>
      </c>
      <c r="S1202" s="6" t="e">
        <f t="shared" si="56"/>
        <v>#N/A</v>
      </c>
    </row>
    <row r="1203" spans="2:19" x14ac:dyDescent="0.25">
      <c r="B1203" s="1" t="s">
        <v>1479</v>
      </c>
      <c r="C1203" s="1" t="s">
        <v>1481</v>
      </c>
      <c r="D1203" s="4" t="e">
        <f>VLOOKUP(A1203,المعطيات!$A$1:$J$3500,5,0)</f>
        <v>#N/A</v>
      </c>
      <c r="E1203" s="1" t="s">
        <v>1482</v>
      </c>
      <c r="F1203" s="5">
        <f t="shared" si="54"/>
        <v>0</v>
      </c>
      <c r="G1203" s="5" t="s">
        <v>1483</v>
      </c>
      <c r="H1203" s="4" t="e">
        <f>VLOOKUP(A1203,المعطيات!$A$1:$J$3500,3,0)</f>
        <v>#N/A</v>
      </c>
      <c r="I1203" s="1" t="s">
        <v>1484</v>
      </c>
      <c r="J1203" s="1" t="s">
        <v>1485</v>
      </c>
      <c r="K1203" s="4" t="e">
        <f>VLOOKUP(A1203,المعطيات!$A$1:$J$3500,6,0)</f>
        <v>#N/A</v>
      </c>
      <c r="L1203" s="1" t="s">
        <v>1486</v>
      </c>
      <c r="M1203" s="1" t="s">
        <v>1487</v>
      </c>
      <c r="N1203" s="4" t="e">
        <f t="shared" si="55"/>
        <v>#N/A</v>
      </c>
      <c r="O1203" s="1" t="s">
        <v>1488</v>
      </c>
      <c r="P1203" s="4" t="e">
        <f>VLOOKUP(A1203,المعطيات!$A$1:$J$3500,4,0)</f>
        <v>#N/A</v>
      </c>
      <c r="Q1203" s="1" t="s">
        <v>1489</v>
      </c>
      <c r="R1203" s="1" t="s">
        <v>1480</v>
      </c>
      <c r="S1203" s="6" t="e">
        <f t="shared" si="56"/>
        <v>#N/A</v>
      </c>
    </row>
    <row r="1204" spans="2:19" x14ac:dyDescent="0.25">
      <c r="B1204" s="1" t="s">
        <v>1479</v>
      </c>
      <c r="C1204" s="1" t="s">
        <v>1481</v>
      </c>
      <c r="D1204" s="4" t="e">
        <f>VLOOKUP(A1204,المعطيات!$A$1:$J$3500,5,0)</f>
        <v>#N/A</v>
      </c>
      <c r="E1204" s="1" t="s">
        <v>1482</v>
      </c>
      <c r="F1204" s="5">
        <f t="shared" si="54"/>
        <v>0</v>
      </c>
      <c r="G1204" s="5" t="s">
        <v>1483</v>
      </c>
      <c r="H1204" s="4" t="e">
        <f>VLOOKUP(A1204,المعطيات!$A$1:$J$3500,3,0)</f>
        <v>#N/A</v>
      </c>
      <c r="I1204" s="1" t="s">
        <v>1484</v>
      </c>
      <c r="J1204" s="1" t="s">
        <v>1485</v>
      </c>
      <c r="K1204" s="4" t="e">
        <f>VLOOKUP(A1204,المعطيات!$A$1:$J$3500,6,0)</f>
        <v>#N/A</v>
      </c>
      <c r="L1204" s="1" t="s">
        <v>1486</v>
      </c>
      <c r="M1204" s="1" t="s">
        <v>1487</v>
      </c>
      <c r="N1204" s="4" t="e">
        <f t="shared" si="55"/>
        <v>#N/A</v>
      </c>
      <c r="O1204" s="1" t="s">
        <v>1488</v>
      </c>
      <c r="P1204" s="4" t="e">
        <f>VLOOKUP(A1204,المعطيات!$A$1:$J$3500,4,0)</f>
        <v>#N/A</v>
      </c>
      <c r="Q1204" s="1" t="s">
        <v>1489</v>
      </c>
      <c r="R1204" s="1" t="s">
        <v>1480</v>
      </c>
      <c r="S1204" s="6" t="e">
        <f t="shared" si="56"/>
        <v>#N/A</v>
      </c>
    </row>
    <row r="1205" spans="2:19" x14ac:dyDescent="0.25">
      <c r="B1205" s="1" t="s">
        <v>1479</v>
      </c>
      <c r="C1205" s="1" t="s">
        <v>1481</v>
      </c>
      <c r="D1205" s="4" t="e">
        <f>VLOOKUP(A1205,المعطيات!$A$1:$J$3500,5,0)</f>
        <v>#N/A</v>
      </c>
      <c r="E1205" s="1" t="s">
        <v>1482</v>
      </c>
      <c r="F1205" s="5">
        <f t="shared" si="54"/>
        <v>0</v>
      </c>
      <c r="G1205" s="5" t="s">
        <v>1483</v>
      </c>
      <c r="H1205" s="4" t="e">
        <f>VLOOKUP(A1205,المعطيات!$A$1:$J$3500,3,0)</f>
        <v>#N/A</v>
      </c>
      <c r="I1205" s="1" t="s">
        <v>1484</v>
      </c>
      <c r="J1205" s="1" t="s">
        <v>1485</v>
      </c>
      <c r="K1205" s="4" t="e">
        <f>VLOOKUP(A1205,المعطيات!$A$1:$J$3500,6,0)</f>
        <v>#N/A</v>
      </c>
      <c r="L1205" s="1" t="s">
        <v>1486</v>
      </c>
      <c r="M1205" s="1" t="s">
        <v>1487</v>
      </c>
      <c r="N1205" s="4" t="e">
        <f t="shared" si="55"/>
        <v>#N/A</v>
      </c>
      <c r="O1205" s="1" t="s">
        <v>1488</v>
      </c>
      <c r="P1205" s="4" t="e">
        <f>VLOOKUP(A1205,المعطيات!$A$1:$J$3500,4,0)</f>
        <v>#N/A</v>
      </c>
      <c r="Q1205" s="1" t="s">
        <v>1489</v>
      </c>
      <c r="R1205" s="1" t="s">
        <v>1480</v>
      </c>
      <c r="S1205" s="6" t="e">
        <f t="shared" si="56"/>
        <v>#N/A</v>
      </c>
    </row>
    <row r="1206" spans="2:19" x14ac:dyDescent="0.25">
      <c r="B1206" s="1" t="s">
        <v>1479</v>
      </c>
      <c r="C1206" s="1" t="s">
        <v>1481</v>
      </c>
      <c r="D1206" s="4" t="e">
        <f>VLOOKUP(A1206,المعطيات!$A$1:$J$3500,5,0)</f>
        <v>#N/A</v>
      </c>
      <c r="E1206" s="1" t="s">
        <v>1482</v>
      </c>
      <c r="F1206" s="5">
        <f t="shared" si="54"/>
        <v>0</v>
      </c>
      <c r="G1206" s="5" t="s">
        <v>1483</v>
      </c>
      <c r="H1206" s="4" t="e">
        <f>VLOOKUP(A1206,المعطيات!$A$1:$J$3500,3,0)</f>
        <v>#N/A</v>
      </c>
      <c r="I1206" s="1" t="s">
        <v>1484</v>
      </c>
      <c r="J1206" s="1" t="s">
        <v>1485</v>
      </c>
      <c r="K1206" s="4" t="e">
        <f>VLOOKUP(A1206,المعطيات!$A$1:$J$3500,6,0)</f>
        <v>#N/A</v>
      </c>
      <c r="L1206" s="1" t="s">
        <v>1486</v>
      </c>
      <c r="M1206" s="1" t="s">
        <v>1487</v>
      </c>
      <c r="N1206" s="4" t="e">
        <f t="shared" si="55"/>
        <v>#N/A</v>
      </c>
      <c r="O1206" s="1" t="s">
        <v>1488</v>
      </c>
      <c r="P1206" s="4" t="e">
        <f>VLOOKUP(A1206,المعطيات!$A$1:$J$3500,4,0)</f>
        <v>#N/A</v>
      </c>
      <c r="Q1206" s="1" t="s">
        <v>1489</v>
      </c>
      <c r="R1206" s="1" t="s">
        <v>1480</v>
      </c>
      <c r="S1206" s="6" t="e">
        <f t="shared" si="56"/>
        <v>#N/A</v>
      </c>
    </row>
    <row r="1207" spans="2:19" x14ac:dyDescent="0.25">
      <c r="B1207" s="1" t="s">
        <v>1479</v>
      </c>
      <c r="C1207" s="1" t="s">
        <v>1481</v>
      </c>
      <c r="D1207" s="4" t="e">
        <f>VLOOKUP(A1207,المعطيات!$A$1:$J$3500,5,0)</f>
        <v>#N/A</v>
      </c>
      <c r="E1207" s="1" t="s">
        <v>1482</v>
      </c>
      <c r="F1207" s="5">
        <f t="shared" si="54"/>
        <v>0</v>
      </c>
      <c r="G1207" s="5" t="s">
        <v>1483</v>
      </c>
      <c r="H1207" s="4" t="e">
        <f>VLOOKUP(A1207,المعطيات!$A$1:$J$3500,3,0)</f>
        <v>#N/A</v>
      </c>
      <c r="I1207" s="1" t="s">
        <v>1484</v>
      </c>
      <c r="J1207" s="1" t="s">
        <v>1485</v>
      </c>
      <c r="K1207" s="4" t="e">
        <f>VLOOKUP(A1207,المعطيات!$A$1:$J$3500,6,0)</f>
        <v>#N/A</v>
      </c>
      <c r="L1207" s="1" t="s">
        <v>1486</v>
      </c>
      <c r="M1207" s="1" t="s">
        <v>1487</v>
      </c>
      <c r="N1207" s="4" t="e">
        <f t="shared" si="55"/>
        <v>#N/A</v>
      </c>
      <c r="O1207" s="1" t="s">
        <v>1488</v>
      </c>
      <c r="P1207" s="4" t="e">
        <f>VLOOKUP(A1207,المعطيات!$A$1:$J$3500,4,0)</f>
        <v>#N/A</v>
      </c>
      <c r="Q1207" s="1" t="s">
        <v>1489</v>
      </c>
      <c r="R1207" s="1" t="s">
        <v>1480</v>
      </c>
      <c r="S1207" s="6" t="e">
        <f t="shared" si="56"/>
        <v>#N/A</v>
      </c>
    </row>
    <row r="1208" spans="2:19" x14ac:dyDescent="0.25">
      <c r="B1208" s="1" t="s">
        <v>1479</v>
      </c>
      <c r="C1208" s="1" t="s">
        <v>1481</v>
      </c>
      <c r="D1208" s="4" t="e">
        <f>VLOOKUP(A1208,المعطيات!$A$1:$J$3500,5,0)</f>
        <v>#N/A</v>
      </c>
      <c r="E1208" s="1" t="s">
        <v>1482</v>
      </c>
      <c r="F1208" s="5">
        <f t="shared" si="54"/>
        <v>0</v>
      </c>
      <c r="G1208" s="5" t="s">
        <v>1483</v>
      </c>
      <c r="H1208" s="4" t="e">
        <f>VLOOKUP(A1208,المعطيات!$A$1:$J$3500,3,0)</f>
        <v>#N/A</v>
      </c>
      <c r="I1208" s="1" t="s">
        <v>1484</v>
      </c>
      <c r="J1208" s="1" t="s">
        <v>1485</v>
      </c>
      <c r="K1208" s="4" t="e">
        <f>VLOOKUP(A1208,المعطيات!$A$1:$J$3500,6,0)</f>
        <v>#N/A</v>
      </c>
      <c r="L1208" s="1" t="s">
        <v>1486</v>
      </c>
      <c r="M1208" s="1" t="s">
        <v>1487</v>
      </c>
      <c r="N1208" s="4" t="e">
        <f t="shared" si="55"/>
        <v>#N/A</v>
      </c>
      <c r="O1208" s="1" t="s">
        <v>1488</v>
      </c>
      <c r="P1208" s="4" t="e">
        <f>VLOOKUP(A1208,المعطيات!$A$1:$J$3500,4,0)</f>
        <v>#N/A</v>
      </c>
      <c r="Q1208" s="1" t="s">
        <v>1489</v>
      </c>
      <c r="R1208" s="1" t="s">
        <v>1480</v>
      </c>
      <c r="S1208" s="6" t="e">
        <f t="shared" si="56"/>
        <v>#N/A</v>
      </c>
    </row>
    <row r="1209" spans="2:19" x14ac:dyDescent="0.25">
      <c r="B1209" s="1" t="s">
        <v>1479</v>
      </c>
      <c r="C1209" s="1" t="s">
        <v>1481</v>
      </c>
      <c r="D1209" s="4" t="e">
        <f>VLOOKUP(A1209,المعطيات!$A$1:$J$3500,5,0)</f>
        <v>#N/A</v>
      </c>
      <c r="E1209" s="1" t="s">
        <v>1482</v>
      </c>
      <c r="F1209" s="5">
        <f t="shared" si="54"/>
        <v>0</v>
      </c>
      <c r="G1209" s="5" t="s">
        <v>1483</v>
      </c>
      <c r="H1209" s="4" t="e">
        <f>VLOOKUP(A1209,المعطيات!$A$1:$J$3500,3,0)</f>
        <v>#N/A</v>
      </c>
      <c r="I1209" s="1" t="s">
        <v>1484</v>
      </c>
      <c r="J1209" s="1" t="s">
        <v>1485</v>
      </c>
      <c r="K1209" s="4" t="e">
        <f>VLOOKUP(A1209,المعطيات!$A$1:$J$3500,6,0)</f>
        <v>#N/A</v>
      </c>
      <c r="L1209" s="1" t="s">
        <v>1486</v>
      </c>
      <c r="M1209" s="1" t="s">
        <v>1487</v>
      </c>
      <c r="N1209" s="4" t="e">
        <f t="shared" si="55"/>
        <v>#N/A</v>
      </c>
      <c r="O1209" s="1" t="s">
        <v>1488</v>
      </c>
      <c r="P1209" s="4" t="e">
        <f>VLOOKUP(A1209,المعطيات!$A$1:$J$3500,4,0)</f>
        <v>#N/A</v>
      </c>
      <c r="Q1209" s="1" t="s">
        <v>1489</v>
      </c>
      <c r="R1209" s="1" t="s">
        <v>1480</v>
      </c>
      <c r="S1209" s="6" t="e">
        <f t="shared" si="56"/>
        <v>#N/A</v>
      </c>
    </row>
    <row r="1210" spans="2:19" x14ac:dyDescent="0.25">
      <c r="B1210" s="1" t="s">
        <v>1479</v>
      </c>
      <c r="C1210" s="1" t="s">
        <v>1481</v>
      </c>
      <c r="D1210" s="4" t="e">
        <f>VLOOKUP(A1210,المعطيات!$A$1:$J$3500,5,0)</f>
        <v>#N/A</v>
      </c>
      <c r="E1210" s="1" t="s">
        <v>1482</v>
      </c>
      <c r="F1210" s="5">
        <f t="shared" si="54"/>
        <v>0</v>
      </c>
      <c r="G1210" s="5" t="s">
        <v>1483</v>
      </c>
      <c r="H1210" s="4" t="e">
        <f>VLOOKUP(A1210,المعطيات!$A$1:$J$3500,3,0)</f>
        <v>#N/A</v>
      </c>
      <c r="I1210" s="1" t="s">
        <v>1484</v>
      </c>
      <c r="J1210" s="1" t="s">
        <v>1485</v>
      </c>
      <c r="K1210" s="4" t="e">
        <f>VLOOKUP(A1210,المعطيات!$A$1:$J$3500,6,0)</f>
        <v>#N/A</v>
      </c>
      <c r="L1210" s="1" t="s">
        <v>1486</v>
      </c>
      <c r="M1210" s="1" t="s">
        <v>1487</v>
      </c>
      <c r="N1210" s="4" t="e">
        <f t="shared" si="55"/>
        <v>#N/A</v>
      </c>
      <c r="O1210" s="1" t="s">
        <v>1488</v>
      </c>
      <c r="P1210" s="4" t="e">
        <f>VLOOKUP(A1210,المعطيات!$A$1:$J$3500,4,0)</f>
        <v>#N/A</v>
      </c>
      <c r="Q1210" s="1" t="s">
        <v>1489</v>
      </c>
      <c r="R1210" s="1" t="s">
        <v>1480</v>
      </c>
      <c r="S1210" s="6" t="e">
        <f t="shared" si="56"/>
        <v>#N/A</v>
      </c>
    </row>
    <row r="1211" spans="2:19" x14ac:dyDescent="0.25">
      <c r="B1211" s="1" t="s">
        <v>1479</v>
      </c>
      <c r="C1211" s="1" t="s">
        <v>1481</v>
      </c>
      <c r="D1211" s="4" t="e">
        <f>VLOOKUP(A1211,المعطيات!$A$1:$J$3500,5,0)</f>
        <v>#N/A</v>
      </c>
      <c r="E1211" s="1" t="s">
        <v>1482</v>
      </c>
      <c r="F1211" s="5">
        <f t="shared" si="54"/>
        <v>0</v>
      </c>
      <c r="G1211" s="5" t="s">
        <v>1483</v>
      </c>
      <c r="H1211" s="4" t="e">
        <f>VLOOKUP(A1211,المعطيات!$A$1:$J$3500,3,0)</f>
        <v>#N/A</v>
      </c>
      <c r="I1211" s="1" t="s">
        <v>1484</v>
      </c>
      <c r="J1211" s="1" t="s">
        <v>1485</v>
      </c>
      <c r="K1211" s="4" t="e">
        <f>VLOOKUP(A1211,المعطيات!$A$1:$J$3500,6,0)</f>
        <v>#N/A</v>
      </c>
      <c r="L1211" s="1" t="s">
        <v>1486</v>
      </c>
      <c r="M1211" s="1" t="s">
        <v>1487</v>
      </c>
      <c r="N1211" s="4" t="e">
        <f t="shared" si="55"/>
        <v>#N/A</v>
      </c>
      <c r="O1211" s="1" t="s">
        <v>1488</v>
      </c>
      <c r="P1211" s="4" t="e">
        <f>VLOOKUP(A1211,المعطيات!$A$1:$J$3500,4,0)</f>
        <v>#N/A</v>
      </c>
      <c r="Q1211" s="1" t="s">
        <v>1489</v>
      </c>
      <c r="R1211" s="1" t="s">
        <v>1480</v>
      </c>
      <c r="S1211" s="6" t="e">
        <f t="shared" si="56"/>
        <v>#N/A</v>
      </c>
    </row>
    <row r="1212" spans="2:19" x14ac:dyDescent="0.25">
      <c r="B1212" s="1" t="s">
        <v>1479</v>
      </c>
      <c r="C1212" s="1" t="s">
        <v>1481</v>
      </c>
      <c r="D1212" s="4" t="e">
        <f>VLOOKUP(A1212,المعطيات!$A$1:$J$3500,5,0)</f>
        <v>#N/A</v>
      </c>
      <c r="E1212" s="1" t="s">
        <v>1482</v>
      </c>
      <c r="F1212" s="5">
        <f t="shared" si="54"/>
        <v>0</v>
      </c>
      <c r="G1212" s="5" t="s">
        <v>1483</v>
      </c>
      <c r="H1212" s="4" t="e">
        <f>VLOOKUP(A1212,المعطيات!$A$1:$J$3500,3,0)</f>
        <v>#N/A</v>
      </c>
      <c r="I1212" s="1" t="s">
        <v>1484</v>
      </c>
      <c r="J1212" s="1" t="s">
        <v>1485</v>
      </c>
      <c r="K1212" s="4" t="e">
        <f>VLOOKUP(A1212,المعطيات!$A$1:$J$3500,6,0)</f>
        <v>#N/A</v>
      </c>
      <c r="L1212" s="1" t="s">
        <v>1486</v>
      </c>
      <c r="M1212" s="1" t="s">
        <v>1487</v>
      </c>
      <c r="N1212" s="4" t="e">
        <f t="shared" si="55"/>
        <v>#N/A</v>
      </c>
      <c r="O1212" s="1" t="s">
        <v>1488</v>
      </c>
      <c r="P1212" s="4" t="e">
        <f>VLOOKUP(A1212,المعطيات!$A$1:$J$3500,4,0)</f>
        <v>#N/A</v>
      </c>
      <c r="Q1212" s="1" t="s">
        <v>1489</v>
      </c>
      <c r="R1212" s="1" t="s">
        <v>1480</v>
      </c>
      <c r="S1212" s="6" t="e">
        <f t="shared" si="56"/>
        <v>#N/A</v>
      </c>
    </row>
    <row r="1213" spans="2:19" x14ac:dyDescent="0.25">
      <c r="B1213" s="1" t="s">
        <v>1479</v>
      </c>
      <c r="C1213" s="1" t="s">
        <v>1481</v>
      </c>
      <c r="D1213" s="4" t="e">
        <f>VLOOKUP(A1213,المعطيات!$A$1:$J$3500,5,0)</f>
        <v>#N/A</v>
      </c>
      <c r="E1213" s="1" t="s">
        <v>1482</v>
      </c>
      <c r="F1213" s="5">
        <f t="shared" si="54"/>
        <v>0</v>
      </c>
      <c r="G1213" s="5" t="s">
        <v>1483</v>
      </c>
      <c r="H1213" s="4" t="e">
        <f>VLOOKUP(A1213,المعطيات!$A$1:$J$3500,3,0)</f>
        <v>#N/A</v>
      </c>
      <c r="I1213" s="1" t="s">
        <v>1484</v>
      </c>
      <c r="J1213" s="1" t="s">
        <v>1485</v>
      </c>
      <c r="K1213" s="4" t="e">
        <f>VLOOKUP(A1213,المعطيات!$A$1:$J$3500,6,0)</f>
        <v>#N/A</v>
      </c>
      <c r="L1213" s="1" t="s">
        <v>1486</v>
      </c>
      <c r="M1213" s="1" t="s">
        <v>1487</v>
      </c>
      <c r="N1213" s="4" t="e">
        <f t="shared" si="55"/>
        <v>#N/A</v>
      </c>
      <c r="O1213" s="1" t="s">
        <v>1488</v>
      </c>
      <c r="P1213" s="4" t="e">
        <f>VLOOKUP(A1213,المعطيات!$A$1:$J$3500,4,0)</f>
        <v>#N/A</v>
      </c>
      <c r="Q1213" s="1" t="s">
        <v>1489</v>
      </c>
      <c r="R1213" s="1" t="s">
        <v>1480</v>
      </c>
      <c r="S1213" s="6" t="e">
        <f t="shared" si="56"/>
        <v>#N/A</v>
      </c>
    </row>
    <row r="1214" spans="2:19" x14ac:dyDescent="0.25">
      <c r="B1214" s="1" t="s">
        <v>1479</v>
      </c>
      <c r="C1214" s="1" t="s">
        <v>1481</v>
      </c>
      <c r="D1214" s="4" t="e">
        <f>VLOOKUP(A1214,المعطيات!$A$1:$J$3500,5,0)</f>
        <v>#N/A</v>
      </c>
      <c r="E1214" s="1" t="s">
        <v>1482</v>
      </c>
      <c r="F1214" s="5">
        <f t="shared" si="54"/>
        <v>0</v>
      </c>
      <c r="G1214" s="5" t="s">
        <v>1483</v>
      </c>
      <c r="H1214" s="4" t="e">
        <f>VLOOKUP(A1214,المعطيات!$A$1:$J$3500,3,0)</f>
        <v>#N/A</v>
      </c>
      <c r="I1214" s="1" t="s">
        <v>1484</v>
      </c>
      <c r="J1214" s="1" t="s">
        <v>1485</v>
      </c>
      <c r="K1214" s="4" t="e">
        <f>VLOOKUP(A1214,المعطيات!$A$1:$J$3500,6,0)</f>
        <v>#N/A</v>
      </c>
      <c r="L1214" s="1" t="s">
        <v>1486</v>
      </c>
      <c r="M1214" s="1" t="s">
        <v>1487</v>
      </c>
      <c r="N1214" s="4" t="e">
        <f t="shared" si="55"/>
        <v>#N/A</v>
      </c>
      <c r="O1214" s="1" t="s">
        <v>1488</v>
      </c>
      <c r="P1214" s="4" t="e">
        <f>VLOOKUP(A1214,المعطيات!$A$1:$J$3500,4,0)</f>
        <v>#N/A</v>
      </c>
      <c r="Q1214" s="1" t="s">
        <v>1489</v>
      </c>
      <c r="R1214" s="1" t="s">
        <v>1480</v>
      </c>
      <c r="S1214" s="6" t="e">
        <f t="shared" si="56"/>
        <v>#N/A</v>
      </c>
    </row>
    <row r="1215" spans="2:19" x14ac:dyDescent="0.25">
      <c r="B1215" s="1" t="s">
        <v>1479</v>
      </c>
      <c r="C1215" s="1" t="s">
        <v>1481</v>
      </c>
      <c r="D1215" s="4" t="e">
        <f>VLOOKUP(A1215,المعطيات!$A$1:$J$3500,5,0)</f>
        <v>#N/A</v>
      </c>
      <c r="E1215" s="1" t="s">
        <v>1482</v>
      </c>
      <c r="F1215" s="5">
        <f t="shared" si="54"/>
        <v>0</v>
      </c>
      <c r="G1215" s="5" t="s">
        <v>1483</v>
      </c>
      <c r="H1215" s="4" t="e">
        <f>VLOOKUP(A1215,المعطيات!$A$1:$J$3500,3,0)</f>
        <v>#N/A</v>
      </c>
      <c r="I1215" s="1" t="s">
        <v>1484</v>
      </c>
      <c r="J1215" s="1" t="s">
        <v>1485</v>
      </c>
      <c r="K1215" s="4" t="e">
        <f>VLOOKUP(A1215,المعطيات!$A$1:$J$3500,6,0)</f>
        <v>#N/A</v>
      </c>
      <c r="L1215" s="1" t="s">
        <v>1486</v>
      </c>
      <c r="M1215" s="1" t="s">
        <v>1487</v>
      </c>
      <c r="N1215" s="4" t="e">
        <f t="shared" si="55"/>
        <v>#N/A</v>
      </c>
      <c r="O1215" s="1" t="s">
        <v>1488</v>
      </c>
      <c r="P1215" s="4" t="e">
        <f>VLOOKUP(A1215,المعطيات!$A$1:$J$3500,4,0)</f>
        <v>#N/A</v>
      </c>
      <c r="Q1215" s="1" t="s">
        <v>1489</v>
      </c>
      <c r="R1215" s="1" t="s">
        <v>1480</v>
      </c>
      <c r="S1215" s="6" t="e">
        <f t="shared" si="56"/>
        <v>#N/A</v>
      </c>
    </row>
    <row r="1216" spans="2:19" x14ac:dyDescent="0.25">
      <c r="B1216" s="1" t="s">
        <v>1479</v>
      </c>
      <c r="C1216" s="1" t="s">
        <v>1481</v>
      </c>
      <c r="D1216" s="4" t="e">
        <f>VLOOKUP(A1216,المعطيات!$A$1:$J$3500,5,0)</f>
        <v>#N/A</v>
      </c>
      <c r="E1216" s="1" t="s">
        <v>1482</v>
      </c>
      <c r="F1216" s="5">
        <f t="shared" si="54"/>
        <v>0</v>
      </c>
      <c r="G1216" s="5" t="s">
        <v>1483</v>
      </c>
      <c r="H1216" s="4" t="e">
        <f>VLOOKUP(A1216,المعطيات!$A$1:$J$3500,3,0)</f>
        <v>#N/A</v>
      </c>
      <c r="I1216" s="1" t="s">
        <v>1484</v>
      </c>
      <c r="J1216" s="1" t="s">
        <v>1485</v>
      </c>
      <c r="K1216" s="4" t="e">
        <f>VLOOKUP(A1216,المعطيات!$A$1:$J$3500,6,0)</f>
        <v>#N/A</v>
      </c>
      <c r="L1216" s="1" t="s">
        <v>1486</v>
      </c>
      <c r="M1216" s="1" t="s">
        <v>1487</v>
      </c>
      <c r="N1216" s="4" t="e">
        <f t="shared" si="55"/>
        <v>#N/A</v>
      </c>
      <c r="O1216" s="1" t="s">
        <v>1488</v>
      </c>
      <c r="P1216" s="4" t="e">
        <f>VLOOKUP(A1216,المعطيات!$A$1:$J$3500,4,0)</f>
        <v>#N/A</v>
      </c>
      <c r="Q1216" s="1" t="s">
        <v>1489</v>
      </c>
      <c r="R1216" s="1" t="s">
        <v>1480</v>
      </c>
      <c r="S1216" s="6" t="e">
        <f t="shared" si="56"/>
        <v>#N/A</v>
      </c>
    </row>
    <row r="1217" spans="2:19" x14ac:dyDescent="0.25">
      <c r="B1217" s="1" t="s">
        <v>1479</v>
      </c>
      <c r="C1217" s="1" t="s">
        <v>1481</v>
      </c>
      <c r="D1217" s="4" t="e">
        <f>VLOOKUP(A1217,المعطيات!$A$1:$J$3500,5,0)</f>
        <v>#N/A</v>
      </c>
      <c r="E1217" s="1" t="s">
        <v>1482</v>
      </c>
      <c r="F1217" s="5">
        <f t="shared" si="54"/>
        <v>0</v>
      </c>
      <c r="G1217" s="5" t="s">
        <v>1483</v>
      </c>
      <c r="H1217" s="4" t="e">
        <f>VLOOKUP(A1217,المعطيات!$A$1:$J$3500,3,0)</f>
        <v>#N/A</v>
      </c>
      <c r="I1217" s="1" t="s">
        <v>1484</v>
      </c>
      <c r="J1217" s="1" t="s">
        <v>1485</v>
      </c>
      <c r="K1217" s="4" t="e">
        <f>VLOOKUP(A1217,المعطيات!$A$1:$J$3500,6,0)</f>
        <v>#N/A</v>
      </c>
      <c r="L1217" s="1" t="s">
        <v>1486</v>
      </c>
      <c r="M1217" s="1" t="s">
        <v>1487</v>
      </c>
      <c r="N1217" s="4" t="e">
        <f t="shared" si="55"/>
        <v>#N/A</v>
      </c>
      <c r="O1217" s="1" t="s">
        <v>1488</v>
      </c>
      <c r="P1217" s="4" t="e">
        <f>VLOOKUP(A1217,المعطيات!$A$1:$J$3500,4,0)</f>
        <v>#N/A</v>
      </c>
      <c r="Q1217" s="1" t="s">
        <v>1489</v>
      </c>
      <c r="R1217" s="1" t="s">
        <v>1480</v>
      </c>
      <c r="S1217" s="6" t="e">
        <f t="shared" si="56"/>
        <v>#N/A</v>
      </c>
    </row>
    <row r="1218" spans="2:19" x14ac:dyDescent="0.25">
      <c r="B1218" s="1" t="s">
        <v>1479</v>
      </c>
      <c r="C1218" s="1" t="s">
        <v>1481</v>
      </c>
      <c r="D1218" s="4" t="e">
        <f>VLOOKUP(A1218,المعطيات!$A$1:$J$3500,5,0)</f>
        <v>#N/A</v>
      </c>
      <c r="E1218" s="1" t="s">
        <v>1482</v>
      </c>
      <c r="F1218" s="5">
        <f t="shared" ref="F1218:F1281" si="57">A1218</f>
        <v>0</v>
      </c>
      <c r="G1218" s="5" t="s">
        <v>1483</v>
      </c>
      <c r="H1218" s="4" t="e">
        <f>VLOOKUP(A1218,المعطيات!$A$1:$J$3500,3,0)</f>
        <v>#N/A</v>
      </c>
      <c r="I1218" s="1" t="s">
        <v>1484</v>
      </c>
      <c r="J1218" s="1" t="s">
        <v>1485</v>
      </c>
      <c r="K1218" s="4" t="e">
        <f>VLOOKUP(A1218,المعطيات!$A$1:$J$3500,6,0)</f>
        <v>#N/A</v>
      </c>
      <c r="L1218" s="1" t="s">
        <v>1486</v>
      </c>
      <c r="M1218" s="1" t="s">
        <v>1487</v>
      </c>
      <c r="N1218" s="4" t="e">
        <f t="shared" ref="N1218:N1281" si="58">D1218</f>
        <v>#N/A</v>
      </c>
      <c r="O1218" s="1" t="s">
        <v>1488</v>
      </c>
      <c r="P1218" s="4" t="e">
        <f>VLOOKUP(A1218,المعطيات!$A$1:$J$3500,4,0)</f>
        <v>#N/A</v>
      </c>
      <c r="Q1218" s="1" t="s">
        <v>1489</v>
      </c>
      <c r="R1218" s="1" t="s">
        <v>1480</v>
      </c>
      <c r="S1218" s="6" t="e">
        <f t="shared" ref="S1218:S1281" si="59">B1218&amp;""&amp;C1218&amp;""&amp;D1218&amp;""&amp;E1218&amp;""&amp;F1218&amp;""&amp;G1218&amp;""&amp;H1218&amp;""&amp;I1218&amp;""&amp;J1218&amp;""&amp;K1218&amp;""&amp;L1218&amp;""&amp;M1218&amp;""&amp;N1218&amp;""&amp;O1218&amp;""&amp;P1218&amp;""&amp;Q1218&amp;""&amp;R1218</f>
        <v>#N/A</v>
      </c>
    </row>
    <row r="1219" spans="2:19" x14ac:dyDescent="0.25">
      <c r="B1219" s="1" t="s">
        <v>1479</v>
      </c>
      <c r="C1219" s="1" t="s">
        <v>1481</v>
      </c>
      <c r="D1219" s="4" t="e">
        <f>VLOOKUP(A1219,المعطيات!$A$1:$J$3500,5,0)</f>
        <v>#N/A</v>
      </c>
      <c r="E1219" s="1" t="s">
        <v>1482</v>
      </c>
      <c r="F1219" s="5">
        <f t="shared" si="57"/>
        <v>0</v>
      </c>
      <c r="G1219" s="5" t="s">
        <v>1483</v>
      </c>
      <c r="H1219" s="4" t="e">
        <f>VLOOKUP(A1219,المعطيات!$A$1:$J$3500,3,0)</f>
        <v>#N/A</v>
      </c>
      <c r="I1219" s="1" t="s">
        <v>1484</v>
      </c>
      <c r="J1219" s="1" t="s">
        <v>1485</v>
      </c>
      <c r="K1219" s="4" t="e">
        <f>VLOOKUP(A1219,المعطيات!$A$1:$J$3500,6,0)</f>
        <v>#N/A</v>
      </c>
      <c r="L1219" s="1" t="s">
        <v>1486</v>
      </c>
      <c r="M1219" s="1" t="s">
        <v>1487</v>
      </c>
      <c r="N1219" s="4" t="e">
        <f t="shared" si="58"/>
        <v>#N/A</v>
      </c>
      <c r="O1219" s="1" t="s">
        <v>1488</v>
      </c>
      <c r="P1219" s="4" t="e">
        <f>VLOOKUP(A1219,المعطيات!$A$1:$J$3500,4,0)</f>
        <v>#N/A</v>
      </c>
      <c r="Q1219" s="1" t="s">
        <v>1489</v>
      </c>
      <c r="R1219" s="1" t="s">
        <v>1480</v>
      </c>
      <c r="S1219" s="6" t="e">
        <f t="shared" si="59"/>
        <v>#N/A</v>
      </c>
    </row>
    <row r="1220" spans="2:19" x14ac:dyDescent="0.25">
      <c r="B1220" s="1" t="s">
        <v>1479</v>
      </c>
      <c r="C1220" s="1" t="s">
        <v>1481</v>
      </c>
      <c r="D1220" s="4" t="e">
        <f>VLOOKUP(A1220,المعطيات!$A$1:$J$3500,5,0)</f>
        <v>#N/A</v>
      </c>
      <c r="E1220" s="1" t="s">
        <v>1482</v>
      </c>
      <c r="F1220" s="5">
        <f t="shared" si="57"/>
        <v>0</v>
      </c>
      <c r="G1220" s="5" t="s">
        <v>1483</v>
      </c>
      <c r="H1220" s="4" t="e">
        <f>VLOOKUP(A1220,المعطيات!$A$1:$J$3500,3,0)</f>
        <v>#N/A</v>
      </c>
      <c r="I1220" s="1" t="s">
        <v>1484</v>
      </c>
      <c r="J1220" s="1" t="s">
        <v>1485</v>
      </c>
      <c r="K1220" s="4" t="e">
        <f>VLOOKUP(A1220,المعطيات!$A$1:$J$3500,6,0)</f>
        <v>#N/A</v>
      </c>
      <c r="L1220" s="1" t="s">
        <v>1486</v>
      </c>
      <c r="M1220" s="1" t="s">
        <v>1487</v>
      </c>
      <c r="N1220" s="4" t="e">
        <f t="shared" si="58"/>
        <v>#N/A</v>
      </c>
      <c r="O1220" s="1" t="s">
        <v>1488</v>
      </c>
      <c r="P1220" s="4" t="e">
        <f>VLOOKUP(A1220,المعطيات!$A$1:$J$3500,4,0)</f>
        <v>#N/A</v>
      </c>
      <c r="Q1220" s="1" t="s">
        <v>1489</v>
      </c>
      <c r="R1220" s="1" t="s">
        <v>1480</v>
      </c>
      <c r="S1220" s="6" t="e">
        <f t="shared" si="59"/>
        <v>#N/A</v>
      </c>
    </row>
    <row r="1221" spans="2:19" x14ac:dyDescent="0.25">
      <c r="B1221" s="1" t="s">
        <v>1479</v>
      </c>
      <c r="C1221" s="1" t="s">
        <v>1481</v>
      </c>
      <c r="D1221" s="4" t="e">
        <f>VLOOKUP(A1221,المعطيات!$A$1:$J$3500,5,0)</f>
        <v>#N/A</v>
      </c>
      <c r="E1221" s="1" t="s">
        <v>1482</v>
      </c>
      <c r="F1221" s="5">
        <f t="shared" si="57"/>
        <v>0</v>
      </c>
      <c r="G1221" s="5" t="s">
        <v>1483</v>
      </c>
      <c r="H1221" s="4" t="e">
        <f>VLOOKUP(A1221,المعطيات!$A$1:$J$3500,3,0)</f>
        <v>#N/A</v>
      </c>
      <c r="I1221" s="1" t="s">
        <v>1484</v>
      </c>
      <c r="J1221" s="1" t="s">
        <v>1485</v>
      </c>
      <c r="K1221" s="4" t="e">
        <f>VLOOKUP(A1221,المعطيات!$A$1:$J$3500,6,0)</f>
        <v>#N/A</v>
      </c>
      <c r="L1221" s="1" t="s">
        <v>1486</v>
      </c>
      <c r="M1221" s="1" t="s">
        <v>1487</v>
      </c>
      <c r="N1221" s="4" t="e">
        <f t="shared" si="58"/>
        <v>#N/A</v>
      </c>
      <c r="O1221" s="1" t="s">
        <v>1488</v>
      </c>
      <c r="P1221" s="4" t="e">
        <f>VLOOKUP(A1221,المعطيات!$A$1:$J$3500,4,0)</f>
        <v>#N/A</v>
      </c>
      <c r="Q1221" s="1" t="s">
        <v>1489</v>
      </c>
      <c r="R1221" s="1" t="s">
        <v>1480</v>
      </c>
      <c r="S1221" s="6" t="e">
        <f t="shared" si="59"/>
        <v>#N/A</v>
      </c>
    </row>
    <row r="1222" spans="2:19" x14ac:dyDescent="0.25">
      <c r="B1222" s="1" t="s">
        <v>1479</v>
      </c>
      <c r="C1222" s="1" t="s">
        <v>1481</v>
      </c>
      <c r="D1222" s="4" t="e">
        <f>VLOOKUP(A1222,المعطيات!$A$1:$J$3500,5,0)</f>
        <v>#N/A</v>
      </c>
      <c r="E1222" s="1" t="s">
        <v>1482</v>
      </c>
      <c r="F1222" s="5">
        <f t="shared" si="57"/>
        <v>0</v>
      </c>
      <c r="G1222" s="5" t="s">
        <v>1483</v>
      </c>
      <c r="H1222" s="4" t="e">
        <f>VLOOKUP(A1222,المعطيات!$A$1:$J$3500,3,0)</f>
        <v>#N/A</v>
      </c>
      <c r="I1222" s="1" t="s">
        <v>1484</v>
      </c>
      <c r="J1222" s="1" t="s">
        <v>1485</v>
      </c>
      <c r="K1222" s="4" t="e">
        <f>VLOOKUP(A1222,المعطيات!$A$1:$J$3500,6,0)</f>
        <v>#N/A</v>
      </c>
      <c r="L1222" s="1" t="s">
        <v>1486</v>
      </c>
      <c r="M1222" s="1" t="s">
        <v>1487</v>
      </c>
      <c r="N1222" s="4" t="e">
        <f t="shared" si="58"/>
        <v>#N/A</v>
      </c>
      <c r="O1222" s="1" t="s">
        <v>1488</v>
      </c>
      <c r="P1222" s="4" t="e">
        <f>VLOOKUP(A1222,المعطيات!$A$1:$J$3500,4,0)</f>
        <v>#N/A</v>
      </c>
      <c r="Q1222" s="1" t="s">
        <v>1489</v>
      </c>
      <c r="R1222" s="1" t="s">
        <v>1480</v>
      </c>
      <c r="S1222" s="6" t="e">
        <f t="shared" si="59"/>
        <v>#N/A</v>
      </c>
    </row>
    <row r="1223" spans="2:19" x14ac:dyDescent="0.25">
      <c r="B1223" s="1" t="s">
        <v>1479</v>
      </c>
      <c r="C1223" s="1" t="s">
        <v>1481</v>
      </c>
      <c r="D1223" s="4" t="e">
        <f>VLOOKUP(A1223,المعطيات!$A$1:$J$3500,5,0)</f>
        <v>#N/A</v>
      </c>
      <c r="E1223" s="1" t="s">
        <v>1482</v>
      </c>
      <c r="F1223" s="5">
        <f t="shared" si="57"/>
        <v>0</v>
      </c>
      <c r="G1223" s="5" t="s">
        <v>1483</v>
      </c>
      <c r="H1223" s="4" t="e">
        <f>VLOOKUP(A1223,المعطيات!$A$1:$J$3500,3,0)</f>
        <v>#N/A</v>
      </c>
      <c r="I1223" s="1" t="s">
        <v>1484</v>
      </c>
      <c r="J1223" s="1" t="s">
        <v>1485</v>
      </c>
      <c r="K1223" s="4" t="e">
        <f>VLOOKUP(A1223,المعطيات!$A$1:$J$3500,6,0)</f>
        <v>#N/A</v>
      </c>
      <c r="L1223" s="1" t="s">
        <v>1486</v>
      </c>
      <c r="M1223" s="1" t="s">
        <v>1487</v>
      </c>
      <c r="N1223" s="4" t="e">
        <f t="shared" si="58"/>
        <v>#N/A</v>
      </c>
      <c r="O1223" s="1" t="s">
        <v>1488</v>
      </c>
      <c r="P1223" s="4" t="e">
        <f>VLOOKUP(A1223,المعطيات!$A$1:$J$3500,4,0)</f>
        <v>#N/A</v>
      </c>
      <c r="Q1223" s="1" t="s">
        <v>1489</v>
      </c>
      <c r="R1223" s="1" t="s">
        <v>1480</v>
      </c>
      <c r="S1223" s="6" t="e">
        <f t="shared" si="59"/>
        <v>#N/A</v>
      </c>
    </row>
    <row r="1224" spans="2:19" x14ac:dyDescent="0.25">
      <c r="B1224" s="1" t="s">
        <v>1479</v>
      </c>
      <c r="C1224" s="1" t="s">
        <v>1481</v>
      </c>
      <c r="D1224" s="4" t="e">
        <f>VLOOKUP(A1224,المعطيات!$A$1:$J$3500,5,0)</f>
        <v>#N/A</v>
      </c>
      <c r="E1224" s="1" t="s">
        <v>1482</v>
      </c>
      <c r="F1224" s="5">
        <f t="shared" si="57"/>
        <v>0</v>
      </c>
      <c r="G1224" s="5" t="s">
        <v>1483</v>
      </c>
      <c r="H1224" s="4" t="e">
        <f>VLOOKUP(A1224,المعطيات!$A$1:$J$3500,3,0)</f>
        <v>#N/A</v>
      </c>
      <c r="I1224" s="1" t="s">
        <v>1484</v>
      </c>
      <c r="J1224" s="1" t="s">
        <v>1485</v>
      </c>
      <c r="K1224" s="4" t="e">
        <f>VLOOKUP(A1224,المعطيات!$A$1:$J$3500,6,0)</f>
        <v>#N/A</v>
      </c>
      <c r="L1224" s="1" t="s">
        <v>1486</v>
      </c>
      <c r="M1224" s="1" t="s">
        <v>1487</v>
      </c>
      <c r="N1224" s="4" t="e">
        <f t="shared" si="58"/>
        <v>#N/A</v>
      </c>
      <c r="O1224" s="1" t="s">
        <v>1488</v>
      </c>
      <c r="P1224" s="4" t="e">
        <f>VLOOKUP(A1224,المعطيات!$A$1:$J$3500,4,0)</f>
        <v>#N/A</v>
      </c>
      <c r="Q1224" s="1" t="s">
        <v>1489</v>
      </c>
      <c r="R1224" s="1" t="s">
        <v>1480</v>
      </c>
      <c r="S1224" s="6" t="e">
        <f t="shared" si="59"/>
        <v>#N/A</v>
      </c>
    </row>
    <row r="1225" spans="2:19" x14ac:dyDescent="0.25">
      <c r="B1225" s="1" t="s">
        <v>1479</v>
      </c>
      <c r="C1225" s="1" t="s">
        <v>1481</v>
      </c>
      <c r="D1225" s="4" t="e">
        <f>VLOOKUP(A1225,المعطيات!$A$1:$J$3500,5,0)</f>
        <v>#N/A</v>
      </c>
      <c r="E1225" s="1" t="s">
        <v>1482</v>
      </c>
      <c r="F1225" s="5">
        <f t="shared" si="57"/>
        <v>0</v>
      </c>
      <c r="G1225" s="5" t="s">
        <v>1483</v>
      </c>
      <c r="H1225" s="4" t="e">
        <f>VLOOKUP(A1225,المعطيات!$A$1:$J$3500,3,0)</f>
        <v>#N/A</v>
      </c>
      <c r="I1225" s="1" t="s">
        <v>1484</v>
      </c>
      <c r="J1225" s="1" t="s">
        <v>1485</v>
      </c>
      <c r="K1225" s="4" t="e">
        <f>VLOOKUP(A1225,المعطيات!$A$1:$J$3500,6,0)</f>
        <v>#N/A</v>
      </c>
      <c r="L1225" s="1" t="s">
        <v>1486</v>
      </c>
      <c r="M1225" s="1" t="s">
        <v>1487</v>
      </c>
      <c r="N1225" s="4" t="e">
        <f t="shared" si="58"/>
        <v>#N/A</v>
      </c>
      <c r="O1225" s="1" t="s">
        <v>1488</v>
      </c>
      <c r="P1225" s="4" t="e">
        <f>VLOOKUP(A1225,المعطيات!$A$1:$J$3500,4,0)</f>
        <v>#N/A</v>
      </c>
      <c r="Q1225" s="1" t="s">
        <v>1489</v>
      </c>
      <c r="R1225" s="1" t="s">
        <v>1480</v>
      </c>
      <c r="S1225" s="6" t="e">
        <f t="shared" si="59"/>
        <v>#N/A</v>
      </c>
    </row>
    <row r="1226" spans="2:19" x14ac:dyDescent="0.25">
      <c r="B1226" s="1" t="s">
        <v>1479</v>
      </c>
      <c r="C1226" s="1" t="s">
        <v>1481</v>
      </c>
      <c r="D1226" s="4" t="e">
        <f>VLOOKUP(A1226,المعطيات!$A$1:$J$3500,5,0)</f>
        <v>#N/A</v>
      </c>
      <c r="E1226" s="1" t="s">
        <v>1482</v>
      </c>
      <c r="F1226" s="5">
        <f t="shared" si="57"/>
        <v>0</v>
      </c>
      <c r="G1226" s="5" t="s">
        <v>1483</v>
      </c>
      <c r="H1226" s="4" t="e">
        <f>VLOOKUP(A1226,المعطيات!$A$1:$J$3500,3,0)</f>
        <v>#N/A</v>
      </c>
      <c r="I1226" s="1" t="s">
        <v>1484</v>
      </c>
      <c r="J1226" s="1" t="s">
        <v>1485</v>
      </c>
      <c r="K1226" s="4" t="e">
        <f>VLOOKUP(A1226,المعطيات!$A$1:$J$3500,6,0)</f>
        <v>#N/A</v>
      </c>
      <c r="L1226" s="1" t="s">
        <v>1486</v>
      </c>
      <c r="M1226" s="1" t="s">
        <v>1487</v>
      </c>
      <c r="N1226" s="4" t="e">
        <f t="shared" si="58"/>
        <v>#N/A</v>
      </c>
      <c r="O1226" s="1" t="s">
        <v>1488</v>
      </c>
      <c r="P1226" s="4" t="e">
        <f>VLOOKUP(A1226,المعطيات!$A$1:$J$3500,4,0)</f>
        <v>#N/A</v>
      </c>
      <c r="Q1226" s="1" t="s">
        <v>1489</v>
      </c>
      <c r="R1226" s="1" t="s">
        <v>1480</v>
      </c>
      <c r="S1226" s="6" t="e">
        <f t="shared" si="59"/>
        <v>#N/A</v>
      </c>
    </row>
    <row r="1227" spans="2:19" x14ac:dyDescent="0.25">
      <c r="B1227" s="1" t="s">
        <v>1479</v>
      </c>
      <c r="C1227" s="1" t="s">
        <v>1481</v>
      </c>
      <c r="D1227" s="4" t="e">
        <f>VLOOKUP(A1227,المعطيات!$A$1:$J$3500,5,0)</f>
        <v>#N/A</v>
      </c>
      <c r="E1227" s="1" t="s">
        <v>1482</v>
      </c>
      <c r="F1227" s="5">
        <f t="shared" si="57"/>
        <v>0</v>
      </c>
      <c r="G1227" s="5" t="s">
        <v>1483</v>
      </c>
      <c r="H1227" s="4" t="e">
        <f>VLOOKUP(A1227,المعطيات!$A$1:$J$3500,3,0)</f>
        <v>#N/A</v>
      </c>
      <c r="I1227" s="1" t="s">
        <v>1484</v>
      </c>
      <c r="J1227" s="1" t="s">
        <v>1485</v>
      </c>
      <c r="K1227" s="4" t="e">
        <f>VLOOKUP(A1227,المعطيات!$A$1:$J$3500,6,0)</f>
        <v>#N/A</v>
      </c>
      <c r="L1227" s="1" t="s">
        <v>1486</v>
      </c>
      <c r="M1227" s="1" t="s">
        <v>1487</v>
      </c>
      <c r="N1227" s="4" t="e">
        <f t="shared" si="58"/>
        <v>#N/A</v>
      </c>
      <c r="O1227" s="1" t="s">
        <v>1488</v>
      </c>
      <c r="P1227" s="4" t="e">
        <f>VLOOKUP(A1227,المعطيات!$A$1:$J$3500,4,0)</f>
        <v>#N/A</v>
      </c>
      <c r="Q1227" s="1" t="s">
        <v>1489</v>
      </c>
      <c r="R1227" s="1" t="s">
        <v>1480</v>
      </c>
      <c r="S1227" s="6" t="e">
        <f t="shared" si="59"/>
        <v>#N/A</v>
      </c>
    </row>
    <row r="1228" spans="2:19" x14ac:dyDescent="0.25">
      <c r="B1228" s="1" t="s">
        <v>1479</v>
      </c>
      <c r="C1228" s="1" t="s">
        <v>1481</v>
      </c>
      <c r="D1228" s="4" t="e">
        <f>VLOOKUP(A1228,المعطيات!$A$1:$J$3500,5,0)</f>
        <v>#N/A</v>
      </c>
      <c r="E1228" s="1" t="s">
        <v>1482</v>
      </c>
      <c r="F1228" s="5">
        <f t="shared" si="57"/>
        <v>0</v>
      </c>
      <c r="G1228" s="5" t="s">
        <v>1483</v>
      </c>
      <c r="H1228" s="4" t="e">
        <f>VLOOKUP(A1228,المعطيات!$A$1:$J$3500,3,0)</f>
        <v>#N/A</v>
      </c>
      <c r="I1228" s="1" t="s">
        <v>1484</v>
      </c>
      <c r="J1228" s="1" t="s">
        <v>1485</v>
      </c>
      <c r="K1228" s="4" t="e">
        <f>VLOOKUP(A1228,المعطيات!$A$1:$J$3500,6,0)</f>
        <v>#N/A</v>
      </c>
      <c r="L1228" s="1" t="s">
        <v>1486</v>
      </c>
      <c r="M1228" s="1" t="s">
        <v>1487</v>
      </c>
      <c r="N1228" s="4" t="e">
        <f t="shared" si="58"/>
        <v>#N/A</v>
      </c>
      <c r="O1228" s="1" t="s">
        <v>1488</v>
      </c>
      <c r="P1228" s="4" t="e">
        <f>VLOOKUP(A1228,المعطيات!$A$1:$J$3500,4,0)</f>
        <v>#N/A</v>
      </c>
      <c r="Q1228" s="1" t="s">
        <v>1489</v>
      </c>
      <c r="R1228" s="1" t="s">
        <v>1480</v>
      </c>
      <c r="S1228" s="6" t="e">
        <f t="shared" si="59"/>
        <v>#N/A</v>
      </c>
    </row>
    <row r="1229" spans="2:19" x14ac:dyDescent="0.25">
      <c r="B1229" s="1" t="s">
        <v>1479</v>
      </c>
      <c r="C1229" s="1" t="s">
        <v>1481</v>
      </c>
      <c r="D1229" s="4" t="e">
        <f>VLOOKUP(A1229,المعطيات!$A$1:$J$3500,5,0)</f>
        <v>#N/A</v>
      </c>
      <c r="E1229" s="1" t="s">
        <v>1482</v>
      </c>
      <c r="F1229" s="5">
        <f t="shared" si="57"/>
        <v>0</v>
      </c>
      <c r="G1229" s="5" t="s">
        <v>1483</v>
      </c>
      <c r="H1229" s="4" t="e">
        <f>VLOOKUP(A1229,المعطيات!$A$1:$J$3500,3,0)</f>
        <v>#N/A</v>
      </c>
      <c r="I1229" s="1" t="s">
        <v>1484</v>
      </c>
      <c r="J1229" s="1" t="s">
        <v>1485</v>
      </c>
      <c r="K1229" s="4" t="e">
        <f>VLOOKUP(A1229,المعطيات!$A$1:$J$3500,6,0)</f>
        <v>#N/A</v>
      </c>
      <c r="L1229" s="1" t="s">
        <v>1486</v>
      </c>
      <c r="M1229" s="1" t="s">
        <v>1487</v>
      </c>
      <c r="N1229" s="4" t="e">
        <f t="shared" si="58"/>
        <v>#N/A</v>
      </c>
      <c r="O1229" s="1" t="s">
        <v>1488</v>
      </c>
      <c r="P1229" s="4" t="e">
        <f>VLOOKUP(A1229,المعطيات!$A$1:$J$3500,4,0)</f>
        <v>#N/A</v>
      </c>
      <c r="Q1229" s="1" t="s">
        <v>1489</v>
      </c>
      <c r="R1229" s="1" t="s">
        <v>1480</v>
      </c>
      <c r="S1229" s="6" t="e">
        <f t="shared" si="59"/>
        <v>#N/A</v>
      </c>
    </row>
    <row r="1230" spans="2:19" x14ac:dyDescent="0.25">
      <c r="B1230" s="1" t="s">
        <v>1479</v>
      </c>
      <c r="C1230" s="1" t="s">
        <v>1481</v>
      </c>
      <c r="D1230" s="4" t="e">
        <f>VLOOKUP(A1230,المعطيات!$A$1:$J$3500,5,0)</f>
        <v>#N/A</v>
      </c>
      <c r="E1230" s="1" t="s">
        <v>1482</v>
      </c>
      <c r="F1230" s="5">
        <f t="shared" si="57"/>
        <v>0</v>
      </c>
      <c r="G1230" s="5" t="s">
        <v>1483</v>
      </c>
      <c r="H1230" s="4" t="e">
        <f>VLOOKUP(A1230,المعطيات!$A$1:$J$3500,3,0)</f>
        <v>#N/A</v>
      </c>
      <c r="I1230" s="1" t="s">
        <v>1484</v>
      </c>
      <c r="J1230" s="1" t="s">
        <v>1485</v>
      </c>
      <c r="K1230" s="4" t="e">
        <f>VLOOKUP(A1230,المعطيات!$A$1:$J$3500,6,0)</f>
        <v>#N/A</v>
      </c>
      <c r="L1230" s="1" t="s">
        <v>1486</v>
      </c>
      <c r="M1230" s="1" t="s">
        <v>1487</v>
      </c>
      <c r="N1230" s="4" t="e">
        <f t="shared" si="58"/>
        <v>#N/A</v>
      </c>
      <c r="O1230" s="1" t="s">
        <v>1488</v>
      </c>
      <c r="P1230" s="4" t="e">
        <f>VLOOKUP(A1230,المعطيات!$A$1:$J$3500,4,0)</f>
        <v>#N/A</v>
      </c>
      <c r="Q1230" s="1" t="s">
        <v>1489</v>
      </c>
      <c r="R1230" s="1" t="s">
        <v>1480</v>
      </c>
      <c r="S1230" s="6" t="e">
        <f t="shared" si="59"/>
        <v>#N/A</v>
      </c>
    </row>
    <row r="1231" spans="2:19" x14ac:dyDescent="0.25">
      <c r="B1231" s="1" t="s">
        <v>1479</v>
      </c>
      <c r="C1231" s="1" t="s">
        <v>1481</v>
      </c>
      <c r="D1231" s="4" t="e">
        <f>VLOOKUP(A1231,المعطيات!$A$1:$J$3500,5,0)</f>
        <v>#N/A</v>
      </c>
      <c r="E1231" s="1" t="s">
        <v>1482</v>
      </c>
      <c r="F1231" s="5">
        <f t="shared" si="57"/>
        <v>0</v>
      </c>
      <c r="G1231" s="5" t="s">
        <v>1483</v>
      </c>
      <c r="H1231" s="4" t="e">
        <f>VLOOKUP(A1231,المعطيات!$A$1:$J$3500,3,0)</f>
        <v>#N/A</v>
      </c>
      <c r="I1231" s="1" t="s">
        <v>1484</v>
      </c>
      <c r="J1231" s="1" t="s">
        <v>1485</v>
      </c>
      <c r="K1231" s="4" t="e">
        <f>VLOOKUP(A1231,المعطيات!$A$1:$J$3500,6,0)</f>
        <v>#N/A</v>
      </c>
      <c r="L1231" s="1" t="s">
        <v>1486</v>
      </c>
      <c r="M1231" s="1" t="s">
        <v>1487</v>
      </c>
      <c r="N1231" s="4" t="e">
        <f t="shared" si="58"/>
        <v>#N/A</v>
      </c>
      <c r="O1231" s="1" t="s">
        <v>1488</v>
      </c>
      <c r="P1231" s="4" t="e">
        <f>VLOOKUP(A1231,المعطيات!$A$1:$J$3500,4,0)</f>
        <v>#N/A</v>
      </c>
      <c r="Q1231" s="1" t="s">
        <v>1489</v>
      </c>
      <c r="R1231" s="1" t="s">
        <v>1480</v>
      </c>
      <c r="S1231" s="6" t="e">
        <f t="shared" si="59"/>
        <v>#N/A</v>
      </c>
    </row>
    <row r="1232" spans="2:19" x14ac:dyDescent="0.25">
      <c r="B1232" s="1" t="s">
        <v>1479</v>
      </c>
      <c r="C1232" s="1" t="s">
        <v>1481</v>
      </c>
      <c r="D1232" s="4" t="e">
        <f>VLOOKUP(A1232,المعطيات!$A$1:$J$3500,5,0)</f>
        <v>#N/A</v>
      </c>
      <c r="E1232" s="1" t="s">
        <v>1482</v>
      </c>
      <c r="F1232" s="5">
        <f t="shared" si="57"/>
        <v>0</v>
      </c>
      <c r="G1232" s="5" t="s">
        <v>1483</v>
      </c>
      <c r="H1232" s="4" t="e">
        <f>VLOOKUP(A1232,المعطيات!$A$1:$J$3500,3,0)</f>
        <v>#N/A</v>
      </c>
      <c r="I1232" s="1" t="s">
        <v>1484</v>
      </c>
      <c r="J1232" s="1" t="s">
        <v>1485</v>
      </c>
      <c r="K1232" s="4" t="e">
        <f>VLOOKUP(A1232,المعطيات!$A$1:$J$3500,6,0)</f>
        <v>#N/A</v>
      </c>
      <c r="L1232" s="1" t="s">
        <v>1486</v>
      </c>
      <c r="M1232" s="1" t="s">
        <v>1487</v>
      </c>
      <c r="N1232" s="4" t="e">
        <f t="shared" si="58"/>
        <v>#N/A</v>
      </c>
      <c r="O1232" s="1" t="s">
        <v>1488</v>
      </c>
      <c r="P1232" s="4" t="e">
        <f>VLOOKUP(A1232,المعطيات!$A$1:$J$3500,4,0)</f>
        <v>#N/A</v>
      </c>
      <c r="Q1232" s="1" t="s">
        <v>1489</v>
      </c>
      <c r="R1232" s="1" t="s">
        <v>1480</v>
      </c>
      <c r="S1232" s="6" t="e">
        <f t="shared" si="59"/>
        <v>#N/A</v>
      </c>
    </row>
    <row r="1233" spans="2:19" x14ac:dyDescent="0.25">
      <c r="B1233" s="1" t="s">
        <v>1479</v>
      </c>
      <c r="C1233" s="1" t="s">
        <v>1481</v>
      </c>
      <c r="D1233" s="4" t="e">
        <f>VLOOKUP(A1233,المعطيات!$A$1:$J$3500,5,0)</f>
        <v>#N/A</v>
      </c>
      <c r="E1233" s="1" t="s">
        <v>1482</v>
      </c>
      <c r="F1233" s="5">
        <f t="shared" si="57"/>
        <v>0</v>
      </c>
      <c r="G1233" s="5" t="s">
        <v>1483</v>
      </c>
      <c r="H1233" s="4" t="e">
        <f>VLOOKUP(A1233,المعطيات!$A$1:$J$3500,3,0)</f>
        <v>#N/A</v>
      </c>
      <c r="I1233" s="1" t="s">
        <v>1484</v>
      </c>
      <c r="J1233" s="1" t="s">
        <v>1485</v>
      </c>
      <c r="K1233" s="4" t="e">
        <f>VLOOKUP(A1233,المعطيات!$A$1:$J$3500,6,0)</f>
        <v>#N/A</v>
      </c>
      <c r="L1233" s="1" t="s">
        <v>1486</v>
      </c>
      <c r="M1233" s="1" t="s">
        <v>1487</v>
      </c>
      <c r="N1233" s="4" t="e">
        <f t="shared" si="58"/>
        <v>#N/A</v>
      </c>
      <c r="O1233" s="1" t="s">
        <v>1488</v>
      </c>
      <c r="P1233" s="4" t="e">
        <f>VLOOKUP(A1233,المعطيات!$A$1:$J$3500,4,0)</f>
        <v>#N/A</v>
      </c>
      <c r="Q1233" s="1" t="s">
        <v>1489</v>
      </c>
      <c r="R1233" s="1" t="s">
        <v>1480</v>
      </c>
      <c r="S1233" s="6" t="e">
        <f t="shared" si="59"/>
        <v>#N/A</v>
      </c>
    </row>
    <row r="1234" spans="2:19" x14ac:dyDescent="0.25">
      <c r="B1234" s="1" t="s">
        <v>1479</v>
      </c>
      <c r="C1234" s="1" t="s">
        <v>1481</v>
      </c>
      <c r="D1234" s="4" t="e">
        <f>VLOOKUP(A1234,المعطيات!$A$1:$J$3500,5,0)</f>
        <v>#N/A</v>
      </c>
      <c r="E1234" s="1" t="s">
        <v>1482</v>
      </c>
      <c r="F1234" s="5">
        <f t="shared" si="57"/>
        <v>0</v>
      </c>
      <c r="G1234" s="5" t="s">
        <v>1483</v>
      </c>
      <c r="H1234" s="4" t="e">
        <f>VLOOKUP(A1234,المعطيات!$A$1:$J$3500,3,0)</f>
        <v>#N/A</v>
      </c>
      <c r="I1234" s="1" t="s">
        <v>1484</v>
      </c>
      <c r="J1234" s="1" t="s">
        <v>1485</v>
      </c>
      <c r="K1234" s="4" t="e">
        <f>VLOOKUP(A1234,المعطيات!$A$1:$J$3500,6,0)</f>
        <v>#N/A</v>
      </c>
      <c r="L1234" s="1" t="s">
        <v>1486</v>
      </c>
      <c r="M1234" s="1" t="s">
        <v>1487</v>
      </c>
      <c r="N1234" s="4" t="e">
        <f t="shared" si="58"/>
        <v>#N/A</v>
      </c>
      <c r="O1234" s="1" t="s">
        <v>1488</v>
      </c>
      <c r="P1234" s="4" t="e">
        <f>VLOOKUP(A1234,المعطيات!$A$1:$J$3500,4,0)</f>
        <v>#N/A</v>
      </c>
      <c r="Q1234" s="1" t="s">
        <v>1489</v>
      </c>
      <c r="R1234" s="1" t="s">
        <v>1480</v>
      </c>
      <c r="S1234" s="6" t="e">
        <f t="shared" si="59"/>
        <v>#N/A</v>
      </c>
    </row>
    <row r="1235" spans="2:19" x14ac:dyDescent="0.25">
      <c r="B1235" s="1" t="s">
        <v>1479</v>
      </c>
      <c r="C1235" s="1" t="s">
        <v>1481</v>
      </c>
      <c r="D1235" s="4" t="e">
        <f>VLOOKUP(A1235,المعطيات!$A$1:$J$3500,5,0)</f>
        <v>#N/A</v>
      </c>
      <c r="E1235" s="1" t="s">
        <v>1482</v>
      </c>
      <c r="F1235" s="5">
        <f t="shared" si="57"/>
        <v>0</v>
      </c>
      <c r="G1235" s="5" t="s">
        <v>1483</v>
      </c>
      <c r="H1235" s="4" t="e">
        <f>VLOOKUP(A1235,المعطيات!$A$1:$J$3500,3,0)</f>
        <v>#N/A</v>
      </c>
      <c r="I1235" s="1" t="s">
        <v>1484</v>
      </c>
      <c r="J1235" s="1" t="s">
        <v>1485</v>
      </c>
      <c r="K1235" s="4" t="e">
        <f>VLOOKUP(A1235,المعطيات!$A$1:$J$3500,6,0)</f>
        <v>#N/A</v>
      </c>
      <c r="L1235" s="1" t="s">
        <v>1486</v>
      </c>
      <c r="M1235" s="1" t="s">
        <v>1487</v>
      </c>
      <c r="N1235" s="4" t="e">
        <f t="shared" si="58"/>
        <v>#N/A</v>
      </c>
      <c r="O1235" s="1" t="s">
        <v>1488</v>
      </c>
      <c r="P1235" s="4" t="e">
        <f>VLOOKUP(A1235,المعطيات!$A$1:$J$3500,4,0)</f>
        <v>#N/A</v>
      </c>
      <c r="Q1235" s="1" t="s">
        <v>1489</v>
      </c>
      <c r="R1235" s="1" t="s">
        <v>1480</v>
      </c>
      <c r="S1235" s="6" t="e">
        <f t="shared" si="59"/>
        <v>#N/A</v>
      </c>
    </row>
    <row r="1236" spans="2:19" x14ac:dyDescent="0.25">
      <c r="B1236" s="1" t="s">
        <v>1479</v>
      </c>
      <c r="C1236" s="1" t="s">
        <v>1481</v>
      </c>
      <c r="D1236" s="4" t="e">
        <f>VLOOKUP(A1236,المعطيات!$A$1:$J$3500,5,0)</f>
        <v>#N/A</v>
      </c>
      <c r="E1236" s="1" t="s">
        <v>1482</v>
      </c>
      <c r="F1236" s="5">
        <f t="shared" si="57"/>
        <v>0</v>
      </c>
      <c r="G1236" s="5" t="s">
        <v>1483</v>
      </c>
      <c r="H1236" s="4" t="e">
        <f>VLOOKUP(A1236,المعطيات!$A$1:$J$3500,3,0)</f>
        <v>#N/A</v>
      </c>
      <c r="I1236" s="1" t="s">
        <v>1484</v>
      </c>
      <c r="J1236" s="1" t="s">
        <v>1485</v>
      </c>
      <c r="K1236" s="4" t="e">
        <f>VLOOKUP(A1236,المعطيات!$A$1:$J$3500,6,0)</f>
        <v>#N/A</v>
      </c>
      <c r="L1236" s="1" t="s">
        <v>1486</v>
      </c>
      <c r="M1236" s="1" t="s">
        <v>1487</v>
      </c>
      <c r="N1236" s="4" t="e">
        <f t="shared" si="58"/>
        <v>#N/A</v>
      </c>
      <c r="O1236" s="1" t="s">
        <v>1488</v>
      </c>
      <c r="P1236" s="4" t="e">
        <f>VLOOKUP(A1236,المعطيات!$A$1:$J$3500,4,0)</f>
        <v>#N/A</v>
      </c>
      <c r="Q1236" s="1" t="s">
        <v>1489</v>
      </c>
      <c r="R1236" s="1" t="s">
        <v>1480</v>
      </c>
      <c r="S1236" s="6" t="e">
        <f t="shared" si="59"/>
        <v>#N/A</v>
      </c>
    </row>
    <row r="1237" spans="2:19" x14ac:dyDescent="0.25">
      <c r="B1237" s="1" t="s">
        <v>1479</v>
      </c>
      <c r="C1237" s="1" t="s">
        <v>1481</v>
      </c>
      <c r="D1237" s="4" t="e">
        <f>VLOOKUP(A1237,المعطيات!$A$1:$J$3500,5,0)</f>
        <v>#N/A</v>
      </c>
      <c r="E1237" s="1" t="s">
        <v>1482</v>
      </c>
      <c r="F1237" s="5">
        <f t="shared" si="57"/>
        <v>0</v>
      </c>
      <c r="G1237" s="5" t="s">
        <v>1483</v>
      </c>
      <c r="H1237" s="4" t="e">
        <f>VLOOKUP(A1237,المعطيات!$A$1:$J$3500,3,0)</f>
        <v>#N/A</v>
      </c>
      <c r="I1237" s="1" t="s">
        <v>1484</v>
      </c>
      <c r="J1237" s="1" t="s">
        <v>1485</v>
      </c>
      <c r="K1237" s="4" t="e">
        <f>VLOOKUP(A1237,المعطيات!$A$1:$J$3500,6,0)</f>
        <v>#N/A</v>
      </c>
      <c r="L1237" s="1" t="s">
        <v>1486</v>
      </c>
      <c r="M1237" s="1" t="s">
        <v>1487</v>
      </c>
      <c r="N1237" s="4" t="e">
        <f t="shared" si="58"/>
        <v>#N/A</v>
      </c>
      <c r="O1237" s="1" t="s">
        <v>1488</v>
      </c>
      <c r="P1237" s="4" t="e">
        <f>VLOOKUP(A1237,المعطيات!$A$1:$J$3500,4,0)</f>
        <v>#N/A</v>
      </c>
      <c r="Q1237" s="1" t="s">
        <v>1489</v>
      </c>
      <c r="R1237" s="1" t="s">
        <v>1480</v>
      </c>
      <c r="S1237" s="6" t="e">
        <f t="shared" si="59"/>
        <v>#N/A</v>
      </c>
    </row>
    <row r="1238" spans="2:19" x14ac:dyDescent="0.25">
      <c r="B1238" s="1" t="s">
        <v>1479</v>
      </c>
      <c r="C1238" s="1" t="s">
        <v>1481</v>
      </c>
      <c r="D1238" s="4" t="e">
        <f>VLOOKUP(A1238,المعطيات!$A$1:$J$3500,5,0)</f>
        <v>#N/A</v>
      </c>
      <c r="E1238" s="1" t="s">
        <v>1482</v>
      </c>
      <c r="F1238" s="5">
        <f t="shared" si="57"/>
        <v>0</v>
      </c>
      <c r="G1238" s="5" t="s">
        <v>1483</v>
      </c>
      <c r="H1238" s="4" t="e">
        <f>VLOOKUP(A1238,المعطيات!$A$1:$J$3500,3,0)</f>
        <v>#N/A</v>
      </c>
      <c r="I1238" s="1" t="s">
        <v>1484</v>
      </c>
      <c r="J1238" s="1" t="s">
        <v>1485</v>
      </c>
      <c r="K1238" s="4" t="e">
        <f>VLOOKUP(A1238,المعطيات!$A$1:$J$3500,6,0)</f>
        <v>#N/A</v>
      </c>
      <c r="L1238" s="1" t="s">
        <v>1486</v>
      </c>
      <c r="M1238" s="1" t="s">
        <v>1487</v>
      </c>
      <c r="N1238" s="4" t="e">
        <f t="shared" si="58"/>
        <v>#N/A</v>
      </c>
      <c r="O1238" s="1" t="s">
        <v>1488</v>
      </c>
      <c r="P1238" s="4" t="e">
        <f>VLOOKUP(A1238,المعطيات!$A$1:$J$3500,4,0)</f>
        <v>#N/A</v>
      </c>
      <c r="Q1238" s="1" t="s">
        <v>1489</v>
      </c>
      <c r="R1238" s="1" t="s">
        <v>1480</v>
      </c>
      <c r="S1238" s="6" t="e">
        <f t="shared" si="59"/>
        <v>#N/A</v>
      </c>
    </row>
    <row r="1239" spans="2:19" x14ac:dyDescent="0.25">
      <c r="B1239" s="1" t="s">
        <v>1479</v>
      </c>
      <c r="C1239" s="1" t="s">
        <v>1481</v>
      </c>
      <c r="D1239" s="4" t="e">
        <f>VLOOKUP(A1239,المعطيات!$A$1:$J$3500,5,0)</f>
        <v>#N/A</v>
      </c>
      <c r="E1239" s="1" t="s">
        <v>1482</v>
      </c>
      <c r="F1239" s="5">
        <f t="shared" si="57"/>
        <v>0</v>
      </c>
      <c r="G1239" s="5" t="s">
        <v>1483</v>
      </c>
      <c r="H1239" s="4" t="e">
        <f>VLOOKUP(A1239,المعطيات!$A$1:$J$3500,3,0)</f>
        <v>#N/A</v>
      </c>
      <c r="I1239" s="1" t="s">
        <v>1484</v>
      </c>
      <c r="J1239" s="1" t="s">
        <v>1485</v>
      </c>
      <c r="K1239" s="4" t="e">
        <f>VLOOKUP(A1239,المعطيات!$A$1:$J$3500,6,0)</f>
        <v>#N/A</v>
      </c>
      <c r="L1239" s="1" t="s">
        <v>1486</v>
      </c>
      <c r="M1239" s="1" t="s">
        <v>1487</v>
      </c>
      <c r="N1239" s="4" t="e">
        <f t="shared" si="58"/>
        <v>#N/A</v>
      </c>
      <c r="O1239" s="1" t="s">
        <v>1488</v>
      </c>
      <c r="P1239" s="4" t="e">
        <f>VLOOKUP(A1239,المعطيات!$A$1:$J$3500,4,0)</f>
        <v>#N/A</v>
      </c>
      <c r="Q1239" s="1" t="s">
        <v>1489</v>
      </c>
      <c r="R1239" s="1" t="s">
        <v>1480</v>
      </c>
      <c r="S1239" s="6" t="e">
        <f t="shared" si="59"/>
        <v>#N/A</v>
      </c>
    </row>
    <row r="1240" spans="2:19" x14ac:dyDescent="0.25">
      <c r="B1240" s="1" t="s">
        <v>1479</v>
      </c>
      <c r="C1240" s="1" t="s">
        <v>1481</v>
      </c>
      <c r="D1240" s="4" t="e">
        <f>VLOOKUP(A1240,المعطيات!$A$1:$J$3500,5,0)</f>
        <v>#N/A</v>
      </c>
      <c r="E1240" s="1" t="s">
        <v>1482</v>
      </c>
      <c r="F1240" s="5">
        <f t="shared" si="57"/>
        <v>0</v>
      </c>
      <c r="G1240" s="5" t="s">
        <v>1483</v>
      </c>
      <c r="H1240" s="4" t="e">
        <f>VLOOKUP(A1240,المعطيات!$A$1:$J$3500,3,0)</f>
        <v>#N/A</v>
      </c>
      <c r="I1240" s="1" t="s">
        <v>1484</v>
      </c>
      <c r="J1240" s="1" t="s">
        <v>1485</v>
      </c>
      <c r="K1240" s="4" t="e">
        <f>VLOOKUP(A1240,المعطيات!$A$1:$J$3500,6,0)</f>
        <v>#N/A</v>
      </c>
      <c r="L1240" s="1" t="s">
        <v>1486</v>
      </c>
      <c r="M1240" s="1" t="s">
        <v>1487</v>
      </c>
      <c r="N1240" s="4" t="e">
        <f t="shared" si="58"/>
        <v>#N/A</v>
      </c>
      <c r="O1240" s="1" t="s">
        <v>1488</v>
      </c>
      <c r="P1240" s="4" t="e">
        <f>VLOOKUP(A1240,المعطيات!$A$1:$J$3500,4,0)</f>
        <v>#N/A</v>
      </c>
      <c r="Q1240" s="1" t="s">
        <v>1489</v>
      </c>
      <c r="R1240" s="1" t="s">
        <v>1480</v>
      </c>
      <c r="S1240" s="6" t="e">
        <f t="shared" si="59"/>
        <v>#N/A</v>
      </c>
    </row>
    <row r="1241" spans="2:19" x14ac:dyDescent="0.25">
      <c r="B1241" s="1" t="s">
        <v>1479</v>
      </c>
      <c r="C1241" s="1" t="s">
        <v>1481</v>
      </c>
      <c r="D1241" s="4" t="e">
        <f>VLOOKUP(A1241,المعطيات!$A$1:$J$3500,5,0)</f>
        <v>#N/A</v>
      </c>
      <c r="E1241" s="1" t="s">
        <v>1482</v>
      </c>
      <c r="F1241" s="5">
        <f t="shared" si="57"/>
        <v>0</v>
      </c>
      <c r="G1241" s="5" t="s">
        <v>1483</v>
      </c>
      <c r="H1241" s="4" t="e">
        <f>VLOOKUP(A1241,المعطيات!$A$1:$J$3500,3,0)</f>
        <v>#N/A</v>
      </c>
      <c r="I1241" s="1" t="s">
        <v>1484</v>
      </c>
      <c r="J1241" s="1" t="s">
        <v>1485</v>
      </c>
      <c r="K1241" s="4" t="e">
        <f>VLOOKUP(A1241,المعطيات!$A$1:$J$3500,6,0)</f>
        <v>#N/A</v>
      </c>
      <c r="L1241" s="1" t="s">
        <v>1486</v>
      </c>
      <c r="M1241" s="1" t="s">
        <v>1487</v>
      </c>
      <c r="N1241" s="4" t="e">
        <f t="shared" si="58"/>
        <v>#N/A</v>
      </c>
      <c r="O1241" s="1" t="s">
        <v>1488</v>
      </c>
      <c r="P1241" s="4" t="e">
        <f>VLOOKUP(A1241,المعطيات!$A$1:$J$3500,4,0)</f>
        <v>#N/A</v>
      </c>
      <c r="Q1241" s="1" t="s">
        <v>1489</v>
      </c>
      <c r="R1241" s="1" t="s">
        <v>1480</v>
      </c>
      <c r="S1241" s="6" t="e">
        <f t="shared" si="59"/>
        <v>#N/A</v>
      </c>
    </row>
    <row r="1242" spans="2:19" x14ac:dyDescent="0.25">
      <c r="B1242" s="1" t="s">
        <v>1479</v>
      </c>
      <c r="C1242" s="1" t="s">
        <v>1481</v>
      </c>
      <c r="D1242" s="4" t="e">
        <f>VLOOKUP(A1242,المعطيات!$A$1:$J$3500,5,0)</f>
        <v>#N/A</v>
      </c>
      <c r="E1242" s="1" t="s">
        <v>1482</v>
      </c>
      <c r="F1242" s="5">
        <f t="shared" si="57"/>
        <v>0</v>
      </c>
      <c r="G1242" s="5" t="s">
        <v>1483</v>
      </c>
      <c r="H1242" s="4" t="e">
        <f>VLOOKUP(A1242,المعطيات!$A$1:$J$3500,3,0)</f>
        <v>#N/A</v>
      </c>
      <c r="I1242" s="1" t="s">
        <v>1484</v>
      </c>
      <c r="J1242" s="1" t="s">
        <v>1485</v>
      </c>
      <c r="K1242" s="4" t="e">
        <f>VLOOKUP(A1242,المعطيات!$A$1:$J$3500,6,0)</f>
        <v>#N/A</v>
      </c>
      <c r="L1242" s="1" t="s">
        <v>1486</v>
      </c>
      <c r="M1242" s="1" t="s">
        <v>1487</v>
      </c>
      <c r="N1242" s="4" t="e">
        <f t="shared" si="58"/>
        <v>#N/A</v>
      </c>
      <c r="O1242" s="1" t="s">
        <v>1488</v>
      </c>
      <c r="P1242" s="4" t="e">
        <f>VLOOKUP(A1242,المعطيات!$A$1:$J$3500,4,0)</f>
        <v>#N/A</v>
      </c>
      <c r="Q1242" s="1" t="s">
        <v>1489</v>
      </c>
      <c r="R1242" s="1" t="s">
        <v>1480</v>
      </c>
      <c r="S1242" s="6" t="e">
        <f t="shared" si="59"/>
        <v>#N/A</v>
      </c>
    </row>
    <row r="1243" spans="2:19" x14ac:dyDescent="0.25">
      <c r="B1243" s="1" t="s">
        <v>1479</v>
      </c>
      <c r="C1243" s="1" t="s">
        <v>1481</v>
      </c>
      <c r="D1243" s="4" t="e">
        <f>VLOOKUP(A1243,المعطيات!$A$1:$J$3500,5,0)</f>
        <v>#N/A</v>
      </c>
      <c r="E1243" s="1" t="s">
        <v>1482</v>
      </c>
      <c r="F1243" s="5">
        <f t="shared" si="57"/>
        <v>0</v>
      </c>
      <c r="G1243" s="5" t="s">
        <v>1483</v>
      </c>
      <c r="H1243" s="4" t="e">
        <f>VLOOKUP(A1243,المعطيات!$A$1:$J$3500,3,0)</f>
        <v>#N/A</v>
      </c>
      <c r="I1243" s="1" t="s">
        <v>1484</v>
      </c>
      <c r="J1243" s="1" t="s">
        <v>1485</v>
      </c>
      <c r="K1243" s="4" t="e">
        <f>VLOOKUP(A1243,المعطيات!$A$1:$J$3500,6,0)</f>
        <v>#N/A</v>
      </c>
      <c r="L1243" s="1" t="s">
        <v>1486</v>
      </c>
      <c r="M1243" s="1" t="s">
        <v>1487</v>
      </c>
      <c r="N1243" s="4" t="e">
        <f t="shared" si="58"/>
        <v>#N/A</v>
      </c>
      <c r="O1243" s="1" t="s">
        <v>1488</v>
      </c>
      <c r="P1243" s="4" t="e">
        <f>VLOOKUP(A1243,المعطيات!$A$1:$J$3500,4,0)</f>
        <v>#N/A</v>
      </c>
      <c r="Q1243" s="1" t="s">
        <v>1489</v>
      </c>
      <c r="R1243" s="1" t="s">
        <v>1480</v>
      </c>
      <c r="S1243" s="6" t="e">
        <f t="shared" si="59"/>
        <v>#N/A</v>
      </c>
    </row>
    <row r="1244" spans="2:19" x14ac:dyDescent="0.25">
      <c r="B1244" s="1" t="s">
        <v>1479</v>
      </c>
      <c r="C1244" s="1" t="s">
        <v>1481</v>
      </c>
      <c r="D1244" s="4" t="e">
        <f>VLOOKUP(A1244,المعطيات!$A$1:$J$3500,5,0)</f>
        <v>#N/A</v>
      </c>
      <c r="E1244" s="1" t="s">
        <v>1482</v>
      </c>
      <c r="F1244" s="5">
        <f t="shared" si="57"/>
        <v>0</v>
      </c>
      <c r="G1244" s="5" t="s">
        <v>1483</v>
      </c>
      <c r="H1244" s="4" t="e">
        <f>VLOOKUP(A1244,المعطيات!$A$1:$J$3500,3,0)</f>
        <v>#N/A</v>
      </c>
      <c r="I1244" s="1" t="s">
        <v>1484</v>
      </c>
      <c r="J1244" s="1" t="s">
        <v>1485</v>
      </c>
      <c r="K1244" s="4" t="e">
        <f>VLOOKUP(A1244,المعطيات!$A$1:$J$3500,6,0)</f>
        <v>#N/A</v>
      </c>
      <c r="L1244" s="1" t="s">
        <v>1486</v>
      </c>
      <c r="M1244" s="1" t="s">
        <v>1487</v>
      </c>
      <c r="N1244" s="4" t="e">
        <f t="shared" si="58"/>
        <v>#N/A</v>
      </c>
      <c r="O1244" s="1" t="s">
        <v>1488</v>
      </c>
      <c r="P1244" s="4" t="e">
        <f>VLOOKUP(A1244,المعطيات!$A$1:$J$3500,4,0)</f>
        <v>#N/A</v>
      </c>
      <c r="Q1244" s="1" t="s">
        <v>1489</v>
      </c>
      <c r="R1244" s="1" t="s">
        <v>1480</v>
      </c>
      <c r="S1244" s="6" t="e">
        <f t="shared" si="59"/>
        <v>#N/A</v>
      </c>
    </row>
    <row r="1245" spans="2:19" x14ac:dyDescent="0.25">
      <c r="B1245" s="1" t="s">
        <v>1479</v>
      </c>
      <c r="C1245" s="1" t="s">
        <v>1481</v>
      </c>
      <c r="D1245" s="4" t="e">
        <f>VLOOKUP(A1245,المعطيات!$A$1:$J$3500,5,0)</f>
        <v>#N/A</v>
      </c>
      <c r="E1245" s="1" t="s">
        <v>1482</v>
      </c>
      <c r="F1245" s="5">
        <f t="shared" si="57"/>
        <v>0</v>
      </c>
      <c r="G1245" s="5" t="s">
        <v>1483</v>
      </c>
      <c r="H1245" s="4" t="e">
        <f>VLOOKUP(A1245,المعطيات!$A$1:$J$3500,3,0)</f>
        <v>#N/A</v>
      </c>
      <c r="I1245" s="1" t="s">
        <v>1484</v>
      </c>
      <c r="J1245" s="1" t="s">
        <v>1485</v>
      </c>
      <c r="K1245" s="4" t="e">
        <f>VLOOKUP(A1245,المعطيات!$A$1:$J$3500,6,0)</f>
        <v>#N/A</v>
      </c>
      <c r="L1245" s="1" t="s">
        <v>1486</v>
      </c>
      <c r="M1245" s="1" t="s">
        <v>1487</v>
      </c>
      <c r="N1245" s="4" t="e">
        <f t="shared" si="58"/>
        <v>#N/A</v>
      </c>
      <c r="O1245" s="1" t="s">
        <v>1488</v>
      </c>
      <c r="P1245" s="4" t="e">
        <f>VLOOKUP(A1245,المعطيات!$A$1:$J$3500,4,0)</f>
        <v>#N/A</v>
      </c>
      <c r="Q1245" s="1" t="s">
        <v>1489</v>
      </c>
      <c r="R1245" s="1" t="s">
        <v>1480</v>
      </c>
      <c r="S1245" s="6" t="e">
        <f t="shared" si="59"/>
        <v>#N/A</v>
      </c>
    </row>
    <row r="1246" spans="2:19" x14ac:dyDescent="0.25">
      <c r="B1246" s="1" t="s">
        <v>1479</v>
      </c>
      <c r="C1246" s="1" t="s">
        <v>1481</v>
      </c>
      <c r="D1246" s="4" t="e">
        <f>VLOOKUP(A1246,المعطيات!$A$1:$J$3500,5,0)</f>
        <v>#N/A</v>
      </c>
      <c r="E1246" s="1" t="s">
        <v>1482</v>
      </c>
      <c r="F1246" s="5">
        <f t="shared" si="57"/>
        <v>0</v>
      </c>
      <c r="G1246" s="5" t="s">
        <v>1483</v>
      </c>
      <c r="H1246" s="4" t="e">
        <f>VLOOKUP(A1246,المعطيات!$A$1:$J$3500,3,0)</f>
        <v>#N/A</v>
      </c>
      <c r="I1246" s="1" t="s">
        <v>1484</v>
      </c>
      <c r="J1246" s="1" t="s">
        <v>1485</v>
      </c>
      <c r="K1246" s="4" t="e">
        <f>VLOOKUP(A1246,المعطيات!$A$1:$J$3500,6,0)</f>
        <v>#N/A</v>
      </c>
      <c r="L1246" s="1" t="s">
        <v>1486</v>
      </c>
      <c r="M1246" s="1" t="s">
        <v>1487</v>
      </c>
      <c r="N1246" s="4" t="e">
        <f t="shared" si="58"/>
        <v>#N/A</v>
      </c>
      <c r="O1246" s="1" t="s">
        <v>1488</v>
      </c>
      <c r="P1246" s="4" t="e">
        <f>VLOOKUP(A1246,المعطيات!$A$1:$J$3500,4,0)</f>
        <v>#N/A</v>
      </c>
      <c r="Q1246" s="1" t="s">
        <v>1489</v>
      </c>
      <c r="R1246" s="1" t="s">
        <v>1480</v>
      </c>
      <c r="S1246" s="6" t="e">
        <f t="shared" si="59"/>
        <v>#N/A</v>
      </c>
    </row>
    <row r="1247" spans="2:19" x14ac:dyDescent="0.25">
      <c r="B1247" s="1" t="s">
        <v>1479</v>
      </c>
      <c r="C1247" s="1" t="s">
        <v>1481</v>
      </c>
      <c r="D1247" s="4" t="e">
        <f>VLOOKUP(A1247,المعطيات!$A$1:$J$3500,5,0)</f>
        <v>#N/A</v>
      </c>
      <c r="E1247" s="1" t="s">
        <v>1482</v>
      </c>
      <c r="F1247" s="5">
        <f t="shared" si="57"/>
        <v>0</v>
      </c>
      <c r="G1247" s="5" t="s">
        <v>1483</v>
      </c>
      <c r="H1247" s="4" t="e">
        <f>VLOOKUP(A1247,المعطيات!$A$1:$J$3500,3,0)</f>
        <v>#N/A</v>
      </c>
      <c r="I1247" s="1" t="s">
        <v>1484</v>
      </c>
      <c r="J1247" s="1" t="s">
        <v>1485</v>
      </c>
      <c r="K1247" s="4" t="e">
        <f>VLOOKUP(A1247,المعطيات!$A$1:$J$3500,6,0)</f>
        <v>#N/A</v>
      </c>
      <c r="L1247" s="1" t="s">
        <v>1486</v>
      </c>
      <c r="M1247" s="1" t="s">
        <v>1487</v>
      </c>
      <c r="N1247" s="4" t="e">
        <f t="shared" si="58"/>
        <v>#N/A</v>
      </c>
      <c r="O1247" s="1" t="s">
        <v>1488</v>
      </c>
      <c r="P1247" s="4" t="e">
        <f>VLOOKUP(A1247,المعطيات!$A$1:$J$3500,4,0)</f>
        <v>#N/A</v>
      </c>
      <c r="Q1247" s="1" t="s">
        <v>1489</v>
      </c>
      <c r="R1247" s="1" t="s">
        <v>1480</v>
      </c>
      <c r="S1247" s="6" t="e">
        <f t="shared" si="59"/>
        <v>#N/A</v>
      </c>
    </row>
    <row r="1248" spans="2:19" x14ac:dyDescent="0.25">
      <c r="B1248" s="1" t="s">
        <v>1479</v>
      </c>
      <c r="C1248" s="1" t="s">
        <v>1481</v>
      </c>
      <c r="D1248" s="4" t="e">
        <f>VLOOKUP(A1248,المعطيات!$A$1:$J$3500,5,0)</f>
        <v>#N/A</v>
      </c>
      <c r="E1248" s="1" t="s">
        <v>1482</v>
      </c>
      <c r="F1248" s="5">
        <f t="shared" si="57"/>
        <v>0</v>
      </c>
      <c r="G1248" s="5" t="s">
        <v>1483</v>
      </c>
      <c r="H1248" s="4" t="e">
        <f>VLOOKUP(A1248,المعطيات!$A$1:$J$3500,3,0)</f>
        <v>#N/A</v>
      </c>
      <c r="I1248" s="1" t="s">
        <v>1484</v>
      </c>
      <c r="J1248" s="1" t="s">
        <v>1485</v>
      </c>
      <c r="K1248" s="4" t="e">
        <f>VLOOKUP(A1248,المعطيات!$A$1:$J$3500,6,0)</f>
        <v>#N/A</v>
      </c>
      <c r="L1248" s="1" t="s">
        <v>1486</v>
      </c>
      <c r="M1248" s="1" t="s">
        <v>1487</v>
      </c>
      <c r="N1248" s="4" t="e">
        <f t="shared" si="58"/>
        <v>#N/A</v>
      </c>
      <c r="O1248" s="1" t="s">
        <v>1488</v>
      </c>
      <c r="P1248" s="4" t="e">
        <f>VLOOKUP(A1248,المعطيات!$A$1:$J$3500,4,0)</f>
        <v>#N/A</v>
      </c>
      <c r="Q1248" s="1" t="s">
        <v>1489</v>
      </c>
      <c r="R1248" s="1" t="s">
        <v>1480</v>
      </c>
      <c r="S1248" s="6" t="e">
        <f t="shared" si="59"/>
        <v>#N/A</v>
      </c>
    </row>
    <row r="1249" spans="2:19" x14ac:dyDescent="0.25">
      <c r="B1249" s="1" t="s">
        <v>1479</v>
      </c>
      <c r="C1249" s="1" t="s">
        <v>1481</v>
      </c>
      <c r="D1249" s="4" t="e">
        <f>VLOOKUP(A1249,المعطيات!$A$1:$J$3500,5,0)</f>
        <v>#N/A</v>
      </c>
      <c r="E1249" s="1" t="s">
        <v>1482</v>
      </c>
      <c r="F1249" s="5">
        <f t="shared" si="57"/>
        <v>0</v>
      </c>
      <c r="G1249" s="5" t="s">
        <v>1483</v>
      </c>
      <c r="H1249" s="4" t="e">
        <f>VLOOKUP(A1249,المعطيات!$A$1:$J$3500,3,0)</f>
        <v>#N/A</v>
      </c>
      <c r="I1249" s="1" t="s">
        <v>1484</v>
      </c>
      <c r="J1249" s="1" t="s">
        <v>1485</v>
      </c>
      <c r="K1249" s="4" t="e">
        <f>VLOOKUP(A1249,المعطيات!$A$1:$J$3500,6,0)</f>
        <v>#N/A</v>
      </c>
      <c r="L1249" s="1" t="s">
        <v>1486</v>
      </c>
      <c r="M1249" s="1" t="s">
        <v>1487</v>
      </c>
      <c r="N1249" s="4" t="e">
        <f t="shared" si="58"/>
        <v>#N/A</v>
      </c>
      <c r="O1249" s="1" t="s">
        <v>1488</v>
      </c>
      <c r="P1249" s="4" t="e">
        <f>VLOOKUP(A1249,المعطيات!$A$1:$J$3500,4,0)</f>
        <v>#N/A</v>
      </c>
      <c r="Q1249" s="1" t="s">
        <v>1489</v>
      </c>
      <c r="R1249" s="1" t="s">
        <v>1480</v>
      </c>
      <c r="S1249" s="6" t="e">
        <f t="shared" si="59"/>
        <v>#N/A</v>
      </c>
    </row>
    <row r="1250" spans="2:19" x14ac:dyDescent="0.25">
      <c r="B1250" s="1" t="s">
        <v>1479</v>
      </c>
      <c r="C1250" s="1" t="s">
        <v>1481</v>
      </c>
      <c r="D1250" s="4" t="e">
        <f>VLOOKUP(A1250,المعطيات!$A$1:$J$3500,5,0)</f>
        <v>#N/A</v>
      </c>
      <c r="E1250" s="1" t="s">
        <v>1482</v>
      </c>
      <c r="F1250" s="5">
        <f t="shared" si="57"/>
        <v>0</v>
      </c>
      <c r="G1250" s="5" t="s">
        <v>1483</v>
      </c>
      <c r="H1250" s="4" t="e">
        <f>VLOOKUP(A1250,المعطيات!$A$1:$J$3500,3,0)</f>
        <v>#N/A</v>
      </c>
      <c r="I1250" s="1" t="s">
        <v>1484</v>
      </c>
      <c r="J1250" s="1" t="s">
        <v>1485</v>
      </c>
      <c r="K1250" s="4" t="e">
        <f>VLOOKUP(A1250,المعطيات!$A$1:$J$3500,6,0)</f>
        <v>#N/A</v>
      </c>
      <c r="L1250" s="1" t="s">
        <v>1486</v>
      </c>
      <c r="M1250" s="1" t="s">
        <v>1487</v>
      </c>
      <c r="N1250" s="4" t="e">
        <f t="shared" si="58"/>
        <v>#N/A</v>
      </c>
      <c r="O1250" s="1" t="s">
        <v>1488</v>
      </c>
      <c r="P1250" s="4" t="e">
        <f>VLOOKUP(A1250,المعطيات!$A$1:$J$3500,4,0)</f>
        <v>#N/A</v>
      </c>
      <c r="Q1250" s="1" t="s">
        <v>1489</v>
      </c>
      <c r="R1250" s="1" t="s">
        <v>1480</v>
      </c>
      <c r="S1250" s="6" t="e">
        <f t="shared" si="59"/>
        <v>#N/A</v>
      </c>
    </row>
    <row r="1251" spans="2:19" x14ac:dyDescent="0.25">
      <c r="B1251" s="1" t="s">
        <v>1479</v>
      </c>
      <c r="C1251" s="1" t="s">
        <v>1481</v>
      </c>
      <c r="D1251" s="4" t="e">
        <f>VLOOKUP(A1251,المعطيات!$A$1:$J$3500,5,0)</f>
        <v>#N/A</v>
      </c>
      <c r="E1251" s="1" t="s">
        <v>1482</v>
      </c>
      <c r="F1251" s="5">
        <f t="shared" si="57"/>
        <v>0</v>
      </c>
      <c r="G1251" s="5" t="s">
        <v>1483</v>
      </c>
      <c r="H1251" s="4" t="e">
        <f>VLOOKUP(A1251,المعطيات!$A$1:$J$3500,3,0)</f>
        <v>#N/A</v>
      </c>
      <c r="I1251" s="1" t="s">
        <v>1484</v>
      </c>
      <c r="J1251" s="1" t="s">
        <v>1485</v>
      </c>
      <c r="K1251" s="4" t="e">
        <f>VLOOKUP(A1251,المعطيات!$A$1:$J$3500,6,0)</f>
        <v>#N/A</v>
      </c>
      <c r="L1251" s="1" t="s">
        <v>1486</v>
      </c>
      <c r="M1251" s="1" t="s">
        <v>1487</v>
      </c>
      <c r="N1251" s="4" t="e">
        <f t="shared" si="58"/>
        <v>#N/A</v>
      </c>
      <c r="O1251" s="1" t="s">
        <v>1488</v>
      </c>
      <c r="P1251" s="4" t="e">
        <f>VLOOKUP(A1251,المعطيات!$A$1:$J$3500,4,0)</f>
        <v>#N/A</v>
      </c>
      <c r="Q1251" s="1" t="s">
        <v>1489</v>
      </c>
      <c r="R1251" s="1" t="s">
        <v>1480</v>
      </c>
      <c r="S1251" s="6" t="e">
        <f t="shared" si="59"/>
        <v>#N/A</v>
      </c>
    </row>
    <row r="1252" spans="2:19" x14ac:dyDescent="0.25">
      <c r="B1252" s="1" t="s">
        <v>1479</v>
      </c>
      <c r="C1252" s="1" t="s">
        <v>1481</v>
      </c>
      <c r="D1252" s="4" t="e">
        <f>VLOOKUP(A1252,المعطيات!$A$1:$J$3500,5,0)</f>
        <v>#N/A</v>
      </c>
      <c r="E1252" s="1" t="s">
        <v>1482</v>
      </c>
      <c r="F1252" s="5">
        <f t="shared" si="57"/>
        <v>0</v>
      </c>
      <c r="G1252" s="5" t="s">
        <v>1483</v>
      </c>
      <c r="H1252" s="4" t="e">
        <f>VLOOKUP(A1252,المعطيات!$A$1:$J$3500,3,0)</f>
        <v>#N/A</v>
      </c>
      <c r="I1252" s="1" t="s">
        <v>1484</v>
      </c>
      <c r="J1252" s="1" t="s">
        <v>1485</v>
      </c>
      <c r="K1252" s="4" t="e">
        <f>VLOOKUP(A1252,المعطيات!$A$1:$J$3500,6,0)</f>
        <v>#N/A</v>
      </c>
      <c r="L1252" s="1" t="s">
        <v>1486</v>
      </c>
      <c r="M1252" s="1" t="s">
        <v>1487</v>
      </c>
      <c r="N1252" s="4" t="e">
        <f t="shared" si="58"/>
        <v>#N/A</v>
      </c>
      <c r="O1252" s="1" t="s">
        <v>1488</v>
      </c>
      <c r="P1252" s="4" t="e">
        <f>VLOOKUP(A1252,المعطيات!$A$1:$J$3500,4,0)</f>
        <v>#N/A</v>
      </c>
      <c r="Q1252" s="1" t="s">
        <v>1489</v>
      </c>
      <c r="R1252" s="1" t="s">
        <v>1480</v>
      </c>
      <c r="S1252" s="6" t="e">
        <f t="shared" si="59"/>
        <v>#N/A</v>
      </c>
    </row>
    <row r="1253" spans="2:19" x14ac:dyDescent="0.25">
      <c r="B1253" s="1" t="s">
        <v>1479</v>
      </c>
      <c r="C1253" s="1" t="s">
        <v>1481</v>
      </c>
      <c r="D1253" s="4" t="e">
        <f>VLOOKUP(A1253,المعطيات!$A$1:$J$3500,5,0)</f>
        <v>#N/A</v>
      </c>
      <c r="E1253" s="1" t="s">
        <v>1482</v>
      </c>
      <c r="F1253" s="5">
        <f t="shared" si="57"/>
        <v>0</v>
      </c>
      <c r="G1253" s="5" t="s">
        <v>1483</v>
      </c>
      <c r="H1253" s="4" t="e">
        <f>VLOOKUP(A1253,المعطيات!$A$1:$J$3500,3,0)</f>
        <v>#N/A</v>
      </c>
      <c r="I1253" s="1" t="s">
        <v>1484</v>
      </c>
      <c r="J1253" s="1" t="s">
        <v>1485</v>
      </c>
      <c r="K1253" s="4" t="e">
        <f>VLOOKUP(A1253,المعطيات!$A$1:$J$3500,6,0)</f>
        <v>#N/A</v>
      </c>
      <c r="L1253" s="1" t="s">
        <v>1486</v>
      </c>
      <c r="M1253" s="1" t="s">
        <v>1487</v>
      </c>
      <c r="N1253" s="4" t="e">
        <f t="shared" si="58"/>
        <v>#N/A</v>
      </c>
      <c r="O1253" s="1" t="s">
        <v>1488</v>
      </c>
      <c r="P1253" s="4" t="e">
        <f>VLOOKUP(A1253,المعطيات!$A$1:$J$3500,4,0)</f>
        <v>#N/A</v>
      </c>
      <c r="Q1253" s="1" t="s">
        <v>1489</v>
      </c>
      <c r="R1253" s="1" t="s">
        <v>1480</v>
      </c>
      <c r="S1253" s="6" t="e">
        <f t="shared" si="59"/>
        <v>#N/A</v>
      </c>
    </row>
    <row r="1254" spans="2:19" x14ac:dyDescent="0.25">
      <c r="B1254" s="1" t="s">
        <v>1479</v>
      </c>
      <c r="C1254" s="1" t="s">
        <v>1481</v>
      </c>
      <c r="D1254" s="4" t="e">
        <f>VLOOKUP(A1254,المعطيات!$A$1:$J$3500,5,0)</f>
        <v>#N/A</v>
      </c>
      <c r="E1254" s="1" t="s">
        <v>1482</v>
      </c>
      <c r="F1254" s="5">
        <f t="shared" si="57"/>
        <v>0</v>
      </c>
      <c r="G1254" s="5" t="s">
        <v>1483</v>
      </c>
      <c r="H1254" s="4" t="e">
        <f>VLOOKUP(A1254,المعطيات!$A$1:$J$3500,3,0)</f>
        <v>#N/A</v>
      </c>
      <c r="I1254" s="1" t="s">
        <v>1484</v>
      </c>
      <c r="J1254" s="1" t="s">
        <v>1485</v>
      </c>
      <c r="K1254" s="4" t="e">
        <f>VLOOKUP(A1254,المعطيات!$A$1:$J$3500,6,0)</f>
        <v>#N/A</v>
      </c>
      <c r="L1254" s="1" t="s">
        <v>1486</v>
      </c>
      <c r="M1254" s="1" t="s">
        <v>1487</v>
      </c>
      <c r="N1254" s="4" t="e">
        <f t="shared" si="58"/>
        <v>#N/A</v>
      </c>
      <c r="O1254" s="1" t="s">
        <v>1488</v>
      </c>
      <c r="P1254" s="4" t="e">
        <f>VLOOKUP(A1254,المعطيات!$A$1:$J$3500,4,0)</f>
        <v>#N/A</v>
      </c>
      <c r="Q1254" s="1" t="s">
        <v>1489</v>
      </c>
      <c r="R1254" s="1" t="s">
        <v>1480</v>
      </c>
      <c r="S1254" s="6" t="e">
        <f t="shared" si="59"/>
        <v>#N/A</v>
      </c>
    </row>
    <row r="1255" spans="2:19" x14ac:dyDescent="0.25">
      <c r="B1255" s="1" t="s">
        <v>1479</v>
      </c>
      <c r="C1255" s="1" t="s">
        <v>1481</v>
      </c>
      <c r="D1255" s="4" t="e">
        <f>VLOOKUP(A1255,المعطيات!$A$1:$J$3500,5,0)</f>
        <v>#N/A</v>
      </c>
      <c r="E1255" s="1" t="s">
        <v>1482</v>
      </c>
      <c r="F1255" s="5">
        <f t="shared" si="57"/>
        <v>0</v>
      </c>
      <c r="G1255" s="5" t="s">
        <v>1483</v>
      </c>
      <c r="H1255" s="4" t="e">
        <f>VLOOKUP(A1255,المعطيات!$A$1:$J$3500,3,0)</f>
        <v>#N/A</v>
      </c>
      <c r="I1255" s="1" t="s">
        <v>1484</v>
      </c>
      <c r="J1255" s="1" t="s">
        <v>1485</v>
      </c>
      <c r="K1255" s="4" t="e">
        <f>VLOOKUP(A1255,المعطيات!$A$1:$J$3500,6,0)</f>
        <v>#N/A</v>
      </c>
      <c r="L1255" s="1" t="s">
        <v>1486</v>
      </c>
      <c r="M1255" s="1" t="s">
        <v>1487</v>
      </c>
      <c r="N1255" s="4" t="e">
        <f t="shared" si="58"/>
        <v>#N/A</v>
      </c>
      <c r="O1255" s="1" t="s">
        <v>1488</v>
      </c>
      <c r="P1255" s="4" t="e">
        <f>VLOOKUP(A1255,المعطيات!$A$1:$J$3500,4,0)</f>
        <v>#N/A</v>
      </c>
      <c r="Q1255" s="1" t="s">
        <v>1489</v>
      </c>
      <c r="R1255" s="1" t="s">
        <v>1480</v>
      </c>
      <c r="S1255" s="6" t="e">
        <f t="shared" si="59"/>
        <v>#N/A</v>
      </c>
    </row>
    <row r="1256" spans="2:19" x14ac:dyDescent="0.25">
      <c r="B1256" s="1" t="s">
        <v>1479</v>
      </c>
      <c r="C1256" s="1" t="s">
        <v>1481</v>
      </c>
      <c r="D1256" s="4" t="e">
        <f>VLOOKUP(A1256,المعطيات!$A$1:$J$3500,5,0)</f>
        <v>#N/A</v>
      </c>
      <c r="E1256" s="1" t="s">
        <v>1482</v>
      </c>
      <c r="F1256" s="5">
        <f t="shared" si="57"/>
        <v>0</v>
      </c>
      <c r="G1256" s="5" t="s">
        <v>1483</v>
      </c>
      <c r="H1256" s="4" t="e">
        <f>VLOOKUP(A1256,المعطيات!$A$1:$J$3500,3,0)</f>
        <v>#N/A</v>
      </c>
      <c r="I1256" s="1" t="s">
        <v>1484</v>
      </c>
      <c r="J1256" s="1" t="s">
        <v>1485</v>
      </c>
      <c r="K1256" s="4" t="e">
        <f>VLOOKUP(A1256,المعطيات!$A$1:$J$3500,6,0)</f>
        <v>#N/A</v>
      </c>
      <c r="L1256" s="1" t="s">
        <v>1486</v>
      </c>
      <c r="M1256" s="1" t="s">
        <v>1487</v>
      </c>
      <c r="N1256" s="4" t="e">
        <f t="shared" si="58"/>
        <v>#N/A</v>
      </c>
      <c r="O1256" s="1" t="s">
        <v>1488</v>
      </c>
      <c r="P1256" s="4" t="e">
        <f>VLOOKUP(A1256,المعطيات!$A$1:$J$3500,4,0)</f>
        <v>#N/A</v>
      </c>
      <c r="Q1256" s="1" t="s">
        <v>1489</v>
      </c>
      <c r="R1256" s="1" t="s">
        <v>1480</v>
      </c>
      <c r="S1256" s="6" t="e">
        <f t="shared" si="59"/>
        <v>#N/A</v>
      </c>
    </row>
    <row r="1257" spans="2:19" x14ac:dyDescent="0.25">
      <c r="B1257" s="1" t="s">
        <v>1479</v>
      </c>
      <c r="C1257" s="1" t="s">
        <v>1481</v>
      </c>
      <c r="D1257" s="4" t="e">
        <f>VLOOKUP(A1257,المعطيات!$A$1:$J$3500,5,0)</f>
        <v>#N/A</v>
      </c>
      <c r="E1257" s="1" t="s">
        <v>1482</v>
      </c>
      <c r="F1257" s="5">
        <f t="shared" si="57"/>
        <v>0</v>
      </c>
      <c r="G1257" s="5" t="s">
        <v>1483</v>
      </c>
      <c r="H1257" s="4" t="e">
        <f>VLOOKUP(A1257,المعطيات!$A$1:$J$3500,3,0)</f>
        <v>#N/A</v>
      </c>
      <c r="I1257" s="1" t="s">
        <v>1484</v>
      </c>
      <c r="J1257" s="1" t="s">
        <v>1485</v>
      </c>
      <c r="K1257" s="4" t="e">
        <f>VLOOKUP(A1257,المعطيات!$A$1:$J$3500,6,0)</f>
        <v>#N/A</v>
      </c>
      <c r="L1257" s="1" t="s">
        <v>1486</v>
      </c>
      <c r="M1257" s="1" t="s">
        <v>1487</v>
      </c>
      <c r="N1257" s="4" t="e">
        <f t="shared" si="58"/>
        <v>#N/A</v>
      </c>
      <c r="O1257" s="1" t="s">
        <v>1488</v>
      </c>
      <c r="P1257" s="4" t="e">
        <f>VLOOKUP(A1257,المعطيات!$A$1:$J$3500,4,0)</f>
        <v>#N/A</v>
      </c>
      <c r="Q1257" s="1" t="s">
        <v>1489</v>
      </c>
      <c r="R1257" s="1" t="s">
        <v>1480</v>
      </c>
      <c r="S1257" s="6" t="e">
        <f t="shared" si="59"/>
        <v>#N/A</v>
      </c>
    </row>
    <row r="1258" spans="2:19" x14ac:dyDescent="0.25">
      <c r="B1258" s="1" t="s">
        <v>1479</v>
      </c>
      <c r="C1258" s="1" t="s">
        <v>1481</v>
      </c>
      <c r="D1258" s="4" t="e">
        <f>VLOOKUP(A1258,المعطيات!$A$1:$J$3500,5,0)</f>
        <v>#N/A</v>
      </c>
      <c r="E1258" s="1" t="s">
        <v>1482</v>
      </c>
      <c r="F1258" s="5">
        <f t="shared" si="57"/>
        <v>0</v>
      </c>
      <c r="G1258" s="5" t="s">
        <v>1483</v>
      </c>
      <c r="H1258" s="4" t="e">
        <f>VLOOKUP(A1258,المعطيات!$A$1:$J$3500,3,0)</f>
        <v>#N/A</v>
      </c>
      <c r="I1258" s="1" t="s">
        <v>1484</v>
      </c>
      <c r="J1258" s="1" t="s">
        <v>1485</v>
      </c>
      <c r="K1258" s="4" t="e">
        <f>VLOOKUP(A1258,المعطيات!$A$1:$J$3500,6,0)</f>
        <v>#N/A</v>
      </c>
      <c r="L1258" s="1" t="s">
        <v>1486</v>
      </c>
      <c r="M1258" s="1" t="s">
        <v>1487</v>
      </c>
      <c r="N1258" s="4" t="e">
        <f t="shared" si="58"/>
        <v>#N/A</v>
      </c>
      <c r="O1258" s="1" t="s">
        <v>1488</v>
      </c>
      <c r="P1258" s="4" t="e">
        <f>VLOOKUP(A1258,المعطيات!$A$1:$J$3500,4,0)</f>
        <v>#N/A</v>
      </c>
      <c r="Q1258" s="1" t="s">
        <v>1489</v>
      </c>
      <c r="R1258" s="1" t="s">
        <v>1480</v>
      </c>
      <c r="S1258" s="6" t="e">
        <f t="shared" si="59"/>
        <v>#N/A</v>
      </c>
    </row>
    <row r="1259" spans="2:19" x14ac:dyDescent="0.25">
      <c r="B1259" s="1" t="s">
        <v>1479</v>
      </c>
      <c r="C1259" s="1" t="s">
        <v>1481</v>
      </c>
      <c r="D1259" s="4" t="e">
        <f>VLOOKUP(A1259,المعطيات!$A$1:$J$3500,5,0)</f>
        <v>#N/A</v>
      </c>
      <c r="E1259" s="1" t="s">
        <v>1482</v>
      </c>
      <c r="F1259" s="5">
        <f t="shared" si="57"/>
        <v>0</v>
      </c>
      <c r="G1259" s="5" t="s">
        <v>1483</v>
      </c>
      <c r="H1259" s="4" t="e">
        <f>VLOOKUP(A1259,المعطيات!$A$1:$J$3500,3,0)</f>
        <v>#N/A</v>
      </c>
      <c r="I1259" s="1" t="s">
        <v>1484</v>
      </c>
      <c r="J1259" s="1" t="s">
        <v>1485</v>
      </c>
      <c r="K1259" s="4" t="e">
        <f>VLOOKUP(A1259,المعطيات!$A$1:$J$3500,6,0)</f>
        <v>#N/A</v>
      </c>
      <c r="L1259" s="1" t="s">
        <v>1486</v>
      </c>
      <c r="M1259" s="1" t="s">
        <v>1487</v>
      </c>
      <c r="N1259" s="4" t="e">
        <f t="shared" si="58"/>
        <v>#N/A</v>
      </c>
      <c r="O1259" s="1" t="s">
        <v>1488</v>
      </c>
      <c r="P1259" s="4" t="e">
        <f>VLOOKUP(A1259,المعطيات!$A$1:$J$3500,4,0)</f>
        <v>#N/A</v>
      </c>
      <c r="Q1259" s="1" t="s">
        <v>1489</v>
      </c>
      <c r="R1259" s="1" t="s">
        <v>1480</v>
      </c>
      <c r="S1259" s="6" t="e">
        <f t="shared" si="59"/>
        <v>#N/A</v>
      </c>
    </row>
    <row r="1260" spans="2:19" x14ac:dyDescent="0.25">
      <c r="B1260" s="1" t="s">
        <v>1479</v>
      </c>
      <c r="C1260" s="1" t="s">
        <v>1481</v>
      </c>
      <c r="D1260" s="4" t="e">
        <f>VLOOKUP(A1260,المعطيات!$A$1:$J$3500,5,0)</f>
        <v>#N/A</v>
      </c>
      <c r="E1260" s="1" t="s">
        <v>1482</v>
      </c>
      <c r="F1260" s="5">
        <f t="shared" si="57"/>
        <v>0</v>
      </c>
      <c r="G1260" s="5" t="s">
        <v>1483</v>
      </c>
      <c r="H1260" s="4" t="e">
        <f>VLOOKUP(A1260,المعطيات!$A$1:$J$3500,3,0)</f>
        <v>#N/A</v>
      </c>
      <c r="I1260" s="1" t="s">
        <v>1484</v>
      </c>
      <c r="J1260" s="1" t="s">
        <v>1485</v>
      </c>
      <c r="K1260" s="4" t="e">
        <f>VLOOKUP(A1260,المعطيات!$A$1:$J$3500,6,0)</f>
        <v>#N/A</v>
      </c>
      <c r="L1260" s="1" t="s">
        <v>1486</v>
      </c>
      <c r="M1260" s="1" t="s">
        <v>1487</v>
      </c>
      <c r="N1260" s="4" t="e">
        <f t="shared" si="58"/>
        <v>#N/A</v>
      </c>
      <c r="O1260" s="1" t="s">
        <v>1488</v>
      </c>
      <c r="P1260" s="4" t="e">
        <f>VLOOKUP(A1260,المعطيات!$A$1:$J$3500,4,0)</f>
        <v>#N/A</v>
      </c>
      <c r="Q1260" s="1" t="s">
        <v>1489</v>
      </c>
      <c r="R1260" s="1" t="s">
        <v>1480</v>
      </c>
      <c r="S1260" s="6" t="e">
        <f t="shared" si="59"/>
        <v>#N/A</v>
      </c>
    </row>
    <row r="1261" spans="2:19" x14ac:dyDescent="0.25">
      <c r="B1261" s="1" t="s">
        <v>1479</v>
      </c>
      <c r="C1261" s="1" t="s">
        <v>1481</v>
      </c>
      <c r="D1261" s="4" t="e">
        <f>VLOOKUP(A1261,المعطيات!$A$1:$J$3500,5,0)</f>
        <v>#N/A</v>
      </c>
      <c r="E1261" s="1" t="s">
        <v>1482</v>
      </c>
      <c r="F1261" s="5">
        <f t="shared" si="57"/>
        <v>0</v>
      </c>
      <c r="G1261" s="5" t="s">
        <v>1483</v>
      </c>
      <c r="H1261" s="4" t="e">
        <f>VLOOKUP(A1261,المعطيات!$A$1:$J$3500,3,0)</f>
        <v>#N/A</v>
      </c>
      <c r="I1261" s="1" t="s">
        <v>1484</v>
      </c>
      <c r="J1261" s="1" t="s">
        <v>1485</v>
      </c>
      <c r="K1261" s="4" t="e">
        <f>VLOOKUP(A1261,المعطيات!$A$1:$J$3500,6,0)</f>
        <v>#N/A</v>
      </c>
      <c r="L1261" s="1" t="s">
        <v>1486</v>
      </c>
      <c r="M1261" s="1" t="s">
        <v>1487</v>
      </c>
      <c r="N1261" s="4" t="e">
        <f t="shared" si="58"/>
        <v>#N/A</v>
      </c>
      <c r="O1261" s="1" t="s">
        <v>1488</v>
      </c>
      <c r="P1261" s="4" t="e">
        <f>VLOOKUP(A1261,المعطيات!$A$1:$J$3500,4,0)</f>
        <v>#N/A</v>
      </c>
      <c r="Q1261" s="1" t="s">
        <v>1489</v>
      </c>
      <c r="R1261" s="1" t="s">
        <v>1480</v>
      </c>
      <c r="S1261" s="6" t="e">
        <f t="shared" si="59"/>
        <v>#N/A</v>
      </c>
    </row>
    <row r="1262" spans="2:19" x14ac:dyDescent="0.25">
      <c r="B1262" s="1" t="s">
        <v>1479</v>
      </c>
      <c r="C1262" s="1" t="s">
        <v>1481</v>
      </c>
      <c r="D1262" s="4" t="e">
        <f>VLOOKUP(A1262,المعطيات!$A$1:$J$3500,5,0)</f>
        <v>#N/A</v>
      </c>
      <c r="E1262" s="1" t="s">
        <v>1482</v>
      </c>
      <c r="F1262" s="5">
        <f t="shared" si="57"/>
        <v>0</v>
      </c>
      <c r="G1262" s="5" t="s">
        <v>1483</v>
      </c>
      <c r="H1262" s="4" t="e">
        <f>VLOOKUP(A1262,المعطيات!$A$1:$J$3500,3,0)</f>
        <v>#N/A</v>
      </c>
      <c r="I1262" s="1" t="s">
        <v>1484</v>
      </c>
      <c r="J1262" s="1" t="s">
        <v>1485</v>
      </c>
      <c r="K1262" s="4" t="e">
        <f>VLOOKUP(A1262,المعطيات!$A$1:$J$3500,6,0)</f>
        <v>#N/A</v>
      </c>
      <c r="L1262" s="1" t="s">
        <v>1486</v>
      </c>
      <c r="M1262" s="1" t="s">
        <v>1487</v>
      </c>
      <c r="N1262" s="4" t="e">
        <f t="shared" si="58"/>
        <v>#N/A</v>
      </c>
      <c r="O1262" s="1" t="s">
        <v>1488</v>
      </c>
      <c r="P1262" s="4" t="e">
        <f>VLOOKUP(A1262,المعطيات!$A$1:$J$3500,4,0)</f>
        <v>#N/A</v>
      </c>
      <c r="Q1262" s="1" t="s">
        <v>1489</v>
      </c>
      <c r="R1262" s="1" t="s">
        <v>1480</v>
      </c>
      <c r="S1262" s="6" t="e">
        <f t="shared" si="59"/>
        <v>#N/A</v>
      </c>
    </row>
    <row r="1263" spans="2:19" x14ac:dyDescent="0.25">
      <c r="B1263" s="1" t="s">
        <v>1479</v>
      </c>
      <c r="C1263" s="1" t="s">
        <v>1481</v>
      </c>
      <c r="D1263" s="4" t="e">
        <f>VLOOKUP(A1263,المعطيات!$A$1:$J$3500,5,0)</f>
        <v>#N/A</v>
      </c>
      <c r="E1263" s="1" t="s">
        <v>1482</v>
      </c>
      <c r="F1263" s="5">
        <f t="shared" si="57"/>
        <v>0</v>
      </c>
      <c r="G1263" s="5" t="s">
        <v>1483</v>
      </c>
      <c r="H1263" s="4" t="e">
        <f>VLOOKUP(A1263,المعطيات!$A$1:$J$3500,3,0)</f>
        <v>#N/A</v>
      </c>
      <c r="I1263" s="1" t="s">
        <v>1484</v>
      </c>
      <c r="J1263" s="1" t="s">
        <v>1485</v>
      </c>
      <c r="K1263" s="4" t="e">
        <f>VLOOKUP(A1263,المعطيات!$A$1:$J$3500,6,0)</f>
        <v>#N/A</v>
      </c>
      <c r="L1263" s="1" t="s">
        <v>1486</v>
      </c>
      <c r="M1263" s="1" t="s">
        <v>1487</v>
      </c>
      <c r="N1263" s="4" t="e">
        <f t="shared" si="58"/>
        <v>#N/A</v>
      </c>
      <c r="O1263" s="1" t="s">
        <v>1488</v>
      </c>
      <c r="P1263" s="4" t="e">
        <f>VLOOKUP(A1263,المعطيات!$A$1:$J$3500,4,0)</f>
        <v>#N/A</v>
      </c>
      <c r="Q1263" s="1" t="s">
        <v>1489</v>
      </c>
      <c r="R1263" s="1" t="s">
        <v>1480</v>
      </c>
      <c r="S1263" s="6" t="e">
        <f t="shared" si="59"/>
        <v>#N/A</v>
      </c>
    </row>
    <row r="1264" spans="2:19" x14ac:dyDescent="0.25">
      <c r="B1264" s="1" t="s">
        <v>1479</v>
      </c>
      <c r="C1264" s="1" t="s">
        <v>1481</v>
      </c>
      <c r="D1264" s="4" t="e">
        <f>VLOOKUP(A1264,المعطيات!$A$1:$J$3500,5,0)</f>
        <v>#N/A</v>
      </c>
      <c r="E1264" s="1" t="s">
        <v>1482</v>
      </c>
      <c r="F1264" s="5">
        <f t="shared" si="57"/>
        <v>0</v>
      </c>
      <c r="G1264" s="5" t="s">
        <v>1483</v>
      </c>
      <c r="H1264" s="4" t="e">
        <f>VLOOKUP(A1264,المعطيات!$A$1:$J$3500,3,0)</f>
        <v>#N/A</v>
      </c>
      <c r="I1264" s="1" t="s">
        <v>1484</v>
      </c>
      <c r="J1264" s="1" t="s">
        <v>1485</v>
      </c>
      <c r="K1264" s="4" t="e">
        <f>VLOOKUP(A1264,المعطيات!$A$1:$J$3500,6,0)</f>
        <v>#N/A</v>
      </c>
      <c r="L1264" s="1" t="s">
        <v>1486</v>
      </c>
      <c r="M1264" s="1" t="s">
        <v>1487</v>
      </c>
      <c r="N1264" s="4" t="e">
        <f t="shared" si="58"/>
        <v>#N/A</v>
      </c>
      <c r="O1264" s="1" t="s">
        <v>1488</v>
      </c>
      <c r="P1264" s="4" t="e">
        <f>VLOOKUP(A1264,المعطيات!$A$1:$J$3500,4,0)</f>
        <v>#N/A</v>
      </c>
      <c r="Q1264" s="1" t="s">
        <v>1489</v>
      </c>
      <c r="R1264" s="1" t="s">
        <v>1480</v>
      </c>
      <c r="S1264" s="6" t="e">
        <f t="shared" si="59"/>
        <v>#N/A</v>
      </c>
    </row>
    <row r="1265" spans="2:19" x14ac:dyDescent="0.25">
      <c r="B1265" s="1" t="s">
        <v>1479</v>
      </c>
      <c r="C1265" s="1" t="s">
        <v>1481</v>
      </c>
      <c r="D1265" s="4" t="e">
        <f>VLOOKUP(A1265,المعطيات!$A$1:$J$3500,5,0)</f>
        <v>#N/A</v>
      </c>
      <c r="E1265" s="1" t="s">
        <v>1482</v>
      </c>
      <c r="F1265" s="5">
        <f t="shared" si="57"/>
        <v>0</v>
      </c>
      <c r="G1265" s="5" t="s">
        <v>1483</v>
      </c>
      <c r="H1265" s="4" t="e">
        <f>VLOOKUP(A1265,المعطيات!$A$1:$J$3500,3,0)</f>
        <v>#N/A</v>
      </c>
      <c r="I1265" s="1" t="s">
        <v>1484</v>
      </c>
      <c r="J1265" s="1" t="s">
        <v>1485</v>
      </c>
      <c r="K1265" s="4" t="e">
        <f>VLOOKUP(A1265,المعطيات!$A$1:$J$3500,6,0)</f>
        <v>#N/A</v>
      </c>
      <c r="L1265" s="1" t="s">
        <v>1486</v>
      </c>
      <c r="M1265" s="1" t="s">
        <v>1487</v>
      </c>
      <c r="N1265" s="4" t="e">
        <f t="shared" si="58"/>
        <v>#N/A</v>
      </c>
      <c r="O1265" s="1" t="s">
        <v>1488</v>
      </c>
      <c r="P1265" s="4" t="e">
        <f>VLOOKUP(A1265,المعطيات!$A$1:$J$3500,4,0)</f>
        <v>#N/A</v>
      </c>
      <c r="Q1265" s="1" t="s">
        <v>1489</v>
      </c>
      <c r="R1265" s="1" t="s">
        <v>1480</v>
      </c>
      <c r="S1265" s="6" t="e">
        <f t="shared" si="59"/>
        <v>#N/A</v>
      </c>
    </row>
    <row r="1266" spans="2:19" x14ac:dyDescent="0.25">
      <c r="B1266" s="1" t="s">
        <v>1479</v>
      </c>
      <c r="C1266" s="1" t="s">
        <v>1481</v>
      </c>
      <c r="D1266" s="4" t="e">
        <f>VLOOKUP(A1266,المعطيات!$A$1:$J$3500,5,0)</f>
        <v>#N/A</v>
      </c>
      <c r="E1266" s="1" t="s">
        <v>1482</v>
      </c>
      <c r="F1266" s="5">
        <f t="shared" si="57"/>
        <v>0</v>
      </c>
      <c r="G1266" s="5" t="s">
        <v>1483</v>
      </c>
      <c r="H1266" s="4" t="e">
        <f>VLOOKUP(A1266,المعطيات!$A$1:$J$3500,3,0)</f>
        <v>#N/A</v>
      </c>
      <c r="I1266" s="1" t="s">
        <v>1484</v>
      </c>
      <c r="J1266" s="1" t="s">
        <v>1485</v>
      </c>
      <c r="K1266" s="4" t="e">
        <f>VLOOKUP(A1266,المعطيات!$A$1:$J$3500,6,0)</f>
        <v>#N/A</v>
      </c>
      <c r="L1266" s="1" t="s">
        <v>1486</v>
      </c>
      <c r="M1266" s="1" t="s">
        <v>1487</v>
      </c>
      <c r="N1266" s="4" t="e">
        <f t="shared" si="58"/>
        <v>#N/A</v>
      </c>
      <c r="O1266" s="1" t="s">
        <v>1488</v>
      </c>
      <c r="P1266" s="4" t="e">
        <f>VLOOKUP(A1266,المعطيات!$A$1:$J$3500,4,0)</f>
        <v>#N/A</v>
      </c>
      <c r="Q1266" s="1" t="s">
        <v>1489</v>
      </c>
      <c r="R1266" s="1" t="s">
        <v>1480</v>
      </c>
      <c r="S1266" s="6" t="e">
        <f t="shared" si="59"/>
        <v>#N/A</v>
      </c>
    </row>
    <row r="1267" spans="2:19" x14ac:dyDescent="0.25">
      <c r="B1267" s="1" t="s">
        <v>1479</v>
      </c>
      <c r="C1267" s="1" t="s">
        <v>1481</v>
      </c>
      <c r="D1267" s="4" t="e">
        <f>VLOOKUP(A1267,المعطيات!$A$1:$J$3500,5,0)</f>
        <v>#N/A</v>
      </c>
      <c r="E1267" s="1" t="s">
        <v>1482</v>
      </c>
      <c r="F1267" s="5">
        <f t="shared" si="57"/>
        <v>0</v>
      </c>
      <c r="G1267" s="5" t="s">
        <v>1483</v>
      </c>
      <c r="H1267" s="4" t="e">
        <f>VLOOKUP(A1267,المعطيات!$A$1:$J$3500,3,0)</f>
        <v>#N/A</v>
      </c>
      <c r="I1267" s="1" t="s">
        <v>1484</v>
      </c>
      <c r="J1267" s="1" t="s">
        <v>1485</v>
      </c>
      <c r="K1267" s="4" t="e">
        <f>VLOOKUP(A1267,المعطيات!$A$1:$J$3500,6,0)</f>
        <v>#N/A</v>
      </c>
      <c r="L1267" s="1" t="s">
        <v>1486</v>
      </c>
      <c r="M1267" s="1" t="s">
        <v>1487</v>
      </c>
      <c r="N1267" s="4" t="e">
        <f t="shared" si="58"/>
        <v>#N/A</v>
      </c>
      <c r="O1267" s="1" t="s">
        <v>1488</v>
      </c>
      <c r="P1267" s="4" t="e">
        <f>VLOOKUP(A1267,المعطيات!$A$1:$J$3500,4,0)</f>
        <v>#N/A</v>
      </c>
      <c r="Q1267" s="1" t="s">
        <v>1489</v>
      </c>
      <c r="R1267" s="1" t="s">
        <v>1480</v>
      </c>
      <c r="S1267" s="6" t="e">
        <f t="shared" si="59"/>
        <v>#N/A</v>
      </c>
    </row>
    <row r="1268" spans="2:19" x14ac:dyDescent="0.25">
      <c r="B1268" s="1" t="s">
        <v>1479</v>
      </c>
      <c r="C1268" s="1" t="s">
        <v>1481</v>
      </c>
      <c r="D1268" s="4" t="e">
        <f>VLOOKUP(A1268,المعطيات!$A$1:$J$3500,5,0)</f>
        <v>#N/A</v>
      </c>
      <c r="E1268" s="1" t="s">
        <v>1482</v>
      </c>
      <c r="F1268" s="5">
        <f t="shared" si="57"/>
        <v>0</v>
      </c>
      <c r="G1268" s="5" t="s">
        <v>1483</v>
      </c>
      <c r="H1268" s="4" t="e">
        <f>VLOOKUP(A1268,المعطيات!$A$1:$J$3500,3,0)</f>
        <v>#N/A</v>
      </c>
      <c r="I1268" s="1" t="s">
        <v>1484</v>
      </c>
      <c r="J1268" s="1" t="s">
        <v>1485</v>
      </c>
      <c r="K1268" s="4" t="e">
        <f>VLOOKUP(A1268,المعطيات!$A$1:$J$3500,6,0)</f>
        <v>#N/A</v>
      </c>
      <c r="L1268" s="1" t="s">
        <v>1486</v>
      </c>
      <c r="M1268" s="1" t="s">
        <v>1487</v>
      </c>
      <c r="N1268" s="4" t="e">
        <f t="shared" si="58"/>
        <v>#N/A</v>
      </c>
      <c r="O1268" s="1" t="s">
        <v>1488</v>
      </c>
      <c r="P1268" s="4" t="e">
        <f>VLOOKUP(A1268,المعطيات!$A$1:$J$3500,4,0)</f>
        <v>#N/A</v>
      </c>
      <c r="Q1268" s="1" t="s">
        <v>1489</v>
      </c>
      <c r="R1268" s="1" t="s">
        <v>1480</v>
      </c>
      <c r="S1268" s="6" t="e">
        <f t="shared" si="59"/>
        <v>#N/A</v>
      </c>
    </row>
    <row r="1269" spans="2:19" x14ac:dyDescent="0.25">
      <c r="B1269" s="1" t="s">
        <v>1479</v>
      </c>
      <c r="C1269" s="1" t="s">
        <v>1481</v>
      </c>
      <c r="D1269" s="4" t="e">
        <f>VLOOKUP(A1269,المعطيات!$A$1:$J$3500,5,0)</f>
        <v>#N/A</v>
      </c>
      <c r="E1269" s="1" t="s">
        <v>1482</v>
      </c>
      <c r="F1269" s="5">
        <f t="shared" si="57"/>
        <v>0</v>
      </c>
      <c r="G1269" s="5" t="s">
        <v>1483</v>
      </c>
      <c r="H1269" s="4" t="e">
        <f>VLOOKUP(A1269,المعطيات!$A$1:$J$3500,3,0)</f>
        <v>#N/A</v>
      </c>
      <c r="I1269" s="1" t="s">
        <v>1484</v>
      </c>
      <c r="J1269" s="1" t="s">
        <v>1485</v>
      </c>
      <c r="K1269" s="4" t="e">
        <f>VLOOKUP(A1269,المعطيات!$A$1:$J$3500,6,0)</f>
        <v>#N/A</v>
      </c>
      <c r="L1269" s="1" t="s">
        <v>1486</v>
      </c>
      <c r="M1269" s="1" t="s">
        <v>1487</v>
      </c>
      <c r="N1269" s="4" t="e">
        <f t="shared" si="58"/>
        <v>#N/A</v>
      </c>
      <c r="O1269" s="1" t="s">
        <v>1488</v>
      </c>
      <c r="P1269" s="4" t="e">
        <f>VLOOKUP(A1269,المعطيات!$A$1:$J$3500,4,0)</f>
        <v>#N/A</v>
      </c>
      <c r="Q1269" s="1" t="s">
        <v>1489</v>
      </c>
      <c r="R1269" s="1" t="s">
        <v>1480</v>
      </c>
      <c r="S1269" s="6" t="e">
        <f t="shared" si="59"/>
        <v>#N/A</v>
      </c>
    </row>
    <row r="1270" spans="2:19" x14ac:dyDescent="0.25">
      <c r="B1270" s="1" t="s">
        <v>1479</v>
      </c>
      <c r="C1270" s="1" t="s">
        <v>1481</v>
      </c>
      <c r="D1270" s="4" t="e">
        <f>VLOOKUP(A1270,المعطيات!$A$1:$J$3500,5,0)</f>
        <v>#N/A</v>
      </c>
      <c r="E1270" s="1" t="s">
        <v>1482</v>
      </c>
      <c r="F1270" s="5">
        <f t="shared" si="57"/>
        <v>0</v>
      </c>
      <c r="G1270" s="5" t="s">
        <v>1483</v>
      </c>
      <c r="H1270" s="4" t="e">
        <f>VLOOKUP(A1270,المعطيات!$A$1:$J$3500,3,0)</f>
        <v>#N/A</v>
      </c>
      <c r="I1270" s="1" t="s">
        <v>1484</v>
      </c>
      <c r="J1270" s="1" t="s">
        <v>1485</v>
      </c>
      <c r="K1270" s="4" t="e">
        <f>VLOOKUP(A1270,المعطيات!$A$1:$J$3500,6,0)</f>
        <v>#N/A</v>
      </c>
      <c r="L1270" s="1" t="s">
        <v>1486</v>
      </c>
      <c r="M1270" s="1" t="s">
        <v>1487</v>
      </c>
      <c r="N1270" s="4" t="e">
        <f t="shared" si="58"/>
        <v>#N/A</v>
      </c>
      <c r="O1270" s="1" t="s">
        <v>1488</v>
      </c>
      <c r="P1270" s="4" t="e">
        <f>VLOOKUP(A1270,المعطيات!$A$1:$J$3500,4,0)</f>
        <v>#N/A</v>
      </c>
      <c r="Q1270" s="1" t="s">
        <v>1489</v>
      </c>
      <c r="R1270" s="1" t="s">
        <v>1480</v>
      </c>
      <c r="S1270" s="6" t="e">
        <f t="shared" si="59"/>
        <v>#N/A</v>
      </c>
    </row>
    <row r="1271" spans="2:19" x14ac:dyDescent="0.25">
      <c r="B1271" s="1" t="s">
        <v>1479</v>
      </c>
      <c r="C1271" s="1" t="s">
        <v>1481</v>
      </c>
      <c r="D1271" s="4" t="e">
        <f>VLOOKUP(A1271,المعطيات!$A$1:$J$3500,5,0)</f>
        <v>#N/A</v>
      </c>
      <c r="E1271" s="1" t="s">
        <v>1482</v>
      </c>
      <c r="F1271" s="5">
        <f t="shared" si="57"/>
        <v>0</v>
      </c>
      <c r="G1271" s="5" t="s">
        <v>1483</v>
      </c>
      <c r="H1271" s="4" t="e">
        <f>VLOOKUP(A1271,المعطيات!$A$1:$J$3500,3,0)</f>
        <v>#N/A</v>
      </c>
      <c r="I1271" s="1" t="s">
        <v>1484</v>
      </c>
      <c r="J1271" s="1" t="s">
        <v>1485</v>
      </c>
      <c r="K1271" s="4" t="e">
        <f>VLOOKUP(A1271,المعطيات!$A$1:$J$3500,6,0)</f>
        <v>#N/A</v>
      </c>
      <c r="L1271" s="1" t="s">
        <v>1486</v>
      </c>
      <c r="M1271" s="1" t="s">
        <v>1487</v>
      </c>
      <c r="N1271" s="4" t="e">
        <f t="shared" si="58"/>
        <v>#N/A</v>
      </c>
      <c r="O1271" s="1" t="s">
        <v>1488</v>
      </c>
      <c r="P1271" s="4" t="e">
        <f>VLOOKUP(A1271,المعطيات!$A$1:$J$3500,4,0)</f>
        <v>#N/A</v>
      </c>
      <c r="Q1271" s="1" t="s">
        <v>1489</v>
      </c>
      <c r="R1271" s="1" t="s">
        <v>1480</v>
      </c>
      <c r="S1271" s="6" t="e">
        <f t="shared" si="59"/>
        <v>#N/A</v>
      </c>
    </row>
    <row r="1272" spans="2:19" x14ac:dyDescent="0.25">
      <c r="B1272" s="1" t="s">
        <v>1479</v>
      </c>
      <c r="C1272" s="1" t="s">
        <v>1481</v>
      </c>
      <c r="D1272" s="4" t="e">
        <f>VLOOKUP(A1272,المعطيات!$A$1:$J$3500,5,0)</f>
        <v>#N/A</v>
      </c>
      <c r="E1272" s="1" t="s">
        <v>1482</v>
      </c>
      <c r="F1272" s="5">
        <f t="shared" si="57"/>
        <v>0</v>
      </c>
      <c r="G1272" s="5" t="s">
        <v>1483</v>
      </c>
      <c r="H1272" s="4" t="e">
        <f>VLOOKUP(A1272,المعطيات!$A$1:$J$3500,3,0)</f>
        <v>#N/A</v>
      </c>
      <c r="I1272" s="1" t="s">
        <v>1484</v>
      </c>
      <c r="J1272" s="1" t="s">
        <v>1485</v>
      </c>
      <c r="K1272" s="4" t="e">
        <f>VLOOKUP(A1272,المعطيات!$A$1:$J$3500,6,0)</f>
        <v>#N/A</v>
      </c>
      <c r="L1272" s="1" t="s">
        <v>1486</v>
      </c>
      <c r="M1272" s="1" t="s">
        <v>1487</v>
      </c>
      <c r="N1272" s="4" t="e">
        <f t="shared" si="58"/>
        <v>#N/A</v>
      </c>
      <c r="O1272" s="1" t="s">
        <v>1488</v>
      </c>
      <c r="P1272" s="4" t="e">
        <f>VLOOKUP(A1272,المعطيات!$A$1:$J$3500,4,0)</f>
        <v>#N/A</v>
      </c>
      <c r="Q1272" s="1" t="s">
        <v>1489</v>
      </c>
      <c r="R1272" s="1" t="s">
        <v>1480</v>
      </c>
      <c r="S1272" s="6" t="e">
        <f t="shared" si="59"/>
        <v>#N/A</v>
      </c>
    </row>
    <row r="1273" spans="2:19" x14ac:dyDescent="0.25">
      <c r="B1273" s="1" t="s">
        <v>1479</v>
      </c>
      <c r="C1273" s="1" t="s">
        <v>1481</v>
      </c>
      <c r="D1273" s="4" t="e">
        <f>VLOOKUP(A1273,المعطيات!$A$1:$J$3500,5,0)</f>
        <v>#N/A</v>
      </c>
      <c r="E1273" s="1" t="s">
        <v>1482</v>
      </c>
      <c r="F1273" s="5">
        <f t="shared" si="57"/>
        <v>0</v>
      </c>
      <c r="G1273" s="5" t="s">
        <v>1483</v>
      </c>
      <c r="H1273" s="4" t="e">
        <f>VLOOKUP(A1273,المعطيات!$A$1:$J$3500,3,0)</f>
        <v>#N/A</v>
      </c>
      <c r="I1273" s="1" t="s">
        <v>1484</v>
      </c>
      <c r="J1273" s="1" t="s">
        <v>1485</v>
      </c>
      <c r="K1273" s="4" t="e">
        <f>VLOOKUP(A1273,المعطيات!$A$1:$J$3500,6,0)</f>
        <v>#N/A</v>
      </c>
      <c r="L1273" s="1" t="s">
        <v>1486</v>
      </c>
      <c r="M1273" s="1" t="s">
        <v>1487</v>
      </c>
      <c r="N1273" s="4" t="e">
        <f t="shared" si="58"/>
        <v>#N/A</v>
      </c>
      <c r="O1273" s="1" t="s">
        <v>1488</v>
      </c>
      <c r="P1273" s="4" t="e">
        <f>VLOOKUP(A1273,المعطيات!$A$1:$J$3500,4,0)</f>
        <v>#N/A</v>
      </c>
      <c r="Q1273" s="1" t="s">
        <v>1489</v>
      </c>
      <c r="R1273" s="1" t="s">
        <v>1480</v>
      </c>
      <c r="S1273" s="6" t="e">
        <f t="shared" si="59"/>
        <v>#N/A</v>
      </c>
    </row>
    <row r="1274" spans="2:19" x14ac:dyDescent="0.25">
      <c r="B1274" s="1" t="s">
        <v>1479</v>
      </c>
      <c r="C1274" s="1" t="s">
        <v>1481</v>
      </c>
      <c r="D1274" s="4" t="e">
        <f>VLOOKUP(A1274,المعطيات!$A$1:$J$3500,5,0)</f>
        <v>#N/A</v>
      </c>
      <c r="E1274" s="1" t="s">
        <v>1482</v>
      </c>
      <c r="F1274" s="5">
        <f t="shared" si="57"/>
        <v>0</v>
      </c>
      <c r="G1274" s="5" t="s">
        <v>1483</v>
      </c>
      <c r="H1274" s="4" t="e">
        <f>VLOOKUP(A1274,المعطيات!$A$1:$J$3500,3,0)</f>
        <v>#N/A</v>
      </c>
      <c r="I1274" s="1" t="s">
        <v>1484</v>
      </c>
      <c r="J1274" s="1" t="s">
        <v>1485</v>
      </c>
      <c r="K1274" s="4" t="e">
        <f>VLOOKUP(A1274,المعطيات!$A$1:$J$3500,6,0)</f>
        <v>#N/A</v>
      </c>
      <c r="L1274" s="1" t="s">
        <v>1486</v>
      </c>
      <c r="M1274" s="1" t="s">
        <v>1487</v>
      </c>
      <c r="N1274" s="4" t="e">
        <f t="shared" si="58"/>
        <v>#N/A</v>
      </c>
      <c r="O1274" s="1" t="s">
        <v>1488</v>
      </c>
      <c r="P1274" s="4" t="e">
        <f>VLOOKUP(A1274,المعطيات!$A$1:$J$3500,4,0)</f>
        <v>#N/A</v>
      </c>
      <c r="Q1274" s="1" t="s">
        <v>1489</v>
      </c>
      <c r="R1274" s="1" t="s">
        <v>1480</v>
      </c>
      <c r="S1274" s="6" t="e">
        <f t="shared" si="59"/>
        <v>#N/A</v>
      </c>
    </row>
    <row r="1275" spans="2:19" x14ac:dyDescent="0.25">
      <c r="B1275" s="1" t="s">
        <v>1479</v>
      </c>
      <c r="C1275" s="1" t="s">
        <v>1481</v>
      </c>
      <c r="D1275" s="4" t="e">
        <f>VLOOKUP(A1275,المعطيات!$A$1:$J$3500,5,0)</f>
        <v>#N/A</v>
      </c>
      <c r="E1275" s="1" t="s">
        <v>1482</v>
      </c>
      <c r="F1275" s="5">
        <f t="shared" si="57"/>
        <v>0</v>
      </c>
      <c r="G1275" s="5" t="s">
        <v>1483</v>
      </c>
      <c r="H1275" s="4" t="e">
        <f>VLOOKUP(A1275,المعطيات!$A$1:$J$3500,3,0)</f>
        <v>#N/A</v>
      </c>
      <c r="I1275" s="1" t="s">
        <v>1484</v>
      </c>
      <c r="J1275" s="1" t="s">
        <v>1485</v>
      </c>
      <c r="K1275" s="4" t="e">
        <f>VLOOKUP(A1275,المعطيات!$A$1:$J$3500,6,0)</f>
        <v>#N/A</v>
      </c>
      <c r="L1275" s="1" t="s">
        <v>1486</v>
      </c>
      <c r="M1275" s="1" t="s">
        <v>1487</v>
      </c>
      <c r="N1275" s="4" t="e">
        <f t="shared" si="58"/>
        <v>#N/A</v>
      </c>
      <c r="O1275" s="1" t="s">
        <v>1488</v>
      </c>
      <c r="P1275" s="4" t="e">
        <f>VLOOKUP(A1275,المعطيات!$A$1:$J$3500,4,0)</f>
        <v>#N/A</v>
      </c>
      <c r="Q1275" s="1" t="s">
        <v>1489</v>
      </c>
      <c r="R1275" s="1" t="s">
        <v>1480</v>
      </c>
      <c r="S1275" s="6" t="e">
        <f t="shared" si="59"/>
        <v>#N/A</v>
      </c>
    </row>
    <row r="1276" spans="2:19" x14ac:dyDescent="0.25">
      <c r="B1276" s="1" t="s">
        <v>1479</v>
      </c>
      <c r="C1276" s="1" t="s">
        <v>1481</v>
      </c>
      <c r="D1276" s="4" t="e">
        <f>VLOOKUP(A1276,المعطيات!$A$1:$J$3500,5,0)</f>
        <v>#N/A</v>
      </c>
      <c r="E1276" s="1" t="s">
        <v>1482</v>
      </c>
      <c r="F1276" s="5">
        <f t="shared" si="57"/>
        <v>0</v>
      </c>
      <c r="G1276" s="5" t="s">
        <v>1483</v>
      </c>
      <c r="H1276" s="4" t="e">
        <f>VLOOKUP(A1276,المعطيات!$A$1:$J$3500,3,0)</f>
        <v>#N/A</v>
      </c>
      <c r="I1276" s="1" t="s">
        <v>1484</v>
      </c>
      <c r="J1276" s="1" t="s">
        <v>1485</v>
      </c>
      <c r="K1276" s="4" t="e">
        <f>VLOOKUP(A1276,المعطيات!$A$1:$J$3500,6,0)</f>
        <v>#N/A</v>
      </c>
      <c r="L1276" s="1" t="s">
        <v>1486</v>
      </c>
      <c r="M1276" s="1" t="s">
        <v>1487</v>
      </c>
      <c r="N1276" s="4" t="e">
        <f t="shared" si="58"/>
        <v>#N/A</v>
      </c>
      <c r="O1276" s="1" t="s">
        <v>1488</v>
      </c>
      <c r="P1276" s="4" t="e">
        <f>VLOOKUP(A1276,المعطيات!$A$1:$J$3500,4,0)</f>
        <v>#N/A</v>
      </c>
      <c r="Q1276" s="1" t="s">
        <v>1489</v>
      </c>
      <c r="R1276" s="1" t="s">
        <v>1480</v>
      </c>
      <c r="S1276" s="6" t="e">
        <f t="shared" si="59"/>
        <v>#N/A</v>
      </c>
    </row>
    <row r="1277" spans="2:19" x14ac:dyDescent="0.25">
      <c r="B1277" s="1" t="s">
        <v>1479</v>
      </c>
      <c r="C1277" s="1" t="s">
        <v>1481</v>
      </c>
      <c r="D1277" s="4" t="e">
        <f>VLOOKUP(A1277,المعطيات!$A$1:$J$3500,5,0)</f>
        <v>#N/A</v>
      </c>
      <c r="E1277" s="1" t="s">
        <v>1482</v>
      </c>
      <c r="F1277" s="5">
        <f t="shared" si="57"/>
        <v>0</v>
      </c>
      <c r="G1277" s="5" t="s">
        <v>1483</v>
      </c>
      <c r="H1277" s="4" t="e">
        <f>VLOOKUP(A1277,المعطيات!$A$1:$J$3500,3,0)</f>
        <v>#N/A</v>
      </c>
      <c r="I1277" s="1" t="s">
        <v>1484</v>
      </c>
      <c r="J1277" s="1" t="s">
        <v>1485</v>
      </c>
      <c r="K1277" s="4" t="e">
        <f>VLOOKUP(A1277,المعطيات!$A$1:$J$3500,6,0)</f>
        <v>#N/A</v>
      </c>
      <c r="L1277" s="1" t="s">
        <v>1486</v>
      </c>
      <c r="M1277" s="1" t="s">
        <v>1487</v>
      </c>
      <c r="N1277" s="4" t="e">
        <f t="shared" si="58"/>
        <v>#N/A</v>
      </c>
      <c r="O1277" s="1" t="s">
        <v>1488</v>
      </c>
      <c r="P1277" s="4" t="e">
        <f>VLOOKUP(A1277,المعطيات!$A$1:$J$3500,4,0)</f>
        <v>#N/A</v>
      </c>
      <c r="Q1277" s="1" t="s">
        <v>1489</v>
      </c>
      <c r="R1277" s="1" t="s">
        <v>1480</v>
      </c>
      <c r="S1277" s="6" t="e">
        <f t="shared" si="59"/>
        <v>#N/A</v>
      </c>
    </row>
    <row r="1278" spans="2:19" x14ac:dyDescent="0.25">
      <c r="B1278" s="1" t="s">
        <v>1479</v>
      </c>
      <c r="C1278" s="1" t="s">
        <v>1481</v>
      </c>
      <c r="D1278" s="4" t="e">
        <f>VLOOKUP(A1278,المعطيات!$A$1:$J$3500,5,0)</f>
        <v>#N/A</v>
      </c>
      <c r="E1278" s="1" t="s">
        <v>1482</v>
      </c>
      <c r="F1278" s="5">
        <f t="shared" si="57"/>
        <v>0</v>
      </c>
      <c r="G1278" s="5" t="s">
        <v>1483</v>
      </c>
      <c r="H1278" s="4" t="e">
        <f>VLOOKUP(A1278,المعطيات!$A$1:$J$3500,3,0)</f>
        <v>#N/A</v>
      </c>
      <c r="I1278" s="1" t="s">
        <v>1484</v>
      </c>
      <c r="J1278" s="1" t="s">
        <v>1485</v>
      </c>
      <c r="K1278" s="4" t="e">
        <f>VLOOKUP(A1278,المعطيات!$A$1:$J$3500,6,0)</f>
        <v>#N/A</v>
      </c>
      <c r="L1278" s="1" t="s">
        <v>1486</v>
      </c>
      <c r="M1278" s="1" t="s">
        <v>1487</v>
      </c>
      <c r="N1278" s="4" t="e">
        <f t="shared" si="58"/>
        <v>#N/A</v>
      </c>
      <c r="O1278" s="1" t="s">
        <v>1488</v>
      </c>
      <c r="P1278" s="4" t="e">
        <f>VLOOKUP(A1278,المعطيات!$A$1:$J$3500,4,0)</f>
        <v>#N/A</v>
      </c>
      <c r="Q1278" s="1" t="s">
        <v>1489</v>
      </c>
      <c r="R1278" s="1" t="s">
        <v>1480</v>
      </c>
      <c r="S1278" s="6" t="e">
        <f t="shared" si="59"/>
        <v>#N/A</v>
      </c>
    </row>
    <row r="1279" spans="2:19" x14ac:dyDescent="0.25">
      <c r="B1279" s="1" t="s">
        <v>1479</v>
      </c>
      <c r="C1279" s="1" t="s">
        <v>1481</v>
      </c>
      <c r="D1279" s="4" t="e">
        <f>VLOOKUP(A1279,المعطيات!$A$1:$J$3500,5,0)</f>
        <v>#N/A</v>
      </c>
      <c r="E1279" s="1" t="s">
        <v>1482</v>
      </c>
      <c r="F1279" s="5">
        <f t="shared" si="57"/>
        <v>0</v>
      </c>
      <c r="G1279" s="5" t="s">
        <v>1483</v>
      </c>
      <c r="H1279" s="4" t="e">
        <f>VLOOKUP(A1279,المعطيات!$A$1:$J$3500,3,0)</f>
        <v>#N/A</v>
      </c>
      <c r="I1279" s="1" t="s">
        <v>1484</v>
      </c>
      <c r="J1279" s="1" t="s">
        <v>1485</v>
      </c>
      <c r="K1279" s="4" t="e">
        <f>VLOOKUP(A1279,المعطيات!$A$1:$J$3500,6,0)</f>
        <v>#N/A</v>
      </c>
      <c r="L1279" s="1" t="s">
        <v>1486</v>
      </c>
      <c r="M1279" s="1" t="s">
        <v>1487</v>
      </c>
      <c r="N1279" s="4" t="e">
        <f t="shared" si="58"/>
        <v>#N/A</v>
      </c>
      <c r="O1279" s="1" t="s">
        <v>1488</v>
      </c>
      <c r="P1279" s="4" t="e">
        <f>VLOOKUP(A1279,المعطيات!$A$1:$J$3500,4,0)</f>
        <v>#N/A</v>
      </c>
      <c r="Q1279" s="1" t="s">
        <v>1489</v>
      </c>
      <c r="R1279" s="1" t="s">
        <v>1480</v>
      </c>
      <c r="S1279" s="6" t="e">
        <f t="shared" si="59"/>
        <v>#N/A</v>
      </c>
    </row>
    <row r="1280" spans="2:19" x14ac:dyDescent="0.25">
      <c r="B1280" s="1" t="s">
        <v>1479</v>
      </c>
      <c r="C1280" s="1" t="s">
        <v>1481</v>
      </c>
      <c r="D1280" s="4" t="e">
        <f>VLOOKUP(A1280,المعطيات!$A$1:$J$3500,5,0)</f>
        <v>#N/A</v>
      </c>
      <c r="E1280" s="1" t="s">
        <v>1482</v>
      </c>
      <c r="F1280" s="5">
        <f t="shared" si="57"/>
        <v>0</v>
      </c>
      <c r="G1280" s="5" t="s">
        <v>1483</v>
      </c>
      <c r="H1280" s="4" t="e">
        <f>VLOOKUP(A1280,المعطيات!$A$1:$J$3500,3,0)</f>
        <v>#N/A</v>
      </c>
      <c r="I1280" s="1" t="s">
        <v>1484</v>
      </c>
      <c r="J1280" s="1" t="s">
        <v>1485</v>
      </c>
      <c r="K1280" s="4" t="e">
        <f>VLOOKUP(A1280,المعطيات!$A$1:$J$3500,6,0)</f>
        <v>#N/A</v>
      </c>
      <c r="L1280" s="1" t="s">
        <v>1486</v>
      </c>
      <c r="M1280" s="1" t="s">
        <v>1487</v>
      </c>
      <c r="N1280" s="4" t="e">
        <f t="shared" si="58"/>
        <v>#N/A</v>
      </c>
      <c r="O1280" s="1" t="s">
        <v>1488</v>
      </c>
      <c r="P1280" s="4" t="e">
        <f>VLOOKUP(A1280,المعطيات!$A$1:$J$3500,4,0)</f>
        <v>#N/A</v>
      </c>
      <c r="Q1280" s="1" t="s">
        <v>1489</v>
      </c>
      <c r="R1280" s="1" t="s">
        <v>1480</v>
      </c>
      <c r="S1280" s="6" t="e">
        <f t="shared" si="59"/>
        <v>#N/A</v>
      </c>
    </row>
    <row r="1281" spans="2:19" x14ac:dyDescent="0.25">
      <c r="B1281" s="1" t="s">
        <v>1479</v>
      </c>
      <c r="C1281" s="1" t="s">
        <v>1481</v>
      </c>
      <c r="D1281" s="4" t="e">
        <f>VLOOKUP(A1281,المعطيات!$A$1:$J$3500,5,0)</f>
        <v>#N/A</v>
      </c>
      <c r="E1281" s="1" t="s">
        <v>1482</v>
      </c>
      <c r="F1281" s="5">
        <f t="shared" si="57"/>
        <v>0</v>
      </c>
      <c r="G1281" s="5" t="s">
        <v>1483</v>
      </c>
      <c r="H1281" s="4" t="e">
        <f>VLOOKUP(A1281,المعطيات!$A$1:$J$3500,3,0)</f>
        <v>#N/A</v>
      </c>
      <c r="I1281" s="1" t="s">
        <v>1484</v>
      </c>
      <c r="J1281" s="1" t="s">
        <v>1485</v>
      </c>
      <c r="K1281" s="4" t="e">
        <f>VLOOKUP(A1281,المعطيات!$A$1:$J$3500,6,0)</f>
        <v>#N/A</v>
      </c>
      <c r="L1281" s="1" t="s">
        <v>1486</v>
      </c>
      <c r="M1281" s="1" t="s">
        <v>1487</v>
      </c>
      <c r="N1281" s="4" t="e">
        <f t="shared" si="58"/>
        <v>#N/A</v>
      </c>
      <c r="O1281" s="1" t="s">
        <v>1488</v>
      </c>
      <c r="P1281" s="4" t="e">
        <f>VLOOKUP(A1281,المعطيات!$A$1:$J$3500,4,0)</f>
        <v>#N/A</v>
      </c>
      <c r="Q1281" s="1" t="s">
        <v>1489</v>
      </c>
      <c r="R1281" s="1" t="s">
        <v>1480</v>
      </c>
      <c r="S1281" s="6" t="e">
        <f t="shared" si="59"/>
        <v>#N/A</v>
      </c>
    </row>
    <row r="1282" spans="2:19" x14ac:dyDescent="0.25">
      <c r="B1282" s="1" t="s">
        <v>1479</v>
      </c>
      <c r="C1282" s="1" t="s">
        <v>1481</v>
      </c>
      <c r="D1282" s="4" t="e">
        <f>VLOOKUP(A1282,المعطيات!$A$1:$J$3500,5,0)</f>
        <v>#N/A</v>
      </c>
      <c r="E1282" s="1" t="s">
        <v>1482</v>
      </c>
      <c r="F1282" s="5">
        <f t="shared" ref="F1282:F1345" si="60">A1282</f>
        <v>0</v>
      </c>
      <c r="G1282" s="5" t="s">
        <v>1483</v>
      </c>
      <c r="H1282" s="4" t="e">
        <f>VLOOKUP(A1282,المعطيات!$A$1:$J$3500,3,0)</f>
        <v>#N/A</v>
      </c>
      <c r="I1282" s="1" t="s">
        <v>1484</v>
      </c>
      <c r="J1282" s="1" t="s">
        <v>1485</v>
      </c>
      <c r="K1282" s="4" t="e">
        <f>VLOOKUP(A1282,المعطيات!$A$1:$J$3500,6,0)</f>
        <v>#N/A</v>
      </c>
      <c r="L1282" s="1" t="s">
        <v>1486</v>
      </c>
      <c r="M1282" s="1" t="s">
        <v>1487</v>
      </c>
      <c r="N1282" s="4" t="e">
        <f t="shared" ref="N1282:N1345" si="61">D1282</f>
        <v>#N/A</v>
      </c>
      <c r="O1282" s="1" t="s">
        <v>1488</v>
      </c>
      <c r="P1282" s="4" t="e">
        <f>VLOOKUP(A1282,المعطيات!$A$1:$J$3500,4,0)</f>
        <v>#N/A</v>
      </c>
      <c r="Q1282" s="1" t="s">
        <v>1489</v>
      </c>
      <c r="R1282" s="1" t="s">
        <v>1480</v>
      </c>
      <c r="S1282" s="6" t="e">
        <f t="shared" ref="S1282:S1345" si="62">B1282&amp;""&amp;C1282&amp;""&amp;D1282&amp;""&amp;E1282&amp;""&amp;F1282&amp;""&amp;G1282&amp;""&amp;H1282&amp;""&amp;I1282&amp;""&amp;J1282&amp;""&amp;K1282&amp;""&amp;L1282&amp;""&amp;M1282&amp;""&amp;N1282&amp;""&amp;O1282&amp;""&amp;P1282&amp;""&amp;Q1282&amp;""&amp;R1282</f>
        <v>#N/A</v>
      </c>
    </row>
    <row r="1283" spans="2:19" x14ac:dyDescent="0.25">
      <c r="B1283" s="1" t="s">
        <v>1479</v>
      </c>
      <c r="C1283" s="1" t="s">
        <v>1481</v>
      </c>
      <c r="D1283" s="4" t="e">
        <f>VLOOKUP(A1283,المعطيات!$A$1:$J$3500,5,0)</f>
        <v>#N/A</v>
      </c>
      <c r="E1283" s="1" t="s">
        <v>1482</v>
      </c>
      <c r="F1283" s="5">
        <f t="shared" si="60"/>
        <v>0</v>
      </c>
      <c r="G1283" s="5" t="s">
        <v>1483</v>
      </c>
      <c r="H1283" s="4" t="e">
        <f>VLOOKUP(A1283,المعطيات!$A$1:$J$3500,3,0)</f>
        <v>#N/A</v>
      </c>
      <c r="I1283" s="1" t="s">
        <v>1484</v>
      </c>
      <c r="J1283" s="1" t="s">
        <v>1485</v>
      </c>
      <c r="K1283" s="4" t="e">
        <f>VLOOKUP(A1283,المعطيات!$A$1:$J$3500,6,0)</f>
        <v>#N/A</v>
      </c>
      <c r="L1283" s="1" t="s">
        <v>1486</v>
      </c>
      <c r="M1283" s="1" t="s">
        <v>1487</v>
      </c>
      <c r="N1283" s="4" t="e">
        <f t="shared" si="61"/>
        <v>#N/A</v>
      </c>
      <c r="O1283" s="1" t="s">
        <v>1488</v>
      </c>
      <c r="P1283" s="4" t="e">
        <f>VLOOKUP(A1283,المعطيات!$A$1:$J$3500,4,0)</f>
        <v>#N/A</v>
      </c>
      <c r="Q1283" s="1" t="s">
        <v>1489</v>
      </c>
      <c r="R1283" s="1" t="s">
        <v>1480</v>
      </c>
      <c r="S1283" s="6" t="e">
        <f t="shared" si="62"/>
        <v>#N/A</v>
      </c>
    </row>
    <row r="1284" spans="2:19" x14ac:dyDescent="0.25">
      <c r="B1284" s="1" t="s">
        <v>1479</v>
      </c>
      <c r="C1284" s="1" t="s">
        <v>1481</v>
      </c>
      <c r="D1284" s="4" t="e">
        <f>VLOOKUP(A1284,المعطيات!$A$1:$J$3500,5,0)</f>
        <v>#N/A</v>
      </c>
      <c r="E1284" s="1" t="s">
        <v>1482</v>
      </c>
      <c r="F1284" s="5">
        <f t="shared" si="60"/>
        <v>0</v>
      </c>
      <c r="G1284" s="5" t="s">
        <v>1483</v>
      </c>
      <c r="H1284" s="4" t="e">
        <f>VLOOKUP(A1284,المعطيات!$A$1:$J$3500,3,0)</f>
        <v>#N/A</v>
      </c>
      <c r="I1284" s="1" t="s">
        <v>1484</v>
      </c>
      <c r="J1284" s="1" t="s">
        <v>1485</v>
      </c>
      <c r="K1284" s="4" t="e">
        <f>VLOOKUP(A1284,المعطيات!$A$1:$J$3500,6,0)</f>
        <v>#N/A</v>
      </c>
      <c r="L1284" s="1" t="s">
        <v>1486</v>
      </c>
      <c r="M1284" s="1" t="s">
        <v>1487</v>
      </c>
      <c r="N1284" s="4" t="e">
        <f t="shared" si="61"/>
        <v>#N/A</v>
      </c>
      <c r="O1284" s="1" t="s">
        <v>1488</v>
      </c>
      <c r="P1284" s="4" t="e">
        <f>VLOOKUP(A1284,المعطيات!$A$1:$J$3500,4,0)</f>
        <v>#N/A</v>
      </c>
      <c r="Q1284" s="1" t="s">
        <v>1489</v>
      </c>
      <c r="R1284" s="1" t="s">
        <v>1480</v>
      </c>
      <c r="S1284" s="6" t="e">
        <f t="shared" si="62"/>
        <v>#N/A</v>
      </c>
    </row>
    <row r="1285" spans="2:19" x14ac:dyDescent="0.25">
      <c r="B1285" s="1" t="s">
        <v>1479</v>
      </c>
      <c r="C1285" s="1" t="s">
        <v>1481</v>
      </c>
      <c r="D1285" s="4" t="e">
        <f>VLOOKUP(A1285,المعطيات!$A$1:$J$3500,5,0)</f>
        <v>#N/A</v>
      </c>
      <c r="E1285" s="1" t="s">
        <v>1482</v>
      </c>
      <c r="F1285" s="5">
        <f t="shared" si="60"/>
        <v>0</v>
      </c>
      <c r="G1285" s="5" t="s">
        <v>1483</v>
      </c>
      <c r="H1285" s="4" t="e">
        <f>VLOOKUP(A1285,المعطيات!$A$1:$J$3500,3,0)</f>
        <v>#N/A</v>
      </c>
      <c r="I1285" s="1" t="s">
        <v>1484</v>
      </c>
      <c r="J1285" s="1" t="s">
        <v>1485</v>
      </c>
      <c r="K1285" s="4" t="e">
        <f>VLOOKUP(A1285,المعطيات!$A$1:$J$3500,6,0)</f>
        <v>#N/A</v>
      </c>
      <c r="L1285" s="1" t="s">
        <v>1486</v>
      </c>
      <c r="M1285" s="1" t="s">
        <v>1487</v>
      </c>
      <c r="N1285" s="4" t="e">
        <f t="shared" si="61"/>
        <v>#N/A</v>
      </c>
      <c r="O1285" s="1" t="s">
        <v>1488</v>
      </c>
      <c r="P1285" s="4" t="e">
        <f>VLOOKUP(A1285,المعطيات!$A$1:$J$3500,4,0)</f>
        <v>#N/A</v>
      </c>
      <c r="Q1285" s="1" t="s">
        <v>1489</v>
      </c>
      <c r="R1285" s="1" t="s">
        <v>1480</v>
      </c>
      <c r="S1285" s="6" t="e">
        <f t="shared" si="62"/>
        <v>#N/A</v>
      </c>
    </row>
    <row r="1286" spans="2:19" x14ac:dyDescent="0.25">
      <c r="B1286" s="1" t="s">
        <v>1479</v>
      </c>
      <c r="C1286" s="1" t="s">
        <v>1481</v>
      </c>
      <c r="D1286" s="4" t="e">
        <f>VLOOKUP(A1286,المعطيات!$A$1:$J$3500,5,0)</f>
        <v>#N/A</v>
      </c>
      <c r="E1286" s="1" t="s">
        <v>1482</v>
      </c>
      <c r="F1286" s="5">
        <f t="shared" si="60"/>
        <v>0</v>
      </c>
      <c r="G1286" s="5" t="s">
        <v>1483</v>
      </c>
      <c r="H1286" s="4" t="e">
        <f>VLOOKUP(A1286,المعطيات!$A$1:$J$3500,3,0)</f>
        <v>#N/A</v>
      </c>
      <c r="I1286" s="1" t="s">
        <v>1484</v>
      </c>
      <c r="J1286" s="1" t="s">
        <v>1485</v>
      </c>
      <c r="K1286" s="4" t="e">
        <f>VLOOKUP(A1286,المعطيات!$A$1:$J$3500,6,0)</f>
        <v>#N/A</v>
      </c>
      <c r="L1286" s="1" t="s">
        <v>1486</v>
      </c>
      <c r="M1286" s="1" t="s">
        <v>1487</v>
      </c>
      <c r="N1286" s="4" t="e">
        <f t="shared" si="61"/>
        <v>#N/A</v>
      </c>
      <c r="O1286" s="1" t="s">
        <v>1488</v>
      </c>
      <c r="P1286" s="4" t="e">
        <f>VLOOKUP(A1286,المعطيات!$A$1:$J$3500,4,0)</f>
        <v>#N/A</v>
      </c>
      <c r="Q1286" s="1" t="s">
        <v>1489</v>
      </c>
      <c r="R1286" s="1" t="s">
        <v>1480</v>
      </c>
      <c r="S1286" s="6" t="e">
        <f t="shared" si="62"/>
        <v>#N/A</v>
      </c>
    </row>
    <row r="1287" spans="2:19" x14ac:dyDescent="0.25">
      <c r="B1287" s="1" t="s">
        <v>1479</v>
      </c>
      <c r="C1287" s="1" t="s">
        <v>1481</v>
      </c>
      <c r="D1287" s="4" t="e">
        <f>VLOOKUP(A1287,المعطيات!$A$1:$J$3500,5,0)</f>
        <v>#N/A</v>
      </c>
      <c r="E1287" s="1" t="s">
        <v>1482</v>
      </c>
      <c r="F1287" s="5">
        <f t="shared" si="60"/>
        <v>0</v>
      </c>
      <c r="G1287" s="5" t="s">
        <v>1483</v>
      </c>
      <c r="H1287" s="4" t="e">
        <f>VLOOKUP(A1287,المعطيات!$A$1:$J$3500,3,0)</f>
        <v>#N/A</v>
      </c>
      <c r="I1287" s="1" t="s">
        <v>1484</v>
      </c>
      <c r="J1287" s="1" t="s">
        <v>1485</v>
      </c>
      <c r="K1287" s="4" t="e">
        <f>VLOOKUP(A1287,المعطيات!$A$1:$J$3500,6,0)</f>
        <v>#N/A</v>
      </c>
      <c r="L1287" s="1" t="s">
        <v>1486</v>
      </c>
      <c r="M1287" s="1" t="s">
        <v>1487</v>
      </c>
      <c r="N1287" s="4" t="e">
        <f t="shared" si="61"/>
        <v>#N/A</v>
      </c>
      <c r="O1287" s="1" t="s">
        <v>1488</v>
      </c>
      <c r="P1287" s="4" t="e">
        <f>VLOOKUP(A1287,المعطيات!$A$1:$J$3500,4,0)</f>
        <v>#N/A</v>
      </c>
      <c r="Q1287" s="1" t="s">
        <v>1489</v>
      </c>
      <c r="R1287" s="1" t="s">
        <v>1480</v>
      </c>
      <c r="S1287" s="6" t="e">
        <f t="shared" si="62"/>
        <v>#N/A</v>
      </c>
    </row>
    <row r="1288" spans="2:19" x14ac:dyDescent="0.25">
      <c r="B1288" s="1" t="s">
        <v>1479</v>
      </c>
      <c r="C1288" s="1" t="s">
        <v>1481</v>
      </c>
      <c r="D1288" s="4" t="e">
        <f>VLOOKUP(A1288,المعطيات!$A$1:$J$3500,5,0)</f>
        <v>#N/A</v>
      </c>
      <c r="E1288" s="1" t="s">
        <v>1482</v>
      </c>
      <c r="F1288" s="5">
        <f t="shared" si="60"/>
        <v>0</v>
      </c>
      <c r="G1288" s="5" t="s">
        <v>1483</v>
      </c>
      <c r="H1288" s="4" t="e">
        <f>VLOOKUP(A1288,المعطيات!$A$1:$J$3500,3,0)</f>
        <v>#N/A</v>
      </c>
      <c r="I1288" s="1" t="s">
        <v>1484</v>
      </c>
      <c r="J1288" s="1" t="s">
        <v>1485</v>
      </c>
      <c r="K1288" s="4" t="e">
        <f>VLOOKUP(A1288,المعطيات!$A$1:$J$3500,6,0)</f>
        <v>#N/A</v>
      </c>
      <c r="L1288" s="1" t="s">
        <v>1486</v>
      </c>
      <c r="M1288" s="1" t="s">
        <v>1487</v>
      </c>
      <c r="N1288" s="4" t="e">
        <f t="shared" si="61"/>
        <v>#N/A</v>
      </c>
      <c r="O1288" s="1" t="s">
        <v>1488</v>
      </c>
      <c r="P1288" s="4" t="e">
        <f>VLOOKUP(A1288,المعطيات!$A$1:$J$3500,4,0)</f>
        <v>#N/A</v>
      </c>
      <c r="Q1288" s="1" t="s">
        <v>1489</v>
      </c>
      <c r="R1288" s="1" t="s">
        <v>1480</v>
      </c>
      <c r="S1288" s="6" t="e">
        <f t="shared" si="62"/>
        <v>#N/A</v>
      </c>
    </row>
    <row r="1289" spans="2:19" x14ac:dyDescent="0.25">
      <c r="B1289" s="1" t="s">
        <v>1479</v>
      </c>
      <c r="C1289" s="1" t="s">
        <v>1481</v>
      </c>
      <c r="D1289" s="4" t="e">
        <f>VLOOKUP(A1289,المعطيات!$A$1:$J$3500,5,0)</f>
        <v>#N/A</v>
      </c>
      <c r="E1289" s="1" t="s">
        <v>1482</v>
      </c>
      <c r="F1289" s="5">
        <f t="shared" si="60"/>
        <v>0</v>
      </c>
      <c r="G1289" s="5" t="s">
        <v>1483</v>
      </c>
      <c r="H1289" s="4" t="e">
        <f>VLOOKUP(A1289,المعطيات!$A$1:$J$3500,3,0)</f>
        <v>#N/A</v>
      </c>
      <c r="I1289" s="1" t="s">
        <v>1484</v>
      </c>
      <c r="J1289" s="1" t="s">
        <v>1485</v>
      </c>
      <c r="K1289" s="4" t="e">
        <f>VLOOKUP(A1289,المعطيات!$A$1:$J$3500,6,0)</f>
        <v>#N/A</v>
      </c>
      <c r="L1289" s="1" t="s">
        <v>1486</v>
      </c>
      <c r="M1289" s="1" t="s">
        <v>1487</v>
      </c>
      <c r="N1289" s="4" t="e">
        <f t="shared" si="61"/>
        <v>#N/A</v>
      </c>
      <c r="O1289" s="1" t="s">
        <v>1488</v>
      </c>
      <c r="P1289" s="4" t="e">
        <f>VLOOKUP(A1289,المعطيات!$A$1:$J$3500,4,0)</f>
        <v>#N/A</v>
      </c>
      <c r="Q1289" s="1" t="s">
        <v>1489</v>
      </c>
      <c r="R1289" s="1" t="s">
        <v>1480</v>
      </c>
      <c r="S1289" s="6" t="e">
        <f t="shared" si="62"/>
        <v>#N/A</v>
      </c>
    </row>
    <row r="1290" spans="2:19" x14ac:dyDescent="0.25">
      <c r="B1290" s="1" t="s">
        <v>1479</v>
      </c>
      <c r="C1290" s="1" t="s">
        <v>1481</v>
      </c>
      <c r="D1290" s="4" t="e">
        <f>VLOOKUP(A1290,المعطيات!$A$1:$J$3500,5,0)</f>
        <v>#N/A</v>
      </c>
      <c r="E1290" s="1" t="s">
        <v>1482</v>
      </c>
      <c r="F1290" s="5">
        <f t="shared" si="60"/>
        <v>0</v>
      </c>
      <c r="G1290" s="5" t="s">
        <v>1483</v>
      </c>
      <c r="H1290" s="4" t="e">
        <f>VLOOKUP(A1290,المعطيات!$A$1:$J$3500,3,0)</f>
        <v>#N/A</v>
      </c>
      <c r="I1290" s="1" t="s">
        <v>1484</v>
      </c>
      <c r="J1290" s="1" t="s">
        <v>1485</v>
      </c>
      <c r="K1290" s="4" t="e">
        <f>VLOOKUP(A1290,المعطيات!$A$1:$J$3500,6,0)</f>
        <v>#N/A</v>
      </c>
      <c r="L1290" s="1" t="s">
        <v>1486</v>
      </c>
      <c r="M1290" s="1" t="s">
        <v>1487</v>
      </c>
      <c r="N1290" s="4" t="e">
        <f t="shared" si="61"/>
        <v>#N/A</v>
      </c>
      <c r="O1290" s="1" t="s">
        <v>1488</v>
      </c>
      <c r="P1290" s="4" t="e">
        <f>VLOOKUP(A1290,المعطيات!$A$1:$J$3500,4,0)</f>
        <v>#N/A</v>
      </c>
      <c r="Q1290" s="1" t="s">
        <v>1489</v>
      </c>
      <c r="R1290" s="1" t="s">
        <v>1480</v>
      </c>
      <c r="S1290" s="6" t="e">
        <f t="shared" si="62"/>
        <v>#N/A</v>
      </c>
    </row>
    <row r="1291" spans="2:19" x14ac:dyDescent="0.25">
      <c r="B1291" s="1" t="s">
        <v>1479</v>
      </c>
      <c r="C1291" s="1" t="s">
        <v>1481</v>
      </c>
      <c r="D1291" s="4" t="e">
        <f>VLOOKUP(A1291,المعطيات!$A$1:$J$3500,5,0)</f>
        <v>#N/A</v>
      </c>
      <c r="E1291" s="1" t="s">
        <v>1482</v>
      </c>
      <c r="F1291" s="5">
        <f t="shared" si="60"/>
        <v>0</v>
      </c>
      <c r="G1291" s="5" t="s">
        <v>1483</v>
      </c>
      <c r="H1291" s="4" t="e">
        <f>VLOOKUP(A1291,المعطيات!$A$1:$J$3500,3,0)</f>
        <v>#N/A</v>
      </c>
      <c r="I1291" s="1" t="s">
        <v>1484</v>
      </c>
      <c r="J1291" s="1" t="s">
        <v>1485</v>
      </c>
      <c r="K1291" s="4" t="e">
        <f>VLOOKUP(A1291,المعطيات!$A$1:$J$3500,6,0)</f>
        <v>#N/A</v>
      </c>
      <c r="L1291" s="1" t="s">
        <v>1486</v>
      </c>
      <c r="M1291" s="1" t="s">
        <v>1487</v>
      </c>
      <c r="N1291" s="4" t="e">
        <f t="shared" si="61"/>
        <v>#N/A</v>
      </c>
      <c r="O1291" s="1" t="s">
        <v>1488</v>
      </c>
      <c r="P1291" s="4" t="e">
        <f>VLOOKUP(A1291,المعطيات!$A$1:$J$3500,4,0)</f>
        <v>#N/A</v>
      </c>
      <c r="Q1291" s="1" t="s">
        <v>1489</v>
      </c>
      <c r="R1291" s="1" t="s">
        <v>1480</v>
      </c>
      <c r="S1291" s="6" t="e">
        <f t="shared" si="62"/>
        <v>#N/A</v>
      </c>
    </row>
    <row r="1292" spans="2:19" x14ac:dyDescent="0.25">
      <c r="B1292" s="1" t="s">
        <v>1479</v>
      </c>
      <c r="C1292" s="1" t="s">
        <v>1481</v>
      </c>
      <c r="D1292" s="4" t="e">
        <f>VLOOKUP(A1292,المعطيات!$A$1:$J$3500,5,0)</f>
        <v>#N/A</v>
      </c>
      <c r="E1292" s="1" t="s">
        <v>1482</v>
      </c>
      <c r="F1292" s="5">
        <f t="shared" si="60"/>
        <v>0</v>
      </c>
      <c r="G1292" s="5" t="s">
        <v>1483</v>
      </c>
      <c r="H1292" s="4" t="e">
        <f>VLOOKUP(A1292,المعطيات!$A$1:$J$3500,3,0)</f>
        <v>#N/A</v>
      </c>
      <c r="I1292" s="1" t="s">
        <v>1484</v>
      </c>
      <c r="J1292" s="1" t="s">
        <v>1485</v>
      </c>
      <c r="K1292" s="4" t="e">
        <f>VLOOKUP(A1292,المعطيات!$A$1:$J$3500,6,0)</f>
        <v>#N/A</v>
      </c>
      <c r="L1292" s="1" t="s">
        <v>1486</v>
      </c>
      <c r="M1292" s="1" t="s">
        <v>1487</v>
      </c>
      <c r="N1292" s="4" t="e">
        <f t="shared" si="61"/>
        <v>#N/A</v>
      </c>
      <c r="O1292" s="1" t="s">
        <v>1488</v>
      </c>
      <c r="P1292" s="4" t="e">
        <f>VLOOKUP(A1292,المعطيات!$A$1:$J$3500,4,0)</f>
        <v>#N/A</v>
      </c>
      <c r="Q1292" s="1" t="s">
        <v>1489</v>
      </c>
      <c r="R1292" s="1" t="s">
        <v>1480</v>
      </c>
      <c r="S1292" s="6" t="e">
        <f t="shared" si="62"/>
        <v>#N/A</v>
      </c>
    </row>
    <row r="1293" spans="2:19" x14ac:dyDescent="0.25">
      <c r="B1293" s="1" t="s">
        <v>1479</v>
      </c>
      <c r="C1293" s="1" t="s">
        <v>1481</v>
      </c>
      <c r="D1293" s="4" t="e">
        <f>VLOOKUP(A1293,المعطيات!$A$1:$J$3500,5,0)</f>
        <v>#N/A</v>
      </c>
      <c r="E1293" s="1" t="s">
        <v>1482</v>
      </c>
      <c r="F1293" s="5">
        <f t="shared" si="60"/>
        <v>0</v>
      </c>
      <c r="G1293" s="5" t="s">
        <v>1483</v>
      </c>
      <c r="H1293" s="4" t="e">
        <f>VLOOKUP(A1293,المعطيات!$A$1:$J$3500,3,0)</f>
        <v>#N/A</v>
      </c>
      <c r="I1293" s="1" t="s">
        <v>1484</v>
      </c>
      <c r="J1293" s="1" t="s">
        <v>1485</v>
      </c>
      <c r="K1293" s="4" t="e">
        <f>VLOOKUP(A1293,المعطيات!$A$1:$J$3500,6,0)</f>
        <v>#N/A</v>
      </c>
      <c r="L1293" s="1" t="s">
        <v>1486</v>
      </c>
      <c r="M1293" s="1" t="s">
        <v>1487</v>
      </c>
      <c r="N1293" s="4" t="e">
        <f t="shared" si="61"/>
        <v>#N/A</v>
      </c>
      <c r="O1293" s="1" t="s">
        <v>1488</v>
      </c>
      <c r="P1293" s="4" t="e">
        <f>VLOOKUP(A1293,المعطيات!$A$1:$J$3500,4,0)</f>
        <v>#N/A</v>
      </c>
      <c r="Q1293" s="1" t="s">
        <v>1489</v>
      </c>
      <c r="R1293" s="1" t="s">
        <v>1480</v>
      </c>
      <c r="S1293" s="6" t="e">
        <f t="shared" si="62"/>
        <v>#N/A</v>
      </c>
    </row>
    <row r="1294" spans="2:19" x14ac:dyDescent="0.25">
      <c r="B1294" s="1" t="s">
        <v>1479</v>
      </c>
      <c r="C1294" s="1" t="s">
        <v>1481</v>
      </c>
      <c r="D1294" s="4" t="e">
        <f>VLOOKUP(A1294,المعطيات!$A$1:$J$3500,5,0)</f>
        <v>#N/A</v>
      </c>
      <c r="E1294" s="1" t="s">
        <v>1482</v>
      </c>
      <c r="F1294" s="5">
        <f t="shared" si="60"/>
        <v>0</v>
      </c>
      <c r="G1294" s="5" t="s">
        <v>1483</v>
      </c>
      <c r="H1294" s="4" t="e">
        <f>VLOOKUP(A1294,المعطيات!$A$1:$J$3500,3,0)</f>
        <v>#N/A</v>
      </c>
      <c r="I1294" s="1" t="s">
        <v>1484</v>
      </c>
      <c r="J1294" s="1" t="s">
        <v>1485</v>
      </c>
      <c r="K1294" s="4" t="e">
        <f>VLOOKUP(A1294,المعطيات!$A$1:$J$3500,6,0)</f>
        <v>#N/A</v>
      </c>
      <c r="L1294" s="1" t="s">
        <v>1486</v>
      </c>
      <c r="M1294" s="1" t="s">
        <v>1487</v>
      </c>
      <c r="N1294" s="4" t="e">
        <f t="shared" si="61"/>
        <v>#N/A</v>
      </c>
      <c r="O1294" s="1" t="s">
        <v>1488</v>
      </c>
      <c r="P1294" s="4" t="e">
        <f>VLOOKUP(A1294,المعطيات!$A$1:$J$3500,4,0)</f>
        <v>#N/A</v>
      </c>
      <c r="Q1294" s="1" t="s">
        <v>1489</v>
      </c>
      <c r="R1294" s="1" t="s">
        <v>1480</v>
      </c>
      <c r="S1294" s="6" t="e">
        <f t="shared" si="62"/>
        <v>#N/A</v>
      </c>
    </row>
    <row r="1295" spans="2:19" x14ac:dyDescent="0.25">
      <c r="B1295" s="1" t="s">
        <v>1479</v>
      </c>
      <c r="C1295" s="1" t="s">
        <v>1481</v>
      </c>
      <c r="D1295" s="4" t="e">
        <f>VLOOKUP(A1295,المعطيات!$A$1:$J$3500,5,0)</f>
        <v>#N/A</v>
      </c>
      <c r="E1295" s="1" t="s">
        <v>1482</v>
      </c>
      <c r="F1295" s="5">
        <f t="shared" si="60"/>
        <v>0</v>
      </c>
      <c r="G1295" s="5" t="s">
        <v>1483</v>
      </c>
      <c r="H1295" s="4" t="e">
        <f>VLOOKUP(A1295,المعطيات!$A$1:$J$3500,3,0)</f>
        <v>#N/A</v>
      </c>
      <c r="I1295" s="1" t="s">
        <v>1484</v>
      </c>
      <c r="J1295" s="1" t="s">
        <v>1485</v>
      </c>
      <c r="K1295" s="4" t="e">
        <f>VLOOKUP(A1295,المعطيات!$A$1:$J$3500,6,0)</f>
        <v>#N/A</v>
      </c>
      <c r="L1295" s="1" t="s">
        <v>1486</v>
      </c>
      <c r="M1295" s="1" t="s">
        <v>1487</v>
      </c>
      <c r="N1295" s="4" t="e">
        <f t="shared" si="61"/>
        <v>#N/A</v>
      </c>
      <c r="O1295" s="1" t="s">
        <v>1488</v>
      </c>
      <c r="P1295" s="4" t="e">
        <f>VLOOKUP(A1295,المعطيات!$A$1:$J$3500,4,0)</f>
        <v>#N/A</v>
      </c>
      <c r="Q1295" s="1" t="s">
        <v>1489</v>
      </c>
      <c r="R1295" s="1" t="s">
        <v>1480</v>
      </c>
      <c r="S1295" s="6" t="e">
        <f t="shared" si="62"/>
        <v>#N/A</v>
      </c>
    </row>
    <row r="1296" spans="2:19" x14ac:dyDescent="0.25">
      <c r="B1296" s="1" t="s">
        <v>1479</v>
      </c>
      <c r="C1296" s="1" t="s">
        <v>1481</v>
      </c>
      <c r="D1296" s="4" t="e">
        <f>VLOOKUP(A1296,المعطيات!$A$1:$J$3500,5,0)</f>
        <v>#N/A</v>
      </c>
      <c r="E1296" s="1" t="s">
        <v>1482</v>
      </c>
      <c r="F1296" s="5">
        <f t="shared" si="60"/>
        <v>0</v>
      </c>
      <c r="G1296" s="5" t="s">
        <v>1483</v>
      </c>
      <c r="H1296" s="4" t="e">
        <f>VLOOKUP(A1296,المعطيات!$A$1:$J$3500,3,0)</f>
        <v>#N/A</v>
      </c>
      <c r="I1296" s="1" t="s">
        <v>1484</v>
      </c>
      <c r="J1296" s="1" t="s">
        <v>1485</v>
      </c>
      <c r="K1296" s="4" t="e">
        <f>VLOOKUP(A1296,المعطيات!$A$1:$J$3500,6,0)</f>
        <v>#N/A</v>
      </c>
      <c r="L1296" s="1" t="s">
        <v>1486</v>
      </c>
      <c r="M1296" s="1" t="s">
        <v>1487</v>
      </c>
      <c r="N1296" s="4" t="e">
        <f t="shared" si="61"/>
        <v>#N/A</v>
      </c>
      <c r="O1296" s="1" t="s">
        <v>1488</v>
      </c>
      <c r="P1296" s="4" t="e">
        <f>VLOOKUP(A1296,المعطيات!$A$1:$J$3500,4,0)</f>
        <v>#N/A</v>
      </c>
      <c r="Q1296" s="1" t="s">
        <v>1489</v>
      </c>
      <c r="R1296" s="1" t="s">
        <v>1480</v>
      </c>
      <c r="S1296" s="6" t="e">
        <f t="shared" si="62"/>
        <v>#N/A</v>
      </c>
    </row>
    <row r="1297" spans="2:19" x14ac:dyDescent="0.25">
      <c r="B1297" s="1" t="s">
        <v>1479</v>
      </c>
      <c r="C1297" s="1" t="s">
        <v>1481</v>
      </c>
      <c r="D1297" s="4" t="e">
        <f>VLOOKUP(A1297,المعطيات!$A$1:$J$3500,5,0)</f>
        <v>#N/A</v>
      </c>
      <c r="E1297" s="1" t="s">
        <v>1482</v>
      </c>
      <c r="F1297" s="5">
        <f t="shared" si="60"/>
        <v>0</v>
      </c>
      <c r="G1297" s="5" t="s">
        <v>1483</v>
      </c>
      <c r="H1297" s="4" t="e">
        <f>VLOOKUP(A1297,المعطيات!$A$1:$J$3500,3,0)</f>
        <v>#N/A</v>
      </c>
      <c r="I1297" s="1" t="s">
        <v>1484</v>
      </c>
      <c r="J1297" s="1" t="s">
        <v>1485</v>
      </c>
      <c r="K1297" s="4" t="e">
        <f>VLOOKUP(A1297,المعطيات!$A$1:$J$3500,6,0)</f>
        <v>#N/A</v>
      </c>
      <c r="L1297" s="1" t="s">
        <v>1486</v>
      </c>
      <c r="M1297" s="1" t="s">
        <v>1487</v>
      </c>
      <c r="N1297" s="4" t="e">
        <f t="shared" si="61"/>
        <v>#N/A</v>
      </c>
      <c r="O1297" s="1" t="s">
        <v>1488</v>
      </c>
      <c r="P1297" s="4" t="e">
        <f>VLOOKUP(A1297,المعطيات!$A$1:$J$3500,4,0)</f>
        <v>#N/A</v>
      </c>
      <c r="Q1297" s="1" t="s">
        <v>1489</v>
      </c>
      <c r="R1297" s="1" t="s">
        <v>1480</v>
      </c>
      <c r="S1297" s="6" t="e">
        <f t="shared" si="62"/>
        <v>#N/A</v>
      </c>
    </row>
    <row r="1298" spans="2:19" x14ac:dyDescent="0.25">
      <c r="B1298" s="1" t="s">
        <v>1479</v>
      </c>
      <c r="C1298" s="1" t="s">
        <v>1481</v>
      </c>
      <c r="D1298" s="4" t="e">
        <f>VLOOKUP(A1298,المعطيات!$A$1:$J$3500,5,0)</f>
        <v>#N/A</v>
      </c>
      <c r="E1298" s="1" t="s">
        <v>1482</v>
      </c>
      <c r="F1298" s="5">
        <f t="shared" si="60"/>
        <v>0</v>
      </c>
      <c r="G1298" s="5" t="s">
        <v>1483</v>
      </c>
      <c r="H1298" s="4" t="e">
        <f>VLOOKUP(A1298,المعطيات!$A$1:$J$3500,3,0)</f>
        <v>#N/A</v>
      </c>
      <c r="I1298" s="1" t="s">
        <v>1484</v>
      </c>
      <c r="J1298" s="1" t="s">
        <v>1485</v>
      </c>
      <c r="K1298" s="4" t="e">
        <f>VLOOKUP(A1298,المعطيات!$A$1:$J$3500,6,0)</f>
        <v>#N/A</v>
      </c>
      <c r="L1298" s="1" t="s">
        <v>1486</v>
      </c>
      <c r="M1298" s="1" t="s">
        <v>1487</v>
      </c>
      <c r="N1298" s="4" t="e">
        <f t="shared" si="61"/>
        <v>#N/A</v>
      </c>
      <c r="O1298" s="1" t="s">
        <v>1488</v>
      </c>
      <c r="P1298" s="4" t="e">
        <f>VLOOKUP(A1298,المعطيات!$A$1:$J$3500,4,0)</f>
        <v>#N/A</v>
      </c>
      <c r="Q1298" s="1" t="s">
        <v>1489</v>
      </c>
      <c r="R1298" s="1" t="s">
        <v>1480</v>
      </c>
      <c r="S1298" s="6" t="e">
        <f t="shared" si="62"/>
        <v>#N/A</v>
      </c>
    </row>
    <row r="1299" spans="2:19" x14ac:dyDescent="0.25">
      <c r="B1299" s="1" t="s">
        <v>1479</v>
      </c>
      <c r="C1299" s="1" t="s">
        <v>1481</v>
      </c>
      <c r="D1299" s="4" t="e">
        <f>VLOOKUP(A1299,المعطيات!$A$1:$J$3500,5,0)</f>
        <v>#N/A</v>
      </c>
      <c r="E1299" s="1" t="s">
        <v>1482</v>
      </c>
      <c r="F1299" s="5">
        <f t="shared" si="60"/>
        <v>0</v>
      </c>
      <c r="G1299" s="5" t="s">
        <v>1483</v>
      </c>
      <c r="H1299" s="4" t="e">
        <f>VLOOKUP(A1299,المعطيات!$A$1:$J$3500,3,0)</f>
        <v>#N/A</v>
      </c>
      <c r="I1299" s="1" t="s">
        <v>1484</v>
      </c>
      <c r="J1299" s="1" t="s">
        <v>1485</v>
      </c>
      <c r="K1299" s="4" t="e">
        <f>VLOOKUP(A1299,المعطيات!$A$1:$J$3500,6,0)</f>
        <v>#N/A</v>
      </c>
      <c r="L1299" s="1" t="s">
        <v>1486</v>
      </c>
      <c r="M1299" s="1" t="s">
        <v>1487</v>
      </c>
      <c r="N1299" s="4" t="e">
        <f t="shared" si="61"/>
        <v>#N/A</v>
      </c>
      <c r="O1299" s="1" t="s">
        <v>1488</v>
      </c>
      <c r="P1299" s="4" t="e">
        <f>VLOOKUP(A1299,المعطيات!$A$1:$J$3500,4,0)</f>
        <v>#N/A</v>
      </c>
      <c r="Q1299" s="1" t="s">
        <v>1489</v>
      </c>
      <c r="R1299" s="1" t="s">
        <v>1480</v>
      </c>
      <c r="S1299" s="6" t="e">
        <f t="shared" si="62"/>
        <v>#N/A</v>
      </c>
    </row>
    <row r="1300" spans="2:19" x14ac:dyDescent="0.25">
      <c r="B1300" s="1" t="s">
        <v>1479</v>
      </c>
      <c r="C1300" s="1" t="s">
        <v>1481</v>
      </c>
      <c r="D1300" s="4" t="e">
        <f>VLOOKUP(A1300,المعطيات!$A$1:$J$3500,5,0)</f>
        <v>#N/A</v>
      </c>
      <c r="E1300" s="1" t="s">
        <v>1482</v>
      </c>
      <c r="F1300" s="5">
        <f t="shared" si="60"/>
        <v>0</v>
      </c>
      <c r="G1300" s="5" t="s">
        <v>1483</v>
      </c>
      <c r="H1300" s="4" t="e">
        <f>VLOOKUP(A1300,المعطيات!$A$1:$J$3500,3,0)</f>
        <v>#N/A</v>
      </c>
      <c r="I1300" s="1" t="s">
        <v>1484</v>
      </c>
      <c r="J1300" s="1" t="s">
        <v>1485</v>
      </c>
      <c r="K1300" s="4" t="e">
        <f>VLOOKUP(A1300,المعطيات!$A$1:$J$3500,6,0)</f>
        <v>#N/A</v>
      </c>
      <c r="L1300" s="1" t="s">
        <v>1486</v>
      </c>
      <c r="M1300" s="1" t="s">
        <v>1487</v>
      </c>
      <c r="N1300" s="4" t="e">
        <f t="shared" si="61"/>
        <v>#N/A</v>
      </c>
      <c r="O1300" s="1" t="s">
        <v>1488</v>
      </c>
      <c r="P1300" s="4" t="e">
        <f>VLOOKUP(A1300,المعطيات!$A$1:$J$3500,4,0)</f>
        <v>#N/A</v>
      </c>
      <c r="Q1300" s="1" t="s">
        <v>1489</v>
      </c>
      <c r="R1300" s="1" t="s">
        <v>1480</v>
      </c>
      <c r="S1300" s="6" t="e">
        <f t="shared" si="62"/>
        <v>#N/A</v>
      </c>
    </row>
    <row r="1301" spans="2:19" x14ac:dyDescent="0.25">
      <c r="B1301" s="1" t="s">
        <v>1479</v>
      </c>
      <c r="C1301" s="1" t="s">
        <v>1481</v>
      </c>
      <c r="D1301" s="4" t="e">
        <f>VLOOKUP(A1301,المعطيات!$A$1:$J$3500,5,0)</f>
        <v>#N/A</v>
      </c>
      <c r="E1301" s="1" t="s">
        <v>1482</v>
      </c>
      <c r="F1301" s="5">
        <f t="shared" si="60"/>
        <v>0</v>
      </c>
      <c r="G1301" s="5" t="s">
        <v>1483</v>
      </c>
      <c r="H1301" s="4" t="e">
        <f>VLOOKUP(A1301,المعطيات!$A$1:$J$3500,3,0)</f>
        <v>#N/A</v>
      </c>
      <c r="I1301" s="1" t="s">
        <v>1484</v>
      </c>
      <c r="J1301" s="1" t="s">
        <v>1485</v>
      </c>
      <c r="K1301" s="4" t="e">
        <f>VLOOKUP(A1301,المعطيات!$A$1:$J$3500,6,0)</f>
        <v>#N/A</v>
      </c>
      <c r="L1301" s="1" t="s">
        <v>1486</v>
      </c>
      <c r="M1301" s="1" t="s">
        <v>1487</v>
      </c>
      <c r="N1301" s="4" t="e">
        <f t="shared" si="61"/>
        <v>#N/A</v>
      </c>
      <c r="O1301" s="1" t="s">
        <v>1488</v>
      </c>
      <c r="P1301" s="4" t="e">
        <f>VLOOKUP(A1301,المعطيات!$A$1:$J$3500,4,0)</f>
        <v>#N/A</v>
      </c>
      <c r="Q1301" s="1" t="s">
        <v>1489</v>
      </c>
      <c r="R1301" s="1" t="s">
        <v>1480</v>
      </c>
      <c r="S1301" s="6" t="e">
        <f t="shared" si="62"/>
        <v>#N/A</v>
      </c>
    </row>
    <row r="1302" spans="2:19" x14ac:dyDescent="0.25">
      <c r="B1302" s="1" t="s">
        <v>1479</v>
      </c>
      <c r="C1302" s="1" t="s">
        <v>1481</v>
      </c>
      <c r="D1302" s="4" t="e">
        <f>VLOOKUP(A1302,المعطيات!$A$1:$J$3500,5,0)</f>
        <v>#N/A</v>
      </c>
      <c r="E1302" s="1" t="s">
        <v>1482</v>
      </c>
      <c r="F1302" s="5">
        <f t="shared" si="60"/>
        <v>0</v>
      </c>
      <c r="G1302" s="5" t="s">
        <v>1483</v>
      </c>
      <c r="H1302" s="4" t="e">
        <f>VLOOKUP(A1302,المعطيات!$A$1:$J$3500,3,0)</f>
        <v>#N/A</v>
      </c>
      <c r="I1302" s="1" t="s">
        <v>1484</v>
      </c>
      <c r="J1302" s="1" t="s">
        <v>1485</v>
      </c>
      <c r="K1302" s="4" t="e">
        <f>VLOOKUP(A1302,المعطيات!$A$1:$J$3500,6,0)</f>
        <v>#N/A</v>
      </c>
      <c r="L1302" s="1" t="s">
        <v>1486</v>
      </c>
      <c r="M1302" s="1" t="s">
        <v>1487</v>
      </c>
      <c r="N1302" s="4" t="e">
        <f t="shared" si="61"/>
        <v>#N/A</v>
      </c>
      <c r="O1302" s="1" t="s">
        <v>1488</v>
      </c>
      <c r="P1302" s="4" t="e">
        <f>VLOOKUP(A1302,المعطيات!$A$1:$J$3500,4,0)</f>
        <v>#N/A</v>
      </c>
      <c r="Q1302" s="1" t="s">
        <v>1489</v>
      </c>
      <c r="R1302" s="1" t="s">
        <v>1480</v>
      </c>
      <c r="S1302" s="6" t="e">
        <f t="shared" si="62"/>
        <v>#N/A</v>
      </c>
    </row>
    <row r="1303" spans="2:19" x14ac:dyDescent="0.25">
      <c r="B1303" s="1" t="s">
        <v>1479</v>
      </c>
      <c r="C1303" s="1" t="s">
        <v>1481</v>
      </c>
      <c r="D1303" s="4" t="e">
        <f>VLOOKUP(A1303,المعطيات!$A$1:$J$3500,5,0)</f>
        <v>#N/A</v>
      </c>
      <c r="E1303" s="1" t="s">
        <v>1482</v>
      </c>
      <c r="F1303" s="5">
        <f t="shared" si="60"/>
        <v>0</v>
      </c>
      <c r="G1303" s="5" t="s">
        <v>1483</v>
      </c>
      <c r="H1303" s="4" t="e">
        <f>VLOOKUP(A1303,المعطيات!$A$1:$J$3500,3,0)</f>
        <v>#N/A</v>
      </c>
      <c r="I1303" s="1" t="s">
        <v>1484</v>
      </c>
      <c r="J1303" s="1" t="s">
        <v>1485</v>
      </c>
      <c r="K1303" s="4" t="e">
        <f>VLOOKUP(A1303,المعطيات!$A$1:$J$3500,6,0)</f>
        <v>#N/A</v>
      </c>
      <c r="L1303" s="1" t="s">
        <v>1486</v>
      </c>
      <c r="M1303" s="1" t="s">
        <v>1487</v>
      </c>
      <c r="N1303" s="4" t="e">
        <f t="shared" si="61"/>
        <v>#N/A</v>
      </c>
      <c r="O1303" s="1" t="s">
        <v>1488</v>
      </c>
      <c r="P1303" s="4" t="e">
        <f>VLOOKUP(A1303,المعطيات!$A$1:$J$3500,4,0)</f>
        <v>#N/A</v>
      </c>
      <c r="Q1303" s="1" t="s">
        <v>1489</v>
      </c>
      <c r="R1303" s="1" t="s">
        <v>1480</v>
      </c>
      <c r="S1303" s="6" t="e">
        <f t="shared" si="62"/>
        <v>#N/A</v>
      </c>
    </row>
    <row r="1304" spans="2:19" x14ac:dyDescent="0.25">
      <c r="B1304" s="1" t="s">
        <v>1479</v>
      </c>
      <c r="C1304" s="1" t="s">
        <v>1481</v>
      </c>
      <c r="D1304" s="4" t="e">
        <f>VLOOKUP(A1304,المعطيات!$A$1:$J$3500,5,0)</f>
        <v>#N/A</v>
      </c>
      <c r="E1304" s="1" t="s">
        <v>1482</v>
      </c>
      <c r="F1304" s="5">
        <f t="shared" si="60"/>
        <v>0</v>
      </c>
      <c r="G1304" s="5" t="s">
        <v>1483</v>
      </c>
      <c r="H1304" s="4" t="e">
        <f>VLOOKUP(A1304,المعطيات!$A$1:$J$3500,3,0)</f>
        <v>#N/A</v>
      </c>
      <c r="I1304" s="1" t="s">
        <v>1484</v>
      </c>
      <c r="J1304" s="1" t="s">
        <v>1485</v>
      </c>
      <c r="K1304" s="4" t="e">
        <f>VLOOKUP(A1304,المعطيات!$A$1:$J$3500,6,0)</f>
        <v>#N/A</v>
      </c>
      <c r="L1304" s="1" t="s">
        <v>1486</v>
      </c>
      <c r="M1304" s="1" t="s">
        <v>1487</v>
      </c>
      <c r="N1304" s="4" t="e">
        <f t="shared" si="61"/>
        <v>#N/A</v>
      </c>
      <c r="O1304" s="1" t="s">
        <v>1488</v>
      </c>
      <c r="P1304" s="4" t="e">
        <f>VLOOKUP(A1304,المعطيات!$A$1:$J$3500,4,0)</f>
        <v>#N/A</v>
      </c>
      <c r="Q1304" s="1" t="s">
        <v>1489</v>
      </c>
      <c r="R1304" s="1" t="s">
        <v>1480</v>
      </c>
      <c r="S1304" s="6" t="e">
        <f t="shared" si="62"/>
        <v>#N/A</v>
      </c>
    </row>
    <row r="1305" spans="2:19" x14ac:dyDescent="0.25">
      <c r="B1305" s="1" t="s">
        <v>1479</v>
      </c>
      <c r="C1305" s="1" t="s">
        <v>1481</v>
      </c>
      <c r="D1305" s="4" t="e">
        <f>VLOOKUP(A1305,المعطيات!$A$1:$J$3500,5,0)</f>
        <v>#N/A</v>
      </c>
      <c r="E1305" s="1" t="s">
        <v>1482</v>
      </c>
      <c r="F1305" s="5">
        <f t="shared" si="60"/>
        <v>0</v>
      </c>
      <c r="G1305" s="5" t="s">
        <v>1483</v>
      </c>
      <c r="H1305" s="4" t="e">
        <f>VLOOKUP(A1305,المعطيات!$A$1:$J$3500,3,0)</f>
        <v>#N/A</v>
      </c>
      <c r="I1305" s="1" t="s">
        <v>1484</v>
      </c>
      <c r="J1305" s="1" t="s">
        <v>1485</v>
      </c>
      <c r="K1305" s="4" t="e">
        <f>VLOOKUP(A1305,المعطيات!$A$1:$J$3500,6,0)</f>
        <v>#N/A</v>
      </c>
      <c r="L1305" s="1" t="s">
        <v>1486</v>
      </c>
      <c r="M1305" s="1" t="s">
        <v>1487</v>
      </c>
      <c r="N1305" s="4" t="e">
        <f t="shared" si="61"/>
        <v>#N/A</v>
      </c>
      <c r="O1305" s="1" t="s">
        <v>1488</v>
      </c>
      <c r="P1305" s="4" t="e">
        <f>VLOOKUP(A1305,المعطيات!$A$1:$J$3500,4,0)</f>
        <v>#N/A</v>
      </c>
      <c r="Q1305" s="1" t="s">
        <v>1489</v>
      </c>
      <c r="R1305" s="1" t="s">
        <v>1480</v>
      </c>
      <c r="S1305" s="6" t="e">
        <f t="shared" si="62"/>
        <v>#N/A</v>
      </c>
    </row>
    <row r="1306" spans="2:19" x14ac:dyDescent="0.25">
      <c r="B1306" s="1" t="s">
        <v>1479</v>
      </c>
      <c r="C1306" s="1" t="s">
        <v>1481</v>
      </c>
      <c r="D1306" s="4" t="e">
        <f>VLOOKUP(A1306,المعطيات!$A$1:$J$3500,5,0)</f>
        <v>#N/A</v>
      </c>
      <c r="E1306" s="1" t="s">
        <v>1482</v>
      </c>
      <c r="F1306" s="5">
        <f t="shared" si="60"/>
        <v>0</v>
      </c>
      <c r="G1306" s="5" t="s">
        <v>1483</v>
      </c>
      <c r="H1306" s="4" t="e">
        <f>VLOOKUP(A1306,المعطيات!$A$1:$J$3500,3,0)</f>
        <v>#N/A</v>
      </c>
      <c r="I1306" s="1" t="s">
        <v>1484</v>
      </c>
      <c r="J1306" s="1" t="s">
        <v>1485</v>
      </c>
      <c r="K1306" s="4" t="e">
        <f>VLOOKUP(A1306,المعطيات!$A$1:$J$3500,6,0)</f>
        <v>#N/A</v>
      </c>
      <c r="L1306" s="1" t="s">
        <v>1486</v>
      </c>
      <c r="M1306" s="1" t="s">
        <v>1487</v>
      </c>
      <c r="N1306" s="4" t="e">
        <f t="shared" si="61"/>
        <v>#N/A</v>
      </c>
      <c r="O1306" s="1" t="s">
        <v>1488</v>
      </c>
      <c r="P1306" s="4" t="e">
        <f>VLOOKUP(A1306,المعطيات!$A$1:$J$3500,4,0)</f>
        <v>#N/A</v>
      </c>
      <c r="Q1306" s="1" t="s">
        <v>1489</v>
      </c>
      <c r="R1306" s="1" t="s">
        <v>1480</v>
      </c>
      <c r="S1306" s="6" t="e">
        <f t="shared" si="62"/>
        <v>#N/A</v>
      </c>
    </row>
    <row r="1307" spans="2:19" x14ac:dyDescent="0.25">
      <c r="B1307" s="1" t="s">
        <v>1479</v>
      </c>
      <c r="C1307" s="1" t="s">
        <v>1481</v>
      </c>
      <c r="D1307" s="4" t="e">
        <f>VLOOKUP(A1307,المعطيات!$A$1:$J$3500,5,0)</f>
        <v>#N/A</v>
      </c>
      <c r="E1307" s="1" t="s">
        <v>1482</v>
      </c>
      <c r="F1307" s="5">
        <f t="shared" si="60"/>
        <v>0</v>
      </c>
      <c r="G1307" s="5" t="s">
        <v>1483</v>
      </c>
      <c r="H1307" s="4" t="e">
        <f>VLOOKUP(A1307,المعطيات!$A$1:$J$3500,3,0)</f>
        <v>#N/A</v>
      </c>
      <c r="I1307" s="1" t="s">
        <v>1484</v>
      </c>
      <c r="J1307" s="1" t="s">
        <v>1485</v>
      </c>
      <c r="K1307" s="4" t="e">
        <f>VLOOKUP(A1307,المعطيات!$A$1:$J$3500,6,0)</f>
        <v>#N/A</v>
      </c>
      <c r="L1307" s="1" t="s">
        <v>1486</v>
      </c>
      <c r="M1307" s="1" t="s">
        <v>1487</v>
      </c>
      <c r="N1307" s="4" t="e">
        <f t="shared" si="61"/>
        <v>#N/A</v>
      </c>
      <c r="O1307" s="1" t="s">
        <v>1488</v>
      </c>
      <c r="P1307" s="4" t="e">
        <f>VLOOKUP(A1307,المعطيات!$A$1:$J$3500,4,0)</f>
        <v>#N/A</v>
      </c>
      <c r="Q1307" s="1" t="s">
        <v>1489</v>
      </c>
      <c r="R1307" s="1" t="s">
        <v>1480</v>
      </c>
      <c r="S1307" s="6" t="e">
        <f t="shared" si="62"/>
        <v>#N/A</v>
      </c>
    </row>
    <row r="1308" spans="2:19" x14ac:dyDescent="0.25">
      <c r="B1308" s="1" t="s">
        <v>1479</v>
      </c>
      <c r="C1308" s="1" t="s">
        <v>1481</v>
      </c>
      <c r="D1308" s="4" t="e">
        <f>VLOOKUP(A1308,المعطيات!$A$1:$J$3500,5,0)</f>
        <v>#N/A</v>
      </c>
      <c r="E1308" s="1" t="s">
        <v>1482</v>
      </c>
      <c r="F1308" s="5">
        <f t="shared" si="60"/>
        <v>0</v>
      </c>
      <c r="G1308" s="5" t="s">
        <v>1483</v>
      </c>
      <c r="H1308" s="4" t="e">
        <f>VLOOKUP(A1308,المعطيات!$A$1:$J$3500,3,0)</f>
        <v>#N/A</v>
      </c>
      <c r="I1308" s="1" t="s">
        <v>1484</v>
      </c>
      <c r="J1308" s="1" t="s">
        <v>1485</v>
      </c>
      <c r="K1308" s="4" t="e">
        <f>VLOOKUP(A1308,المعطيات!$A$1:$J$3500,6,0)</f>
        <v>#N/A</v>
      </c>
      <c r="L1308" s="1" t="s">
        <v>1486</v>
      </c>
      <c r="M1308" s="1" t="s">
        <v>1487</v>
      </c>
      <c r="N1308" s="4" t="e">
        <f t="shared" si="61"/>
        <v>#N/A</v>
      </c>
      <c r="O1308" s="1" t="s">
        <v>1488</v>
      </c>
      <c r="P1308" s="4" t="e">
        <f>VLOOKUP(A1308,المعطيات!$A$1:$J$3500,4,0)</f>
        <v>#N/A</v>
      </c>
      <c r="Q1308" s="1" t="s">
        <v>1489</v>
      </c>
      <c r="R1308" s="1" t="s">
        <v>1480</v>
      </c>
      <c r="S1308" s="6" t="e">
        <f t="shared" si="62"/>
        <v>#N/A</v>
      </c>
    </row>
    <row r="1309" spans="2:19" x14ac:dyDescent="0.25">
      <c r="B1309" s="1" t="s">
        <v>1479</v>
      </c>
      <c r="C1309" s="1" t="s">
        <v>1481</v>
      </c>
      <c r="D1309" s="4" t="e">
        <f>VLOOKUP(A1309,المعطيات!$A$1:$J$3500,5,0)</f>
        <v>#N/A</v>
      </c>
      <c r="E1309" s="1" t="s">
        <v>1482</v>
      </c>
      <c r="F1309" s="5">
        <f t="shared" si="60"/>
        <v>0</v>
      </c>
      <c r="G1309" s="5" t="s">
        <v>1483</v>
      </c>
      <c r="H1309" s="4" t="e">
        <f>VLOOKUP(A1309,المعطيات!$A$1:$J$3500,3,0)</f>
        <v>#N/A</v>
      </c>
      <c r="I1309" s="1" t="s">
        <v>1484</v>
      </c>
      <c r="J1309" s="1" t="s">
        <v>1485</v>
      </c>
      <c r="K1309" s="4" t="e">
        <f>VLOOKUP(A1309,المعطيات!$A$1:$J$3500,6,0)</f>
        <v>#N/A</v>
      </c>
      <c r="L1309" s="1" t="s">
        <v>1486</v>
      </c>
      <c r="M1309" s="1" t="s">
        <v>1487</v>
      </c>
      <c r="N1309" s="4" t="e">
        <f t="shared" si="61"/>
        <v>#N/A</v>
      </c>
      <c r="O1309" s="1" t="s">
        <v>1488</v>
      </c>
      <c r="P1309" s="4" t="e">
        <f>VLOOKUP(A1309,المعطيات!$A$1:$J$3500,4,0)</f>
        <v>#N/A</v>
      </c>
      <c r="Q1309" s="1" t="s">
        <v>1489</v>
      </c>
      <c r="R1309" s="1" t="s">
        <v>1480</v>
      </c>
      <c r="S1309" s="6" t="e">
        <f t="shared" si="62"/>
        <v>#N/A</v>
      </c>
    </row>
    <row r="1310" spans="2:19" x14ac:dyDescent="0.25">
      <c r="B1310" s="1" t="s">
        <v>1479</v>
      </c>
      <c r="C1310" s="1" t="s">
        <v>1481</v>
      </c>
      <c r="D1310" s="4" t="e">
        <f>VLOOKUP(A1310,المعطيات!$A$1:$J$3500,5,0)</f>
        <v>#N/A</v>
      </c>
      <c r="E1310" s="1" t="s">
        <v>1482</v>
      </c>
      <c r="F1310" s="5">
        <f t="shared" si="60"/>
        <v>0</v>
      </c>
      <c r="G1310" s="5" t="s">
        <v>1483</v>
      </c>
      <c r="H1310" s="4" t="e">
        <f>VLOOKUP(A1310,المعطيات!$A$1:$J$3500,3,0)</f>
        <v>#N/A</v>
      </c>
      <c r="I1310" s="1" t="s">
        <v>1484</v>
      </c>
      <c r="J1310" s="1" t="s">
        <v>1485</v>
      </c>
      <c r="K1310" s="4" t="e">
        <f>VLOOKUP(A1310,المعطيات!$A$1:$J$3500,6,0)</f>
        <v>#N/A</v>
      </c>
      <c r="L1310" s="1" t="s">
        <v>1486</v>
      </c>
      <c r="M1310" s="1" t="s">
        <v>1487</v>
      </c>
      <c r="N1310" s="4" t="e">
        <f t="shared" si="61"/>
        <v>#N/A</v>
      </c>
      <c r="O1310" s="1" t="s">
        <v>1488</v>
      </c>
      <c r="P1310" s="4" t="e">
        <f>VLOOKUP(A1310,المعطيات!$A$1:$J$3500,4,0)</f>
        <v>#N/A</v>
      </c>
      <c r="Q1310" s="1" t="s">
        <v>1489</v>
      </c>
      <c r="R1310" s="1" t="s">
        <v>1480</v>
      </c>
      <c r="S1310" s="6" t="e">
        <f t="shared" si="62"/>
        <v>#N/A</v>
      </c>
    </row>
    <row r="1311" spans="2:19" x14ac:dyDescent="0.25">
      <c r="B1311" s="1" t="s">
        <v>1479</v>
      </c>
      <c r="C1311" s="1" t="s">
        <v>1481</v>
      </c>
      <c r="D1311" s="4" t="e">
        <f>VLOOKUP(A1311,المعطيات!$A$1:$J$3500,5,0)</f>
        <v>#N/A</v>
      </c>
      <c r="E1311" s="1" t="s">
        <v>1482</v>
      </c>
      <c r="F1311" s="5">
        <f t="shared" si="60"/>
        <v>0</v>
      </c>
      <c r="G1311" s="5" t="s">
        <v>1483</v>
      </c>
      <c r="H1311" s="4" t="e">
        <f>VLOOKUP(A1311,المعطيات!$A$1:$J$3500,3,0)</f>
        <v>#N/A</v>
      </c>
      <c r="I1311" s="1" t="s">
        <v>1484</v>
      </c>
      <c r="J1311" s="1" t="s">
        <v>1485</v>
      </c>
      <c r="K1311" s="4" t="e">
        <f>VLOOKUP(A1311,المعطيات!$A$1:$J$3500,6,0)</f>
        <v>#N/A</v>
      </c>
      <c r="L1311" s="1" t="s">
        <v>1486</v>
      </c>
      <c r="M1311" s="1" t="s">
        <v>1487</v>
      </c>
      <c r="N1311" s="4" t="e">
        <f t="shared" si="61"/>
        <v>#N/A</v>
      </c>
      <c r="O1311" s="1" t="s">
        <v>1488</v>
      </c>
      <c r="P1311" s="4" t="e">
        <f>VLOOKUP(A1311,المعطيات!$A$1:$J$3500,4,0)</f>
        <v>#N/A</v>
      </c>
      <c r="Q1311" s="1" t="s">
        <v>1489</v>
      </c>
      <c r="R1311" s="1" t="s">
        <v>1480</v>
      </c>
      <c r="S1311" s="6" t="e">
        <f t="shared" si="62"/>
        <v>#N/A</v>
      </c>
    </row>
    <row r="1312" spans="2:19" x14ac:dyDescent="0.25">
      <c r="B1312" s="1" t="s">
        <v>1479</v>
      </c>
      <c r="C1312" s="1" t="s">
        <v>1481</v>
      </c>
      <c r="D1312" s="4" t="e">
        <f>VLOOKUP(A1312,المعطيات!$A$1:$J$3500,5,0)</f>
        <v>#N/A</v>
      </c>
      <c r="E1312" s="1" t="s">
        <v>1482</v>
      </c>
      <c r="F1312" s="5">
        <f t="shared" si="60"/>
        <v>0</v>
      </c>
      <c r="G1312" s="5" t="s">
        <v>1483</v>
      </c>
      <c r="H1312" s="4" t="e">
        <f>VLOOKUP(A1312,المعطيات!$A$1:$J$3500,3,0)</f>
        <v>#N/A</v>
      </c>
      <c r="I1312" s="1" t="s">
        <v>1484</v>
      </c>
      <c r="J1312" s="1" t="s">
        <v>1485</v>
      </c>
      <c r="K1312" s="4" t="e">
        <f>VLOOKUP(A1312,المعطيات!$A$1:$J$3500,6,0)</f>
        <v>#N/A</v>
      </c>
      <c r="L1312" s="1" t="s">
        <v>1486</v>
      </c>
      <c r="M1312" s="1" t="s">
        <v>1487</v>
      </c>
      <c r="N1312" s="4" t="e">
        <f t="shared" si="61"/>
        <v>#N/A</v>
      </c>
      <c r="O1312" s="1" t="s">
        <v>1488</v>
      </c>
      <c r="P1312" s="4" t="e">
        <f>VLOOKUP(A1312,المعطيات!$A$1:$J$3500,4,0)</f>
        <v>#N/A</v>
      </c>
      <c r="Q1312" s="1" t="s">
        <v>1489</v>
      </c>
      <c r="R1312" s="1" t="s">
        <v>1480</v>
      </c>
      <c r="S1312" s="6" t="e">
        <f t="shared" si="62"/>
        <v>#N/A</v>
      </c>
    </row>
    <row r="1313" spans="2:19" x14ac:dyDescent="0.25">
      <c r="B1313" s="1" t="s">
        <v>1479</v>
      </c>
      <c r="C1313" s="1" t="s">
        <v>1481</v>
      </c>
      <c r="D1313" s="4" t="e">
        <f>VLOOKUP(A1313,المعطيات!$A$1:$J$3500,5,0)</f>
        <v>#N/A</v>
      </c>
      <c r="E1313" s="1" t="s">
        <v>1482</v>
      </c>
      <c r="F1313" s="5">
        <f t="shared" si="60"/>
        <v>0</v>
      </c>
      <c r="G1313" s="5" t="s">
        <v>1483</v>
      </c>
      <c r="H1313" s="4" t="e">
        <f>VLOOKUP(A1313,المعطيات!$A$1:$J$3500,3,0)</f>
        <v>#N/A</v>
      </c>
      <c r="I1313" s="1" t="s">
        <v>1484</v>
      </c>
      <c r="J1313" s="1" t="s">
        <v>1485</v>
      </c>
      <c r="K1313" s="4" t="e">
        <f>VLOOKUP(A1313,المعطيات!$A$1:$J$3500,6,0)</f>
        <v>#N/A</v>
      </c>
      <c r="L1313" s="1" t="s">
        <v>1486</v>
      </c>
      <c r="M1313" s="1" t="s">
        <v>1487</v>
      </c>
      <c r="N1313" s="4" t="e">
        <f t="shared" si="61"/>
        <v>#N/A</v>
      </c>
      <c r="O1313" s="1" t="s">
        <v>1488</v>
      </c>
      <c r="P1313" s="4" t="e">
        <f>VLOOKUP(A1313,المعطيات!$A$1:$J$3500,4,0)</f>
        <v>#N/A</v>
      </c>
      <c r="Q1313" s="1" t="s">
        <v>1489</v>
      </c>
      <c r="R1313" s="1" t="s">
        <v>1480</v>
      </c>
      <c r="S1313" s="6" t="e">
        <f t="shared" si="62"/>
        <v>#N/A</v>
      </c>
    </row>
    <row r="1314" spans="2:19" x14ac:dyDescent="0.25">
      <c r="B1314" s="1" t="s">
        <v>1479</v>
      </c>
      <c r="C1314" s="1" t="s">
        <v>1481</v>
      </c>
      <c r="D1314" s="4" t="e">
        <f>VLOOKUP(A1314,المعطيات!$A$1:$J$3500,5,0)</f>
        <v>#N/A</v>
      </c>
      <c r="E1314" s="1" t="s">
        <v>1482</v>
      </c>
      <c r="F1314" s="5">
        <f t="shared" si="60"/>
        <v>0</v>
      </c>
      <c r="G1314" s="5" t="s">
        <v>1483</v>
      </c>
      <c r="H1314" s="4" t="e">
        <f>VLOOKUP(A1314,المعطيات!$A$1:$J$3500,3,0)</f>
        <v>#N/A</v>
      </c>
      <c r="I1314" s="1" t="s">
        <v>1484</v>
      </c>
      <c r="J1314" s="1" t="s">
        <v>1485</v>
      </c>
      <c r="K1314" s="4" t="e">
        <f>VLOOKUP(A1314,المعطيات!$A$1:$J$3500,6,0)</f>
        <v>#N/A</v>
      </c>
      <c r="L1314" s="1" t="s">
        <v>1486</v>
      </c>
      <c r="M1314" s="1" t="s">
        <v>1487</v>
      </c>
      <c r="N1314" s="4" t="e">
        <f t="shared" si="61"/>
        <v>#N/A</v>
      </c>
      <c r="O1314" s="1" t="s">
        <v>1488</v>
      </c>
      <c r="P1314" s="4" t="e">
        <f>VLOOKUP(A1314,المعطيات!$A$1:$J$3500,4,0)</f>
        <v>#N/A</v>
      </c>
      <c r="Q1314" s="1" t="s">
        <v>1489</v>
      </c>
      <c r="R1314" s="1" t="s">
        <v>1480</v>
      </c>
      <c r="S1314" s="6" t="e">
        <f t="shared" si="62"/>
        <v>#N/A</v>
      </c>
    </row>
    <row r="1315" spans="2:19" x14ac:dyDescent="0.25">
      <c r="B1315" s="1" t="s">
        <v>1479</v>
      </c>
      <c r="C1315" s="1" t="s">
        <v>1481</v>
      </c>
      <c r="D1315" s="4" t="e">
        <f>VLOOKUP(A1315,المعطيات!$A$1:$J$3500,5,0)</f>
        <v>#N/A</v>
      </c>
      <c r="E1315" s="1" t="s">
        <v>1482</v>
      </c>
      <c r="F1315" s="5">
        <f t="shared" si="60"/>
        <v>0</v>
      </c>
      <c r="G1315" s="5" t="s">
        <v>1483</v>
      </c>
      <c r="H1315" s="4" t="e">
        <f>VLOOKUP(A1315,المعطيات!$A$1:$J$3500,3,0)</f>
        <v>#N/A</v>
      </c>
      <c r="I1315" s="1" t="s">
        <v>1484</v>
      </c>
      <c r="J1315" s="1" t="s">
        <v>1485</v>
      </c>
      <c r="K1315" s="4" t="e">
        <f>VLOOKUP(A1315,المعطيات!$A$1:$J$3500,6,0)</f>
        <v>#N/A</v>
      </c>
      <c r="L1315" s="1" t="s">
        <v>1486</v>
      </c>
      <c r="M1315" s="1" t="s">
        <v>1487</v>
      </c>
      <c r="N1315" s="4" t="e">
        <f t="shared" si="61"/>
        <v>#N/A</v>
      </c>
      <c r="O1315" s="1" t="s">
        <v>1488</v>
      </c>
      <c r="P1315" s="4" t="e">
        <f>VLOOKUP(A1315,المعطيات!$A$1:$J$3500,4,0)</f>
        <v>#N/A</v>
      </c>
      <c r="Q1315" s="1" t="s">
        <v>1489</v>
      </c>
      <c r="R1315" s="1" t="s">
        <v>1480</v>
      </c>
      <c r="S1315" s="6" t="e">
        <f t="shared" si="62"/>
        <v>#N/A</v>
      </c>
    </row>
    <row r="1316" spans="2:19" x14ac:dyDescent="0.25">
      <c r="B1316" s="1" t="s">
        <v>1479</v>
      </c>
      <c r="C1316" s="1" t="s">
        <v>1481</v>
      </c>
      <c r="D1316" s="4" t="e">
        <f>VLOOKUP(A1316,المعطيات!$A$1:$J$3500,5,0)</f>
        <v>#N/A</v>
      </c>
      <c r="E1316" s="1" t="s">
        <v>1482</v>
      </c>
      <c r="F1316" s="5">
        <f t="shared" si="60"/>
        <v>0</v>
      </c>
      <c r="G1316" s="5" t="s">
        <v>1483</v>
      </c>
      <c r="H1316" s="4" t="e">
        <f>VLOOKUP(A1316,المعطيات!$A$1:$J$3500,3,0)</f>
        <v>#N/A</v>
      </c>
      <c r="I1316" s="1" t="s">
        <v>1484</v>
      </c>
      <c r="J1316" s="1" t="s">
        <v>1485</v>
      </c>
      <c r="K1316" s="4" t="e">
        <f>VLOOKUP(A1316,المعطيات!$A$1:$J$3500,6,0)</f>
        <v>#N/A</v>
      </c>
      <c r="L1316" s="1" t="s">
        <v>1486</v>
      </c>
      <c r="M1316" s="1" t="s">
        <v>1487</v>
      </c>
      <c r="N1316" s="4" t="e">
        <f t="shared" si="61"/>
        <v>#N/A</v>
      </c>
      <c r="O1316" s="1" t="s">
        <v>1488</v>
      </c>
      <c r="P1316" s="4" t="e">
        <f>VLOOKUP(A1316,المعطيات!$A$1:$J$3500,4,0)</f>
        <v>#N/A</v>
      </c>
      <c r="Q1316" s="1" t="s">
        <v>1489</v>
      </c>
      <c r="R1316" s="1" t="s">
        <v>1480</v>
      </c>
      <c r="S1316" s="6" t="e">
        <f t="shared" si="62"/>
        <v>#N/A</v>
      </c>
    </row>
    <row r="1317" spans="2:19" x14ac:dyDescent="0.25">
      <c r="B1317" s="1" t="s">
        <v>1479</v>
      </c>
      <c r="C1317" s="1" t="s">
        <v>1481</v>
      </c>
      <c r="D1317" s="4" t="e">
        <f>VLOOKUP(A1317,المعطيات!$A$1:$J$3500,5,0)</f>
        <v>#N/A</v>
      </c>
      <c r="E1317" s="1" t="s">
        <v>1482</v>
      </c>
      <c r="F1317" s="5">
        <f t="shared" si="60"/>
        <v>0</v>
      </c>
      <c r="G1317" s="5" t="s">
        <v>1483</v>
      </c>
      <c r="H1317" s="4" t="e">
        <f>VLOOKUP(A1317,المعطيات!$A$1:$J$3500,3,0)</f>
        <v>#N/A</v>
      </c>
      <c r="I1317" s="1" t="s">
        <v>1484</v>
      </c>
      <c r="J1317" s="1" t="s">
        <v>1485</v>
      </c>
      <c r="K1317" s="4" t="e">
        <f>VLOOKUP(A1317,المعطيات!$A$1:$J$3500,6,0)</f>
        <v>#N/A</v>
      </c>
      <c r="L1317" s="1" t="s">
        <v>1486</v>
      </c>
      <c r="M1317" s="1" t="s">
        <v>1487</v>
      </c>
      <c r="N1317" s="4" t="e">
        <f t="shared" si="61"/>
        <v>#N/A</v>
      </c>
      <c r="O1317" s="1" t="s">
        <v>1488</v>
      </c>
      <c r="P1317" s="4" t="e">
        <f>VLOOKUP(A1317,المعطيات!$A$1:$J$3500,4,0)</f>
        <v>#N/A</v>
      </c>
      <c r="Q1317" s="1" t="s">
        <v>1489</v>
      </c>
      <c r="R1317" s="1" t="s">
        <v>1480</v>
      </c>
      <c r="S1317" s="6" t="e">
        <f t="shared" si="62"/>
        <v>#N/A</v>
      </c>
    </row>
    <row r="1318" spans="2:19" x14ac:dyDescent="0.25">
      <c r="B1318" s="1" t="s">
        <v>1479</v>
      </c>
      <c r="C1318" s="1" t="s">
        <v>1481</v>
      </c>
      <c r="D1318" s="4" t="e">
        <f>VLOOKUP(A1318,المعطيات!$A$1:$J$3500,5,0)</f>
        <v>#N/A</v>
      </c>
      <c r="E1318" s="1" t="s">
        <v>1482</v>
      </c>
      <c r="F1318" s="5">
        <f t="shared" si="60"/>
        <v>0</v>
      </c>
      <c r="G1318" s="5" t="s">
        <v>1483</v>
      </c>
      <c r="H1318" s="4" t="e">
        <f>VLOOKUP(A1318,المعطيات!$A$1:$J$3500,3,0)</f>
        <v>#N/A</v>
      </c>
      <c r="I1318" s="1" t="s">
        <v>1484</v>
      </c>
      <c r="J1318" s="1" t="s">
        <v>1485</v>
      </c>
      <c r="K1318" s="4" t="e">
        <f>VLOOKUP(A1318,المعطيات!$A$1:$J$3500,6,0)</f>
        <v>#N/A</v>
      </c>
      <c r="L1318" s="1" t="s">
        <v>1486</v>
      </c>
      <c r="M1318" s="1" t="s">
        <v>1487</v>
      </c>
      <c r="N1318" s="4" t="e">
        <f t="shared" si="61"/>
        <v>#N/A</v>
      </c>
      <c r="O1318" s="1" t="s">
        <v>1488</v>
      </c>
      <c r="P1318" s="4" t="e">
        <f>VLOOKUP(A1318,المعطيات!$A$1:$J$3500,4,0)</f>
        <v>#N/A</v>
      </c>
      <c r="Q1318" s="1" t="s">
        <v>1489</v>
      </c>
      <c r="R1318" s="1" t="s">
        <v>1480</v>
      </c>
      <c r="S1318" s="6" t="e">
        <f t="shared" si="62"/>
        <v>#N/A</v>
      </c>
    </row>
    <row r="1319" spans="2:19" x14ac:dyDescent="0.25">
      <c r="B1319" s="1" t="s">
        <v>1479</v>
      </c>
      <c r="C1319" s="1" t="s">
        <v>1481</v>
      </c>
      <c r="D1319" s="4" t="e">
        <f>VLOOKUP(A1319,المعطيات!$A$1:$J$3500,5,0)</f>
        <v>#N/A</v>
      </c>
      <c r="E1319" s="1" t="s">
        <v>1482</v>
      </c>
      <c r="F1319" s="5">
        <f t="shared" si="60"/>
        <v>0</v>
      </c>
      <c r="G1319" s="5" t="s">
        <v>1483</v>
      </c>
      <c r="H1319" s="4" t="e">
        <f>VLOOKUP(A1319,المعطيات!$A$1:$J$3500,3,0)</f>
        <v>#N/A</v>
      </c>
      <c r="I1319" s="1" t="s">
        <v>1484</v>
      </c>
      <c r="J1319" s="1" t="s">
        <v>1485</v>
      </c>
      <c r="K1319" s="4" t="e">
        <f>VLOOKUP(A1319,المعطيات!$A$1:$J$3500,6,0)</f>
        <v>#N/A</v>
      </c>
      <c r="L1319" s="1" t="s">
        <v>1486</v>
      </c>
      <c r="M1319" s="1" t="s">
        <v>1487</v>
      </c>
      <c r="N1319" s="4" t="e">
        <f t="shared" si="61"/>
        <v>#N/A</v>
      </c>
      <c r="O1319" s="1" t="s">
        <v>1488</v>
      </c>
      <c r="P1319" s="4" t="e">
        <f>VLOOKUP(A1319,المعطيات!$A$1:$J$3500,4,0)</f>
        <v>#N/A</v>
      </c>
      <c r="Q1319" s="1" t="s">
        <v>1489</v>
      </c>
      <c r="R1319" s="1" t="s">
        <v>1480</v>
      </c>
      <c r="S1319" s="6" t="e">
        <f t="shared" si="62"/>
        <v>#N/A</v>
      </c>
    </row>
    <row r="1320" spans="2:19" x14ac:dyDescent="0.25">
      <c r="B1320" s="1" t="s">
        <v>1479</v>
      </c>
      <c r="C1320" s="1" t="s">
        <v>1481</v>
      </c>
      <c r="D1320" s="4" t="e">
        <f>VLOOKUP(A1320,المعطيات!$A$1:$J$3500,5,0)</f>
        <v>#N/A</v>
      </c>
      <c r="E1320" s="1" t="s">
        <v>1482</v>
      </c>
      <c r="F1320" s="5">
        <f t="shared" si="60"/>
        <v>0</v>
      </c>
      <c r="G1320" s="5" t="s">
        <v>1483</v>
      </c>
      <c r="H1320" s="4" t="e">
        <f>VLOOKUP(A1320,المعطيات!$A$1:$J$3500,3,0)</f>
        <v>#N/A</v>
      </c>
      <c r="I1320" s="1" t="s">
        <v>1484</v>
      </c>
      <c r="J1320" s="1" t="s">
        <v>1485</v>
      </c>
      <c r="K1320" s="4" t="e">
        <f>VLOOKUP(A1320,المعطيات!$A$1:$J$3500,6,0)</f>
        <v>#N/A</v>
      </c>
      <c r="L1320" s="1" t="s">
        <v>1486</v>
      </c>
      <c r="M1320" s="1" t="s">
        <v>1487</v>
      </c>
      <c r="N1320" s="4" t="e">
        <f t="shared" si="61"/>
        <v>#N/A</v>
      </c>
      <c r="O1320" s="1" t="s">
        <v>1488</v>
      </c>
      <c r="P1320" s="4" t="e">
        <f>VLOOKUP(A1320,المعطيات!$A$1:$J$3500,4,0)</f>
        <v>#N/A</v>
      </c>
      <c r="Q1320" s="1" t="s">
        <v>1489</v>
      </c>
      <c r="R1320" s="1" t="s">
        <v>1480</v>
      </c>
      <c r="S1320" s="6" t="e">
        <f t="shared" si="62"/>
        <v>#N/A</v>
      </c>
    </row>
    <row r="1321" spans="2:19" x14ac:dyDescent="0.25">
      <c r="B1321" s="1" t="s">
        <v>1479</v>
      </c>
      <c r="C1321" s="1" t="s">
        <v>1481</v>
      </c>
      <c r="D1321" s="4" t="e">
        <f>VLOOKUP(A1321,المعطيات!$A$1:$J$3500,5,0)</f>
        <v>#N/A</v>
      </c>
      <c r="E1321" s="1" t="s">
        <v>1482</v>
      </c>
      <c r="F1321" s="5">
        <f t="shared" si="60"/>
        <v>0</v>
      </c>
      <c r="G1321" s="5" t="s">
        <v>1483</v>
      </c>
      <c r="H1321" s="4" t="e">
        <f>VLOOKUP(A1321,المعطيات!$A$1:$J$3500,3,0)</f>
        <v>#N/A</v>
      </c>
      <c r="I1321" s="1" t="s">
        <v>1484</v>
      </c>
      <c r="J1321" s="1" t="s">
        <v>1485</v>
      </c>
      <c r="K1321" s="4" t="e">
        <f>VLOOKUP(A1321,المعطيات!$A$1:$J$3500,6,0)</f>
        <v>#N/A</v>
      </c>
      <c r="L1321" s="1" t="s">
        <v>1486</v>
      </c>
      <c r="M1321" s="1" t="s">
        <v>1487</v>
      </c>
      <c r="N1321" s="4" t="e">
        <f t="shared" si="61"/>
        <v>#N/A</v>
      </c>
      <c r="O1321" s="1" t="s">
        <v>1488</v>
      </c>
      <c r="P1321" s="4" t="e">
        <f>VLOOKUP(A1321,المعطيات!$A$1:$J$3500,4,0)</f>
        <v>#N/A</v>
      </c>
      <c r="Q1321" s="1" t="s">
        <v>1489</v>
      </c>
      <c r="R1321" s="1" t="s">
        <v>1480</v>
      </c>
      <c r="S1321" s="6" t="e">
        <f t="shared" si="62"/>
        <v>#N/A</v>
      </c>
    </row>
    <row r="1322" spans="2:19" x14ac:dyDescent="0.25">
      <c r="B1322" s="1" t="s">
        <v>1479</v>
      </c>
      <c r="C1322" s="1" t="s">
        <v>1481</v>
      </c>
      <c r="D1322" s="4" t="e">
        <f>VLOOKUP(A1322,المعطيات!$A$1:$J$3500,5,0)</f>
        <v>#N/A</v>
      </c>
      <c r="E1322" s="1" t="s">
        <v>1482</v>
      </c>
      <c r="F1322" s="5">
        <f t="shared" si="60"/>
        <v>0</v>
      </c>
      <c r="G1322" s="5" t="s">
        <v>1483</v>
      </c>
      <c r="H1322" s="4" t="e">
        <f>VLOOKUP(A1322,المعطيات!$A$1:$J$3500,3,0)</f>
        <v>#N/A</v>
      </c>
      <c r="I1322" s="1" t="s">
        <v>1484</v>
      </c>
      <c r="J1322" s="1" t="s">
        <v>1485</v>
      </c>
      <c r="K1322" s="4" t="e">
        <f>VLOOKUP(A1322,المعطيات!$A$1:$J$3500,6,0)</f>
        <v>#N/A</v>
      </c>
      <c r="L1322" s="1" t="s">
        <v>1486</v>
      </c>
      <c r="M1322" s="1" t="s">
        <v>1487</v>
      </c>
      <c r="N1322" s="4" t="e">
        <f t="shared" si="61"/>
        <v>#N/A</v>
      </c>
      <c r="O1322" s="1" t="s">
        <v>1488</v>
      </c>
      <c r="P1322" s="4" t="e">
        <f>VLOOKUP(A1322,المعطيات!$A$1:$J$3500,4,0)</f>
        <v>#N/A</v>
      </c>
      <c r="Q1322" s="1" t="s">
        <v>1489</v>
      </c>
      <c r="R1322" s="1" t="s">
        <v>1480</v>
      </c>
      <c r="S1322" s="6" t="e">
        <f t="shared" si="62"/>
        <v>#N/A</v>
      </c>
    </row>
    <row r="1323" spans="2:19" x14ac:dyDescent="0.25">
      <c r="B1323" s="1" t="s">
        <v>1479</v>
      </c>
      <c r="C1323" s="1" t="s">
        <v>1481</v>
      </c>
      <c r="D1323" s="4" t="e">
        <f>VLOOKUP(A1323,المعطيات!$A$1:$J$3500,5,0)</f>
        <v>#N/A</v>
      </c>
      <c r="E1323" s="1" t="s">
        <v>1482</v>
      </c>
      <c r="F1323" s="5">
        <f t="shared" si="60"/>
        <v>0</v>
      </c>
      <c r="G1323" s="5" t="s">
        <v>1483</v>
      </c>
      <c r="H1323" s="4" t="e">
        <f>VLOOKUP(A1323,المعطيات!$A$1:$J$3500,3,0)</f>
        <v>#N/A</v>
      </c>
      <c r="I1323" s="1" t="s">
        <v>1484</v>
      </c>
      <c r="J1323" s="1" t="s">
        <v>1485</v>
      </c>
      <c r="K1323" s="4" t="e">
        <f>VLOOKUP(A1323,المعطيات!$A$1:$J$3500,6,0)</f>
        <v>#N/A</v>
      </c>
      <c r="L1323" s="1" t="s">
        <v>1486</v>
      </c>
      <c r="M1323" s="1" t="s">
        <v>1487</v>
      </c>
      <c r="N1323" s="4" t="e">
        <f t="shared" si="61"/>
        <v>#N/A</v>
      </c>
      <c r="O1323" s="1" t="s">
        <v>1488</v>
      </c>
      <c r="P1323" s="4" t="e">
        <f>VLOOKUP(A1323,المعطيات!$A$1:$J$3500,4,0)</f>
        <v>#N/A</v>
      </c>
      <c r="Q1323" s="1" t="s">
        <v>1489</v>
      </c>
      <c r="R1323" s="1" t="s">
        <v>1480</v>
      </c>
      <c r="S1323" s="6" t="e">
        <f t="shared" si="62"/>
        <v>#N/A</v>
      </c>
    </row>
    <row r="1324" spans="2:19" x14ac:dyDescent="0.25">
      <c r="B1324" s="1" t="s">
        <v>1479</v>
      </c>
      <c r="C1324" s="1" t="s">
        <v>1481</v>
      </c>
      <c r="D1324" s="4" t="e">
        <f>VLOOKUP(A1324,المعطيات!$A$1:$J$3500,5,0)</f>
        <v>#N/A</v>
      </c>
      <c r="E1324" s="1" t="s">
        <v>1482</v>
      </c>
      <c r="F1324" s="5">
        <f t="shared" si="60"/>
        <v>0</v>
      </c>
      <c r="G1324" s="5" t="s">
        <v>1483</v>
      </c>
      <c r="H1324" s="4" t="e">
        <f>VLOOKUP(A1324,المعطيات!$A$1:$J$3500,3,0)</f>
        <v>#N/A</v>
      </c>
      <c r="I1324" s="1" t="s">
        <v>1484</v>
      </c>
      <c r="J1324" s="1" t="s">
        <v>1485</v>
      </c>
      <c r="K1324" s="4" t="e">
        <f>VLOOKUP(A1324,المعطيات!$A$1:$J$3500,6,0)</f>
        <v>#N/A</v>
      </c>
      <c r="L1324" s="1" t="s">
        <v>1486</v>
      </c>
      <c r="M1324" s="1" t="s">
        <v>1487</v>
      </c>
      <c r="N1324" s="4" t="e">
        <f t="shared" si="61"/>
        <v>#N/A</v>
      </c>
      <c r="O1324" s="1" t="s">
        <v>1488</v>
      </c>
      <c r="P1324" s="4" t="e">
        <f>VLOOKUP(A1324,المعطيات!$A$1:$J$3500,4,0)</f>
        <v>#N/A</v>
      </c>
      <c r="Q1324" s="1" t="s">
        <v>1489</v>
      </c>
      <c r="R1324" s="1" t="s">
        <v>1480</v>
      </c>
      <c r="S1324" s="6" t="e">
        <f t="shared" si="62"/>
        <v>#N/A</v>
      </c>
    </row>
    <row r="1325" spans="2:19" x14ac:dyDescent="0.25">
      <c r="B1325" s="1" t="s">
        <v>1479</v>
      </c>
      <c r="C1325" s="1" t="s">
        <v>1481</v>
      </c>
      <c r="D1325" s="4" t="e">
        <f>VLOOKUP(A1325,المعطيات!$A$1:$J$3500,5,0)</f>
        <v>#N/A</v>
      </c>
      <c r="E1325" s="1" t="s">
        <v>1482</v>
      </c>
      <c r="F1325" s="5">
        <f t="shared" si="60"/>
        <v>0</v>
      </c>
      <c r="G1325" s="5" t="s">
        <v>1483</v>
      </c>
      <c r="H1325" s="4" t="e">
        <f>VLOOKUP(A1325,المعطيات!$A$1:$J$3500,3,0)</f>
        <v>#N/A</v>
      </c>
      <c r="I1325" s="1" t="s">
        <v>1484</v>
      </c>
      <c r="J1325" s="1" t="s">
        <v>1485</v>
      </c>
      <c r="K1325" s="4" t="e">
        <f>VLOOKUP(A1325,المعطيات!$A$1:$J$3500,6,0)</f>
        <v>#N/A</v>
      </c>
      <c r="L1325" s="1" t="s">
        <v>1486</v>
      </c>
      <c r="M1325" s="1" t="s">
        <v>1487</v>
      </c>
      <c r="N1325" s="4" t="e">
        <f t="shared" si="61"/>
        <v>#N/A</v>
      </c>
      <c r="O1325" s="1" t="s">
        <v>1488</v>
      </c>
      <c r="P1325" s="4" t="e">
        <f>VLOOKUP(A1325,المعطيات!$A$1:$J$3500,4,0)</f>
        <v>#N/A</v>
      </c>
      <c r="Q1325" s="1" t="s">
        <v>1489</v>
      </c>
      <c r="R1325" s="1" t="s">
        <v>1480</v>
      </c>
      <c r="S1325" s="6" t="e">
        <f t="shared" si="62"/>
        <v>#N/A</v>
      </c>
    </row>
    <row r="1326" spans="2:19" x14ac:dyDescent="0.25">
      <c r="B1326" s="1" t="s">
        <v>1479</v>
      </c>
      <c r="C1326" s="1" t="s">
        <v>1481</v>
      </c>
      <c r="D1326" s="4" t="e">
        <f>VLOOKUP(A1326,المعطيات!$A$1:$J$3500,5,0)</f>
        <v>#N/A</v>
      </c>
      <c r="E1326" s="1" t="s">
        <v>1482</v>
      </c>
      <c r="F1326" s="5">
        <f t="shared" si="60"/>
        <v>0</v>
      </c>
      <c r="G1326" s="5" t="s">
        <v>1483</v>
      </c>
      <c r="H1326" s="4" t="e">
        <f>VLOOKUP(A1326,المعطيات!$A$1:$J$3500,3,0)</f>
        <v>#N/A</v>
      </c>
      <c r="I1326" s="1" t="s">
        <v>1484</v>
      </c>
      <c r="J1326" s="1" t="s">
        <v>1485</v>
      </c>
      <c r="K1326" s="4" t="e">
        <f>VLOOKUP(A1326,المعطيات!$A$1:$J$3500,6,0)</f>
        <v>#N/A</v>
      </c>
      <c r="L1326" s="1" t="s">
        <v>1486</v>
      </c>
      <c r="M1326" s="1" t="s">
        <v>1487</v>
      </c>
      <c r="N1326" s="4" t="e">
        <f t="shared" si="61"/>
        <v>#N/A</v>
      </c>
      <c r="O1326" s="1" t="s">
        <v>1488</v>
      </c>
      <c r="P1326" s="4" t="e">
        <f>VLOOKUP(A1326,المعطيات!$A$1:$J$3500,4,0)</f>
        <v>#N/A</v>
      </c>
      <c r="Q1326" s="1" t="s">
        <v>1489</v>
      </c>
      <c r="R1326" s="1" t="s">
        <v>1480</v>
      </c>
      <c r="S1326" s="6" t="e">
        <f t="shared" si="62"/>
        <v>#N/A</v>
      </c>
    </row>
    <row r="1327" spans="2:19" x14ac:dyDescent="0.25">
      <c r="B1327" s="1" t="s">
        <v>1479</v>
      </c>
      <c r="C1327" s="1" t="s">
        <v>1481</v>
      </c>
      <c r="D1327" s="4" t="e">
        <f>VLOOKUP(A1327,المعطيات!$A$1:$J$3500,5,0)</f>
        <v>#N/A</v>
      </c>
      <c r="E1327" s="1" t="s">
        <v>1482</v>
      </c>
      <c r="F1327" s="5">
        <f t="shared" si="60"/>
        <v>0</v>
      </c>
      <c r="G1327" s="5" t="s">
        <v>1483</v>
      </c>
      <c r="H1327" s="4" t="e">
        <f>VLOOKUP(A1327,المعطيات!$A$1:$J$3500,3,0)</f>
        <v>#N/A</v>
      </c>
      <c r="I1327" s="1" t="s">
        <v>1484</v>
      </c>
      <c r="J1327" s="1" t="s">
        <v>1485</v>
      </c>
      <c r="K1327" s="4" t="e">
        <f>VLOOKUP(A1327,المعطيات!$A$1:$J$3500,6,0)</f>
        <v>#N/A</v>
      </c>
      <c r="L1327" s="1" t="s">
        <v>1486</v>
      </c>
      <c r="M1327" s="1" t="s">
        <v>1487</v>
      </c>
      <c r="N1327" s="4" t="e">
        <f t="shared" si="61"/>
        <v>#N/A</v>
      </c>
      <c r="O1327" s="1" t="s">
        <v>1488</v>
      </c>
      <c r="P1327" s="4" t="e">
        <f>VLOOKUP(A1327,المعطيات!$A$1:$J$3500,4,0)</f>
        <v>#N/A</v>
      </c>
      <c r="Q1327" s="1" t="s">
        <v>1489</v>
      </c>
      <c r="R1327" s="1" t="s">
        <v>1480</v>
      </c>
      <c r="S1327" s="6" t="e">
        <f t="shared" si="62"/>
        <v>#N/A</v>
      </c>
    </row>
    <row r="1328" spans="2:19" x14ac:dyDescent="0.25">
      <c r="B1328" s="1" t="s">
        <v>1479</v>
      </c>
      <c r="C1328" s="1" t="s">
        <v>1481</v>
      </c>
      <c r="D1328" s="4" t="e">
        <f>VLOOKUP(A1328,المعطيات!$A$1:$J$3500,5,0)</f>
        <v>#N/A</v>
      </c>
      <c r="E1328" s="1" t="s">
        <v>1482</v>
      </c>
      <c r="F1328" s="5">
        <f t="shared" si="60"/>
        <v>0</v>
      </c>
      <c r="G1328" s="5" t="s">
        <v>1483</v>
      </c>
      <c r="H1328" s="4" t="e">
        <f>VLOOKUP(A1328,المعطيات!$A$1:$J$3500,3,0)</f>
        <v>#N/A</v>
      </c>
      <c r="I1328" s="1" t="s">
        <v>1484</v>
      </c>
      <c r="J1328" s="1" t="s">
        <v>1485</v>
      </c>
      <c r="K1328" s="4" t="e">
        <f>VLOOKUP(A1328,المعطيات!$A$1:$J$3500,6,0)</f>
        <v>#N/A</v>
      </c>
      <c r="L1328" s="1" t="s">
        <v>1486</v>
      </c>
      <c r="M1328" s="1" t="s">
        <v>1487</v>
      </c>
      <c r="N1328" s="4" t="e">
        <f t="shared" si="61"/>
        <v>#N/A</v>
      </c>
      <c r="O1328" s="1" t="s">
        <v>1488</v>
      </c>
      <c r="P1328" s="4" t="e">
        <f>VLOOKUP(A1328,المعطيات!$A$1:$J$3500,4,0)</f>
        <v>#N/A</v>
      </c>
      <c r="Q1328" s="1" t="s">
        <v>1489</v>
      </c>
      <c r="R1328" s="1" t="s">
        <v>1480</v>
      </c>
      <c r="S1328" s="6" t="e">
        <f t="shared" si="62"/>
        <v>#N/A</v>
      </c>
    </row>
    <row r="1329" spans="2:19" x14ac:dyDescent="0.25">
      <c r="B1329" s="1" t="s">
        <v>1479</v>
      </c>
      <c r="C1329" s="1" t="s">
        <v>1481</v>
      </c>
      <c r="D1329" s="4" t="e">
        <f>VLOOKUP(A1329,المعطيات!$A$1:$J$3500,5,0)</f>
        <v>#N/A</v>
      </c>
      <c r="E1329" s="1" t="s">
        <v>1482</v>
      </c>
      <c r="F1329" s="5">
        <f t="shared" si="60"/>
        <v>0</v>
      </c>
      <c r="G1329" s="5" t="s">
        <v>1483</v>
      </c>
      <c r="H1329" s="4" t="e">
        <f>VLOOKUP(A1329,المعطيات!$A$1:$J$3500,3,0)</f>
        <v>#N/A</v>
      </c>
      <c r="I1329" s="1" t="s">
        <v>1484</v>
      </c>
      <c r="J1329" s="1" t="s">
        <v>1485</v>
      </c>
      <c r="K1329" s="4" t="e">
        <f>VLOOKUP(A1329,المعطيات!$A$1:$J$3500,6,0)</f>
        <v>#N/A</v>
      </c>
      <c r="L1329" s="1" t="s">
        <v>1486</v>
      </c>
      <c r="M1329" s="1" t="s">
        <v>1487</v>
      </c>
      <c r="N1329" s="4" t="e">
        <f t="shared" si="61"/>
        <v>#N/A</v>
      </c>
      <c r="O1329" s="1" t="s">
        <v>1488</v>
      </c>
      <c r="P1329" s="4" t="e">
        <f>VLOOKUP(A1329,المعطيات!$A$1:$J$3500,4,0)</f>
        <v>#N/A</v>
      </c>
      <c r="Q1329" s="1" t="s">
        <v>1489</v>
      </c>
      <c r="R1329" s="1" t="s">
        <v>1480</v>
      </c>
      <c r="S1329" s="6" t="e">
        <f t="shared" si="62"/>
        <v>#N/A</v>
      </c>
    </row>
    <row r="1330" spans="2:19" x14ac:dyDescent="0.25">
      <c r="B1330" s="1" t="s">
        <v>1479</v>
      </c>
      <c r="C1330" s="1" t="s">
        <v>1481</v>
      </c>
      <c r="D1330" s="4" t="e">
        <f>VLOOKUP(A1330,المعطيات!$A$1:$J$3500,5,0)</f>
        <v>#N/A</v>
      </c>
      <c r="E1330" s="1" t="s">
        <v>1482</v>
      </c>
      <c r="F1330" s="5">
        <f t="shared" si="60"/>
        <v>0</v>
      </c>
      <c r="G1330" s="5" t="s">
        <v>1483</v>
      </c>
      <c r="H1330" s="4" t="e">
        <f>VLOOKUP(A1330,المعطيات!$A$1:$J$3500,3,0)</f>
        <v>#N/A</v>
      </c>
      <c r="I1330" s="1" t="s">
        <v>1484</v>
      </c>
      <c r="J1330" s="1" t="s">
        <v>1485</v>
      </c>
      <c r="K1330" s="4" t="e">
        <f>VLOOKUP(A1330,المعطيات!$A$1:$J$3500,6,0)</f>
        <v>#N/A</v>
      </c>
      <c r="L1330" s="1" t="s">
        <v>1486</v>
      </c>
      <c r="M1330" s="1" t="s">
        <v>1487</v>
      </c>
      <c r="N1330" s="4" t="e">
        <f t="shared" si="61"/>
        <v>#N/A</v>
      </c>
      <c r="O1330" s="1" t="s">
        <v>1488</v>
      </c>
      <c r="P1330" s="4" t="e">
        <f>VLOOKUP(A1330,المعطيات!$A$1:$J$3500,4,0)</f>
        <v>#N/A</v>
      </c>
      <c r="Q1330" s="1" t="s">
        <v>1489</v>
      </c>
      <c r="R1330" s="1" t="s">
        <v>1480</v>
      </c>
      <c r="S1330" s="6" t="e">
        <f t="shared" si="62"/>
        <v>#N/A</v>
      </c>
    </row>
    <row r="1331" spans="2:19" x14ac:dyDescent="0.25">
      <c r="B1331" s="1" t="s">
        <v>1479</v>
      </c>
      <c r="C1331" s="1" t="s">
        <v>1481</v>
      </c>
      <c r="D1331" s="4" t="e">
        <f>VLOOKUP(A1331,المعطيات!$A$1:$J$3500,5,0)</f>
        <v>#N/A</v>
      </c>
      <c r="E1331" s="1" t="s">
        <v>1482</v>
      </c>
      <c r="F1331" s="5">
        <f t="shared" si="60"/>
        <v>0</v>
      </c>
      <c r="G1331" s="5" t="s">
        <v>1483</v>
      </c>
      <c r="H1331" s="4" t="e">
        <f>VLOOKUP(A1331,المعطيات!$A$1:$J$3500,3,0)</f>
        <v>#N/A</v>
      </c>
      <c r="I1331" s="1" t="s">
        <v>1484</v>
      </c>
      <c r="J1331" s="1" t="s">
        <v>1485</v>
      </c>
      <c r="K1331" s="4" t="e">
        <f>VLOOKUP(A1331,المعطيات!$A$1:$J$3500,6,0)</f>
        <v>#N/A</v>
      </c>
      <c r="L1331" s="1" t="s">
        <v>1486</v>
      </c>
      <c r="M1331" s="1" t="s">
        <v>1487</v>
      </c>
      <c r="N1331" s="4" t="e">
        <f t="shared" si="61"/>
        <v>#N/A</v>
      </c>
      <c r="O1331" s="1" t="s">
        <v>1488</v>
      </c>
      <c r="P1331" s="4" t="e">
        <f>VLOOKUP(A1331,المعطيات!$A$1:$J$3500,4,0)</f>
        <v>#N/A</v>
      </c>
      <c r="Q1331" s="1" t="s">
        <v>1489</v>
      </c>
      <c r="R1331" s="1" t="s">
        <v>1480</v>
      </c>
      <c r="S1331" s="6" t="e">
        <f t="shared" si="62"/>
        <v>#N/A</v>
      </c>
    </row>
    <row r="1332" spans="2:19" x14ac:dyDescent="0.25">
      <c r="B1332" s="1" t="s">
        <v>1479</v>
      </c>
      <c r="C1332" s="1" t="s">
        <v>1481</v>
      </c>
      <c r="D1332" s="4" t="e">
        <f>VLOOKUP(A1332,المعطيات!$A$1:$J$3500,5,0)</f>
        <v>#N/A</v>
      </c>
      <c r="E1332" s="1" t="s">
        <v>1482</v>
      </c>
      <c r="F1332" s="5">
        <f t="shared" si="60"/>
        <v>0</v>
      </c>
      <c r="G1332" s="5" t="s">
        <v>1483</v>
      </c>
      <c r="H1332" s="4" t="e">
        <f>VLOOKUP(A1332,المعطيات!$A$1:$J$3500,3,0)</f>
        <v>#N/A</v>
      </c>
      <c r="I1332" s="1" t="s">
        <v>1484</v>
      </c>
      <c r="J1332" s="1" t="s">
        <v>1485</v>
      </c>
      <c r="K1332" s="4" t="e">
        <f>VLOOKUP(A1332,المعطيات!$A$1:$J$3500,6,0)</f>
        <v>#N/A</v>
      </c>
      <c r="L1332" s="1" t="s">
        <v>1486</v>
      </c>
      <c r="M1332" s="1" t="s">
        <v>1487</v>
      </c>
      <c r="N1332" s="4" t="e">
        <f t="shared" si="61"/>
        <v>#N/A</v>
      </c>
      <c r="O1332" s="1" t="s">
        <v>1488</v>
      </c>
      <c r="P1332" s="4" t="e">
        <f>VLOOKUP(A1332,المعطيات!$A$1:$J$3500,4,0)</f>
        <v>#N/A</v>
      </c>
      <c r="Q1332" s="1" t="s">
        <v>1489</v>
      </c>
      <c r="R1332" s="1" t="s">
        <v>1480</v>
      </c>
      <c r="S1332" s="6" t="e">
        <f t="shared" si="62"/>
        <v>#N/A</v>
      </c>
    </row>
    <row r="1333" spans="2:19" x14ac:dyDescent="0.25">
      <c r="B1333" s="1" t="s">
        <v>1479</v>
      </c>
      <c r="C1333" s="1" t="s">
        <v>1481</v>
      </c>
      <c r="D1333" s="4" t="e">
        <f>VLOOKUP(A1333,المعطيات!$A$1:$J$3500,5,0)</f>
        <v>#N/A</v>
      </c>
      <c r="E1333" s="1" t="s">
        <v>1482</v>
      </c>
      <c r="F1333" s="5">
        <f t="shared" si="60"/>
        <v>0</v>
      </c>
      <c r="G1333" s="5" t="s">
        <v>1483</v>
      </c>
      <c r="H1333" s="4" t="e">
        <f>VLOOKUP(A1333,المعطيات!$A$1:$J$3500,3,0)</f>
        <v>#N/A</v>
      </c>
      <c r="I1333" s="1" t="s">
        <v>1484</v>
      </c>
      <c r="J1333" s="1" t="s">
        <v>1485</v>
      </c>
      <c r="K1333" s="4" t="e">
        <f>VLOOKUP(A1333,المعطيات!$A$1:$J$3500,6,0)</f>
        <v>#N/A</v>
      </c>
      <c r="L1333" s="1" t="s">
        <v>1486</v>
      </c>
      <c r="M1333" s="1" t="s">
        <v>1487</v>
      </c>
      <c r="N1333" s="4" t="e">
        <f t="shared" si="61"/>
        <v>#N/A</v>
      </c>
      <c r="O1333" s="1" t="s">
        <v>1488</v>
      </c>
      <c r="P1333" s="4" t="e">
        <f>VLOOKUP(A1333,المعطيات!$A$1:$J$3500,4,0)</f>
        <v>#N/A</v>
      </c>
      <c r="Q1333" s="1" t="s">
        <v>1489</v>
      </c>
      <c r="R1333" s="1" t="s">
        <v>1480</v>
      </c>
      <c r="S1333" s="6" t="e">
        <f t="shared" si="62"/>
        <v>#N/A</v>
      </c>
    </row>
    <row r="1334" spans="2:19" x14ac:dyDescent="0.25">
      <c r="B1334" s="1" t="s">
        <v>1479</v>
      </c>
      <c r="C1334" s="1" t="s">
        <v>1481</v>
      </c>
      <c r="D1334" s="4" t="e">
        <f>VLOOKUP(A1334,المعطيات!$A$1:$J$3500,5,0)</f>
        <v>#N/A</v>
      </c>
      <c r="E1334" s="1" t="s">
        <v>1482</v>
      </c>
      <c r="F1334" s="5">
        <f t="shared" si="60"/>
        <v>0</v>
      </c>
      <c r="G1334" s="5" t="s">
        <v>1483</v>
      </c>
      <c r="H1334" s="4" t="e">
        <f>VLOOKUP(A1334,المعطيات!$A$1:$J$3500,3,0)</f>
        <v>#N/A</v>
      </c>
      <c r="I1334" s="1" t="s">
        <v>1484</v>
      </c>
      <c r="J1334" s="1" t="s">
        <v>1485</v>
      </c>
      <c r="K1334" s="4" t="e">
        <f>VLOOKUP(A1334,المعطيات!$A$1:$J$3500,6,0)</f>
        <v>#N/A</v>
      </c>
      <c r="L1334" s="1" t="s">
        <v>1486</v>
      </c>
      <c r="M1334" s="1" t="s">
        <v>1487</v>
      </c>
      <c r="N1334" s="4" t="e">
        <f t="shared" si="61"/>
        <v>#N/A</v>
      </c>
      <c r="O1334" s="1" t="s">
        <v>1488</v>
      </c>
      <c r="P1334" s="4" t="e">
        <f>VLOOKUP(A1334,المعطيات!$A$1:$J$3500,4,0)</f>
        <v>#N/A</v>
      </c>
      <c r="Q1334" s="1" t="s">
        <v>1489</v>
      </c>
      <c r="R1334" s="1" t="s">
        <v>1480</v>
      </c>
      <c r="S1334" s="6" t="e">
        <f t="shared" si="62"/>
        <v>#N/A</v>
      </c>
    </row>
    <row r="1335" spans="2:19" x14ac:dyDescent="0.25">
      <c r="B1335" s="1" t="s">
        <v>1479</v>
      </c>
      <c r="C1335" s="1" t="s">
        <v>1481</v>
      </c>
      <c r="D1335" s="4" t="e">
        <f>VLOOKUP(A1335,المعطيات!$A$1:$J$3500,5,0)</f>
        <v>#N/A</v>
      </c>
      <c r="E1335" s="1" t="s">
        <v>1482</v>
      </c>
      <c r="F1335" s="5">
        <f t="shared" si="60"/>
        <v>0</v>
      </c>
      <c r="G1335" s="5" t="s">
        <v>1483</v>
      </c>
      <c r="H1335" s="4" t="e">
        <f>VLOOKUP(A1335,المعطيات!$A$1:$J$3500,3,0)</f>
        <v>#N/A</v>
      </c>
      <c r="I1335" s="1" t="s">
        <v>1484</v>
      </c>
      <c r="J1335" s="1" t="s">
        <v>1485</v>
      </c>
      <c r="K1335" s="4" t="e">
        <f>VLOOKUP(A1335,المعطيات!$A$1:$J$3500,6,0)</f>
        <v>#N/A</v>
      </c>
      <c r="L1335" s="1" t="s">
        <v>1486</v>
      </c>
      <c r="M1335" s="1" t="s">
        <v>1487</v>
      </c>
      <c r="N1335" s="4" t="e">
        <f t="shared" si="61"/>
        <v>#N/A</v>
      </c>
      <c r="O1335" s="1" t="s">
        <v>1488</v>
      </c>
      <c r="P1335" s="4" t="e">
        <f>VLOOKUP(A1335,المعطيات!$A$1:$J$3500,4,0)</f>
        <v>#N/A</v>
      </c>
      <c r="Q1335" s="1" t="s">
        <v>1489</v>
      </c>
      <c r="R1335" s="1" t="s">
        <v>1480</v>
      </c>
      <c r="S1335" s="6" t="e">
        <f t="shared" si="62"/>
        <v>#N/A</v>
      </c>
    </row>
    <row r="1336" spans="2:19" x14ac:dyDescent="0.25">
      <c r="B1336" s="1" t="s">
        <v>1479</v>
      </c>
      <c r="C1336" s="1" t="s">
        <v>1481</v>
      </c>
      <c r="D1336" s="4" t="e">
        <f>VLOOKUP(A1336,المعطيات!$A$1:$J$3500,5,0)</f>
        <v>#N/A</v>
      </c>
      <c r="E1336" s="1" t="s">
        <v>1482</v>
      </c>
      <c r="F1336" s="5">
        <f t="shared" si="60"/>
        <v>0</v>
      </c>
      <c r="G1336" s="5" t="s">
        <v>1483</v>
      </c>
      <c r="H1336" s="4" t="e">
        <f>VLOOKUP(A1336,المعطيات!$A$1:$J$3500,3,0)</f>
        <v>#N/A</v>
      </c>
      <c r="I1336" s="1" t="s">
        <v>1484</v>
      </c>
      <c r="J1336" s="1" t="s">
        <v>1485</v>
      </c>
      <c r="K1336" s="4" t="e">
        <f>VLOOKUP(A1336,المعطيات!$A$1:$J$3500,6,0)</f>
        <v>#N/A</v>
      </c>
      <c r="L1336" s="1" t="s">
        <v>1486</v>
      </c>
      <c r="M1336" s="1" t="s">
        <v>1487</v>
      </c>
      <c r="N1336" s="4" t="e">
        <f t="shared" si="61"/>
        <v>#N/A</v>
      </c>
      <c r="O1336" s="1" t="s">
        <v>1488</v>
      </c>
      <c r="P1336" s="4" t="e">
        <f>VLOOKUP(A1336,المعطيات!$A$1:$J$3500,4,0)</f>
        <v>#N/A</v>
      </c>
      <c r="Q1336" s="1" t="s">
        <v>1489</v>
      </c>
      <c r="R1336" s="1" t="s">
        <v>1480</v>
      </c>
      <c r="S1336" s="6" t="e">
        <f t="shared" si="62"/>
        <v>#N/A</v>
      </c>
    </row>
    <row r="1337" spans="2:19" x14ac:dyDescent="0.25">
      <c r="B1337" s="1" t="s">
        <v>1479</v>
      </c>
      <c r="C1337" s="1" t="s">
        <v>1481</v>
      </c>
      <c r="D1337" s="4" t="e">
        <f>VLOOKUP(A1337,المعطيات!$A$1:$J$3500,5,0)</f>
        <v>#N/A</v>
      </c>
      <c r="E1337" s="1" t="s">
        <v>1482</v>
      </c>
      <c r="F1337" s="5">
        <f t="shared" si="60"/>
        <v>0</v>
      </c>
      <c r="G1337" s="5" t="s">
        <v>1483</v>
      </c>
      <c r="H1337" s="4" t="e">
        <f>VLOOKUP(A1337,المعطيات!$A$1:$J$3500,3,0)</f>
        <v>#N/A</v>
      </c>
      <c r="I1337" s="1" t="s">
        <v>1484</v>
      </c>
      <c r="J1337" s="1" t="s">
        <v>1485</v>
      </c>
      <c r="K1337" s="4" t="e">
        <f>VLOOKUP(A1337,المعطيات!$A$1:$J$3500,6,0)</f>
        <v>#N/A</v>
      </c>
      <c r="L1337" s="1" t="s">
        <v>1486</v>
      </c>
      <c r="M1337" s="1" t="s">
        <v>1487</v>
      </c>
      <c r="N1337" s="4" t="e">
        <f t="shared" si="61"/>
        <v>#N/A</v>
      </c>
      <c r="O1337" s="1" t="s">
        <v>1488</v>
      </c>
      <c r="P1337" s="4" t="e">
        <f>VLOOKUP(A1337,المعطيات!$A$1:$J$3500,4,0)</f>
        <v>#N/A</v>
      </c>
      <c r="Q1337" s="1" t="s">
        <v>1489</v>
      </c>
      <c r="R1337" s="1" t="s">
        <v>1480</v>
      </c>
      <c r="S1337" s="6" t="e">
        <f t="shared" si="62"/>
        <v>#N/A</v>
      </c>
    </row>
    <row r="1338" spans="2:19" x14ac:dyDescent="0.25">
      <c r="B1338" s="1" t="s">
        <v>1479</v>
      </c>
      <c r="C1338" s="1" t="s">
        <v>1481</v>
      </c>
      <c r="D1338" s="4" t="e">
        <f>VLOOKUP(A1338,المعطيات!$A$1:$J$3500,5,0)</f>
        <v>#N/A</v>
      </c>
      <c r="E1338" s="1" t="s">
        <v>1482</v>
      </c>
      <c r="F1338" s="5">
        <f t="shared" si="60"/>
        <v>0</v>
      </c>
      <c r="G1338" s="5" t="s">
        <v>1483</v>
      </c>
      <c r="H1338" s="4" t="e">
        <f>VLOOKUP(A1338,المعطيات!$A$1:$J$3500,3,0)</f>
        <v>#N/A</v>
      </c>
      <c r="I1338" s="1" t="s">
        <v>1484</v>
      </c>
      <c r="J1338" s="1" t="s">
        <v>1485</v>
      </c>
      <c r="K1338" s="4" t="e">
        <f>VLOOKUP(A1338,المعطيات!$A$1:$J$3500,6,0)</f>
        <v>#N/A</v>
      </c>
      <c r="L1338" s="1" t="s">
        <v>1486</v>
      </c>
      <c r="M1338" s="1" t="s">
        <v>1487</v>
      </c>
      <c r="N1338" s="4" t="e">
        <f t="shared" si="61"/>
        <v>#N/A</v>
      </c>
      <c r="O1338" s="1" t="s">
        <v>1488</v>
      </c>
      <c r="P1338" s="4" t="e">
        <f>VLOOKUP(A1338,المعطيات!$A$1:$J$3500,4,0)</f>
        <v>#N/A</v>
      </c>
      <c r="Q1338" s="1" t="s">
        <v>1489</v>
      </c>
      <c r="R1338" s="1" t="s">
        <v>1480</v>
      </c>
      <c r="S1338" s="6" t="e">
        <f t="shared" si="62"/>
        <v>#N/A</v>
      </c>
    </row>
    <row r="1339" spans="2:19" x14ac:dyDescent="0.25">
      <c r="B1339" s="1" t="s">
        <v>1479</v>
      </c>
      <c r="C1339" s="1" t="s">
        <v>1481</v>
      </c>
      <c r="D1339" s="4" t="e">
        <f>VLOOKUP(A1339,المعطيات!$A$1:$J$3500,5,0)</f>
        <v>#N/A</v>
      </c>
      <c r="E1339" s="1" t="s">
        <v>1482</v>
      </c>
      <c r="F1339" s="5">
        <f t="shared" si="60"/>
        <v>0</v>
      </c>
      <c r="G1339" s="5" t="s">
        <v>1483</v>
      </c>
      <c r="H1339" s="4" t="e">
        <f>VLOOKUP(A1339,المعطيات!$A$1:$J$3500,3,0)</f>
        <v>#N/A</v>
      </c>
      <c r="I1339" s="1" t="s">
        <v>1484</v>
      </c>
      <c r="J1339" s="1" t="s">
        <v>1485</v>
      </c>
      <c r="K1339" s="4" t="e">
        <f>VLOOKUP(A1339,المعطيات!$A$1:$J$3500,6,0)</f>
        <v>#N/A</v>
      </c>
      <c r="L1339" s="1" t="s">
        <v>1486</v>
      </c>
      <c r="M1339" s="1" t="s">
        <v>1487</v>
      </c>
      <c r="N1339" s="4" t="e">
        <f t="shared" si="61"/>
        <v>#N/A</v>
      </c>
      <c r="O1339" s="1" t="s">
        <v>1488</v>
      </c>
      <c r="P1339" s="4" t="e">
        <f>VLOOKUP(A1339,المعطيات!$A$1:$J$3500,4,0)</f>
        <v>#N/A</v>
      </c>
      <c r="Q1339" s="1" t="s">
        <v>1489</v>
      </c>
      <c r="R1339" s="1" t="s">
        <v>1480</v>
      </c>
      <c r="S1339" s="6" t="e">
        <f t="shared" si="62"/>
        <v>#N/A</v>
      </c>
    </row>
    <row r="1340" spans="2:19" x14ac:dyDescent="0.25">
      <c r="B1340" s="1" t="s">
        <v>1479</v>
      </c>
      <c r="C1340" s="1" t="s">
        <v>1481</v>
      </c>
      <c r="D1340" s="4" t="e">
        <f>VLOOKUP(A1340,المعطيات!$A$1:$J$3500,5,0)</f>
        <v>#N/A</v>
      </c>
      <c r="E1340" s="1" t="s">
        <v>1482</v>
      </c>
      <c r="F1340" s="5">
        <f t="shared" si="60"/>
        <v>0</v>
      </c>
      <c r="G1340" s="5" t="s">
        <v>1483</v>
      </c>
      <c r="H1340" s="4" t="e">
        <f>VLOOKUP(A1340,المعطيات!$A$1:$J$3500,3,0)</f>
        <v>#N/A</v>
      </c>
      <c r="I1340" s="1" t="s">
        <v>1484</v>
      </c>
      <c r="J1340" s="1" t="s">
        <v>1485</v>
      </c>
      <c r="K1340" s="4" t="e">
        <f>VLOOKUP(A1340,المعطيات!$A$1:$J$3500,6,0)</f>
        <v>#N/A</v>
      </c>
      <c r="L1340" s="1" t="s">
        <v>1486</v>
      </c>
      <c r="M1340" s="1" t="s">
        <v>1487</v>
      </c>
      <c r="N1340" s="4" t="e">
        <f t="shared" si="61"/>
        <v>#N/A</v>
      </c>
      <c r="O1340" s="1" t="s">
        <v>1488</v>
      </c>
      <c r="P1340" s="4" t="e">
        <f>VLOOKUP(A1340,المعطيات!$A$1:$J$3500,4,0)</f>
        <v>#N/A</v>
      </c>
      <c r="Q1340" s="1" t="s">
        <v>1489</v>
      </c>
      <c r="R1340" s="1" t="s">
        <v>1480</v>
      </c>
      <c r="S1340" s="6" t="e">
        <f t="shared" si="62"/>
        <v>#N/A</v>
      </c>
    </row>
    <row r="1341" spans="2:19" x14ac:dyDescent="0.25">
      <c r="B1341" s="1" t="s">
        <v>1479</v>
      </c>
      <c r="C1341" s="1" t="s">
        <v>1481</v>
      </c>
      <c r="D1341" s="4" t="e">
        <f>VLOOKUP(A1341,المعطيات!$A$1:$J$3500,5,0)</f>
        <v>#N/A</v>
      </c>
      <c r="E1341" s="1" t="s">
        <v>1482</v>
      </c>
      <c r="F1341" s="5">
        <f t="shared" si="60"/>
        <v>0</v>
      </c>
      <c r="G1341" s="5" t="s">
        <v>1483</v>
      </c>
      <c r="H1341" s="4" t="e">
        <f>VLOOKUP(A1341,المعطيات!$A$1:$J$3500,3,0)</f>
        <v>#N/A</v>
      </c>
      <c r="I1341" s="1" t="s">
        <v>1484</v>
      </c>
      <c r="J1341" s="1" t="s">
        <v>1485</v>
      </c>
      <c r="K1341" s="4" t="e">
        <f>VLOOKUP(A1341,المعطيات!$A$1:$J$3500,6,0)</f>
        <v>#N/A</v>
      </c>
      <c r="L1341" s="1" t="s">
        <v>1486</v>
      </c>
      <c r="M1341" s="1" t="s">
        <v>1487</v>
      </c>
      <c r="N1341" s="4" t="e">
        <f t="shared" si="61"/>
        <v>#N/A</v>
      </c>
      <c r="O1341" s="1" t="s">
        <v>1488</v>
      </c>
      <c r="P1341" s="4" t="e">
        <f>VLOOKUP(A1341,المعطيات!$A$1:$J$3500,4,0)</f>
        <v>#N/A</v>
      </c>
      <c r="Q1341" s="1" t="s">
        <v>1489</v>
      </c>
      <c r="R1341" s="1" t="s">
        <v>1480</v>
      </c>
      <c r="S1341" s="6" t="e">
        <f t="shared" si="62"/>
        <v>#N/A</v>
      </c>
    </row>
    <row r="1342" spans="2:19" x14ac:dyDescent="0.25">
      <c r="B1342" s="1" t="s">
        <v>1479</v>
      </c>
      <c r="C1342" s="1" t="s">
        <v>1481</v>
      </c>
      <c r="D1342" s="4" t="e">
        <f>VLOOKUP(A1342,المعطيات!$A$1:$J$3500,5,0)</f>
        <v>#N/A</v>
      </c>
      <c r="E1342" s="1" t="s">
        <v>1482</v>
      </c>
      <c r="F1342" s="5">
        <f t="shared" si="60"/>
        <v>0</v>
      </c>
      <c r="G1342" s="5" t="s">
        <v>1483</v>
      </c>
      <c r="H1342" s="4" t="e">
        <f>VLOOKUP(A1342,المعطيات!$A$1:$J$3500,3,0)</f>
        <v>#N/A</v>
      </c>
      <c r="I1342" s="1" t="s">
        <v>1484</v>
      </c>
      <c r="J1342" s="1" t="s">
        <v>1485</v>
      </c>
      <c r="K1342" s="4" t="e">
        <f>VLOOKUP(A1342,المعطيات!$A$1:$J$3500,6,0)</f>
        <v>#N/A</v>
      </c>
      <c r="L1342" s="1" t="s">
        <v>1486</v>
      </c>
      <c r="M1342" s="1" t="s">
        <v>1487</v>
      </c>
      <c r="N1342" s="4" t="e">
        <f t="shared" si="61"/>
        <v>#N/A</v>
      </c>
      <c r="O1342" s="1" t="s">
        <v>1488</v>
      </c>
      <c r="P1342" s="4" t="e">
        <f>VLOOKUP(A1342,المعطيات!$A$1:$J$3500,4,0)</f>
        <v>#N/A</v>
      </c>
      <c r="Q1342" s="1" t="s">
        <v>1489</v>
      </c>
      <c r="R1342" s="1" t="s">
        <v>1480</v>
      </c>
      <c r="S1342" s="6" t="e">
        <f t="shared" si="62"/>
        <v>#N/A</v>
      </c>
    </row>
    <row r="1343" spans="2:19" x14ac:dyDescent="0.25">
      <c r="B1343" s="1" t="s">
        <v>1479</v>
      </c>
      <c r="C1343" s="1" t="s">
        <v>1481</v>
      </c>
      <c r="D1343" s="4" t="e">
        <f>VLOOKUP(A1343,المعطيات!$A$1:$J$3500,5,0)</f>
        <v>#N/A</v>
      </c>
      <c r="E1343" s="1" t="s">
        <v>1482</v>
      </c>
      <c r="F1343" s="5">
        <f t="shared" si="60"/>
        <v>0</v>
      </c>
      <c r="G1343" s="5" t="s">
        <v>1483</v>
      </c>
      <c r="H1343" s="4" t="e">
        <f>VLOOKUP(A1343,المعطيات!$A$1:$J$3500,3,0)</f>
        <v>#N/A</v>
      </c>
      <c r="I1343" s="1" t="s">
        <v>1484</v>
      </c>
      <c r="J1343" s="1" t="s">
        <v>1485</v>
      </c>
      <c r="K1343" s="4" t="e">
        <f>VLOOKUP(A1343,المعطيات!$A$1:$J$3500,6,0)</f>
        <v>#N/A</v>
      </c>
      <c r="L1343" s="1" t="s">
        <v>1486</v>
      </c>
      <c r="M1343" s="1" t="s">
        <v>1487</v>
      </c>
      <c r="N1343" s="4" t="e">
        <f t="shared" si="61"/>
        <v>#N/A</v>
      </c>
      <c r="O1343" s="1" t="s">
        <v>1488</v>
      </c>
      <c r="P1343" s="4" t="e">
        <f>VLOOKUP(A1343,المعطيات!$A$1:$J$3500,4,0)</f>
        <v>#N/A</v>
      </c>
      <c r="Q1343" s="1" t="s">
        <v>1489</v>
      </c>
      <c r="R1343" s="1" t="s">
        <v>1480</v>
      </c>
      <c r="S1343" s="6" t="e">
        <f t="shared" si="62"/>
        <v>#N/A</v>
      </c>
    </row>
    <row r="1344" spans="2:19" x14ac:dyDescent="0.25">
      <c r="B1344" s="1" t="s">
        <v>1479</v>
      </c>
      <c r="C1344" s="1" t="s">
        <v>1481</v>
      </c>
      <c r="D1344" s="4" t="e">
        <f>VLOOKUP(A1344,المعطيات!$A$1:$J$3500,5,0)</f>
        <v>#N/A</v>
      </c>
      <c r="E1344" s="1" t="s">
        <v>1482</v>
      </c>
      <c r="F1344" s="5">
        <f t="shared" si="60"/>
        <v>0</v>
      </c>
      <c r="G1344" s="5" t="s">
        <v>1483</v>
      </c>
      <c r="H1344" s="4" t="e">
        <f>VLOOKUP(A1344,المعطيات!$A$1:$J$3500,3,0)</f>
        <v>#N/A</v>
      </c>
      <c r="I1344" s="1" t="s">
        <v>1484</v>
      </c>
      <c r="J1344" s="1" t="s">
        <v>1485</v>
      </c>
      <c r="K1344" s="4" t="e">
        <f>VLOOKUP(A1344,المعطيات!$A$1:$J$3500,6,0)</f>
        <v>#N/A</v>
      </c>
      <c r="L1344" s="1" t="s">
        <v>1486</v>
      </c>
      <c r="M1344" s="1" t="s">
        <v>1487</v>
      </c>
      <c r="N1344" s="4" t="e">
        <f t="shared" si="61"/>
        <v>#N/A</v>
      </c>
      <c r="O1344" s="1" t="s">
        <v>1488</v>
      </c>
      <c r="P1344" s="4" t="e">
        <f>VLOOKUP(A1344,المعطيات!$A$1:$J$3500,4,0)</f>
        <v>#N/A</v>
      </c>
      <c r="Q1344" s="1" t="s">
        <v>1489</v>
      </c>
      <c r="R1344" s="1" t="s">
        <v>1480</v>
      </c>
      <c r="S1344" s="6" t="e">
        <f t="shared" si="62"/>
        <v>#N/A</v>
      </c>
    </row>
    <row r="1345" spans="2:19" x14ac:dyDescent="0.25">
      <c r="B1345" s="1" t="s">
        <v>1479</v>
      </c>
      <c r="C1345" s="1" t="s">
        <v>1481</v>
      </c>
      <c r="D1345" s="4" t="e">
        <f>VLOOKUP(A1345,المعطيات!$A$1:$J$3500,5,0)</f>
        <v>#N/A</v>
      </c>
      <c r="E1345" s="1" t="s">
        <v>1482</v>
      </c>
      <c r="F1345" s="5">
        <f t="shared" si="60"/>
        <v>0</v>
      </c>
      <c r="G1345" s="5" t="s">
        <v>1483</v>
      </c>
      <c r="H1345" s="4" t="e">
        <f>VLOOKUP(A1345,المعطيات!$A$1:$J$3500,3,0)</f>
        <v>#N/A</v>
      </c>
      <c r="I1345" s="1" t="s">
        <v>1484</v>
      </c>
      <c r="J1345" s="1" t="s">
        <v>1485</v>
      </c>
      <c r="K1345" s="4" t="e">
        <f>VLOOKUP(A1345,المعطيات!$A$1:$J$3500,6,0)</f>
        <v>#N/A</v>
      </c>
      <c r="L1345" s="1" t="s">
        <v>1486</v>
      </c>
      <c r="M1345" s="1" t="s">
        <v>1487</v>
      </c>
      <c r="N1345" s="4" t="e">
        <f t="shared" si="61"/>
        <v>#N/A</v>
      </c>
      <c r="O1345" s="1" t="s">
        <v>1488</v>
      </c>
      <c r="P1345" s="4" t="e">
        <f>VLOOKUP(A1345,المعطيات!$A$1:$J$3500,4,0)</f>
        <v>#N/A</v>
      </c>
      <c r="Q1345" s="1" t="s">
        <v>1489</v>
      </c>
      <c r="R1345" s="1" t="s">
        <v>1480</v>
      </c>
      <c r="S1345" s="6" t="e">
        <f t="shared" si="62"/>
        <v>#N/A</v>
      </c>
    </row>
    <row r="1346" spans="2:19" x14ac:dyDescent="0.25">
      <c r="B1346" s="1" t="s">
        <v>1479</v>
      </c>
      <c r="C1346" s="1" t="s">
        <v>1481</v>
      </c>
      <c r="D1346" s="4" t="e">
        <f>VLOOKUP(A1346,المعطيات!$A$1:$J$3500,5,0)</f>
        <v>#N/A</v>
      </c>
      <c r="E1346" s="1" t="s">
        <v>1482</v>
      </c>
      <c r="F1346" s="5">
        <f t="shared" ref="F1346:F1409" si="63">A1346</f>
        <v>0</v>
      </c>
      <c r="G1346" s="5" t="s">
        <v>1483</v>
      </c>
      <c r="H1346" s="4" t="e">
        <f>VLOOKUP(A1346,المعطيات!$A$1:$J$3500,3,0)</f>
        <v>#N/A</v>
      </c>
      <c r="I1346" s="1" t="s">
        <v>1484</v>
      </c>
      <c r="J1346" s="1" t="s">
        <v>1485</v>
      </c>
      <c r="K1346" s="4" t="e">
        <f>VLOOKUP(A1346,المعطيات!$A$1:$J$3500,6,0)</f>
        <v>#N/A</v>
      </c>
      <c r="L1346" s="1" t="s">
        <v>1486</v>
      </c>
      <c r="M1346" s="1" t="s">
        <v>1487</v>
      </c>
      <c r="N1346" s="4" t="e">
        <f t="shared" ref="N1346:N1409" si="64">D1346</f>
        <v>#N/A</v>
      </c>
      <c r="O1346" s="1" t="s">
        <v>1488</v>
      </c>
      <c r="P1346" s="4" t="e">
        <f>VLOOKUP(A1346,المعطيات!$A$1:$J$3500,4,0)</f>
        <v>#N/A</v>
      </c>
      <c r="Q1346" s="1" t="s">
        <v>1489</v>
      </c>
      <c r="R1346" s="1" t="s">
        <v>1480</v>
      </c>
      <c r="S1346" s="6" t="e">
        <f t="shared" ref="S1346:S1409" si="65">B1346&amp;""&amp;C1346&amp;""&amp;D1346&amp;""&amp;E1346&amp;""&amp;F1346&amp;""&amp;G1346&amp;""&amp;H1346&amp;""&amp;I1346&amp;""&amp;J1346&amp;""&amp;K1346&amp;""&amp;L1346&amp;""&amp;M1346&amp;""&amp;N1346&amp;""&amp;O1346&amp;""&amp;P1346&amp;""&amp;Q1346&amp;""&amp;R1346</f>
        <v>#N/A</v>
      </c>
    </row>
    <row r="1347" spans="2:19" x14ac:dyDescent="0.25">
      <c r="B1347" s="1" t="s">
        <v>1479</v>
      </c>
      <c r="C1347" s="1" t="s">
        <v>1481</v>
      </c>
      <c r="D1347" s="4" t="e">
        <f>VLOOKUP(A1347,المعطيات!$A$1:$J$3500,5,0)</f>
        <v>#N/A</v>
      </c>
      <c r="E1347" s="1" t="s">
        <v>1482</v>
      </c>
      <c r="F1347" s="5">
        <f t="shared" si="63"/>
        <v>0</v>
      </c>
      <c r="G1347" s="5" t="s">
        <v>1483</v>
      </c>
      <c r="H1347" s="4" t="e">
        <f>VLOOKUP(A1347,المعطيات!$A$1:$J$3500,3,0)</f>
        <v>#N/A</v>
      </c>
      <c r="I1347" s="1" t="s">
        <v>1484</v>
      </c>
      <c r="J1347" s="1" t="s">
        <v>1485</v>
      </c>
      <c r="K1347" s="4" t="e">
        <f>VLOOKUP(A1347,المعطيات!$A$1:$J$3500,6,0)</f>
        <v>#N/A</v>
      </c>
      <c r="L1347" s="1" t="s">
        <v>1486</v>
      </c>
      <c r="M1347" s="1" t="s">
        <v>1487</v>
      </c>
      <c r="N1347" s="4" t="e">
        <f t="shared" si="64"/>
        <v>#N/A</v>
      </c>
      <c r="O1347" s="1" t="s">
        <v>1488</v>
      </c>
      <c r="P1347" s="4" t="e">
        <f>VLOOKUP(A1347,المعطيات!$A$1:$J$3500,4,0)</f>
        <v>#N/A</v>
      </c>
      <c r="Q1347" s="1" t="s">
        <v>1489</v>
      </c>
      <c r="R1347" s="1" t="s">
        <v>1480</v>
      </c>
      <c r="S1347" s="6" t="e">
        <f t="shared" si="65"/>
        <v>#N/A</v>
      </c>
    </row>
    <row r="1348" spans="2:19" x14ac:dyDescent="0.25">
      <c r="B1348" s="1" t="s">
        <v>1479</v>
      </c>
      <c r="C1348" s="1" t="s">
        <v>1481</v>
      </c>
      <c r="D1348" s="4" t="e">
        <f>VLOOKUP(A1348,المعطيات!$A$1:$J$3500,5,0)</f>
        <v>#N/A</v>
      </c>
      <c r="E1348" s="1" t="s">
        <v>1482</v>
      </c>
      <c r="F1348" s="5">
        <f t="shared" si="63"/>
        <v>0</v>
      </c>
      <c r="G1348" s="5" t="s">
        <v>1483</v>
      </c>
      <c r="H1348" s="4" t="e">
        <f>VLOOKUP(A1348,المعطيات!$A$1:$J$3500,3,0)</f>
        <v>#N/A</v>
      </c>
      <c r="I1348" s="1" t="s">
        <v>1484</v>
      </c>
      <c r="J1348" s="1" t="s">
        <v>1485</v>
      </c>
      <c r="K1348" s="4" t="e">
        <f>VLOOKUP(A1348,المعطيات!$A$1:$J$3500,6,0)</f>
        <v>#N/A</v>
      </c>
      <c r="L1348" s="1" t="s">
        <v>1486</v>
      </c>
      <c r="M1348" s="1" t="s">
        <v>1487</v>
      </c>
      <c r="N1348" s="4" t="e">
        <f t="shared" si="64"/>
        <v>#N/A</v>
      </c>
      <c r="O1348" s="1" t="s">
        <v>1488</v>
      </c>
      <c r="P1348" s="4" t="e">
        <f>VLOOKUP(A1348,المعطيات!$A$1:$J$3500,4,0)</f>
        <v>#N/A</v>
      </c>
      <c r="Q1348" s="1" t="s">
        <v>1489</v>
      </c>
      <c r="R1348" s="1" t="s">
        <v>1480</v>
      </c>
      <c r="S1348" s="6" t="e">
        <f t="shared" si="65"/>
        <v>#N/A</v>
      </c>
    </row>
    <row r="1349" spans="2:19" x14ac:dyDescent="0.25">
      <c r="B1349" s="1" t="s">
        <v>1479</v>
      </c>
      <c r="C1349" s="1" t="s">
        <v>1481</v>
      </c>
      <c r="D1349" s="4" t="e">
        <f>VLOOKUP(A1349,المعطيات!$A$1:$J$3500,5,0)</f>
        <v>#N/A</v>
      </c>
      <c r="E1349" s="1" t="s">
        <v>1482</v>
      </c>
      <c r="F1349" s="5">
        <f t="shared" si="63"/>
        <v>0</v>
      </c>
      <c r="G1349" s="5" t="s">
        <v>1483</v>
      </c>
      <c r="H1349" s="4" t="e">
        <f>VLOOKUP(A1349,المعطيات!$A$1:$J$3500,3,0)</f>
        <v>#N/A</v>
      </c>
      <c r="I1349" s="1" t="s">
        <v>1484</v>
      </c>
      <c r="J1349" s="1" t="s">
        <v>1485</v>
      </c>
      <c r="K1349" s="4" t="e">
        <f>VLOOKUP(A1349,المعطيات!$A$1:$J$3500,6,0)</f>
        <v>#N/A</v>
      </c>
      <c r="L1349" s="1" t="s">
        <v>1486</v>
      </c>
      <c r="M1349" s="1" t="s">
        <v>1487</v>
      </c>
      <c r="N1349" s="4" t="e">
        <f t="shared" si="64"/>
        <v>#N/A</v>
      </c>
      <c r="O1349" s="1" t="s">
        <v>1488</v>
      </c>
      <c r="P1349" s="4" t="e">
        <f>VLOOKUP(A1349,المعطيات!$A$1:$J$3500,4,0)</f>
        <v>#N/A</v>
      </c>
      <c r="Q1349" s="1" t="s">
        <v>1489</v>
      </c>
      <c r="R1349" s="1" t="s">
        <v>1480</v>
      </c>
      <c r="S1349" s="6" t="e">
        <f t="shared" si="65"/>
        <v>#N/A</v>
      </c>
    </row>
    <row r="1350" spans="2:19" x14ac:dyDescent="0.25">
      <c r="B1350" s="1" t="s">
        <v>1479</v>
      </c>
      <c r="C1350" s="1" t="s">
        <v>1481</v>
      </c>
      <c r="D1350" s="4" t="e">
        <f>VLOOKUP(A1350,المعطيات!$A$1:$J$3500,5,0)</f>
        <v>#N/A</v>
      </c>
      <c r="E1350" s="1" t="s">
        <v>1482</v>
      </c>
      <c r="F1350" s="5">
        <f t="shared" si="63"/>
        <v>0</v>
      </c>
      <c r="G1350" s="5" t="s">
        <v>1483</v>
      </c>
      <c r="H1350" s="4" t="e">
        <f>VLOOKUP(A1350,المعطيات!$A$1:$J$3500,3,0)</f>
        <v>#N/A</v>
      </c>
      <c r="I1350" s="1" t="s">
        <v>1484</v>
      </c>
      <c r="J1350" s="1" t="s">
        <v>1485</v>
      </c>
      <c r="K1350" s="4" t="e">
        <f>VLOOKUP(A1350,المعطيات!$A$1:$J$3500,6,0)</f>
        <v>#N/A</v>
      </c>
      <c r="L1350" s="1" t="s">
        <v>1486</v>
      </c>
      <c r="M1350" s="1" t="s">
        <v>1487</v>
      </c>
      <c r="N1350" s="4" t="e">
        <f t="shared" si="64"/>
        <v>#N/A</v>
      </c>
      <c r="O1350" s="1" t="s">
        <v>1488</v>
      </c>
      <c r="P1350" s="4" t="e">
        <f>VLOOKUP(A1350,المعطيات!$A$1:$J$3500,4,0)</f>
        <v>#N/A</v>
      </c>
      <c r="Q1350" s="1" t="s">
        <v>1489</v>
      </c>
      <c r="R1350" s="1" t="s">
        <v>1480</v>
      </c>
      <c r="S1350" s="6" t="e">
        <f t="shared" si="65"/>
        <v>#N/A</v>
      </c>
    </row>
    <row r="1351" spans="2:19" x14ac:dyDescent="0.25">
      <c r="B1351" s="1" t="s">
        <v>1479</v>
      </c>
      <c r="C1351" s="1" t="s">
        <v>1481</v>
      </c>
      <c r="D1351" s="4" t="e">
        <f>VLOOKUP(A1351,المعطيات!$A$1:$J$3500,5,0)</f>
        <v>#N/A</v>
      </c>
      <c r="E1351" s="1" t="s">
        <v>1482</v>
      </c>
      <c r="F1351" s="5">
        <f t="shared" si="63"/>
        <v>0</v>
      </c>
      <c r="G1351" s="5" t="s">
        <v>1483</v>
      </c>
      <c r="H1351" s="4" t="e">
        <f>VLOOKUP(A1351,المعطيات!$A$1:$J$3500,3,0)</f>
        <v>#N/A</v>
      </c>
      <c r="I1351" s="1" t="s">
        <v>1484</v>
      </c>
      <c r="J1351" s="1" t="s">
        <v>1485</v>
      </c>
      <c r="K1351" s="4" t="e">
        <f>VLOOKUP(A1351,المعطيات!$A$1:$J$3500,6,0)</f>
        <v>#N/A</v>
      </c>
      <c r="L1351" s="1" t="s">
        <v>1486</v>
      </c>
      <c r="M1351" s="1" t="s">
        <v>1487</v>
      </c>
      <c r="N1351" s="4" t="e">
        <f t="shared" si="64"/>
        <v>#N/A</v>
      </c>
      <c r="O1351" s="1" t="s">
        <v>1488</v>
      </c>
      <c r="P1351" s="4" t="e">
        <f>VLOOKUP(A1351,المعطيات!$A$1:$J$3500,4,0)</f>
        <v>#N/A</v>
      </c>
      <c r="Q1351" s="1" t="s">
        <v>1489</v>
      </c>
      <c r="R1351" s="1" t="s">
        <v>1480</v>
      </c>
      <c r="S1351" s="6" t="e">
        <f t="shared" si="65"/>
        <v>#N/A</v>
      </c>
    </row>
    <row r="1352" spans="2:19" x14ac:dyDescent="0.25">
      <c r="B1352" s="1" t="s">
        <v>1479</v>
      </c>
      <c r="C1352" s="1" t="s">
        <v>1481</v>
      </c>
      <c r="D1352" s="4" t="e">
        <f>VLOOKUP(A1352,المعطيات!$A$1:$J$3500,5,0)</f>
        <v>#N/A</v>
      </c>
      <c r="E1352" s="1" t="s">
        <v>1482</v>
      </c>
      <c r="F1352" s="5">
        <f t="shared" si="63"/>
        <v>0</v>
      </c>
      <c r="G1352" s="5" t="s">
        <v>1483</v>
      </c>
      <c r="H1352" s="4" t="e">
        <f>VLOOKUP(A1352,المعطيات!$A$1:$J$3500,3,0)</f>
        <v>#N/A</v>
      </c>
      <c r="I1352" s="1" t="s">
        <v>1484</v>
      </c>
      <c r="J1352" s="1" t="s">
        <v>1485</v>
      </c>
      <c r="K1352" s="4" t="e">
        <f>VLOOKUP(A1352,المعطيات!$A$1:$J$3500,6,0)</f>
        <v>#N/A</v>
      </c>
      <c r="L1352" s="1" t="s">
        <v>1486</v>
      </c>
      <c r="M1352" s="1" t="s">
        <v>1487</v>
      </c>
      <c r="N1352" s="4" t="e">
        <f t="shared" si="64"/>
        <v>#N/A</v>
      </c>
      <c r="O1352" s="1" t="s">
        <v>1488</v>
      </c>
      <c r="P1352" s="4" t="e">
        <f>VLOOKUP(A1352,المعطيات!$A$1:$J$3500,4,0)</f>
        <v>#N/A</v>
      </c>
      <c r="Q1352" s="1" t="s">
        <v>1489</v>
      </c>
      <c r="R1352" s="1" t="s">
        <v>1480</v>
      </c>
      <c r="S1352" s="6" t="e">
        <f t="shared" si="65"/>
        <v>#N/A</v>
      </c>
    </row>
    <row r="1353" spans="2:19" x14ac:dyDescent="0.25">
      <c r="B1353" s="1" t="s">
        <v>1479</v>
      </c>
      <c r="C1353" s="1" t="s">
        <v>1481</v>
      </c>
      <c r="D1353" s="4" t="e">
        <f>VLOOKUP(A1353,المعطيات!$A$1:$J$3500,5,0)</f>
        <v>#N/A</v>
      </c>
      <c r="E1353" s="1" t="s">
        <v>1482</v>
      </c>
      <c r="F1353" s="5">
        <f t="shared" si="63"/>
        <v>0</v>
      </c>
      <c r="G1353" s="5" t="s">
        <v>1483</v>
      </c>
      <c r="H1353" s="4" t="e">
        <f>VLOOKUP(A1353,المعطيات!$A$1:$J$3500,3,0)</f>
        <v>#N/A</v>
      </c>
      <c r="I1353" s="1" t="s">
        <v>1484</v>
      </c>
      <c r="J1353" s="1" t="s">
        <v>1485</v>
      </c>
      <c r="K1353" s="4" t="e">
        <f>VLOOKUP(A1353,المعطيات!$A$1:$J$3500,6,0)</f>
        <v>#N/A</v>
      </c>
      <c r="L1353" s="1" t="s">
        <v>1486</v>
      </c>
      <c r="M1353" s="1" t="s">
        <v>1487</v>
      </c>
      <c r="N1353" s="4" t="e">
        <f t="shared" si="64"/>
        <v>#N/A</v>
      </c>
      <c r="O1353" s="1" t="s">
        <v>1488</v>
      </c>
      <c r="P1353" s="4" t="e">
        <f>VLOOKUP(A1353,المعطيات!$A$1:$J$3500,4,0)</f>
        <v>#N/A</v>
      </c>
      <c r="Q1353" s="1" t="s">
        <v>1489</v>
      </c>
      <c r="R1353" s="1" t="s">
        <v>1480</v>
      </c>
      <c r="S1353" s="6" t="e">
        <f t="shared" si="65"/>
        <v>#N/A</v>
      </c>
    </row>
    <row r="1354" spans="2:19" x14ac:dyDescent="0.25">
      <c r="B1354" s="1" t="s">
        <v>1479</v>
      </c>
      <c r="C1354" s="1" t="s">
        <v>1481</v>
      </c>
      <c r="D1354" s="4" t="e">
        <f>VLOOKUP(A1354,المعطيات!$A$1:$J$3500,5,0)</f>
        <v>#N/A</v>
      </c>
      <c r="E1354" s="1" t="s">
        <v>1482</v>
      </c>
      <c r="F1354" s="5">
        <f t="shared" si="63"/>
        <v>0</v>
      </c>
      <c r="G1354" s="5" t="s">
        <v>1483</v>
      </c>
      <c r="H1354" s="4" t="e">
        <f>VLOOKUP(A1354,المعطيات!$A$1:$J$3500,3,0)</f>
        <v>#N/A</v>
      </c>
      <c r="I1354" s="1" t="s">
        <v>1484</v>
      </c>
      <c r="J1354" s="1" t="s">
        <v>1485</v>
      </c>
      <c r="K1354" s="4" t="e">
        <f>VLOOKUP(A1354,المعطيات!$A$1:$J$3500,6,0)</f>
        <v>#N/A</v>
      </c>
      <c r="L1354" s="1" t="s">
        <v>1486</v>
      </c>
      <c r="M1354" s="1" t="s">
        <v>1487</v>
      </c>
      <c r="N1354" s="4" t="e">
        <f t="shared" si="64"/>
        <v>#N/A</v>
      </c>
      <c r="O1354" s="1" t="s">
        <v>1488</v>
      </c>
      <c r="P1354" s="4" t="e">
        <f>VLOOKUP(A1354,المعطيات!$A$1:$J$3500,4,0)</f>
        <v>#N/A</v>
      </c>
      <c r="Q1354" s="1" t="s">
        <v>1489</v>
      </c>
      <c r="R1354" s="1" t="s">
        <v>1480</v>
      </c>
      <c r="S1354" s="6" t="e">
        <f t="shared" si="65"/>
        <v>#N/A</v>
      </c>
    </row>
    <row r="1355" spans="2:19" x14ac:dyDescent="0.25">
      <c r="B1355" s="1" t="s">
        <v>1479</v>
      </c>
      <c r="C1355" s="1" t="s">
        <v>1481</v>
      </c>
      <c r="D1355" s="4" t="e">
        <f>VLOOKUP(A1355,المعطيات!$A$1:$J$3500,5,0)</f>
        <v>#N/A</v>
      </c>
      <c r="E1355" s="1" t="s">
        <v>1482</v>
      </c>
      <c r="F1355" s="5">
        <f t="shared" si="63"/>
        <v>0</v>
      </c>
      <c r="G1355" s="5" t="s">
        <v>1483</v>
      </c>
      <c r="H1355" s="4" t="e">
        <f>VLOOKUP(A1355,المعطيات!$A$1:$J$3500,3,0)</f>
        <v>#N/A</v>
      </c>
      <c r="I1355" s="1" t="s">
        <v>1484</v>
      </c>
      <c r="J1355" s="1" t="s">
        <v>1485</v>
      </c>
      <c r="K1355" s="4" t="e">
        <f>VLOOKUP(A1355,المعطيات!$A$1:$J$3500,6,0)</f>
        <v>#N/A</v>
      </c>
      <c r="L1355" s="1" t="s">
        <v>1486</v>
      </c>
      <c r="M1355" s="1" t="s">
        <v>1487</v>
      </c>
      <c r="N1355" s="4" t="e">
        <f t="shared" si="64"/>
        <v>#N/A</v>
      </c>
      <c r="O1355" s="1" t="s">
        <v>1488</v>
      </c>
      <c r="P1355" s="4" t="e">
        <f>VLOOKUP(A1355,المعطيات!$A$1:$J$3500,4,0)</f>
        <v>#N/A</v>
      </c>
      <c r="Q1355" s="1" t="s">
        <v>1489</v>
      </c>
      <c r="R1355" s="1" t="s">
        <v>1480</v>
      </c>
      <c r="S1355" s="6" t="e">
        <f t="shared" si="65"/>
        <v>#N/A</v>
      </c>
    </row>
    <row r="1356" spans="2:19" x14ac:dyDescent="0.25">
      <c r="B1356" s="1" t="s">
        <v>1479</v>
      </c>
      <c r="C1356" s="1" t="s">
        <v>1481</v>
      </c>
      <c r="D1356" s="4" t="e">
        <f>VLOOKUP(A1356,المعطيات!$A$1:$J$3500,5,0)</f>
        <v>#N/A</v>
      </c>
      <c r="E1356" s="1" t="s">
        <v>1482</v>
      </c>
      <c r="F1356" s="5">
        <f t="shared" si="63"/>
        <v>0</v>
      </c>
      <c r="G1356" s="5" t="s">
        <v>1483</v>
      </c>
      <c r="H1356" s="4" t="e">
        <f>VLOOKUP(A1356,المعطيات!$A$1:$J$3500,3,0)</f>
        <v>#N/A</v>
      </c>
      <c r="I1356" s="1" t="s">
        <v>1484</v>
      </c>
      <c r="J1356" s="1" t="s">
        <v>1485</v>
      </c>
      <c r="K1356" s="4" t="e">
        <f>VLOOKUP(A1356,المعطيات!$A$1:$J$3500,6,0)</f>
        <v>#N/A</v>
      </c>
      <c r="L1356" s="1" t="s">
        <v>1486</v>
      </c>
      <c r="M1356" s="1" t="s">
        <v>1487</v>
      </c>
      <c r="N1356" s="4" t="e">
        <f t="shared" si="64"/>
        <v>#N/A</v>
      </c>
      <c r="O1356" s="1" t="s">
        <v>1488</v>
      </c>
      <c r="P1356" s="4" t="e">
        <f>VLOOKUP(A1356,المعطيات!$A$1:$J$3500,4,0)</f>
        <v>#N/A</v>
      </c>
      <c r="Q1356" s="1" t="s">
        <v>1489</v>
      </c>
      <c r="R1356" s="1" t="s">
        <v>1480</v>
      </c>
      <c r="S1356" s="6" t="e">
        <f t="shared" si="65"/>
        <v>#N/A</v>
      </c>
    </row>
    <row r="1357" spans="2:19" x14ac:dyDescent="0.25">
      <c r="B1357" s="1" t="s">
        <v>1479</v>
      </c>
      <c r="C1357" s="1" t="s">
        <v>1481</v>
      </c>
      <c r="D1357" s="4" t="e">
        <f>VLOOKUP(A1357,المعطيات!$A$1:$J$3500,5,0)</f>
        <v>#N/A</v>
      </c>
      <c r="E1357" s="1" t="s">
        <v>1482</v>
      </c>
      <c r="F1357" s="5">
        <f t="shared" si="63"/>
        <v>0</v>
      </c>
      <c r="G1357" s="5" t="s">
        <v>1483</v>
      </c>
      <c r="H1357" s="4" t="e">
        <f>VLOOKUP(A1357,المعطيات!$A$1:$J$3500,3,0)</f>
        <v>#N/A</v>
      </c>
      <c r="I1357" s="1" t="s">
        <v>1484</v>
      </c>
      <c r="J1357" s="1" t="s">
        <v>1485</v>
      </c>
      <c r="K1357" s="4" t="e">
        <f>VLOOKUP(A1357,المعطيات!$A$1:$J$3500,6,0)</f>
        <v>#N/A</v>
      </c>
      <c r="L1357" s="1" t="s">
        <v>1486</v>
      </c>
      <c r="M1357" s="1" t="s">
        <v>1487</v>
      </c>
      <c r="N1357" s="4" t="e">
        <f t="shared" si="64"/>
        <v>#N/A</v>
      </c>
      <c r="O1357" s="1" t="s">
        <v>1488</v>
      </c>
      <c r="P1357" s="4" t="e">
        <f>VLOOKUP(A1357,المعطيات!$A$1:$J$3500,4,0)</f>
        <v>#N/A</v>
      </c>
      <c r="Q1357" s="1" t="s">
        <v>1489</v>
      </c>
      <c r="R1357" s="1" t="s">
        <v>1480</v>
      </c>
      <c r="S1357" s="6" t="e">
        <f t="shared" si="65"/>
        <v>#N/A</v>
      </c>
    </row>
    <row r="1358" spans="2:19" x14ac:dyDescent="0.25">
      <c r="B1358" s="1" t="s">
        <v>1479</v>
      </c>
      <c r="C1358" s="1" t="s">
        <v>1481</v>
      </c>
      <c r="D1358" s="4" t="e">
        <f>VLOOKUP(A1358,المعطيات!$A$1:$J$3500,5,0)</f>
        <v>#N/A</v>
      </c>
      <c r="E1358" s="1" t="s">
        <v>1482</v>
      </c>
      <c r="F1358" s="5">
        <f t="shared" si="63"/>
        <v>0</v>
      </c>
      <c r="G1358" s="5" t="s">
        <v>1483</v>
      </c>
      <c r="H1358" s="4" t="e">
        <f>VLOOKUP(A1358,المعطيات!$A$1:$J$3500,3,0)</f>
        <v>#N/A</v>
      </c>
      <c r="I1358" s="1" t="s">
        <v>1484</v>
      </c>
      <c r="J1358" s="1" t="s">
        <v>1485</v>
      </c>
      <c r="K1358" s="4" t="e">
        <f>VLOOKUP(A1358,المعطيات!$A$1:$J$3500,6,0)</f>
        <v>#N/A</v>
      </c>
      <c r="L1358" s="1" t="s">
        <v>1486</v>
      </c>
      <c r="M1358" s="1" t="s">
        <v>1487</v>
      </c>
      <c r="N1358" s="4" t="e">
        <f t="shared" si="64"/>
        <v>#N/A</v>
      </c>
      <c r="O1358" s="1" t="s">
        <v>1488</v>
      </c>
      <c r="P1358" s="4" t="e">
        <f>VLOOKUP(A1358,المعطيات!$A$1:$J$3500,4,0)</f>
        <v>#N/A</v>
      </c>
      <c r="Q1358" s="1" t="s">
        <v>1489</v>
      </c>
      <c r="R1358" s="1" t="s">
        <v>1480</v>
      </c>
      <c r="S1358" s="6" t="e">
        <f t="shared" si="65"/>
        <v>#N/A</v>
      </c>
    </row>
    <row r="1359" spans="2:19" x14ac:dyDescent="0.25">
      <c r="B1359" s="1" t="s">
        <v>1479</v>
      </c>
      <c r="C1359" s="1" t="s">
        <v>1481</v>
      </c>
      <c r="D1359" s="4" t="e">
        <f>VLOOKUP(A1359,المعطيات!$A$1:$J$3500,5,0)</f>
        <v>#N/A</v>
      </c>
      <c r="E1359" s="1" t="s">
        <v>1482</v>
      </c>
      <c r="F1359" s="5">
        <f t="shared" si="63"/>
        <v>0</v>
      </c>
      <c r="G1359" s="5" t="s">
        <v>1483</v>
      </c>
      <c r="H1359" s="4" t="e">
        <f>VLOOKUP(A1359,المعطيات!$A$1:$J$3500,3,0)</f>
        <v>#N/A</v>
      </c>
      <c r="I1359" s="1" t="s">
        <v>1484</v>
      </c>
      <c r="J1359" s="1" t="s">
        <v>1485</v>
      </c>
      <c r="K1359" s="4" t="e">
        <f>VLOOKUP(A1359,المعطيات!$A$1:$J$3500,6,0)</f>
        <v>#N/A</v>
      </c>
      <c r="L1359" s="1" t="s">
        <v>1486</v>
      </c>
      <c r="M1359" s="1" t="s">
        <v>1487</v>
      </c>
      <c r="N1359" s="4" t="e">
        <f t="shared" si="64"/>
        <v>#N/A</v>
      </c>
      <c r="O1359" s="1" t="s">
        <v>1488</v>
      </c>
      <c r="P1359" s="4" t="e">
        <f>VLOOKUP(A1359,المعطيات!$A$1:$J$3500,4,0)</f>
        <v>#N/A</v>
      </c>
      <c r="Q1359" s="1" t="s">
        <v>1489</v>
      </c>
      <c r="R1359" s="1" t="s">
        <v>1480</v>
      </c>
      <c r="S1359" s="6" t="e">
        <f t="shared" si="65"/>
        <v>#N/A</v>
      </c>
    </row>
    <row r="1360" spans="2:19" x14ac:dyDescent="0.25">
      <c r="B1360" s="1" t="s">
        <v>1479</v>
      </c>
      <c r="C1360" s="1" t="s">
        <v>1481</v>
      </c>
      <c r="D1360" s="4" t="e">
        <f>VLOOKUP(A1360,المعطيات!$A$1:$J$3500,5,0)</f>
        <v>#N/A</v>
      </c>
      <c r="E1360" s="1" t="s">
        <v>1482</v>
      </c>
      <c r="F1360" s="5">
        <f t="shared" si="63"/>
        <v>0</v>
      </c>
      <c r="G1360" s="5" t="s">
        <v>1483</v>
      </c>
      <c r="H1360" s="4" t="e">
        <f>VLOOKUP(A1360,المعطيات!$A$1:$J$3500,3,0)</f>
        <v>#N/A</v>
      </c>
      <c r="I1360" s="1" t="s">
        <v>1484</v>
      </c>
      <c r="J1360" s="1" t="s">
        <v>1485</v>
      </c>
      <c r="K1360" s="4" t="e">
        <f>VLOOKUP(A1360,المعطيات!$A$1:$J$3500,6,0)</f>
        <v>#N/A</v>
      </c>
      <c r="L1360" s="1" t="s">
        <v>1486</v>
      </c>
      <c r="M1360" s="1" t="s">
        <v>1487</v>
      </c>
      <c r="N1360" s="4" t="e">
        <f t="shared" si="64"/>
        <v>#N/A</v>
      </c>
      <c r="O1360" s="1" t="s">
        <v>1488</v>
      </c>
      <c r="P1360" s="4" t="e">
        <f>VLOOKUP(A1360,المعطيات!$A$1:$J$3500,4,0)</f>
        <v>#N/A</v>
      </c>
      <c r="Q1360" s="1" t="s">
        <v>1489</v>
      </c>
      <c r="R1360" s="1" t="s">
        <v>1480</v>
      </c>
      <c r="S1360" s="6" t="e">
        <f t="shared" si="65"/>
        <v>#N/A</v>
      </c>
    </row>
    <row r="1361" spans="2:19" x14ac:dyDescent="0.25">
      <c r="B1361" s="1" t="s">
        <v>1479</v>
      </c>
      <c r="C1361" s="1" t="s">
        <v>1481</v>
      </c>
      <c r="D1361" s="4" t="e">
        <f>VLOOKUP(A1361,المعطيات!$A$1:$J$3500,5,0)</f>
        <v>#N/A</v>
      </c>
      <c r="E1361" s="1" t="s">
        <v>1482</v>
      </c>
      <c r="F1361" s="5">
        <f t="shared" si="63"/>
        <v>0</v>
      </c>
      <c r="G1361" s="5" t="s">
        <v>1483</v>
      </c>
      <c r="H1361" s="4" t="e">
        <f>VLOOKUP(A1361,المعطيات!$A$1:$J$3500,3,0)</f>
        <v>#N/A</v>
      </c>
      <c r="I1361" s="1" t="s">
        <v>1484</v>
      </c>
      <c r="J1361" s="1" t="s">
        <v>1485</v>
      </c>
      <c r="K1361" s="4" t="e">
        <f>VLOOKUP(A1361,المعطيات!$A$1:$J$3500,6,0)</f>
        <v>#N/A</v>
      </c>
      <c r="L1361" s="1" t="s">
        <v>1486</v>
      </c>
      <c r="M1361" s="1" t="s">
        <v>1487</v>
      </c>
      <c r="N1361" s="4" t="e">
        <f t="shared" si="64"/>
        <v>#N/A</v>
      </c>
      <c r="O1361" s="1" t="s">
        <v>1488</v>
      </c>
      <c r="P1361" s="4" t="e">
        <f>VLOOKUP(A1361,المعطيات!$A$1:$J$3500,4,0)</f>
        <v>#N/A</v>
      </c>
      <c r="Q1361" s="1" t="s">
        <v>1489</v>
      </c>
      <c r="R1361" s="1" t="s">
        <v>1480</v>
      </c>
      <c r="S1361" s="6" t="e">
        <f t="shared" si="65"/>
        <v>#N/A</v>
      </c>
    </row>
    <row r="1362" spans="2:19" x14ac:dyDescent="0.25">
      <c r="B1362" s="1" t="s">
        <v>1479</v>
      </c>
      <c r="C1362" s="1" t="s">
        <v>1481</v>
      </c>
      <c r="D1362" s="4" t="e">
        <f>VLOOKUP(A1362,المعطيات!$A$1:$J$3500,5,0)</f>
        <v>#N/A</v>
      </c>
      <c r="E1362" s="1" t="s">
        <v>1482</v>
      </c>
      <c r="F1362" s="5">
        <f t="shared" si="63"/>
        <v>0</v>
      </c>
      <c r="G1362" s="5" t="s">
        <v>1483</v>
      </c>
      <c r="H1362" s="4" t="e">
        <f>VLOOKUP(A1362,المعطيات!$A$1:$J$3500,3,0)</f>
        <v>#N/A</v>
      </c>
      <c r="I1362" s="1" t="s">
        <v>1484</v>
      </c>
      <c r="J1362" s="1" t="s">
        <v>1485</v>
      </c>
      <c r="K1362" s="4" t="e">
        <f>VLOOKUP(A1362,المعطيات!$A$1:$J$3500,6,0)</f>
        <v>#N/A</v>
      </c>
      <c r="L1362" s="1" t="s">
        <v>1486</v>
      </c>
      <c r="M1362" s="1" t="s">
        <v>1487</v>
      </c>
      <c r="N1362" s="4" t="e">
        <f t="shared" si="64"/>
        <v>#N/A</v>
      </c>
      <c r="O1362" s="1" t="s">
        <v>1488</v>
      </c>
      <c r="P1362" s="4" t="e">
        <f>VLOOKUP(A1362,المعطيات!$A$1:$J$3500,4,0)</f>
        <v>#N/A</v>
      </c>
      <c r="Q1362" s="1" t="s">
        <v>1489</v>
      </c>
      <c r="R1362" s="1" t="s">
        <v>1480</v>
      </c>
      <c r="S1362" s="6" t="e">
        <f t="shared" si="65"/>
        <v>#N/A</v>
      </c>
    </row>
    <row r="1363" spans="2:19" x14ac:dyDescent="0.25">
      <c r="B1363" s="1" t="s">
        <v>1479</v>
      </c>
      <c r="C1363" s="1" t="s">
        <v>1481</v>
      </c>
      <c r="D1363" s="4" t="e">
        <f>VLOOKUP(A1363,المعطيات!$A$1:$J$3500,5,0)</f>
        <v>#N/A</v>
      </c>
      <c r="E1363" s="1" t="s">
        <v>1482</v>
      </c>
      <c r="F1363" s="5">
        <f t="shared" si="63"/>
        <v>0</v>
      </c>
      <c r="G1363" s="5" t="s">
        <v>1483</v>
      </c>
      <c r="H1363" s="4" t="e">
        <f>VLOOKUP(A1363,المعطيات!$A$1:$J$3500,3,0)</f>
        <v>#N/A</v>
      </c>
      <c r="I1363" s="1" t="s">
        <v>1484</v>
      </c>
      <c r="J1363" s="1" t="s">
        <v>1485</v>
      </c>
      <c r="K1363" s="4" t="e">
        <f>VLOOKUP(A1363,المعطيات!$A$1:$J$3500,6,0)</f>
        <v>#N/A</v>
      </c>
      <c r="L1363" s="1" t="s">
        <v>1486</v>
      </c>
      <c r="M1363" s="1" t="s">
        <v>1487</v>
      </c>
      <c r="N1363" s="4" t="e">
        <f t="shared" si="64"/>
        <v>#N/A</v>
      </c>
      <c r="O1363" s="1" t="s">
        <v>1488</v>
      </c>
      <c r="P1363" s="4" t="e">
        <f>VLOOKUP(A1363,المعطيات!$A$1:$J$3500,4,0)</f>
        <v>#N/A</v>
      </c>
      <c r="Q1363" s="1" t="s">
        <v>1489</v>
      </c>
      <c r="R1363" s="1" t="s">
        <v>1480</v>
      </c>
      <c r="S1363" s="6" t="e">
        <f t="shared" si="65"/>
        <v>#N/A</v>
      </c>
    </row>
    <row r="1364" spans="2:19" x14ac:dyDescent="0.25">
      <c r="B1364" s="1" t="s">
        <v>1479</v>
      </c>
      <c r="C1364" s="1" t="s">
        <v>1481</v>
      </c>
      <c r="D1364" s="4" t="e">
        <f>VLOOKUP(A1364,المعطيات!$A$1:$J$3500,5,0)</f>
        <v>#N/A</v>
      </c>
      <c r="E1364" s="1" t="s">
        <v>1482</v>
      </c>
      <c r="F1364" s="5">
        <f t="shared" si="63"/>
        <v>0</v>
      </c>
      <c r="G1364" s="5" t="s">
        <v>1483</v>
      </c>
      <c r="H1364" s="4" t="e">
        <f>VLOOKUP(A1364,المعطيات!$A$1:$J$3500,3,0)</f>
        <v>#N/A</v>
      </c>
      <c r="I1364" s="1" t="s">
        <v>1484</v>
      </c>
      <c r="J1364" s="1" t="s">
        <v>1485</v>
      </c>
      <c r="K1364" s="4" t="e">
        <f>VLOOKUP(A1364,المعطيات!$A$1:$J$3500,6,0)</f>
        <v>#N/A</v>
      </c>
      <c r="L1364" s="1" t="s">
        <v>1486</v>
      </c>
      <c r="M1364" s="1" t="s">
        <v>1487</v>
      </c>
      <c r="N1364" s="4" t="e">
        <f t="shared" si="64"/>
        <v>#N/A</v>
      </c>
      <c r="O1364" s="1" t="s">
        <v>1488</v>
      </c>
      <c r="P1364" s="4" t="e">
        <f>VLOOKUP(A1364,المعطيات!$A$1:$J$3500,4,0)</f>
        <v>#N/A</v>
      </c>
      <c r="Q1364" s="1" t="s">
        <v>1489</v>
      </c>
      <c r="R1364" s="1" t="s">
        <v>1480</v>
      </c>
      <c r="S1364" s="6" t="e">
        <f t="shared" si="65"/>
        <v>#N/A</v>
      </c>
    </row>
    <row r="1365" spans="2:19" x14ac:dyDescent="0.25">
      <c r="B1365" s="1" t="s">
        <v>1479</v>
      </c>
      <c r="C1365" s="1" t="s">
        <v>1481</v>
      </c>
      <c r="D1365" s="4" t="e">
        <f>VLOOKUP(A1365,المعطيات!$A$1:$J$3500,5,0)</f>
        <v>#N/A</v>
      </c>
      <c r="E1365" s="1" t="s">
        <v>1482</v>
      </c>
      <c r="F1365" s="5">
        <f t="shared" si="63"/>
        <v>0</v>
      </c>
      <c r="G1365" s="5" t="s">
        <v>1483</v>
      </c>
      <c r="H1365" s="4" t="e">
        <f>VLOOKUP(A1365,المعطيات!$A$1:$J$3500,3,0)</f>
        <v>#N/A</v>
      </c>
      <c r="I1365" s="1" t="s">
        <v>1484</v>
      </c>
      <c r="J1365" s="1" t="s">
        <v>1485</v>
      </c>
      <c r="K1365" s="4" t="e">
        <f>VLOOKUP(A1365,المعطيات!$A$1:$J$3500,6,0)</f>
        <v>#N/A</v>
      </c>
      <c r="L1365" s="1" t="s">
        <v>1486</v>
      </c>
      <c r="M1365" s="1" t="s">
        <v>1487</v>
      </c>
      <c r="N1365" s="4" t="e">
        <f t="shared" si="64"/>
        <v>#N/A</v>
      </c>
      <c r="O1365" s="1" t="s">
        <v>1488</v>
      </c>
      <c r="P1365" s="4" t="e">
        <f>VLOOKUP(A1365,المعطيات!$A$1:$J$3500,4,0)</f>
        <v>#N/A</v>
      </c>
      <c r="Q1365" s="1" t="s">
        <v>1489</v>
      </c>
      <c r="R1365" s="1" t="s">
        <v>1480</v>
      </c>
      <c r="S1365" s="6" t="e">
        <f t="shared" si="65"/>
        <v>#N/A</v>
      </c>
    </row>
    <row r="1366" spans="2:19" x14ac:dyDescent="0.25">
      <c r="B1366" s="1" t="s">
        <v>1479</v>
      </c>
      <c r="C1366" s="1" t="s">
        <v>1481</v>
      </c>
      <c r="D1366" s="4" t="e">
        <f>VLOOKUP(A1366,المعطيات!$A$1:$J$3500,5,0)</f>
        <v>#N/A</v>
      </c>
      <c r="E1366" s="1" t="s">
        <v>1482</v>
      </c>
      <c r="F1366" s="5">
        <f t="shared" si="63"/>
        <v>0</v>
      </c>
      <c r="G1366" s="5" t="s">
        <v>1483</v>
      </c>
      <c r="H1366" s="4" t="e">
        <f>VLOOKUP(A1366,المعطيات!$A$1:$J$3500,3,0)</f>
        <v>#N/A</v>
      </c>
      <c r="I1366" s="1" t="s">
        <v>1484</v>
      </c>
      <c r="J1366" s="1" t="s">
        <v>1485</v>
      </c>
      <c r="K1366" s="4" t="e">
        <f>VLOOKUP(A1366,المعطيات!$A$1:$J$3500,6,0)</f>
        <v>#N/A</v>
      </c>
      <c r="L1366" s="1" t="s">
        <v>1486</v>
      </c>
      <c r="M1366" s="1" t="s">
        <v>1487</v>
      </c>
      <c r="N1366" s="4" t="e">
        <f t="shared" si="64"/>
        <v>#N/A</v>
      </c>
      <c r="O1366" s="1" t="s">
        <v>1488</v>
      </c>
      <c r="P1366" s="4" t="e">
        <f>VLOOKUP(A1366,المعطيات!$A$1:$J$3500,4,0)</f>
        <v>#N/A</v>
      </c>
      <c r="Q1366" s="1" t="s">
        <v>1489</v>
      </c>
      <c r="R1366" s="1" t="s">
        <v>1480</v>
      </c>
      <c r="S1366" s="6" t="e">
        <f t="shared" si="65"/>
        <v>#N/A</v>
      </c>
    </row>
    <row r="1367" spans="2:19" x14ac:dyDescent="0.25">
      <c r="B1367" s="1" t="s">
        <v>1479</v>
      </c>
      <c r="C1367" s="1" t="s">
        <v>1481</v>
      </c>
      <c r="D1367" s="4" t="e">
        <f>VLOOKUP(A1367,المعطيات!$A$1:$J$3500,5,0)</f>
        <v>#N/A</v>
      </c>
      <c r="E1367" s="1" t="s">
        <v>1482</v>
      </c>
      <c r="F1367" s="5">
        <f t="shared" si="63"/>
        <v>0</v>
      </c>
      <c r="G1367" s="5" t="s">
        <v>1483</v>
      </c>
      <c r="H1367" s="4" t="e">
        <f>VLOOKUP(A1367,المعطيات!$A$1:$J$3500,3,0)</f>
        <v>#N/A</v>
      </c>
      <c r="I1367" s="1" t="s">
        <v>1484</v>
      </c>
      <c r="J1367" s="1" t="s">
        <v>1485</v>
      </c>
      <c r="K1367" s="4" t="e">
        <f>VLOOKUP(A1367,المعطيات!$A$1:$J$3500,6,0)</f>
        <v>#N/A</v>
      </c>
      <c r="L1367" s="1" t="s">
        <v>1486</v>
      </c>
      <c r="M1367" s="1" t="s">
        <v>1487</v>
      </c>
      <c r="N1367" s="4" t="e">
        <f t="shared" si="64"/>
        <v>#N/A</v>
      </c>
      <c r="O1367" s="1" t="s">
        <v>1488</v>
      </c>
      <c r="P1367" s="4" t="e">
        <f>VLOOKUP(A1367,المعطيات!$A$1:$J$3500,4,0)</f>
        <v>#N/A</v>
      </c>
      <c r="Q1367" s="1" t="s">
        <v>1489</v>
      </c>
      <c r="R1367" s="1" t="s">
        <v>1480</v>
      </c>
      <c r="S1367" s="6" t="e">
        <f t="shared" si="65"/>
        <v>#N/A</v>
      </c>
    </row>
    <row r="1368" spans="2:19" x14ac:dyDescent="0.25">
      <c r="B1368" s="1" t="s">
        <v>1479</v>
      </c>
      <c r="C1368" s="1" t="s">
        <v>1481</v>
      </c>
      <c r="D1368" s="4" t="e">
        <f>VLOOKUP(A1368,المعطيات!$A$1:$J$3500,5,0)</f>
        <v>#N/A</v>
      </c>
      <c r="E1368" s="1" t="s">
        <v>1482</v>
      </c>
      <c r="F1368" s="5">
        <f t="shared" si="63"/>
        <v>0</v>
      </c>
      <c r="G1368" s="5" t="s">
        <v>1483</v>
      </c>
      <c r="H1368" s="4" t="e">
        <f>VLOOKUP(A1368,المعطيات!$A$1:$J$3500,3,0)</f>
        <v>#N/A</v>
      </c>
      <c r="I1368" s="1" t="s">
        <v>1484</v>
      </c>
      <c r="J1368" s="1" t="s">
        <v>1485</v>
      </c>
      <c r="K1368" s="4" t="e">
        <f>VLOOKUP(A1368,المعطيات!$A$1:$J$3500,6,0)</f>
        <v>#N/A</v>
      </c>
      <c r="L1368" s="1" t="s">
        <v>1486</v>
      </c>
      <c r="M1368" s="1" t="s">
        <v>1487</v>
      </c>
      <c r="N1368" s="4" t="e">
        <f t="shared" si="64"/>
        <v>#N/A</v>
      </c>
      <c r="O1368" s="1" t="s">
        <v>1488</v>
      </c>
      <c r="P1368" s="4" t="e">
        <f>VLOOKUP(A1368,المعطيات!$A$1:$J$3500,4,0)</f>
        <v>#N/A</v>
      </c>
      <c r="Q1368" s="1" t="s">
        <v>1489</v>
      </c>
      <c r="R1368" s="1" t="s">
        <v>1480</v>
      </c>
      <c r="S1368" s="6" t="e">
        <f t="shared" si="65"/>
        <v>#N/A</v>
      </c>
    </row>
    <row r="1369" spans="2:19" x14ac:dyDescent="0.25">
      <c r="B1369" s="1" t="s">
        <v>1479</v>
      </c>
      <c r="C1369" s="1" t="s">
        <v>1481</v>
      </c>
      <c r="D1369" s="4" t="e">
        <f>VLOOKUP(A1369,المعطيات!$A$1:$J$3500,5,0)</f>
        <v>#N/A</v>
      </c>
      <c r="E1369" s="1" t="s">
        <v>1482</v>
      </c>
      <c r="F1369" s="5">
        <f t="shared" si="63"/>
        <v>0</v>
      </c>
      <c r="G1369" s="5" t="s">
        <v>1483</v>
      </c>
      <c r="H1369" s="4" t="e">
        <f>VLOOKUP(A1369,المعطيات!$A$1:$J$3500,3,0)</f>
        <v>#N/A</v>
      </c>
      <c r="I1369" s="1" t="s">
        <v>1484</v>
      </c>
      <c r="J1369" s="1" t="s">
        <v>1485</v>
      </c>
      <c r="K1369" s="4" t="e">
        <f>VLOOKUP(A1369,المعطيات!$A$1:$J$3500,6,0)</f>
        <v>#N/A</v>
      </c>
      <c r="L1369" s="1" t="s">
        <v>1486</v>
      </c>
      <c r="M1369" s="1" t="s">
        <v>1487</v>
      </c>
      <c r="N1369" s="4" t="e">
        <f t="shared" si="64"/>
        <v>#N/A</v>
      </c>
      <c r="O1369" s="1" t="s">
        <v>1488</v>
      </c>
      <c r="P1369" s="4" t="e">
        <f>VLOOKUP(A1369,المعطيات!$A$1:$J$3500,4,0)</f>
        <v>#N/A</v>
      </c>
      <c r="Q1369" s="1" t="s">
        <v>1489</v>
      </c>
      <c r="R1369" s="1" t="s">
        <v>1480</v>
      </c>
      <c r="S1369" s="6" t="e">
        <f t="shared" si="65"/>
        <v>#N/A</v>
      </c>
    </row>
    <row r="1370" spans="2:19" x14ac:dyDescent="0.25">
      <c r="B1370" s="1" t="s">
        <v>1479</v>
      </c>
      <c r="C1370" s="1" t="s">
        <v>1481</v>
      </c>
      <c r="D1370" s="4" t="e">
        <f>VLOOKUP(A1370,المعطيات!$A$1:$J$3500,5,0)</f>
        <v>#N/A</v>
      </c>
      <c r="E1370" s="1" t="s">
        <v>1482</v>
      </c>
      <c r="F1370" s="5">
        <f t="shared" si="63"/>
        <v>0</v>
      </c>
      <c r="G1370" s="5" t="s">
        <v>1483</v>
      </c>
      <c r="H1370" s="4" t="e">
        <f>VLOOKUP(A1370,المعطيات!$A$1:$J$3500,3,0)</f>
        <v>#N/A</v>
      </c>
      <c r="I1370" s="1" t="s">
        <v>1484</v>
      </c>
      <c r="J1370" s="1" t="s">
        <v>1485</v>
      </c>
      <c r="K1370" s="4" t="e">
        <f>VLOOKUP(A1370,المعطيات!$A$1:$J$3500,6,0)</f>
        <v>#N/A</v>
      </c>
      <c r="L1370" s="1" t="s">
        <v>1486</v>
      </c>
      <c r="M1370" s="1" t="s">
        <v>1487</v>
      </c>
      <c r="N1370" s="4" t="e">
        <f t="shared" si="64"/>
        <v>#N/A</v>
      </c>
      <c r="O1370" s="1" t="s">
        <v>1488</v>
      </c>
      <c r="P1370" s="4" t="e">
        <f>VLOOKUP(A1370,المعطيات!$A$1:$J$3500,4,0)</f>
        <v>#N/A</v>
      </c>
      <c r="Q1370" s="1" t="s">
        <v>1489</v>
      </c>
      <c r="R1370" s="1" t="s">
        <v>1480</v>
      </c>
      <c r="S1370" s="6" t="e">
        <f t="shared" si="65"/>
        <v>#N/A</v>
      </c>
    </row>
    <row r="1371" spans="2:19" x14ac:dyDescent="0.25">
      <c r="B1371" s="1" t="s">
        <v>1479</v>
      </c>
      <c r="C1371" s="1" t="s">
        <v>1481</v>
      </c>
      <c r="D1371" s="4" t="e">
        <f>VLOOKUP(A1371,المعطيات!$A$1:$J$3500,5,0)</f>
        <v>#N/A</v>
      </c>
      <c r="E1371" s="1" t="s">
        <v>1482</v>
      </c>
      <c r="F1371" s="5">
        <f t="shared" si="63"/>
        <v>0</v>
      </c>
      <c r="G1371" s="5" t="s">
        <v>1483</v>
      </c>
      <c r="H1371" s="4" t="e">
        <f>VLOOKUP(A1371,المعطيات!$A$1:$J$3500,3,0)</f>
        <v>#N/A</v>
      </c>
      <c r="I1371" s="1" t="s">
        <v>1484</v>
      </c>
      <c r="J1371" s="1" t="s">
        <v>1485</v>
      </c>
      <c r="K1371" s="4" t="e">
        <f>VLOOKUP(A1371,المعطيات!$A$1:$J$3500,6,0)</f>
        <v>#N/A</v>
      </c>
      <c r="L1371" s="1" t="s">
        <v>1486</v>
      </c>
      <c r="M1371" s="1" t="s">
        <v>1487</v>
      </c>
      <c r="N1371" s="4" t="e">
        <f t="shared" si="64"/>
        <v>#N/A</v>
      </c>
      <c r="O1371" s="1" t="s">
        <v>1488</v>
      </c>
      <c r="P1371" s="4" t="e">
        <f>VLOOKUP(A1371,المعطيات!$A$1:$J$3500,4,0)</f>
        <v>#N/A</v>
      </c>
      <c r="Q1371" s="1" t="s">
        <v>1489</v>
      </c>
      <c r="R1371" s="1" t="s">
        <v>1480</v>
      </c>
      <c r="S1371" s="6" t="e">
        <f t="shared" si="65"/>
        <v>#N/A</v>
      </c>
    </row>
    <row r="1372" spans="2:19" x14ac:dyDescent="0.25">
      <c r="B1372" s="1" t="s">
        <v>1479</v>
      </c>
      <c r="C1372" s="1" t="s">
        <v>1481</v>
      </c>
      <c r="D1372" s="4" t="e">
        <f>VLOOKUP(A1372,المعطيات!$A$1:$J$3500,5,0)</f>
        <v>#N/A</v>
      </c>
      <c r="E1372" s="1" t="s">
        <v>1482</v>
      </c>
      <c r="F1372" s="5">
        <f t="shared" si="63"/>
        <v>0</v>
      </c>
      <c r="G1372" s="5" t="s">
        <v>1483</v>
      </c>
      <c r="H1372" s="4" t="e">
        <f>VLOOKUP(A1372,المعطيات!$A$1:$J$3500,3,0)</f>
        <v>#N/A</v>
      </c>
      <c r="I1372" s="1" t="s">
        <v>1484</v>
      </c>
      <c r="J1372" s="1" t="s">
        <v>1485</v>
      </c>
      <c r="K1372" s="4" t="e">
        <f>VLOOKUP(A1372,المعطيات!$A$1:$J$3500,6,0)</f>
        <v>#N/A</v>
      </c>
      <c r="L1372" s="1" t="s">
        <v>1486</v>
      </c>
      <c r="M1372" s="1" t="s">
        <v>1487</v>
      </c>
      <c r="N1372" s="4" t="e">
        <f t="shared" si="64"/>
        <v>#N/A</v>
      </c>
      <c r="O1372" s="1" t="s">
        <v>1488</v>
      </c>
      <c r="P1372" s="4" t="e">
        <f>VLOOKUP(A1372,المعطيات!$A$1:$J$3500,4,0)</f>
        <v>#N/A</v>
      </c>
      <c r="Q1372" s="1" t="s">
        <v>1489</v>
      </c>
      <c r="R1372" s="1" t="s">
        <v>1480</v>
      </c>
      <c r="S1372" s="6" t="e">
        <f t="shared" si="65"/>
        <v>#N/A</v>
      </c>
    </row>
    <row r="1373" spans="2:19" x14ac:dyDescent="0.25">
      <c r="B1373" s="1" t="s">
        <v>1479</v>
      </c>
      <c r="C1373" s="1" t="s">
        <v>1481</v>
      </c>
      <c r="D1373" s="4" t="e">
        <f>VLOOKUP(A1373,المعطيات!$A$1:$J$3500,5,0)</f>
        <v>#N/A</v>
      </c>
      <c r="E1373" s="1" t="s">
        <v>1482</v>
      </c>
      <c r="F1373" s="5">
        <f t="shared" si="63"/>
        <v>0</v>
      </c>
      <c r="G1373" s="5" t="s">
        <v>1483</v>
      </c>
      <c r="H1373" s="4" t="e">
        <f>VLOOKUP(A1373,المعطيات!$A$1:$J$3500,3,0)</f>
        <v>#N/A</v>
      </c>
      <c r="I1373" s="1" t="s">
        <v>1484</v>
      </c>
      <c r="J1373" s="1" t="s">
        <v>1485</v>
      </c>
      <c r="K1373" s="4" t="e">
        <f>VLOOKUP(A1373,المعطيات!$A$1:$J$3500,6,0)</f>
        <v>#N/A</v>
      </c>
      <c r="L1373" s="1" t="s">
        <v>1486</v>
      </c>
      <c r="M1373" s="1" t="s">
        <v>1487</v>
      </c>
      <c r="N1373" s="4" t="e">
        <f t="shared" si="64"/>
        <v>#N/A</v>
      </c>
      <c r="O1373" s="1" t="s">
        <v>1488</v>
      </c>
      <c r="P1373" s="4" t="e">
        <f>VLOOKUP(A1373,المعطيات!$A$1:$J$3500,4,0)</f>
        <v>#N/A</v>
      </c>
      <c r="Q1373" s="1" t="s">
        <v>1489</v>
      </c>
      <c r="R1373" s="1" t="s">
        <v>1480</v>
      </c>
      <c r="S1373" s="6" t="e">
        <f t="shared" si="65"/>
        <v>#N/A</v>
      </c>
    </row>
    <row r="1374" spans="2:19" x14ac:dyDescent="0.25">
      <c r="B1374" s="1" t="s">
        <v>1479</v>
      </c>
      <c r="C1374" s="1" t="s">
        <v>1481</v>
      </c>
      <c r="D1374" s="4" t="e">
        <f>VLOOKUP(A1374,المعطيات!$A$1:$J$3500,5,0)</f>
        <v>#N/A</v>
      </c>
      <c r="E1374" s="1" t="s">
        <v>1482</v>
      </c>
      <c r="F1374" s="5">
        <f t="shared" si="63"/>
        <v>0</v>
      </c>
      <c r="G1374" s="5" t="s">
        <v>1483</v>
      </c>
      <c r="H1374" s="4" t="e">
        <f>VLOOKUP(A1374,المعطيات!$A$1:$J$3500,3,0)</f>
        <v>#N/A</v>
      </c>
      <c r="I1374" s="1" t="s">
        <v>1484</v>
      </c>
      <c r="J1374" s="1" t="s">
        <v>1485</v>
      </c>
      <c r="K1374" s="4" t="e">
        <f>VLOOKUP(A1374,المعطيات!$A$1:$J$3500,6,0)</f>
        <v>#N/A</v>
      </c>
      <c r="L1374" s="1" t="s">
        <v>1486</v>
      </c>
      <c r="M1374" s="1" t="s">
        <v>1487</v>
      </c>
      <c r="N1374" s="4" t="e">
        <f t="shared" si="64"/>
        <v>#N/A</v>
      </c>
      <c r="O1374" s="1" t="s">
        <v>1488</v>
      </c>
      <c r="P1374" s="4" t="e">
        <f>VLOOKUP(A1374,المعطيات!$A$1:$J$3500,4,0)</f>
        <v>#N/A</v>
      </c>
      <c r="Q1374" s="1" t="s">
        <v>1489</v>
      </c>
      <c r="R1374" s="1" t="s">
        <v>1480</v>
      </c>
      <c r="S1374" s="6" t="e">
        <f t="shared" si="65"/>
        <v>#N/A</v>
      </c>
    </row>
    <row r="1375" spans="2:19" x14ac:dyDescent="0.25">
      <c r="B1375" s="1" t="s">
        <v>1479</v>
      </c>
      <c r="C1375" s="1" t="s">
        <v>1481</v>
      </c>
      <c r="D1375" s="4" t="e">
        <f>VLOOKUP(A1375,المعطيات!$A$1:$J$3500,5,0)</f>
        <v>#N/A</v>
      </c>
      <c r="E1375" s="1" t="s">
        <v>1482</v>
      </c>
      <c r="F1375" s="5">
        <f t="shared" si="63"/>
        <v>0</v>
      </c>
      <c r="G1375" s="5" t="s">
        <v>1483</v>
      </c>
      <c r="H1375" s="4" t="e">
        <f>VLOOKUP(A1375,المعطيات!$A$1:$J$3500,3,0)</f>
        <v>#N/A</v>
      </c>
      <c r="I1375" s="1" t="s">
        <v>1484</v>
      </c>
      <c r="J1375" s="1" t="s">
        <v>1485</v>
      </c>
      <c r="K1375" s="4" t="e">
        <f>VLOOKUP(A1375,المعطيات!$A$1:$J$3500,6,0)</f>
        <v>#N/A</v>
      </c>
      <c r="L1375" s="1" t="s">
        <v>1486</v>
      </c>
      <c r="M1375" s="1" t="s">
        <v>1487</v>
      </c>
      <c r="N1375" s="4" t="e">
        <f t="shared" si="64"/>
        <v>#N/A</v>
      </c>
      <c r="O1375" s="1" t="s">
        <v>1488</v>
      </c>
      <c r="P1375" s="4" t="e">
        <f>VLOOKUP(A1375,المعطيات!$A$1:$J$3500,4,0)</f>
        <v>#N/A</v>
      </c>
      <c r="Q1375" s="1" t="s">
        <v>1489</v>
      </c>
      <c r="R1375" s="1" t="s">
        <v>1480</v>
      </c>
      <c r="S1375" s="6" t="e">
        <f t="shared" si="65"/>
        <v>#N/A</v>
      </c>
    </row>
    <row r="1376" spans="2:19" x14ac:dyDescent="0.25">
      <c r="B1376" s="1" t="s">
        <v>1479</v>
      </c>
      <c r="C1376" s="1" t="s">
        <v>1481</v>
      </c>
      <c r="D1376" s="4" t="e">
        <f>VLOOKUP(A1376,المعطيات!$A$1:$J$3500,5,0)</f>
        <v>#N/A</v>
      </c>
      <c r="E1376" s="1" t="s">
        <v>1482</v>
      </c>
      <c r="F1376" s="5">
        <f t="shared" si="63"/>
        <v>0</v>
      </c>
      <c r="G1376" s="5" t="s">
        <v>1483</v>
      </c>
      <c r="H1376" s="4" t="e">
        <f>VLOOKUP(A1376,المعطيات!$A$1:$J$3500,3,0)</f>
        <v>#N/A</v>
      </c>
      <c r="I1376" s="1" t="s">
        <v>1484</v>
      </c>
      <c r="J1376" s="1" t="s">
        <v>1485</v>
      </c>
      <c r="K1376" s="4" t="e">
        <f>VLOOKUP(A1376,المعطيات!$A$1:$J$3500,6,0)</f>
        <v>#N/A</v>
      </c>
      <c r="L1376" s="1" t="s">
        <v>1486</v>
      </c>
      <c r="M1376" s="1" t="s">
        <v>1487</v>
      </c>
      <c r="N1376" s="4" t="e">
        <f t="shared" si="64"/>
        <v>#N/A</v>
      </c>
      <c r="O1376" s="1" t="s">
        <v>1488</v>
      </c>
      <c r="P1376" s="4" t="e">
        <f>VLOOKUP(A1376,المعطيات!$A$1:$J$3500,4,0)</f>
        <v>#N/A</v>
      </c>
      <c r="Q1376" s="1" t="s">
        <v>1489</v>
      </c>
      <c r="R1376" s="1" t="s">
        <v>1480</v>
      </c>
      <c r="S1376" s="6" t="e">
        <f t="shared" si="65"/>
        <v>#N/A</v>
      </c>
    </row>
    <row r="1377" spans="2:19" x14ac:dyDescent="0.25">
      <c r="B1377" s="1" t="s">
        <v>1479</v>
      </c>
      <c r="C1377" s="1" t="s">
        <v>1481</v>
      </c>
      <c r="D1377" s="4" t="e">
        <f>VLOOKUP(A1377,المعطيات!$A$1:$J$3500,5,0)</f>
        <v>#N/A</v>
      </c>
      <c r="E1377" s="1" t="s">
        <v>1482</v>
      </c>
      <c r="F1377" s="5">
        <f t="shared" si="63"/>
        <v>0</v>
      </c>
      <c r="G1377" s="5" t="s">
        <v>1483</v>
      </c>
      <c r="H1377" s="4" t="e">
        <f>VLOOKUP(A1377,المعطيات!$A$1:$J$3500,3,0)</f>
        <v>#N/A</v>
      </c>
      <c r="I1377" s="1" t="s">
        <v>1484</v>
      </c>
      <c r="J1377" s="1" t="s">
        <v>1485</v>
      </c>
      <c r="K1377" s="4" t="e">
        <f>VLOOKUP(A1377,المعطيات!$A$1:$J$3500,6,0)</f>
        <v>#N/A</v>
      </c>
      <c r="L1377" s="1" t="s">
        <v>1486</v>
      </c>
      <c r="M1377" s="1" t="s">
        <v>1487</v>
      </c>
      <c r="N1377" s="4" t="e">
        <f t="shared" si="64"/>
        <v>#N/A</v>
      </c>
      <c r="O1377" s="1" t="s">
        <v>1488</v>
      </c>
      <c r="P1377" s="4" t="e">
        <f>VLOOKUP(A1377,المعطيات!$A$1:$J$3500,4,0)</f>
        <v>#N/A</v>
      </c>
      <c r="Q1377" s="1" t="s">
        <v>1489</v>
      </c>
      <c r="R1377" s="1" t="s">
        <v>1480</v>
      </c>
      <c r="S1377" s="6" t="e">
        <f t="shared" si="65"/>
        <v>#N/A</v>
      </c>
    </row>
    <row r="1378" spans="2:19" x14ac:dyDescent="0.25">
      <c r="B1378" s="1" t="s">
        <v>1479</v>
      </c>
      <c r="C1378" s="1" t="s">
        <v>1481</v>
      </c>
      <c r="D1378" s="4" t="e">
        <f>VLOOKUP(A1378,المعطيات!$A$1:$J$3500,5,0)</f>
        <v>#N/A</v>
      </c>
      <c r="E1378" s="1" t="s">
        <v>1482</v>
      </c>
      <c r="F1378" s="5">
        <f t="shared" si="63"/>
        <v>0</v>
      </c>
      <c r="G1378" s="5" t="s">
        <v>1483</v>
      </c>
      <c r="H1378" s="4" t="e">
        <f>VLOOKUP(A1378,المعطيات!$A$1:$J$3500,3,0)</f>
        <v>#N/A</v>
      </c>
      <c r="I1378" s="1" t="s">
        <v>1484</v>
      </c>
      <c r="J1378" s="1" t="s">
        <v>1485</v>
      </c>
      <c r="K1378" s="4" t="e">
        <f>VLOOKUP(A1378,المعطيات!$A$1:$J$3500,6,0)</f>
        <v>#N/A</v>
      </c>
      <c r="L1378" s="1" t="s">
        <v>1486</v>
      </c>
      <c r="M1378" s="1" t="s">
        <v>1487</v>
      </c>
      <c r="N1378" s="4" t="e">
        <f t="shared" si="64"/>
        <v>#N/A</v>
      </c>
      <c r="O1378" s="1" t="s">
        <v>1488</v>
      </c>
      <c r="P1378" s="4" t="e">
        <f>VLOOKUP(A1378,المعطيات!$A$1:$J$3500,4,0)</f>
        <v>#N/A</v>
      </c>
      <c r="Q1378" s="1" t="s">
        <v>1489</v>
      </c>
      <c r="R1378" s="1" t="s">
        <v>1480</v>
      </c>
      <c r="S1378" s="6" t="e">
        <f t="shared" si="65"/>
        <v>#N/A</v>
      </c>
    </row>
    <row r="1379" spans="2:19" x14ac:dyDescent="0.25">
      <c r="B1379" s="1" t="s">
        <v>1479</v>
      </c>
      <c r="C1379" s="1" t="s">
        <v>1481</v>
      </c>
      <c r="D1379" s="4" t="e">
        <f>VLOOKUP(A1379,المعطيات!$A$1:$J$3500,5,0)</f>
        <v>#N/A</v>
      </c>
      <c r="E1379" s="1" t="s">
        <v>1482</v>
      </c>
      <c r="F1379" s="5">
        <f t="shared" si="63"/>
        <v>0</v>
      </c>
      <c r="G1379" s="5" t="s">
        <v>1483</v>
      </c>
      <c r="H1379" s="4" t="e">
        <f>VLOOKUP(A1379,المعطيات!$A$1:$J$3500,3,0)</f>
        <v>#N/A</v>
      </c>
      <c r="I1379" s="1" t="s">
        <v>1484</v>
      </c>
      <c r="J1379" s="1" t="s">
        <v>1485</v>
      </c>
      <c r="K1379" s="4" t="e">
        <f>VLOOKUP(A1379,المعطيات!$A$1:$J$3500,6,0)</f>
        <v>#N/A</v>
      </c>
      <c r="L1379" s="1" t="s">
        <v>1486</v>
      </c>
      <c r="M1379" s="1" t="s">
        <v>1487</v>
      </c>
      <c r="N1379" s="4" t="e">
        <f t="shared" si="64"/>
        <v>#N/A</v>
      </c>
      <c r="O1379" s="1" t="s">
        <v>1488</v>
      </c>
      <c r="P1379" s="4" t="e">
        <f>VLOOKUP(A1379,المعطيات!$A$1:$J$3500,4,0)</f>
        <v>#N/A</v>
      </c>
      <c r="Q1379" s="1" t="s">
        <v>1489</v>
      </c>
      <c r="R1379" s="1" t="s">
        <v>1480</v>
      </c>
      <c r="S1379" s="6" t="e">
        <f t="shared" si="65"/>
        <v>#N/A</v>
      </c>
    </row>
    <row r="1380" spans="2:19" x14ac:dyDescent="0.25">
      <c r="B1380" s="1" t="s">
        <v>1479</v>
      </c>
      <c r="C1380" s="1" t="s">
        <v>1481</v>
      </c>
      <c r="D1380" s="4" t="e">
        <f>VLOOKUP(A1380,المعطيات!$A$1:$J$3500,5,0)</f>
        <v>#N/A</v>
      </c>
      <c r="E1380" s="1" t="s">
        <v>1482</v>
      </c>
      <c r="F1380" s="5">
        <f t="shared" si="63"/>
        <v>0</v>
      </c>
      <c r="G1380" s="5" t="s">
        <v>1483</v>
      </c>
      <c r="H1380" s="4" t="e">
        <f>VLOOKUP(A1380,المعطيات!$A$1:$J$3500,3,0)</f>
        <v>#N/A</v>
      </c>
      <c r="I1380" s="1" t="s">
        <v>1484</v>
      </c>
      <c r="J1380" s="1" t="s">
        <v>1485</v>
      </c>
      <c r="K1380" s="4" t="e">
        <f>VLOOKUP(A1380,المعطيات!$A$1:$J$3500,6,0)</f>
        <v>#N/A</v>
      </c>
      <c r="L1380" s="1" t="s">
        <v>1486</v>
      </c>
      <c r="M1380" s="1" t="s">
        <v>1487</v>
      </c>
      <c r="N1380" s="4" t="e">
        <f t="shared" si="64"/>
        <v>#N/A</v>
      </c>
      <c r="O1380" s="1" t="s">
        <v>1488</v>
      </c>
      <c r="P1380" s="4" t="e">
        <f>VLOOKUP(A1380,المعطيات!$A$1:$J$3500,4,0)</f>
        <v>#N/A</v>
      </c>
      <c r="Q1380" s="1" t="s">
        <v>1489</v>
      </c>
      <c r="R1380" s="1" t="s">
        <v>1480</v>
      </c>
      <c r="S1380" s="6" t="e">
        <f t="shared" si="65"/>
        <v>#N/A</v>
      </c>
    </row>
    <row r="1381" spans="2:19" x14ac:dyDescent="0.25">
      <c r="B1381" s="1" t="s">
        <v>1479</v>
      </c>
      <c r="C1381" s="1" t="s">
        <v>1481</v>
      </c>
      <c r="D1381" s="4" t="e">
        <f>VLOOKUP(A1381,المعطيات!$A$1:$J$3500,5,0)</f>
        <v>#N/A</v>
      </c>
      <c r="E1381" s="1" t="s">
        <v>1482</v>
      </c>
      <c r="F1381" s="5">
        <f t="shared" si="63"/>
        <v>0</v>
      </c>
      <c r="G1381" s="5" t="s">
        <v>1483</v>
      </c>
      <c r="H1381" s="4" t="e">
        <f>VLOOKUP(A1381,المعطيات!$A$1:$J$3500,3,0)</f>
        <v>#N/A</v>
      </c>
      <c r="I1381" s="1" t="s">
        <v>1484</v>
      </c>
      <c r="J1381" s="1" t="s">
        <v>1485</v>
      </c>
      <c r="K1381" s="4" t="e">
        <f>VLOOKUP(A1381,المعطيات!$A$1:$J$3500,6,0)</f>
        <v>#N/A</v>
      </c>
      <c r="L1381" s="1" t="s">
        <v>1486</v>
      </c>
      <c r="M1381" s="1" t="s">
        <v>1487</v>
      </c>
      <c r="N1381" s="4" t="e">
        <f t="shared" si="64"/>
        <v>#N/A</v>
      </c>
      <c r="O1381" s="1" t="s">
        <v>1488</v>
      </c>
      <c r="P1381" s="4" t="e">
        <f>VLOOKUP(A1381,المعطيات!$A$1:$J$3500,4,0)</f>
        <v>#N/A</v>
      </c>
      <c r="Q1381" s="1" t="s">
        <v>1489</v>
      </c>
      <c r="R1381" s="1" t="s">
        <v>1480</v>
      </c>
      <c r="S1381" s="6" t="e">
        <f t="shared" si="65"/>
        <v>#N/A</v>
      </c>
    </row>
    <row r="1382" spans="2:19" x14ac:dyDescent="0.25">
      <c r="B1382" s="1" t="s">
        <v>1479</v>
      </c>
      <c r="C1382" s="1" t="s">
        <v>1481</v>
      </c>
      <c r="D1382" s="4" t="e">
        <f>VLOOKUP(A1382,المعطيات!$A$1:$J$3500,5,0)</f>
        <v>#N/A</v>
      </c>
      <c r="E1382" s="1" t="s">
        <v>1482</v>
      </c>
      <c r="F1382" s="5">
        <f t="shared" si="63"/>
        <v>0</v>
      </c>
      <c r="G1382" s="5" t="s">
        <v>1483</v>
      </c>
      <c r="H1382" s="4" t="e">
        <f>VLOOKUP(A1382,المعطيات!$A$1:$J$3500,3,0)</f>
        <v>#N/A</v>
      </c>
      <c r="I1382" s="1" t="s">
        <v>1484</v>
      </c>
      <c r="J1382" s="1" t="s">
        <v>1485</v>
      </c>
      <c r="K1382" s="4" t="e">
        <f>VLOOKUP(A1382,المعطيات!$A$1:$J$3500,6,0)</f>
        <v>#N/A</v>
      </c>
      <c r="L1382" s="1" t="s">
        <v>1486</v>
      </c>
      <c r="M1382" s="1" t="s">
        <v>1487</v>
      </c>
      <c r="N1382" s="4" t="e">
        <f t="shared" si="64"/>
        <v>#N/A</v>
      </c>
      <c r="O1382" s="1" t="s">
        <v>1488</v>
      </c>
      <c r="P1382" s="4" t="e">
        <f>VLOOKUP(A1382,المعطيات!$A$1:$J$3500,4,0)</f>
        <v>#N/A</v>
      </c>
      <c r="Q1382" s="1" t="s">
        <v>1489</v>
      </c>
      <c r="R1382" s="1" t="s">
        <v>1480</v>
      </c>
      <c r="S1382" s="6" t="e">
        <f t="shared" si="65"/>
        <v>#N/A</v>
      </c>
    </row>
    <row r="1383" spans="2:19" x14ac:dyDescent="0.25">
      <c r="B1383" s="1" t="s">
        <v>1479</v>
      </c>
      <c r="C1383" s="1" t="s">
        <v>1481</v>
      </c>
      <c r="D1383" s="4" t="e">
        <f>VLOOKUP(A1383,المعطيات!$A$1:$J$3500,5,0)</f>
        <v>#N/A</v>
      </c>
      <c r="E1383" s="1" t="s">
        <v>1482</v>
      </c>
      <c r="F1383" s="5">
        <f t="shared" si="63"/>
        <v>0</v>
      </c>
      <c r="G1383" s="5" t="s">
        <v>1483</v>
      </c>
      <c r="H1383" s="4" t="e">
        <f>VLOOKUP(A1383,المعطيات!$A$1:$J$3500,3,0)</f>
        <v>#N/A</v>
      </c>
      <c r="I1383" s="1" t="s">
        <v>1484</v>
      </c>
      <c r="J1383" s="1" t="s">
        <v>1485</v>
      </c>
      <c r="K1383" s="4" t="e">
        <f>VLOOKUP(A1383,المعطيات!$A$1:$J$3500,6,0)</f>
        <v>#N/A</v>
      </c>
      <c r="L1383" s="1" t="s">
        <v>1486</v>
      </c>
      <c r="M1383" s="1" t="s">
        <v>1487</v>
      </c>
      <c r="N1383" s="4" t="e">
        <f t="shared" si="64"/>
        <v>#N/A</v>
      </c>
      <c r="O1383" s="1" t="s">
        <v>1488</v>
      </c>
      <c r="P1383" s="4" t="e">
        <f>VLOOKUP(A1383,المعطيات!$A$1:$J$3500,4,0)</f>
        <v>#N/A</v>
      </c>
      <c r="Q1383" s="1" t="s">
        <v>1489</v>
      </c>
      <c r="R1383" s="1" t="s">
        <v>1480</v>
      </c>
      <c r="S1383" s="6" t="e">
        <f t="shared" si="65"/>
        <v>#N/A</v>
      </c>
    </row>
    <row r="1384" spans="2:19" x14ac:dyDescent="0.25">
      <c r="B1384" s="1" t="s">
        <v>1479</v>
      </c>
      <c r="C1384" s="1" t="s">
        <v>1481</v>
      </c>
      <c r="D1384" s="4" t="e">
        <f>VLOOKUP(A1384,المعطيات!$A$1:$J$3500,5,0)</f>
        <v>#N/A</v>
      </c>
      <c r="E1384" s="1" t="s">
        <v>1482</v>
      </c>
      <c r="F1384" s="5">
        <f t="shared" si="63"/>
        <v>0</v>
      </c>
      <c r="G1384" s="5" t="s">
        <v>1483</v>
      </c>
      <c r="H1384" s="4" t="e">
        <f>VLOOKUP(A1384,المعطيات!$A$1:$J$3500,3,0)</f>
        <v>#N/A</v>
      </c>
      <c r="I1384" s="1" t="s">
        <v>1484</v>
      </c>
      <c r="J1384" s="1" t="s">
        <v>1485</v>
      </c>
      <c r="K1384" s="4" t="e">
        <f>VLOOKUP(A1384,المعطيات!$A$1:$J$3500,6,0)</f>
        <v>#N/A</v>
      </c>
      <c r="L1384" s="1" t="s">
        <v>1486</v>
      </c>
      <c r="M1384" s="1" t="s">
        <v>1487</v>
      </c>
      <c r="N1384" s="4" t="e">
        <f t="shared" si="64"/>
        <v>#N/A</v>
      </c>
      <c r="O1384" s="1" t="s">
        <v>1488</v>
      </c>
      <c r="P1384" s="4" t="e">
        <f>VLOOKUP(A1384,المعطيات!$A$1:$J$3500,4,0)</f>
        <v>#N/A</v>
      </c>
      <c r="Q1384" s="1" t="s">
        <v>1489</v>
      </c>
      <c r="R1384" s="1" t="s">
        <v>1480</v>
      </c>
      <c r="S1384" s="6" t="e">
        <f t="shared" si="65"/>
        <v>#N/A</v>
      </c>
    </row>
    <row r="1385" spans="2:19" x14ac:dyDescent="0.25">
      <c r="B1385" s="1" t="s">
        <v>1479</v>
      </c>
      <c r="C1385" s="1" t="s">
        <v>1481</v>
      </c>
      <c r="D1385" s="4" t="e">
        <f>VLOOKUP(A1385,المعطيات!$A$1:$J$3500,5,0)</f>
        <v>#N/A</v>
      </c>
      <c r="E1385" s="1" t="s">
        <v>1482</v>
      </c>
      <c r="F1385" s="5">
        <f t="shared" si="63"/>
        <v>0</v>
      </c>
      <c r="G1385" s="5" t="s">
        <v>1483</v>
      </c>
      <c r="H1385" s="4" t="e">
        <f>VLOOKUP(A1385,المعطيات!$A$1:$J$3500,3,0)</f>
        <v>#N/A</v>
      </c>
      <c r="I1385" s="1" t="s">
        <v>1484</v>
      </c>
      <c r="J1385" s="1" t="s">
        <v>1485</v>
      </c>
      <c r="K1385" s="4" t="e">
        <f>VLOOKUP(A1385,المعطيات!$A$1:$J$3500,6,0)</f>
        <v>#N/A</v>
      </c>
      <c r="L1385" s="1" t="s">
        <v>1486</v>
      </c>
      <c r="M1385" s="1" t="s">
        <v>1487</v>
      </c>
      <c r="N1385" s="4" t="e">
        <f t="shared" si="64"/>
        <v>#N/A</v>
      </c>
      <c r="O1385" s="1" t="s">
        <v>1488</v>
      </c>
      <c r="P1385" s="4" t="e">
        <f>VLOOKUP(A1385,المعطيات!$A$1:$J$3500,4,0)</f>
        <v>#N/A</v>
      </c>
      <c r="Q1385" s="1" t="s">
        <v>1489</v>
      </c>
      <c r="R1385" s="1" t="s">
        <v>1480</v>
      </c>
      <c r="S1385" s="6" t="e">
        <f t="shared" si="65"/>
        <v>#N/A</v>
      </c>
    </row>
    <row r="1386" spans="2:19" x14ac:dyDescent="0.25">
      <c r="B1386" s="1" t="s">
        <v>1479</v>
      </c>
      <c r="C1386" s="1" t="s">
        <v>1481</v>
      </c>
      <c r="D1386" s="4" t="e">
        <f>VLOOKUP(A1386,المعطيات!$A$1:$J$3500,5,0)</f>
        <v>#N/A</v>
      </c>
      <c r="E1386" s="1" t="s">
        <v>1482</v>
      </c>
      <c r="F1386" s="5">
        <f t="shared" si="63"/>
        <v>0</v>
      </c>
      <c r="G1386" s="5" t="s">
        <v>1483</v>
      </c>
      <c r="H1386" s="4" t="e">
        <f>VLOOKUP(A1386,المعطيات!$A$1:$J$3500,3,0)</f>
        <v>#N/A</v>
      </c>
      <c r="I1386" s="1" t="s">
        <v>1484</v>
      </c>
      <c r="J1386" s="1" t="s">
        <v>1485</v>
      </c>
      <c r="K1386" s="4" t="e">
        <f>VLOOKUP(A1386,المعطيات!$A$1:$J$3500,6,0)</f>
        <v>#N/A</v>
      </c>
      <c r="L1386" s="1" t="s">
        <v>1486</v>
      </c>
      <c r="M1386" s="1" t="s">
        <v>1487</v>
      </c>
      <c r="N1386" s="4" t="e">
        <f t="shared" si="64"/>
        <v>#N/A</v>
      </c>
      <c r="O1386" s="1" t="s">
        <v>1488</v>
      </c>
      <c r="P1386" s="4" t="e">
        <f>VLOOKUP(A1386,المعطيات!$A$1:$J$3500,4,0)</f>
        <v>#N/A</v>
      </c>
      <c r="Q1386" s="1" t="s">
        <v>1489</v>
      </c>
      <c r="R1386" s="1" t="s">
        <v>1480</v>
      </c>
      <c r="S1386" s="6" t="e">
        <f t="shared" si="65"/>
        <v>#N/A</v>
      </c>
    </row>
    <row r="1387" spans="2:19" x14ac:dyDescent="0.25">
      <c r="B1387" s="1" t="s">
        <v>1479</v>
      </c>
      <c r="C1387" s="1" t="s">
        <v>1481</v>
      </c>
      <c r="D1387" s="4" t="e">
        <f>VLOOKUP(A1387,المعطيات!$A$1:$J$3500,5,0)</f>
        <v>#N/A</v>
      </c>
      <c r="E1387" s="1" t="s">
        <v>1482</v>
      </c>
      <c r="F1387" s="5">
        <f t="shared" si="63"/>
        <v>0</v>
      </c>
      <c r="G1387" s="5" t="s">
        <v>1483</v>
      </c>
      <c r="H1387" s="4" t="e">
        <f>VLOOKUP(A1387,المعطيات!$A$1:$J$3500,3,0)</f>
        <v>#N/A</v>
      </c>
      <c r="I1387" s="1" t="s">
        <v>1484</v>
      </c>
      <c r="J1387" s="1" t="s">
        <v>1485</v>
      </c>
      <c r="K1387" s="4" t="e">
        <f>VLOOKUP(A1387,المعطيات!$A$1:$J$3500,6,0)</f>
        <v>#N/A</v>
      </c>
      <c r="L1387" s="1" t="s">
        <v>1486</v>
      </c>
      <c r="M1387" s="1" t="s">
        <v>1487</v>
      </c>
      <c r="N1387" s="4" t="e">
        <f t="shared" si="64"/>
        <v>#N/A</v>
      </c>
      <c r="O1387" s="1" t="s">
        <v>1488</v>
      </c>
      <c r="P1387" s="4" t="e">
        <f>VLOOKUP(A1387,المعطيات!$A$1:$J$3500,4,0)</f>
        <v>#N/A</v>
      </c>
      <c r="Q1387" s="1" t="s">
        <v>1489</v>
      </c>
      <c r="R1387" s="1" t="s">
        <v>1480</v>
      </c>
      <c r="S1387" s="6" t="e">
        <f t="shared" si="65"/>
        <v>#N/A</v>
      </c>
    </row>
    <row r="1388" spans="2:19" x14ac:dyDescent="0.25">
      <c r="B1388" s="1" t="s">
        <v>1479</v>
      </c>
      <c r="C1388" s="1" t="s">
        <v>1481</v>
      </c>
      <c r="D1388" s="4" t="e">
        <f>VLOOKUP(A1388,المعطيات!$A$1:$J$3500,5,0)</f>
        <v>#N/A</v>
      </c>
      <c r="E1388" s="1" t="s">
        <v>1482</v>
      </c>
      <c r="F1388" s="5">
        <f t="shared" si="63"/>
        <v>0</v>
      </c>
      <c r="G1388" s="5" t="s">
        <v>1483</v>
      </c>
      <c r="H1388" s="4" t="e">
        <f>VLOOKUP(A1388,المعطيات!$A$1:$J$3500,3,0)</f>
        <v>#N/A</v>
      </c>
      <c r="I1388" s="1" t="s">
        <v>1484</v>
      </c>
      <c r="J1388" s="1" t="s">
        <v>1485</v>
      </c>
      <c r="K1388" s="4" t="e">
        <f>VLOOKUP(A1388,المعطيات!$A$1:$J$3500,6,0)</f>
        <v>#N/A</v>
      </c>
      <c r="L1388" s="1" t="s">
        <v>1486</v>
      </c>
      <c r="M1388" s="1" t="s">
        <v>1487</v>
      </c>
      <c r="N1388" s="4" t="e">
        <f t="shared" si="64"/>
        <v>#N/A</v>
      </c>
      <c r="O1388" s="1" t="s">
        <v>1488</v>
      </c>
      <c r="P1388" s="4" t="e">
        <f>VLOOKUP(A1388,المعطيات!$A$1:$J$3500,4,0)</f>
        <v>#N/A</v>
      </c>
      <c r="Q1388" s="1" t="s">
        <v>1489</v>
      </c>
      <c r="R1388" s="1" t="s">
        <v>1480</v>
      </c>
      <c r="S1388" s="6" t="e">
        <f t="shared" si="65"/>
        <v>#N/A</v>
      </c>
    </row>
    <row r="1389" spans="2:19" x14ac:dyDescent="0.25">
      <c r="B1389" s="1" t="s">
        <v>1479</v>
      </c>
      <c r="C1389" s="1" t="s">
        <v>1481</v>
      </c>
      <c r="D1389" s="4" t="e">
        <f>VLOOKUP(A1389,المعطيات!$A$1:$J$3500,5,0)</f>
        <v>#N/A</v>
      </c>
      <c r="E1389" s="1" t="s">
        <v>1482</v>
      </c>
      <c r="F1389" s="5">
        <f t="shared" si="63"/>
        <v>0</v>
      </c>
      <c r="G1389" s="5" t="s">
        <v>1483</v>
      </c>
      <c r="H1389" s="4" t="e">
        <f>VLOOKUP(A1389,المعطيات!$A$1:$J$3500,3,0)</f>
        <v>#N/A</v>
      </c>
      <c r="I1389" s="1" t="s">
        <v>1484</v>
      </c>
      <c r="J1389" s="1" t="s">
        <v>1485</v>
      </c>
      <c r="K1389" s="4" t="e">
        <f>VLOOKUP(A1389,المعطيات!$A$1:$J$3500,6,0)</f>
        <v>#N/A</v>
      </c>
      <c r="L1389" s="1" t="s">
        <v>1486</v>
      </c>
      <c r="M1389" s="1" t="s">
        <v>1487</v>
      </c>
      <c r="N1389" s="4" t="e">
        <f t="shared" si="64"/>
        <v>#N/A</v>
      </c>
      <c r="O1389" s="1" t="s">
        <v>1488</v>
      </c>
      <c r="P1389" s="4" t="e">
        <f>VLOOKUP(A1389,المعطيات!$A$1:$J$3500,4,0)</f>
        <v>#N/A</v>
      </c>
      <c r="Q1389" s="1" t="s">
        <v>1489</v>
      </c>
      <c r="R1389" s="1" t="s">
        <v>1480</v>
      </c>
      <c r="S1389" s="6" t="e">
        <f t="shared" si="65"/>
        <v>#N/A</v>
      </c>
    </row>
    <row r="1390" spans="2:19" x14ac:dyDescent="0.25">
      <c r="B1390" s="1" t="s">
        <v>1479</v>
      </c>
      <c r="C1390" s="1" t="s">
        <v>1481</v>
      </c>
      <c r="D1390" s="4" t="e">
        <f>VLOOKUP(A1390,المعطيات!$A$1:$J$3500,5,0)</f>
        <v>#N/A</v>
      </c>
      <c r="E1390" s="1" t="s">
        <v>1482</v>
      </c>
      <c r="F1390" s="5">
        <f t="shared" si="63"/>
        <v>0</v>
      </c>
      <c r="G1390" s="5" t="s">
        <v>1483</v>
      </c>
      <c r="H1390" s="4" t="e">
        <f>VLOOKUP(A1390,المعطيات!$A$1:$J$3500,3,0)</f>
        <v>#N/A</v>
      </c>
      <c r="I1390" s="1" t="s">
        <v>1484</v>
      </c>
      <c r="J1390" s="1" t="s">
        <v>1485</v>
      </c>
      <c r="K1390" s="4" t="e">
        <f>VLOOKUP(A1390,المعطيات!$A$1:$J$3500,6,0)</f>
        <v>#N/A</v>
      </c>
      <c r="L1390" s="1" t="s">
        <v>1486</v>
      </c>
      <c r="M1390" s="1" t="s">
        <v>1487</v>
      </c>
      <c r="N1390" s="4" t="e">
        <f t="shared" si="64"/>
        <v>#N/A</v>
      </c>
      <c r="O1390" s="1" t="s">
        <v>1488</v>
      </c>
      <c r="P1390" s="4" t="e">
        <f>VLOOKUP(A1390,المعطيات!$A$1:$J$3500,4,0)</f>
        <v>#N/A</v>
      </c>
      <c r="Q1390" s="1" t="s">
        <v>1489</v>
      </c>
      <c r="R1390" s="1" t="s">
        <v>1480</v>
      </c>
      <c r="S1390" s="6" t="e">
        <f t="shared" si="65"/>
        <v>#N/A</v>
      </c>
    </row>
    <row r="1391" spans="2:19" x14ac:dyDescent="0.25">
      <c r="B1391" s="1" t="s">
        <v>1479</v>
      </c>
      <c r="C1391" s="1" t="s">
        <v>1481</v>
      </c>
      <c r="D1391" s="4" t="e">
        <f>VLOOKUP(A1391,المعطيات!$A$1:$J$3500,5,0)</f>
        <v>#N/A</v>
      </c>
      <c r="E1391" s="1" t="s">
        <v>1482</v>
      </c>
      <c r="F1391" s="5">
        <f t="shared" si="63"/>
        <v>0</v>
      </c>
      <c r="G1391" s="5" t="s">
        <v>1483</v>
      </c>
      <c r="H1391" s="4" t="e">
        <f>VLOOKUP(A1391,المعطيات!$A$1:$J$3500,3,0)</f>
        <v>#N/A</v>
      </c>
      <c r="I1391" s="1" t="s">
        <v>1484</v>
      </c>
      <c r="J1391" s="1" t="s">
        <v>1485</v>
      </c>
      <c r="K1391" s="4" t="e">
        <f>VLOOKUP(A1391,المعطيات!$A$1:$J$3500,6,0)</f>
        <v>#N/A</v>
      </c>
      <c r="L1391" s="1" t="s">
        <v>1486</v>
      </c>
      <c r="M1391" s="1" t="s">
        <v>1487</v>
      </c>
      <c r="N1391" s="4" t="e">
        <f t="shared" si="64"/>
        <v>#N/A</v>
      </c>
      <c r="O1391" s="1" t="s">
        <v>1488</v>
      </c>
      <c r="P1391" s="4" t="e">
        <f>VLOOKUP(A1391,المعطيات!$A$1:$J$3500,4,0)</f>
        <v>#N/A</v>
      </c>
      <c r="Q1391" s="1" t="s">
        <v>1489</v>
      </c>
      <c r="R1391" s="1" t="s">
        <v>1480</v>
      </c>
      <c r="S1391" s="6" t="e">
        <f t="shared" si="65"/>
        <v>#N/A</v>
      </c>
    </row>
    <row r="1392" spans="2:19" x14ac:dyDescent="0.25">
      <c r="B1392" s="1" t="s">
        <v>1479</v>
      </c>
      <c r="C1392" s="1" t="s">
        <v>1481</v>
      </c>
      <c r="D1392" s="4" t="e">
        <f>VLOOKUP(A1392,المعطيات!$A$1:$J$3500,5,0)</f>
        <v>#N/A</v>
      </c>
      <c r="E1392" s="1" t="s">
        <v>1482</v>
      </c>
      <c r="F1392" s="5">
        <f t="shared" si="63"/>
        <v>0</v>
      </c>
      <c r="G1392" s="5" t="s">
        <v>1483</v>
      </c>
      <c r="H1392" s="4" t="e">
        <f>VLOOKUP(A1392,المعطيات!$A$1:$J$3500,3,0)</f>
        <v>#N/A</v>
      </c>
      <c r="I1392" s="1" t="s">
        <v>1484</v>
      </c>
      <c r="J1392" s="1" t="s">
        <v>1485</v>
      </c>
      <c r="K1392" s="4" t="e">
        <f>VLOOKUP(A1392,المعطيات!$A$1:$J$3500,6,0)</f>
        <v>#N/A</v>
      </c>
      <c r="L1392" s="1" t="s">
        <v>1486</v>
      </c>
      <c r="M1392" s="1" t="s">
        <v>1487</v>
      </c>
      <c r="N1392" s="4" t="e">
        <f t="shared" si="64"/>
        <v>#N/A</v>
      </c>
      <c r="O1392" s="1" t="s">
        <v>1488</v>
      </c>
      <c r="P1392" s="4" t="e">
        <f>VLOOKUP(A1392,المعطيات!$A$1:$J$3500,4,0)</f>
        <v>#N/A</v>
      </c>
      <c r="Q1392" s="1" t="s">
        <v>1489</v>
      </c>
      <c r="R1392" s="1" t="s">
        <v>1480</v>
      </c>
      <c r="S1392" s="6" t="e">
        <f t="shared" si="65"/>
        <v>#N/A</v>
      </c>
    </row>
    <row r="1393" spans="2:19" x14ac:dyDescent="0.25">
      <c r="B1393" s="1" t="s">
        <v>1479</v>
      </c>
      <c r="C1393" s="1" t="s">
        <v>1481</v>
      </c>
      <c r="D1393" s="4" t="e">
        <f>VLOOKUP(A1393,المعطيات!$A$1:$J$3500,5,0)</f>
        <v>#N/A</v>
      </c>
      <c r="E1393" s="1" t="s">
        <v>1482</v>
      </c>
      <c r="F1393" s="5">
        <f t="shared" si="63"/>
        <v>0</v>
      </c>
      <c r="G1393" s="5" t="s">
        <v>1483</v>
      </c>
      <c r="H1393" s="4" t="e">
        <f>VLOOKUP(A1393,المعطيات!$A$1:$J$3500,3,0)</f>
        <v>#N/A</v>
      </c>
      <c r="I1393" s="1" t="s">
        <v>1484</v>
      </c>
      <c r="J1393" s="1" t="s">
        <v>1485</v>
      </c>
      <c r="K1393" s="4" t="e">
        <f>VLOOKUP(A1393,المعطيات!$A$1:$J$3500,6,0)</f>
        <v>#N/A</v>
      </c>
      <c r="L1393" s="1" t="s">
        <v>1486</v>
      </c>
      <c r="M1393" s="1" t="s">
        <v>1487</v>
      </c>
      <c r="N1393" s="4" t="e">
        <f t="shared" si="64"/>
        <v>#N/A</v>
      </c>
      <c r="O1393" s="1" t="s">
        <v>1488</v>
      </c>
      <c r="P1393" s="4" t="e">
        <f>VLOOKUP(A1393,المعطيات!$A$1:$J$3500,4,0)</f>
        <v>#N/A</v>
      </c>
      <c r="Q1393" s="1" t="s">
        <v>1489</v>
      </c>
      <c r="R1393" s="1" t="s">
        <v>1480</v>
      </c>
      <c r="S1393" s="6" t="e">
        <f t="shared" si="65"/>
        <v>#N/A</v>
      </c>
    </row>
    <row r="1394" spans="2:19" x14ac:dyDescent="0.25">
      <c r="B1394" s="1" t="s">
        <v>1479</v>
      </c>
      <c r="C1394" s="1" t="s">
        <v>1481</v>
      </c>
      <c r="D1394" s="4" t="e">
        <f>VLOOKUP(A1394,المعطيات!$A$1:$J$3500,5,0)</f>
        <v>#N/A</v>
      </c>
      <c r="E1394" s="1" t="s">
        <v>1482</v>
      </c>
      <c r="F1394" s="5">
        <f t="shared" si="63"/>
        <v>0</v>
      </c>
      <c r="G1394" s="5" t="s">
        <v>1483</v>
      </c>
      <c r="H1394" s="4" t="e">
        <f>VLOOKUP(A1394,المعطيات!$A$1:$J$3500,3,0)</f>
        <v>#N/A</v>
      </c>
      <c r="I1394" s="1" t="s">
        <v>1484</v>
      </c>
      <c r="J1394" s="1" t="s">
        <v>1485</v>
      </c>
      <c r="K1394" s="4" t="e">
        <f>VLOOKUP(A1394,المعطيات!$A$1:$J$3500,6,0)</f>
        <v>#N/A</v>
      </c>
      <c r="L1394" s="1" t="s">
        <v>1486</v>
      </c>
      <c r="M1394" s="1" t="s">
        <v>1487</v>
      </c>
      <c r="N1394" s="4" t="e">
        <f t="shared" si="64"/>
        <v>#N/A</v>
      </c>
      <c r="O1394" s="1" t="s">
        <v>1488</v>
      </c>
      <c r="P1394" s="4" t="e">
        <f>VLOOKUP(A1394,المعطيات!$A$1:$J$3500,4,0)</f>
        <v>#N/A</v>
      </c>
      <c r="Q1394" s="1" t="s">
        <v>1489</v>
      </c>
      <c r="R1394" s="1" t="s">
        <v>1480</v>
      </c>
      <c r="S1394" s="6" t="e">
        <f t="shared" si="65"/>
        <v>#N/A</v>
      </c>
    </row>
    <row r="1395" spans="2:19" x14ac:dyDescent="0.25">
      <c r="B1395" s="1" t="s">
        <v>1479</v>
      </c>
      <c r="C1395" s="1" t="s">
        <v>1481</v>
      </c>
      <c r="D1395" s="4" t="e">
        <f>VLOOKUP(A1395,المعطيات!$A$1:$J$3500,5,0)</f>
        <v>#N/A</v>
      </c>
      <c r="E1395" s="1" t="s">
        <v>1482</v>
      </c>
      <c r="F1395" s="5">
        <f t="shared" si="63"/>
        <v>0</v>
      </c>
      <c r="G1395" s="5" t="s">
        <v>1483</v>
      </c>
      <c r="H1395" s="4" t="e">
        <f>VLOOKUP(A1395,المعطيات!$A$1:$J$3500,3,0)</f>
        <v>#N/A</v>
      </c>
      <c r="I1395" s="1" t="s">
        <v>1484</v>
      </c>
      <c r="J1395" s="1" t="s">
        <v>1485</v>
      </c>
      <c r="K1395" s="4" t="e">
        <f>VLOOKUP(A1395,المعطيات!$A$1:$J$3500,6,0)</f>
        <v>#N/A</v>
      </c>
      <c r="L1395" s="1" t="s">
        <v>1486</v>
      </c>
      <c r="M1395" s="1" t="s">
        <v>1487</v>
      </c>
      <c r="N1395" s="4" t="e">
        <f t="shared" si="64"/>
        <v>#N/A</v>
      </c>
      <c r="O1395" s="1" t="s">
        <v>1488</v>
      </c>
      <c r="P1395" s="4" t="e">
        <f>VLOOKUP(A1395,المعطيات!$A$1:$J$3500,4,0)</f>
        <v>#N/A</v>
      </c>
      <c r="Q1395" s="1" t="s">
        <v>1489</v>
      </c>
      <c r="R1395" s="1" t="s">
        <v>1480</v>
      </c>
      <c r="S1395" s="6" t="e">
        <f t="shared" si="65"/>
        <v>#N/A</v>
      </c>
    </row>
    <row r="1396" spans="2:19" x14ac:dyDescent="0.25">
      <c r="B1396" s="1" t="s">
        <v>1479</v>
      </c>
      <c r="C1396" s="1" t="s">
        <v>1481</v>
      </c>
      <c r="D1396" s="4" t="e">
        <f>VLOOKUP(A1396,المعطيات!$A$1:$J$3500,5,0)</f>
        <v>#N/A</v>
      </c>
      <c r="E1396" s="1" t="s">
        <v>1482</v>
      </c>
      <c r="F1396" s="5">
        <f t="shared" si="63"/>
        <v>0</v>
      </c>
      <c r="G1396" s="5" t="s">
        <v>1483</v>
      </c>
      <c r="H1396" s="4" t="e">
        <f>VLOOKUP(A1396,المعطيات!$A$1:$J$3500,3,0)</f>
        <v>#N/A</v>
      </c>
      <c r="I1396" s="1" t="s">
        <v>1484</v>
      </c>
      <c r="J1396" s="1" t="s">
        <v>1485</v>
      </c>
      <c r="K1396" s="4" t="e">
        <f>VLOOKUP(A1396,المعطيات!$A$1:$J$3500,6,0)</f>
        <v>#N/A</v>
      </c>
      <c r="L1396" s="1" t="s">
        <v>1486</v>
      </c>
      <c r="M1396" s="1" t="s">
        <v>1487</v>
      </c>
      <c r="N1396" s="4" t="e">
        <f t="shared" si="64"/>
        <v>#N/A</v>
      </c>
      <c r="O1396" s="1" t="s">
        <v>1488</v>
      </c>
      <c r="P1396" s="4" t="e">
        <f>VLOOKUP(A1396,المعطيات!$A$1:$J$3500,4,0)</f>
        <v>#N/A</v>
      </c>
      <c r="Q1396" s="1" t="s">
        <v>1489</v>
      </c>
      <c r="R1396" s="1" t="s">
        <v>1480</v>
      </c>
      <c r="S1396" s="6" t="e">
        <f t="shared" si="65"/>
        <v>#N/A</v>
      </c>
    </row>
    <row r="1397" spans="2:19" x14ac:dyDescent="0.25">
      <c r="B1397" s="1" t="s">
        <v>1479</v>
      </c>
      <c r="C1397" s="1" t="s">
        <v>1481</v>
      </c>
      <c r="D1397" s="4" t="e">
        <f>VLOOKUP(A1397,المعطيات!$A$1:$J$3500,5,0)</f>
        <v>#N/A</v>
      </c>
      <c r="E1397" s="1" t="s">
        <v>1482</v>
      </c>
      <c r="F1397" s="5">
        <f t="shared" si="63"/>
        <v>0</v>
      </c>
      <c r="G1397" s="5" t="s">
        <v>1483</v>
      </c>
      <c r="H1397" s="4" t="e">
        <f>VLOOKUP(A1397,المعطيات!$A$1:$J$3500,3,0)</f>
        <v>#N/A</v>
      </c>
      <c r="I1397" s="1" t="s">
        <v>1484</v>
      </c>
      <c r="J1397" s="1" t="s">
        <v>1485</v>
      </c>
      <c r="K1397" s="4" t="e">
        <f>VLOOKUP(A1397,المعطيات!$A$1:$J$3500,6,0)</f>
        <v>#N/A</v>
      </c>
      <c r="L1397" s="1" t="s">
        <v>1486</v>
      </c>
      <c r="M1397" s="1" t="s">
        <v>1487</v>
      </c>
      <c r="N1397" s="4" t="e">
        <f t="shared" si="64"/>
        <v>#N/A</v>
      </c>
      <c r="O1397" s="1" t="s">
        <v>1488</v>
      </c>
      <c r="P1397" s="4" t="e">
        <f>VLOOKUP(A1397,المعطيات!$A$1:$J$3500,4,0)</f>
        <v>#N/A</v>
      </c>
      <c r="Q1397" s="1" t="s">
        <v>1489</v>
      </c>
      <c r="R1397" s="1" t="s">
        <v>1480</v>
      </c>
      <c r="S1397" s="6" t="e">
        <f t="shared" si="65"/>
        <v>#N/A</v>
      </c>
    </row>
    <row r="1398" spans="2:19" x14ac:dyDescent="0.25">
      <c r="B1398" s="1" t="s">
        <v>1479</v>
      </c>
      <c r="C1398" s="1" t="s">
        <v>1481</v>
      </c>
      <c r="D1398" s="4" t="e">
        <f>VLOOKUP(A1398,المعطيات!$A$1:$J$3500,5,0)</f>
        <v>#N/A</v>
      </c>
      <c r="E1398" s="1" t="s">
        <v>1482</v>
      </c>
      <c r="F1398" s="5">
        <f t="shared" si="63"/>
        <v>0</v>
      </c>
      <c r="G1398" s="5" t="s">
        <v>1483</v>
      </c>
      <c r="H1398" s="4" t="e">
        <f>VLOOKUP(A1398,المعطيات!$A$1:$J$3500,3,0)</f>
        <v>#N/A</v>
      </c>
      <c r="I1398" s="1" t="s">
        <v>1484</v>
      </c>
      <c r="J1398" s="1" t="s">
        <v>1485</v>
      </c>
      <c r="K1398" s="4" t="e">
        <f>VLOOKUP(A1398,المعطيات!$A$1:$J$3500,6,0)</f>
        <v>#N/A</v>
      </c>
      <c r="L1398" s="1" t="s">
        <v>1486</v>
      </c>
      <c r="M1398" s="1" t="s">
        <v>1487</v>
      </c>
      <c r="N1398" s="4" t="e">
        <f t="shared" si="64"/>
        <v>#N/A</v>
      </c>
      <c r="O1398" s="1" t="s">
        <v>1488</v>
      </c>
      <c r="P1398" s="4" t="e">
        <f>VLOOKUP(A1398,المعطيات!$A$1:$J$3500,4,0)</f>
        <v>#N/A</v>
      </c>
      <c r="Q1398" s="1" t="s">
        <v>1489</v>
      </c>
      <c r="R1398" s="1" t="s">
        <v>1480</v>
      </c>
      <c r="S1398" s="6" t="e">
        <f t="shared" si="65"/>
        <v>#N/A</v>
      </c>
    </row>
    <row r="1399" spans="2:19" x14ac:dyDescent="0.25">
      <c r="B1399" s="1" t="s">
        <v>1479</v>
      </c>
      <c r="C1399" s="1" t="s">
        <v>1481</v>
      </c>
      <c r="D1399" s="4" t="e">
        <f>VLOOKUP(A1399,المعطيات!$A$1:$J$3500,5,0)</f>
        <v>#N/A</v>
      </c>
      <c r="E1399" s="1" t="s">
        <v>1482</v>
      </c>
      <c r="F1399" s="5">
        <f t="shared" si="63"/>
        <v>0</v>
      </c>
      <c r="G1399" s="5" t="s">
        <v>1483</v>
      </c>
      <c r="H1399" s="4" t="e">
        <f>VLOOKUP(A1399,المعطيات!$A$1:$J$3500,3,0)</f>
        <v>#N/A</v>
      </c>
      <c r="I1399" s="1" t="s">
        <v>1484</v>
      </c>
      <c r="J1399" s="1" t="s">
        <v>1485</v>
      </c>
      <c r="K1399" s="4" t="e">
        <f>VLOOKUP(A1399,المعطيات!$A$1:$J$3500,6,0)</f>
        <v>#N/A</v>
      </c>
      <c r="L1399" s="1" t="s">
        <v>1486</v>
      </c>
      <c r="M1399" s="1" t="s">
        <v>1487</v>
      </c>
      <c r="N1399" s="4" t="e">
        <f t="shared" si="64"/>
        <v>#N/A</v>
      </c>
      <c r="O1399" s="1" t="s">
        <v>1488</v>
      </c>
      <c r="P1399" s="4" t="e">
        <f>VLOOKUP(A1399,المعطيات!$A$1:$J$3500,4,0)</f>
        <v>#N/A</v>
      </c>
      <c r="Q1399" s="1" t="s">
        <v>1489</v>
      </c>
      <c r="R1399" s="1" t="s">
        <v>1480</v>
      </c>
      <c r="S1399" s="6" t="e">
        <f t="shared" si="65"/>
        <v>#N/A</v>
      </c>
    </row>
    <row r="1400" spans="2:19" x14ac:dyDescent="0.25">
      <c r="B1400" s="1" t="s">
        <v>1479</v>
      </c>
      <c r="C1400" s="1" t="s">
        <v>1481</v>
      </c>
      <c r="D1400" s="4" t="e">
        <f>VLOOKUP(A1400,المعطيات!$A$1:$J$3500,5,0)</f>
        <v>#N/A</v>
      </c>
      <c r="E1400" s="1" t="s">
        <v>1482</v>
      </c>
      <c r="F1400" s="5">
        <f t="shared" si="63"/>
        <v>0</v>
      </c>
      <c r="G1400" s="5" t="s">
        <v>1483</v>
      </c>
      <c r="H1400" s="4" t="e">
        <f>VLOOKUP(A1400,المعطيات!$A$1:$J$3500,3,0)</f>
        <v>#N/A</v>
      </c>
      <c r="I1400" s="1" t="s">
        <v>1484</v>
      </c>
      <c r="J1400" s="1" t="s">
        <v>1485</v>
      </c>
      <c r="K1400" s="4" t="e">
        <f>VLOOKUP(A1400,المعطيات!$A$1:$J$3500,6,0)</f>
        <v>#N/A</v>
      </c>
      <c r="L1400" s="1" t="s">
        <v>1486</v>
      </c>
      <c r="M1400" s="1" t="s">
        <v>1487</v>
      </c>
      <c r="N1400" s="4" t="e">
        <f t="shared" si="64"/>
        <v>#N/A</v>
      </c>
      <c r="O1400" s="1" t="s">
        <v>1488</v>
      </c>
      <c r="P1400" s="4" t="e">
        <f>VLOOKUP(A1400,المعطيات!$A$1:$J$3500,4,0)</f>
        <v>#N/A</v>
      </c>
      <c r="Q1400" s="1" t="s">
        <v>1489</v>
      </c>
      <c r="R1400" s="1" t="s">
        <v>1480</v>
      </c>
      <c r="S1400" s="6" t="e">
        <f t="shared" si="65"/>
        <v>#N/A</v>
      </c>
    </row>
    <row r="1401" spans="2:19" x14ac:dyDescent="0.25">
      <c r="B1401" s="1" t="s">
        <v>1479</v>
      </c>
      <c r="C1401" s="1" t="s">
        <v>1481</v>
      </c>
      <c r="D1401" s="4" t="e">
        <f>VLOOKUP(A1401,المعطيات!$A$1:$J$3500,5,0)</f>
        <v>#N/A</v>
      </c>
      <c r="E1401" s="1" t="s">
        <v>1482</v>
      </c>
      <c r="F1401" s="5">
        <f t="shared" si="63"/>
        <v>0</v>
      </c>
      <c r="G1401" s="5" t="s">
        <v>1483</v>
      </c>
      <c r="H1401" s="4" t="e">
        <f>VLOOKUP(A1401,المعطيات!$A$1:$J$3500,3,0)</f>
        <v>#N/A</v>
      </c>
      <c r="I1401" s="1" t="s">
        <v>1484</v>
      </c>
      <c r="J1401" s="1" t="s">
        <v>1485</v>
      </c>
      <c r="K1401" s="4" t="e">
        <f>VLOOKUP(A1401,المعطيات!$A$1:$J$3500,6,0)</f>
        <v>#N/A</v>
      </c>
      <c r="L1401" s="1" t="s">
        <v>1486</v>
      </c>
      <c r="M1401" s="1" t="s">
        <v>1487</v>
      </c>
      <c r="N1401" s="4" t="e">
        <f t="shared" si="64"/>
        <v>#N/A</v>
      </c>
      <c r="O1401" s="1" t="s">
        <v>1488</v>
      </c>
      <c r="P1401" s="4" t="e">
        <f>VLOOKUP(A1401,المعطيات!$A$1:$J$3500,4,0)</f>
        <v>#N/A</v>
      </c>
      <c r="Q1401" s="1" t="s">
        <v>1489</v>
      </c>
      <c r="R1401" s="1" t="s">
        <v>1480</v>
      </c>
      <c r="S1401" s="6" t="e">
        <f t="shared" si="65"/>
        <v>#N/A</v>
      </c>
    </row>
    <row r="1402" spans="2:19" x14ac:dyDescent="0.25">
      <c r="B1402" s="1" t="s">
        <v>1479</v>
      </c>
      <c r="C1402" s="1" t="s">
        <v>1481</v>
      </c>
      <c r="D1402" s="4" t="e">
        <f>VLOOKUP(A1402,المعطيات!$A$1:$J$3500,5,0)</f>
        <v>#N/A</v>
      </c>
      <c r="E1402" s="1" t="s">
        <v>1482</v>
      </c>
      <c r="F1402" s="5">
        <f t="shared" si="63"/>
        <v>0</v>
      </c>
      <c r="G1402" s="5" t="s">
        <v>1483</v>
      </c>
      <c r="H1402" s="4" t="e">
        <f>VLOOKUP(A1402,المعطيات!$A$1:$J$3500,3,0)</f>
        <v>#N/A</v>
      </c>
      <c r="I1402" s="1" t="s">
        <v>1484</v>
      </c>
      <c r="J1402" s="1" t="s">
        <v>1485</v>
      </c>
      <c r="K1402" s="4" t="e">
        <f>VLOOKUP(A1402,المعطيات!$A$1:$J$3500,6,0)</f>
        <v>#N/A</v>
      </c>
      <c r="L1402" s="1" t="s">
        <v>1486</v>
      </c>
      <c r="M1402" s="1" t="s">
        <v>1487</v>
      </c>
      <c r="N1402" s="4" t="e">
        <f t="shared" si="64"/>
        <v>#N/A</v>
      </c>
      <c r="O1402" s="1" t="s">
        <v>1488</v>
      </c>
      <c r="P1402" s="4" t="e">
        <f>VLOOKUP(A1402,المعطيات!$A$1:$J$3500,4,0)</f>
        <v>#N/A</v>
      </c>
      <c r="Q1402" s="1" t="s">
        <v>1489</v>
      </c>
      <c r="R1402" s="1" t="s">
        <v>1480</v>
      </c>
      <c r="S1402" s="6" t="e">
        <f t="shared" si="65"/>
        <v>#N/A</v>
      </c>
    </row>
    <row r="1403" spans="2:19" x14ac:dyDescent="0.25">
      <c r="B1403" s="1" t="s">
        <v>1479</v>
      </c>
      <c r="C1403" s="1" t="s">
        <v>1481</v>
      </c>
      <c r="D1403" s="4" t="e">
        <f>VLOOKUP(A1403,المعطيات!$A$1:$J$3500,5,0)</f>
        <v>#N/A</v>
      </c>
      <c r="E1403" s="1" t="s">
        <v>1482</v>
      </c>
      <c r="F1403" s="5">
        <f t="shared" si="63"/>
        <v>0</v>
      </c>
      <c r="G1403" s="5" t="s">
        <v>1483</v>
      </c>
      <c r="H1403" s="4" t="e">
        <f>VLOOKUP(A1403,المعطيات!$A$1:$J$3500,3,0)</f>
        <v>#N/A</v>
      </c>
      <c r="I1403" s="1" t="s">
        <v>1484</v>
      </c>
      <c r="J1403" s="1" t="s">
        <v>1485</v>
      </c>
      <c r="K1403" s="4" t="e">
        <f>VLOOKUP(A1403,المعطيات!$A$1:$J$3500,6,0)</f>
        <v>#N/A</v>
      </c>
      <c r="L1403" s="1" t="s">
        <v>1486</v>
      </c>
      <c r="M1403" s="1" t="s">
        <v>1487</v>
      </c>
      <c r="N1403" s="4" t="e">
        <f t="shared" si="64"/>
        <v>#N/A</v>
      </c>
      <c r="O1403" s="1" t="s">
        <v>1488</v>
      </c>
      <c r="P1403" s="4" t="e">
        <f>VLOOKUP(A1403,المعطيات!$A$1:$J$3500,4,0)</f>
        <v>#N/A</v>
      </c>
      <c r="Q1403" s="1" t="s">
        <v>1489</v>
      </c>
      <c r="R1403" s="1" t="s">
        <v>1480</v>
      </c>
      <c r="S1403" s="6" t="e">
        <f t="shared" si="65"/>
        <v>#N/A</v>
      </c>
    </row>
    <row r="1404" spans="2:19" x14ac:dyDescent="0.25">
      <c r="B1404" s="1" t="s">
        <v>1479</v>
      </c>
      <c r="C1404" s="1" t="s">
        <v>1481</v>
      </c>
      <c r="D1404" s="4" t="e">
        <f>VLOOKUP(A1404,المعطيات!$A$1:$J$3500,5,0)</f>
        <v>#N/A</v>
      </c>
      <c r="E1404" s="1" t="s">
        <v>1482</v>
      </c>
      <c r="F1404" s="5">
        <f t="shared" si="63"/>
        <v>0</v>
      </c>
      <c r="G1404" s="5" t="s">
        <v>1483</v>
      </c>
      <c r="H1404" s="4" t="e">
        <f>VLOOKUP(A1404,المعطيات!$A$1:$J$3500,3,0)</f>
        <v>#N/A</v>
      </c>
      <c r="I1404" s="1" t="s">
        <v>1484</v>
      </c>
      <c r="J1404" s="1" t="s">
        <v>1485</v>
      </c>
      <c r="K1404" s="4" t="e">
        <f>VLOOKUP(A1404,المعطيات!$A$1:$J$3500,6,0)</f>
        <v>#N/A</v>
      </c>
      <c r="L1404" s="1" t="s">
        <v>1486</v>
      </c>
      <c r="M1404" s="1" t="s">
        <v>1487</v>
      </c>
      <c r="N1404" s="4" t="e">
        <f t="shared" si="64"/>
        <v>#N/A</v>
      </c>
      <c r="O1404" s="1" t="s">
        <v>1488</v>
      </c>
      <c r="P1404" s="4" t="e">
        <f>VLOOKUP(A1404,المعطيات!$A$1:$J$3500,4,0)</f>
        <v>#N/A</v>
      </c>
      <c r="Q1404" s="1" t="s">
        <v>1489</v>
      </c>
      <c r="R1404" s="1" t="s">
        <v>1480</v>
      </c>
      <c r="S1404" s="6" t="e">
        <f t="shared" si="65"/>
        <v>#N/A</v>
      </c>
    </row>
    <row r="1405" spans="2:19" x14ac:dyDescent="0.25">
      <c r="B1405" s="1" t="s">
        <v>1479</v>
      </c>
      <c r="C1405" s="1" t="s">
        <v>1481</v>
      </c>
      <c r="D1405" s="4" t="e">
        <f>VLOOKUP(A1405,المعطيات!$A$1:$J$3500,5,0)</f>
        <v>#N/A</v>
      </c>
      <c r="E1405" s="1" t="s">
        <v>1482</v>
      </c>
      <c r="F1405" s="5">
        <f t="shared" si="63"/>
        <v>0</v>
      </c>
      <c r="G1405" s="5" t="s">
        <v>1483</v>
      </c>
      <c r="H1405" s="4" t="e">
        <f>VLOOKUP(A1405,المعطيات!$A$1:$J$3500,3,0)</f>
        <v>#N/A</v>
      </c>
      <c r="I1405" s="1" t="s">
        <v>1484</v>
      </c>
      <c r="J1405" s="1" t="s">
        <v>1485</v>
      </c>
      <c r="K1405" s="4" t="e">
        <f>VLOOKUP(A1405,المعطيات!$A$1:$J$3500,6,0)</f>
        <v>#N/A</v>
      </c>
      <c r="L1405" s="1" t="s">
        <v>1486</v>
      </c>
      <c r="M1405" s="1" t="s">
        <v>1487</v>
      </c>
      <c r="N1405" s="4" t="e">
        <f t="shared" si="64"/>
        <v>#N/A</v>
      </c>
      <c r="O1405" s="1" t="s">
        <v>1488</v>
      </c>
      <c r="P1405" s="4" t="e">
        <f>VLOOKUP(A1405,المعطيات!$A$1:$J$3500,4,0)</f>
        <v>#N/A</v>
      </c>
      <c r="Q1405" s="1" t="s">
        <v>1489</v>
      </c>
      <c r="R1405" s="1" t="s">
        <v>1480</v>
      </c>
      <c r="S1405" s="6" t="e">
        <f t="shared" si="65"/>
        <v>#N/A</v>
      </c>
    </row>
    <row r="1406" spans="2:19" x14ac:dyDescent="0.25">
      <c r="B1406" s="1" t="s">
        <v>1479</v>
      </c>
      <c r="C1406" s="1" t="s">
        <v>1481</v>
      </c>
      <c r="D1406" s="4" t="e">
        <f>VLOOKUP(A1406,المعطيات!$A$1:$J$3500,5,0)</f>
        <v>#N/A</v>
      </c>
      <c r="E1406" s="1" t="s">
        <v>1482</v>
      </c>
      <c r="F1406" s="5">
        <f t="shared" si="63"/>
        <v>0</v>
      </c>
      <c r="G1406" s="5" t="s">
        <v>1483</v>
      </c>
      <c r="H1406" s="4" t="e">
        <f>VLOOKUP(A1406,المعطيات!$A$1:$J$3500,3,0)</f>
        <v>#N/A</v>
      </c>
      <c r="I1406" s="1" t="s">
        <v>1484</v>
      </c>
      <c r="J1406" s="1" t="s">
        <v>1485</v>
      </c>
      <c r="K1406" s="4" t="e">
        <f>VLOOKUP(A1406,المعطيات!$A$1:$J$3500,6,0)</f>
        <v>#N/A</v>
      </c>
      <c r="L1406" s="1" t="s">
        <v>1486</v>
      </c>
      <c r="M1406" s="1" t="s">
        <v>1487</v>
      </c>
      <c r="N1406" s="4" t="e">
        <f t="shared" si="64"/>
        <v>#N/A</v>
      </c>
      <c r="O1406" s="1" t="s">
        <v>1488</v>
      </c>
      <c r="P1406" s="4" t="e">
        <f>VLOOKUP(A1406,المعطيات!$A$1:$J$3500,4,0)</f>
        <v>#N/A</v>
      </c>
      <c r="Q1406" s="1" t="s">
        <v>1489</v>
      </c>
      <c r="R1406" s="1" t="s">
        <v>1480</v>
      </c>
      <c r="S1406" s="6" t="e">
        <f t="shared" si="65"/>
        <v>#N/A</v>
      </c>
    </row>
    <row r="1407" spans="2:19" x14ac:dyDescent="0.25">
      <c r="B1407" s="1" t="s">
        <v>1479</v>
      </c>
      <c r="C1407" s="1" t="s">
        <v>1481</v>
      </c>
      <c r="D1407" s="4" t="e">
        <f>VLOOKUP(A1407,المعطيات!$A$1:$J$3500,5,0)</f>
        <v>#N/A</v>
      </c>
      <c r="E1407" s="1" t="s">
        <v>1482</v>
      </c>
      <c r="F1407" s="5">
        <f t="shared" si="63"/>
        <v>0</v>
      </c>
      <c r="G1407" s="5" t="s">
        <v>1483</v>
      </c>
      <c r="H1407" s="4" t="e">
        <f>VLOOKUP(A1407,المعطيات!$A$1:$J$3500,3,0)</f>
        <v>#N/A</v>
      </c>
      <c r="I1407" s="1" t="s">
        <v>1484</v>
      </c>
      <c r="J1407" s="1" t="s">
        <v>1485</v>
      </c>
      <c r="K1407" s="4" t="e">
        <f>VLOOKUP(A1407,المعطيات!$A$1:$J$3500,6,0)</f>
        <v>#N/A</v>
      </c>
      <c r="L1407" s="1" t="s">
        <v>1486</v>
      </c>
      <c r="M1407" s="1" t="s">
        <v>1487</v>
      </c>
      <c r="N1407" s="4" t="e">
        <f t="shared" si="64"/>
        <v>#N/A</v>
      </c>
      <c r="O1407" s="1" t="s">
        <v>1488</v>
      </c>
      <c r="P1407" s="4" t="e">
        <f>VLOOKUP(A1407,المعطيات!$A$1:$J$3500,4,0)</f>
        <v>#N/A</v>
      </c>
      <c r="Q1407" s="1" t="s">
        <v>1489</v>
      </c>
      <c r="R1407" s="1" t="s">
        <v>1480</v>
      </c>
      <c r="S1407" s="6" t="e">
        <f t="shared" si="65"/>
        <v>#N/A</v>
      </c>
    </row>
    <row r="1408" spans="2:19" x14ac:dyDescent="0.25">
      <c r="B1408" s="1" t="s">
        <v>1479</v>
      </c>
      <c r="C1408" s="1" t="s">
        <v>1481</v>
      </c>
      <c r="D1408" s="4" t="e">
        <f>VLOOKUP(A1408,المعطيات!$A$1:$J$3500,5,0)</f>
        <v>#N/A</v>
      </c>
      <c r="E1408" s="1" t="s">
        <v>1482</v>
      </c>
      <c r="F1408" s="5">
        <f t="shared" si="63"/>
        <v>0</v>
      </c>
      <c r="G1408" s="5" t="s">
        <v>1483</v>
      </c>
      <c r="H1408" s="4" t="e">
        <f>VLOOKUP(A1408,المعطيات!$A$1:$J$3500,3,0)</f>
        <v>#N/A</v>
      </c>
      <c r="I1408" s="1" t="s">
        <v>1484</v>
      </c>
      <c r="J1408" s="1" t="s">
        <v>1485</v>
      </c>
      <c r="K1408" s="4" t="e">
        <f>VLOOKUP(A1408,المعطيات!$A$1:$J$3500,6,0)</f>
        <v>#N/A</v>
      </c>
      <c r="L1408" s="1" t="s">
        <v>1486</v>
      </c>
      <c r="M1408" s="1" t="s">
        <v>1487</v>
      </c>
      <c r="N1408" s="4" t="e">
        <f t="shared" si="64"/>
        <v>#N/A</v>
      </c>
      <c r="O1408" s="1" t="s">
        <v>1488</v>
      </c>
      <c r="P1408" s="4" t="e">
        <f>VLOOKUP(A1408,المعطيات!$A$1:$J$3500,4,0)</f>
        <v>#N/A</v>
      </c>
      <c r="Q1408" s="1" t="s">
        <v>1489</v>
      </c>
      <c r="R1408" s="1" t="s">
        <v>1480</v>
      </c>
      <c r="S1408" s="6" t="e">
        <f t="shared" si="65"/>
        <v>#N/A</v>
      </c>
    </row>
    <row r="1409" spans="2:19" x14ac:dyDescent="0.25">
      <c r="B1409" s="1" t="s">
        <v>1479</v>
      </c>
      <c r="C1409" s="1" t="s">
        <v>1481</v>
      </c>
      <c r="D1409" s="4" t="e">
        <f>VLOOKUP(A1409,المعطيات!$A$1:$J$3500,5,0)</f>
        <v>#N/A</v>
      </c>
      <c r="E1409" s="1" t="s">
        <v>1482</v>
      </c>
      <c r="F1409" s="5">
        <f t="shared" si="63"/>
        <v>0</v>
      </c>
      <c r="G1409" s="5" t="s">
        <v>1483</v>
      </c>
      <c r="H1409" s="4" t="e">
        <f>VLOOKUP(A1409,المعطيات!$A$1:$J$3500,3,0)</f>
        <v>#N/A</v>
      </c>
      <c r="I1409" s="1" t="s">
        <v>1484</v>
      </c>
      <c r="J1409" s="1" t="s">
        <v>1485</v>
      </c>
      <c r="K1409" s="4" t="e">
        <f>VLOOKUP(A1409,المعطيات!$A$1:$J$3500,6,0)</f>
        <v>#N/A</v>
      </c>
      <c r="L1409" s="1" t="s">
        <v>1486</v>
      </c>
      <c r="M1409" s="1" t="s">
        <v>1487</v>
      </c>
      <c r="N1409" s="4" t="e">
        <f t="shared" si="64"/>
        <v>#N/A</v>
      </c>
      <c r="O1409" s="1" t="s">
        <v>1488</v>
      </c>
      <c r="P1409" s="4" t="e">
        <f>VLOOKUP(A1409,المعطيات!$A$1:$J$3500,4,0)</f>
        <v>#N/A</v>
      </c>
      <c r="Q1409" s="1" t="s">
        <v>1489</v>
      </c>
      <c r="R1409" s="1" t="s">
        <v>1480</v>
      </c>
      <c r="S1409" s="6" t="e">
        <f t="shared" si="65"/>
        <v>#N/A</v>
      </c>
    </row>
    <row r="1410" spans="2:19" x14ac:dyDescent="0.25">
      <c r="B1410" s="1" t="s">
        <v>1479</v>
      </c>
      <c r="C1410" s="1" t="s">
        <v>1481</v>
      </c>
      <c r="D1410" s="4" t="e">
        <f>VLOOKUP(A1410,المعطيات!$A$1:$J$3500,5,0)</f>
        <v>#N/A</v>
      </c>
      <c r="E1410" s="1" t="s">
        <v>1482</v>
      </c>
      <c r="F1410" s="5">
        <f t="shared" ref="F1410:F1473" si="66">A1410</f>
        <v>0</v>
      </c>
      <c r="G1410" s="5" t="s">
        <v>1483</v>
      </c>
      <c r="H1410" s="4" t="e">
        <f>VLOOKUP(A1410,المعطيات!$A$1:$J$3500,3,0)</f>
        <v>#N/A</v>
      </c>
      <c r="I1410" s="1" t="s">
        <v>1484</v>
      </c>
      <c r="J1410" s="1" t="s">
        <v>1485</v>
      </c>
      <c r="K1410" s="4" t="e">
        <f>VLOOKUP(A1410,المعطيات!$A$1:$J$3500,6,0)</f>
        <v>#N/A</v>
      </c>
      <c r="L1410" s="1" t="s">
        <v>1486</v>
      </c>
      <c r="M1410" s="1" t="s">
        <v>1487</v>
      </c>
      <c r="N1410" s="4" t="e">
        <f t="shared" ref="N1410:N1473" si="67">D1410</f>
        <v>#N/A</v>
      </c>
      <c r="O1410" s="1" t="s">
        <v>1488</v>
      </c>
      <c r="P1410" s="4" t="e">
        <f>VLOOKUP(A1410,المعطيات!$A$1:$J$3500,4,0)</f>
        <v>#N/A</v>
      </c>
      <c r="Q1410" s="1" t="s">
        <v>1489</v>
      </c>
      <c r="R1410" s="1" t="s">
        <v>1480</v>
      </c>
      <c r="S1410" s="6" t="e">
        <f t="shared" ref="S1410:S1473" si="68">B1410&amp;""&amp;C1410&amp;""&amp;D1410&amp;""&amp;E1410&amp;""&amp;F1410&amp;""&amp;G1410&amp;""&amp;H1410&amp;""&amp;I1410&amp;""&amp;J1410&amp;""&amp;K1410&amp;""&amp;L1410&amp;""&amp;M1410&amp;""&amp;N1410&amp;""&amp;O1410&amp;""&amp;P1410&amp;""&amp;Q1410&amp;""&amp;R1410</f>
        <v>#N/A</v>
      </c>
    </row>
    <row r="1411" spans="2:19" x14ac:dyDescent="0.25">
      <c r="B1411" s="1" t="s">
        <v>1479</v>
      </c>
      <c r="C1411" s="1" t="s">
        <v>1481</v>
      </c>
      <c r="D1411" s="4" t="e">
        <f>VLOOKUP(A1411,المعطيات!$A$1:$J$3500,5,0)</f>
        <v>#N/A</v>
      </c>
      <c r="E1411" s="1" t="s">
        <v>1482</v>
      </c>
      <c r="F1411" s="5">
        <f t="shared" si="66"/>
        <v>0</v>
      </c>
      <c r="G1411" s="5" t="s">
        <v>1483</v>
      </c>
      <c r="H1411" s="4" t="e">
        <f>VLOOKUP(A1411,المعطيات!$A$1:$J$3500,3,0)</f>
        <v>#N/A</v>
      </c>
      <c r="I1411" s="1" t="s">
        <v>1484</v>
      </c>
      <c r="J1411" s="1" t="s">
        <v>1485</v>
      </c>
      <c r="K1411" s="4" t="e">
        <f>VLOOKUP(A1411,المعطيات!$A$1:$J$3500,6,0)</f>
        <v>#N/A</v>
      </c>
      <c r="L1411" s="1" t="s">
        <v>1486</v>
      </c>
      <c r="M1411" s="1" t="s">
        <v>1487</v>
      </c>
      <c r="N1411" s="4" t="e">
        <f t="shared" si="67"/>
        <v>#N/A</v>
      </c>
      <c r="O1411" s="1" t="s">
        <v>1488</v>
      </c>
      <c r="P1411" s="4" t="e">
        <f>VLOOKUP(A1411,المعطيات!$A$1:$J$3500,4,0)</f>
        <v>#N/A</v>
      </c>
      <c r="Q1411" s="1" t="s">
        <v>1489</v>
      </c>
      <c r="R1411" s="1" t="s">
        <v>1480</v>
      </c>
      <c r="S1411" s="6" t="e">
        <f t="shared" si="68"/>
        <v>#N/A</v>
      </c>
    </row>
    <row r="1412" spans="2:19" x14ac:dyDescent="0.25">
      <c r="B1412" s="1" t="s">
        <v>1479</v>
      </c>
      <c r="C1412" s="1" t="s">
        <v>1481</v>
      </c>
      <c r="D1412" s="4" t="e">
        <f>VLOOKUP(A1412,المعطيات!$A$1:$J$3500,5,0)</f>
        <v>#N/A</v>
      </c>
      <c r="E1412" s="1" t="s">
        <v>1482</v>
      </c>
      <c r="F1412" s="5">
        <f t="shared" si="66"/>
        <v>0</v>
      </c>
      <c r="G1412" s="5" t="s">
        <v>1483</v>
      </c>
      <c r="H1412" s="4" t="e">
        <f>VLOOKUP(A1412,المعطيات!$A$1:$J$3500,3,0)</f>
        <v>#N/A</v>
      </c>
      <c r="I1412" s="1" t="s">
        <v>1484</v>
      </c>
      <c r="J1412" s="1" t="s">
        <v>1485</v>
      </c>
      <c r="K1412" s="4" t="e">
        <f>VLOOKUP(A1412,المعطيات!$A$1:$J$3500,6,0)</f>
        <v>#N/A</v>
      </c>
      <c r="L1412" s="1" t="s">
        <v>1486</v>
      </c>
      <c r="M1412" s="1" t="s">
        <v>1487</v>
      </c>
      <c r="N1412" s="4" t="e">
        <f t="shared" si="67"/>
        <v>#N/A</v>
      </c>
      <c r="O1412" s="1" t="s">
        <v>1488</v>
      </c>
      <c r="P1412" s="4" t="e">
        <f>VLOOKUP(A1412,المعطيات!$A$1:$J$3500,4,0)</f>
        <v>#N/A</v>
      </c>
      <c r="Q1412" s="1" t="s">
        <v>1489</v>
      </c>
      <c r="R1412" s="1" t="s">
        <v>1480</v>
      </c>
      <c r="S1412" s="6" t="e">
        <f t="shared" si="68"/>
        <v>#N/A</v>
      </c>
    </row>
    <row r="1413" spans="2:19" x14ac:dyDescent="0.25">
      <c r="B1413" s="1" t="s">
        <v>1479</v>
      </c>
      <c r="C1413" s="1" t="s">
        <v>1481</v>
      </c>
      <c r="D1413" s="4" t="e">
        <f>VLOOKUP(A1413,المعطيات!$A$1:$J$3500,5,0)</f>
        <v>#N/A</v>
      </c>
      <c r="E1413" s="1" t="s">
        <v>1482</v>
      </c>
      <c r="F1413" s="5">
        <f t="shared" si="66"/>
        <v>0</v>
      </c>
      <c r="G1413" s="5" t="s">
        <v>1483</v>
      </c>
      <c r="H1413" s="4" t="e">
        <f>VLOOKUP(A1413,المعطيات!$A$1:$J$3500,3,0)</f>
        <v>#N/A</v>
      </c>
      <c r="I1413" s="1" t="s">
        <v>1484</v>
      </c>
      <c r="J1413" s="1" t="s">
        <v>1485</v>
      </c>
      <c r="K1413" s="4" t="e">
        <f>VLOOKUP(A1413,المعطيات!$A$1:$J$3500,6,0)</f>
        <v>#N/A</v>
      </c>
      <c r="L1413" s="1" t="s">
        <v>1486</v>
      </c>
      <c r="M1413" s="1" t="s">
        <v>1487</v>
      </c>
      <c r="N1413" s="4" t="e">
        <f t="shared" si="67"/>
        <v>#N/A</v>
      </c>
      <c r="O1413" s="1" t="s">
        <v>1488</v>
      </c>
      <c r="P1413" s="4" t="e">
        <f>VLOOKUP(A1413,المعطيات!$A$1:$J$3500,4,0)</f>
        <v>#N/A</v>
      </c>
      <c r="Q1413" s="1" t="s">
        <v>1489</v>
      </c>
      <c r="R1413" s="1" t="s">
        <v>1480</v>
      </c>
      <c r="S1413" s="6" t="e">
        <f t="shared" si="68"/>
        <v>#N/A</v>
      </c>
    </row>
    <row r="1414" spans="2:19" x14ac:dyDescent="0.25">
      <c r="B1414" s="1" t="s">
        <v>1479</v>
      </c>
      <c r="C1414" s="1" t="s">
        <v>1481</v>
      </c>
      <c r="D1414" s="4" t="e">
        <f>VLOOKUP(A1414,المعطيات!$A$1:$J$3500,5,0)</f>
        <v>#N/A</v>
      </c>
      <c r="E1414" s="1" t="s">
        <v>1482</v>
      </c>
      <c r="F1414" s="5">
        <f t="shared" si="66"/>
        <v>0</v>
      </c>
      <c r="G1414" s="5" t="s">
        <v>1483</v>
      </c>
      <c r="H1414" s="4" t="e">
        <f>VLOOKUP(A1414,المعطيات!$A$1:$J$3500,3,0)</f>
        <v>#N/A</v>
      </c>
      <c r="I1414" s="1" t="s">
        <v>1484</v>
      </c>
      <c r="J1414" s="1" t="s">
        <v>1485</v>
      </c>
      <c r="K1414" s="4" t="e">
        <f>VLOOKUP(A1414,المعطيات!$A$1:$J$3500,6,0)</f>
        <v>#N/A</v>
      </c>
      <c r="L1414" s="1" t="s">
        <v>1486</v>
      </c>
      <c r="M1414" s="1" t="s">
        <v>1487</v>
      </c>
      <c r="N1414" s="4" t="e">
        <f t="shared" si="67"/>
        <v>#N/A</v>
      </c>
      <c r="O1414" s="1" t="s">
        <v>1488</v>
      </c>
      <c r="P1414" s="4" t="e">
        <f>VLOOKUP(A1414,المعطيات!$A$1:$J$3500,4,0)</f>
        <v>#N/A</v>
      </c>
      <c r="Q1414" s="1" t="s">
        <v>1489</v>
      </c>
      <c r="R1414" s="1" t="s">
        <v>1480</v>
      </c>
      <c r="S1414" s="6" t="e">
        <f t="shared" si="68"/>
        <v>#N/A</v>
      </c>
    </row>
    <row r="1415" spans="2:19" x14ac:dyDescent="0.25">
      <c r="B1415" s="1" t="s">
        <v>1479</v>
      </c>
      <c r="C1415" s="1" t="s">
        <v>1481</v>
      </c>
      <c r="D1415" s="4" t="e">
        <f>VLOOKUP(A1415,المعطيات!$A$1:$J$3500,5,0)</f>
        <v>#N/A</v>
      </c>
      <c r="E1415" s="1" t="s">
        <v>1482</v>
      </c>
      <c r="F1415" s="5">
        <f t="shared" si="66"/>
        <v>0</v>
      </c>
      <c r="G1415" s="5" t="s">
        <v>1483</v>
      </c>
      <c r="H1415" s="4" t="e">
        <f>VLOOKUP(A1415,المعطيات!$A$1:$J$3500,3,0)</f>
        <v>#N/A</v>
      </c>
      <c r="I1415" s="1" t="s">
        <v>1484</v>
      </c>
      <c r="J1415" s="1" t="s">
        <v>1485</v>
      </c>
      <c r="K1415" s="4" t="e">
        <f>VLOOKUP(A1415,المعطيات!$A$1:$J$3500,6,0)</f>
        <v>#N/A</v>
      </c>
      <c r="L1415" s="1" t="s">
        <v>1486</v>
      </c>
      <c r="M1415" s="1" t="s">
        <v>1487</v>
      </c>
      <c r="N1415" s="4" t="e">
        <f t="shared" si="67"/>
        <v>#N/A</v>
      </c>
      <c r="O1415" s="1" t="s">
        <v>1488</v>
      </c>
      <c r="P1415" s="4" t="e">
        <f>VLOOKUP(A1415,المعطيات!$A$1:$J$3500,4,0)</f>
        <v>#N/A</v>
      </c>
      <c r="Q1415" s="1" t="s">
        <v>1489</v>
      </c>
      <c r="R1415" s="1" t="s">
        <v>1480</v>
      </c>
      <c r="S1415" s="6" t="e">
        <f t="shared" si="68"/>
        <v>#N/A</v>
      </c>
    </row>
    <row r="1416" spans="2:19" x14ac:dyDescent="0.25">
      <c r="B1416" s="1" t="s">
        <v>1479</v>
      </c>
      <c r="C1416" s="1" t="s">
        <v>1481</v>
      </c>
      <c r="D1416" s="4" t="e">
        <f>VLOOKUP(A1416,المعطيات!$A$1:$J$3500,5,0)</f>
        <v>#N/A</v>
      </c>
      <c r="E1416" s="1" t="s">
        <v>1482</v>
      </c>
      <c r="F1416" s="5">
        <f t="shared" si="66"/>
        <v>0</v>
      </c>
      <c r="G1416" s="5" t="s">
        <v>1483</v>
      </c>
      <c r="H1416" s="4" t="e">
        <f>VLOOKUP(A1416,المعطيات!$A$1:$J$3500,3,0)</f>
        <v>#N/A</v>
      </c>
      <c r="I1416" s="1" t="s">
        <v>1484</v>
      </c>
      <c r="J1416" s="1" t="s">
        <v>1485</v>
      </c>
      <c r="K1416" s="4" t="e">
        <f>VLOOKUP(A1416,المعطيات!$A$1:$J$3500,6,0)</f>
        <v>#N/A</v>
      </c>
      <c r="L1416" s="1" t="s">
        <v>1486</v>
      </c>
      <c r="M1416" s="1" t="s">
        <v>1487</v>
      </c>
      <c r="N1416" s="4" t="e">
        <f t="shared" si="67"/>
        <v>#N/A</v>
      </c>
      <c r="O1416" s="1" t="s">
        <v>1488</v>
      </c>
      <c r="P1416" s="4" t="e">
        <f>VLOOKUP(A1416,المعطيات!$A$1:$J$3500,4,0)</f>
        <v>#N/A</v>
      </c>
      <c r="Q1416" s="1" t="s">
        <v>1489</v>
      </c>
      <c r="R1416" s="1" t="s">
        <v>1480</v>
      </c>
      <c r="S1416" s="6" t="e">
        <f t="shared" si="68"/>
        <v>#N/A</v>
      </c>
    </row>
    <row r="1417" spans="2:19" x14ac:dyDescent="0.25">
      <c r="B1417" s="1" t="s">
        <v>1479</v>
      </c>
      <c r="C1417" s="1" t="s">
        <v>1481</v>
      </c>
      <c r="D1417" s="4" t="e">
        <f>VLOOKUP(A1417,المعطيات!$A$1:$J$3500,5,0)</f>
        <v>#N/A</v>
      </c>
      <c r="E1417" s="1" t="s">
        <v>1482</v>
      </c>
      <c r="F1417" s="5">
        <f t="shared" si="66"/>
        <v>0</v>
      </c>
      <c r="G1417" s="5" t="s">
        <v>1483</v>
      </c>
      <c r="H1417" s="4" t="e">
        <f>VLOOKUP(A1417,المعطيات!$A$1:$J$3500,3,0)</f>
        <v>#N/A</v>
      </c>
      <c r="I1417" s="1" t="s">
        <v>1484</v>
      </c>
      <c r="J1417" s="1" t="s">
        <v>1485</v>
      </c>
      <c r="K1417" s="4" t="e">
        <f>VLOOKUP(A1417,المعطيات!$A$1:$J$3500,6,0)</f>
        <v>#N/A</v>
      </c>
      <c r="L1417" s="1" t="s">
        <v>1486</v>
      </c>
      <c r="M1417" s="1" t="s">
        <v>1487</v>
      </c>
      <c r="N1417" s="4" t="e">
        <f t="shared" si="67"/>
        <v>#N/A</v>
      </c>
      <c r="O1417" s="1" t="s">
        <v>1488</v>
      </c>
      <c r="P1417" s="4" t="e">
        <f>VLOOKUP(A1417,المعطيات!$A$1:$J$3500,4,0)</f>
        <v>#N/A</v>
      </c>
      <c r="Q1417" s="1" t="s">
        <v>1489</v>
      </c>
      <c r="R1417" s="1" t="s">
        <v>1480</v>
      </c>
      <c r="S1417" s="6" t="e">
        <f t="shared" si="68"/>
        <v>#N/A</v>
      </c>
    </row>
    <row r="1418" spans="2:19" x14ac:dyDescent="0.25">
      <c r="B1418" s="1" t="s">
        <v>1479</v>
      </c>
      <c r="C1418" s="1" t="s">
        <v>1481</v>
      </c>
      <c r="D1418" s="4" t="e">
        <f>VLOOKUP(A1418,المعطيات!$A$1:$J$3500,5,0)</f>
        <v>#N/A</v>
      </c>
      <c r="E1418" s="1" t="s">
        <v>1482</v>
      </c>
      <c r="F1418" s="5">
        <f t="shared" si="66"/>
        <v>0</v>
      </c>
      <c r="G1418" s="5" t="s">
        <v>1483</v>
      </c>
      <c r="H1418" s="4" t="e">
        <f>VLOOKUP(A1418,المعطيات!$A$1:$J$3500,3,0)</f>
        <v>#N/A</v>
      </c>
      <c r="I1418" s="1" t="s">
        <v>1484</v>
      </c>
      <c r="J1418" s="1" t="s">
        <v>1485</v>
      </c>
      <c r="K1418" s="4" t="e">
        <f>VLOOKUP(A1418,المعطيات!$A$1:$J$3500,6,0)</f>
        <v>#N/A</v>
      </c>
      <c r="L1418" s="1" t="s">
        <v>1486</v>
      </c>
      <c r="M1418" s="1" t="s">
        <v>1487</v>
      </c>
      <c r="N1418" s="4" t="e">
        <f t="shared" si="67"/>
        <v>#N/A</v>
      </c>
      <c r="O1418" s="1" t="s">
        <v>1488</v>
      </c>
      <c r="P1418" s="4" t="e">
        <f>VLOOKUP(A1418,المعطيات!$A$1:$J$3500,4,0)</f>
        <v>#N/A</v>
      </c>
      <c r="Q1418" s="1" t="s">
        <v>1489</v>
      </c>
      <c r="R1418" s="1" t="s">
        <v>1480</v>
      </c>
      <c r="S1418" s="6" t="e">
        <f t="shared" si="68"/>
        <v>#N/A</v>
      </c>
    </row>
    <row r="1419" spans="2:19" x14ac:dyDescent="0.25">
      <c r="B1419" s="1" t="s">
        <v>1479</v>
      </c>
      <c r="C1419" s="1" t="s">
        <v>1481</v>
      </c>
      <c r="D1419" s="4" t="e">
        <f>VLOOKUP(A1419,المعطيات!$A$1:$J$3500,5,0)</f>
        <v>#N/A</v>
      </c>
      <c r="E1419" s="1" t="s">
        <v>1482</v>
      </c>
      <c r="F1419" s="5">
        <f t="shared" si="66"/>
        <v>0</v>
      </c>
      <c r="G1419" s="5" t="s">
        <v>1483</v>
      </c>
      <c r="H1419" s="4" t="e">
        <f>VLOOKUP(A1419,المعطيات!$A$1:$J$3500,3,0)</f>
        <v>#N/A</v>
      </c>
      <c r="I1419" s="1" t="s">
        <v>1484</v>
      </c>
      <c r="J1419" s="1" t="s">
        <v>1485</v>
      </c>
      <c r="K1419" s="4" t="e">
        <f>VLOOKUP(A1419,المعطيات!$A$1:$J$3500,6,0)</f>
        <v>#N/A</v>
      </c>
      <c r="L1419" s="1" t="s">
        <v>1486</v>
      </c>
      <c r="M1419" s="1" t="s">
        <v>1487</v>
      </c>
      <c r="N1419" s="4" t="e">
        <f t="shared" si="67"/>
        <v>#N/A</v>
      </c>
      <c r="O1419" s="1" t="s">
        <v>1488</v>
      </c>
      <c r="P1419" s="4" t="e">
        <f>VLOOKUP(A1419,المعطيات!$A$1:$J$3500,4,0)</f>
        <v>#N/A</v>
      </c>
      <c r="Q1419" s="1" t="s">
        <v>1489</v>
      </c>
      <c r="R1419" s="1" t="s">
        <v>1480</v>
      </c>
      <c r="S1419" s="6" t="e">
        <f t="shared" si="68"/>
        <v>#N/A</v>
      </c>
    </row>
    <row r="1420" spans="2:19" x14ac:dyDescent="0.25">
      <c r="B1420" s="1" t="s">
        <v>1479</v>
      </c>
      <c r="C1420" s="1" t="s">
        <v>1481</v>
      </c>
      <c r="D1420" s="4" t="e">
        <f>VLOOKUP(A1420,المعطيات!$A$1:$J$3500,5,0)</f>
        <v>#N/A</v>
      </c>
      <c r="E1420" s="1" t="s">
        <v>1482</v>
      </c>
      <c r="F1420" s="5">
        <f t="shared" si="66"/>
        <v>0</v>
      </c>
      <c r="G1420" s="5" t="s">
        <v>1483</v>
      </c>
      <c r="H1420" s="4" t="e">
        <f>VLOOKUP(A1420,المعطيات!$A$1:$J$3500,3,0)</f>
        <v>#N/A</v>
      </c>
      <c r="I1420" s="1" t="s">
        <v>1484</v>
      </c>
      <c r="J1420" s="1" t="s">
        <v>1485</v>
      </c>
      <c r="K1420" s="4" t="e">
        <f>VLOOKUP(A1420,المعطيات!$A$1:$J$3500,6,0)</f>
        <v>#N/A</v>
      </c>
      <c r="L1420" s="1" t="s">
        <v>1486</v>
      </c>
      <c r="M1420" s="1" t="s">
        <v>1487</v>
      </c>
      <c r="N1420" s="4" t="e">
        <f t="shared" si="67"/>
        <v>#N/A</v>
      </c>
      <c r="O1420" s="1" t="s">
        <v>1488</v>
      </c>
      <c r="P1420" s="4" t="e">
        <f>VLOOKUP(A1420,المعطيات!$A$1:$J$3500,4,0)</f>
        <v>#N/A</v>
      </c>
      <c r="Q1420" s="1" t="s">
        <v>1489</v>
      </c>
      <c r="R1420" s="1" t="s">
        <v>1480</v>
      </c>
      <c r="S1420" s="6" t="e">
        <f t="shared" si="68"/>
        <v>#N/A</v>
      </c>
    </row>
    <row r="1421" spans="2:19" x14ac:dyDescent="0.25">
      <c r="B1421" s="1" t="s">
        <v>1479</v>
      </c>
      <c r="C1421" s="1" t="s">
        <v>1481</v>
      </c>
      <c r="D1421" s="4" t="e">
        <f>VLOOKUP(A1421,المعطيات!$A$1:$J$3500,5,0)</f>
        <v>#N/A</v>
      </c>
      <c r="E1421" s="1" t="s">
        <v>1482</v>
      </c>
      <c r="F1421" s="5">
        <f t="shared" si="66"/>
        <v>0</v>
      </c>
      <c r="G1421" s="5" t="s">
        <v>1483</v>
      </c>
      <c r="H1421" s="4" t="e">
        <f>VLOOKUP(A1421,المعطيات!$A$1:$J$3500,3,0)</f>
        <v>#N/A</v>
      </c>
      <c r="I1421" s="1" t="s">
        <v>1484</v>
      </c>
      <c r="J1421" s="1" t="s">
        <v>1485</v>
      </c>
      <c r="K1421" s="4" t="e">
        <f>VLOOKUP(A1421,المعطيات!$A$1:$J$3500,6,0)</f>
        <v>#N/A</v>
      </c>
      <c r="L1421" s="1" t="s">
        <v>1486</v>
      </c>
      <c r="M1421" s="1" t="s">
        <v>1487</v>
      </c>
      <c r="N1421" s="4" t="e">
        <f t="shared" si="67"/>
        <v>#N/A</v>
      </c>
      <c r="O1421" s="1" t="s">
        <v>1488</v>
      </c>
      <c r="P1421" s="4" t="e">
        <f>VLOOKUP(A1421,المعطيات!$A$1:$J$3500,4,0)</f>
        <v>#N/A</v>
      </c>
      <c r="Q1421" s="1" t="s">
        <v>1489</v>
      </c>
      <c r="R1421" s="1" t="s">
        <v>1480</v>
      </c>
      <c r="S1421" s="6" t="e">
        <f t="shared" si="68"/>
        <v>#N/A</v>
      </c>
    </row>
    <row r="1422" spans="2:19" x14ac:dyDescent="0.25">
      <c r="B1422" s="1" t="s">
        <v>1479</v>
      </c>
      <c r="C1422" s="1" t="s">
        <v>1481</v>
      </c>
      <c r="D1422" s="4" t="e">
        <f>VLOOKUP(A1422,المعطيات!$A$1:$J$3500,5,0)</f>
        <v>#N/A</v>
      </c>
      <c r="E1422" s="1" t="s">
        <v>1482</v>
      </c>
      <c r="F1422" s="5">
        <f t="shared" si="66"/>
        <v>0</v>
      </c>
      <c r="G1422" s="5" t="s">
        <v>1483</v>
      </c>
      <c r="H1422" s="4" t="e">
        <f>VLOOKUP(A1422,المعطيات!$A$1:$J$3500,3,0)</f>
        <v>#N/A</v>
      </c>
      <c r="I1422" s="1" t="s">
        <v>1484</v>
      </c>
      <c r="J1422" s="1" t="s">
        <v>1485</v>
      </c>
      <c r="K1422" s="4" t="e">
        <f>VLOOKUP(A1422,المعطيات!$A$1:$J$3500,6,0)</f>
        <v>#N/A</v>
      </c>
      <c r="L1422" s="1" t="s">
        <v>1486</v>
      </c>
      <c r="M1422" s="1" t="s">
        <v>1487</v>
      </c>
      <c r="N1422" s="4" t="e">
        <f t="shared" si="67"/>
        <v>#N/A</v>
      </c>
      <c r="O1422" s="1" t="s">
        <v>1488</v>
      </c>
      <c r="P1422" s="4" t="e">
        <f>VLOOKUP(A1422,المعطيات!$A$1:$J$3500,4,0)</f>
        <v>#N/A</v>
      </c>
      <c r="Q1422" s="1" t="s">
        <v>1489</v>
      </c>
      <c r="R1422" s="1" t="s">
        <v>1480</v>
      </c>
      <c r="S1422" s="6" t="e">
        <f t="shared" si="68"/>
        <v>#N/A</v>
      </c>
    </row>
    <row r="1423" spans="2:19" x14ac:dyDescent="0.25">
      <c r="B1423" s="1" t="s">
        <v>1479</v>
      </c>
      <c r="C1423" s="1" t="s">
        <v>1481</v>
      </c>
      <c r="D1423" s="4" t="e">
        <f>VLOOKUP(A1423,المعطيات!$A$1:$J$3500,5,0)</f>
        <v>#N/A</v>
      </c>
      <c r="E1423" s="1" t="s">
        <v>1482</v>
      </c>
      <c r="F1423" s="5">
        <f t="shared" si="66"/>
        <v>0</v>
      </c>
      <c r="G1423" s="5" t="s">
        <v>1483</v>
      </c>
      <c r="H1423" s="4" t="e">
        <f>VLOOKUP(A1423,المعطيات!$A$1:$J$3500,3,0)</f>
        <v>#N/A</v>
      </c>
      <c r="I1423" s="1" t="s">
        <v>1484</v>
      </c>
      <c r="J1423" s="1" t="s">
        <v>1485</v>
      </c>
      <c r="K1423" s="4" t="e">
        <f>VLOOKUP(A1423,المعطيات!$A$1:$J$3500,6,0)</f>
        <v>#N/A</v>
      </c>
      <c r="L1423" s="1" t="s">
        <v>1486</v>
      </c>
      <c r="M1423" s="1" t="s">
        <v>1487</v>
      </c>
      <c r="N1423" s="4" t="e">
        <f t="shared" si="67"/>
        <v>#N/A</v>
      </c>
      <c r="O1423" s="1" t="s">
        <v>1488</v>
      </c>
      <c r="P1423" s="4" t="e">
        <f>VLOOKUP(A1423,المعطيات!$A$1:$J$3500,4,0)</f>
        <v>#N/A</v>
      </c>
      <c r="Q1423" s="1" t="s">
        <v>1489</v>
      </c>
      <c r="R1423" s="1" t="s">
        <v>1480</v>
      </c>
      <c r="S1423" s="6" t="e">
        <f t="shared" si="68"/>
        <v>#N/A</v>
      </c>
    </row>
    <row r="1424" spans="2:19" x14ac:dyDescent="0.25">
      <c r="B1424" s="1" t="s">
        <v>1479</v>
      </c>
      <c r="C1424" s="1" t="s">
        <v>1481</v>
      </c>
      <c r="D1424" s="4" t="e">
        <f>VLOOKUP(A1424,المعطيات!$A$1:$J$3500,5,0)</f>
        <v>#N/A</v>
      </c>
      <c r="E1424" s="1" t="s">
        <v>1482</v>
      </c>
      <c r="F1424" s="5">
        <f t="shared" si="66"/>
        <v>0</v>
      </c>
      <c r="G1424" s="5" t="s">
        <v>1483</v>
      </c>
      <c r="H1424" s="4" t="e">
        <f>VLOOKUP(A1424,المعطيات!$A$1:$J$3500,3,0)</f>
        <v>#N/A</v>
      </c>
      <c r="I1424" s="1" t="s">
        <v>1484</v>
      </c>
      <c r="J1424" s="1" t="s">
        <v>1485</v>
      </c>
      <c r="K1424" s="4" t="e">
        <f>VLOOKUP(A1424,المعطيات!$A$1:$J$3500,6,0)</f>
        <v>#N/A</v>
      </c>
      <c r="L1424" s="1" t="s">
        <v>1486</v>
      </c>
      <c r="M1424" s="1" t="s">
        <v>1487</v>
      </c>
      <c r="N1424" s="4" t="e">
        <f t="shared" si="67"/>
        <v>#N/A</v>
      </c>
      <c r="O1424" s="1" t="s">
        <v>1488</v>
      </c>
      <c r="P1424" s="4" t="e">
        <f>VLOOKUP(A1424,المعطيات!$A$1:$J$3500,4,0)</f>
        <v>#N/A</v>
      </c>
      <c r="Q1424" s="1" t="s">
        <v>1489</v>
      </c>
      <c r="R1424" s="1" t="s">
        <v>1480</v>
      </c>
      <c r="S1424" s="6" t="e">
        <f t="shared" si="68"/>
        <v>#N/A</v>
      </c>
    </row>
    <row r="1425" spans="2:19" x14ac:dyDescent="0.25">
      <c r="B1425" s="1" t="s">
        <v>1479</v>
      </c>
      <c r="C1425" s="1" t="s">
        <v>1481</v>
      </c>
      <c r="D1425" s="4" t="e">
        <f>VLOOKUP(A1425,المعطيات!$A$1:$J$3500,5,0)</f>
        <v>#N/A</v>
      </c>
      <c r="E1425" s="1" t="s">
        <v>1482</v>
      </c>
      <c r="F1425" s="5">
        <f t="shared" si="66"/>
        <v>0</v>
      </c>
      <c r="G1425" s="5" t="s">
        <v>1483</v>
      </c>
      <c r="H1425" s="4" t="e">
        <f>VLOOKUP(A1425,المعطيات!$A$1:$J$3500,3,0)</f>
        <v>#N/A</v>
      </c>
      <c r="I1425" s="1" t="s">
        <v>1484</v>
      </c>
      <c r="J1425" s="1" t="s">
        <v>1485</v>
      </c>
      <c r="K1425" s="4" t="e">
        <f>VLOOKUP(A1425,المعطيات!$A$1:$J$3500,6,0)</f>
        <v>#N/A</v>
      </c>
      <c r="L1425" s="1" t="s">
        <v>1486</v>
      </c>
      <c r="M1425" s="1" t="s">
        <v>1487</v>
      </c>
      <c r="N1425" s="4" t="e">
        <f t="shared" si="67"/>
        <v>#N/A</v>
      </c>
      <c r="O1425" s="1" t="s">
        <v>1488</v>
      </c>
      <c r="P1425" s="4" t="e">
        <f>VLOOKUP(A1425,المعطيات!$A$1:$J$3500,4,0)</f>
        <v>#N/A</v>
      </c>
      <c r="Q1425" s="1" t="s">
        <v>1489</v>
      </c>
      <c r="R1425" s="1" t="s">
        <v>1480</v>
      </c>
      <c r="S1425" s="6" t="e">
        <f t="shared" si="68"/>
        <v>#N/A</v>
      </c>
    </row>
    <row r="1426" spans="2:19" x14ac:dyDescent="0.25">
      <c r="B1426" s="1" t="s">
        <v>1479</v>
      </c>
      <c r="C1426" s="1" t="s">
        <v>1481</v>
      </c>
      <c r="D1426" s="4" t="e">
        <f>VLOOKUP(A1426,المعطيات!$A$1:$J$3500,5,0)</f>
        <v>#N/A</v>
      </c>
      <c r="E1426" s="1" t="s">
        <v>1482</v>
      </c>
      <c r="F1426" s="5">
        <f t="shared" si="66"/>
        <v>0</v>
      </c>
      <c r="G1426" s="5" t="s">
        <v>1483</v>
      </c>
      <c r="H1426" s="4" t="e">
        <f>VLOOKUP(A1426,المعطيات!$A$1:$J$3500,3,0)</f>
        <v>#N/A</v>
      </c>
      <c r="I1426" s="1" t="s">
        <v>1484</v>
      </c>
      <c r="J1426" s="1" t="s">
        <v>1485</v>
      </c>
      <c r="K1426" s="4" t="e">
        <f>VLOOKUP(A1426,المعطيات!$A$1:$J$3500,6,0)</f>
        <v>#N/A</v>
      </c>
      <c r="L1426" s="1" t="s">
        <v>1486</v>
      </c>
      <c r="M1426" s="1" t="s">
        <v>1487</v>
      </c>
      <c r="N1426" s="4" t="e">
        <f t="shared" si="67"/>
        <v>#N/A</v>
      </c>
      <c r="O1426" s="1" t="s">
        <v>1488</v>
      </c>
      <c r="P1426" s="4" t="e">
        <f>VLOOKUP(A1426,المعطيات!$A$1:$J$3500,4,0)</f>
        <v>#N/A</v>
      </c>
      <c r="Q1426" s="1" t="s">
        <v>1489</v>
      </c>
      <c r="R1426" s="1" t="s">
        <v>1480</v>
      </c>
      <c r="S1426" s="6" t="e">
        <f t="shared" si="68"/>
        <v>#N/A</v>
      </c>
    </row>
    <row r="1427" spans="2:19" x14ac:dyDescent="0.25">
      <c r="B1427" s="1" t="s">
        <v>1479</v>
      </c>
      <c r="C1427" s="1" t="s">
        <v>1481</v>
      </c>
      <c r="D1427" s="4" t="e">
        <f>VLOOKUP(A1427,المعطيات!$A$1:$J$3500,5,0)</f>
        <v>#N/A</v>
      </c>
      <c r="E1427" s="1" t="s">
        <v>1482</v>
      </c>
      <c r="F1427" s="5">
        <f t="shared" si="66"/>
        <v>0</v>
      </c>
      <c r="G1427" s="5" t="s">
        <v>1483</v>
      </c>
      <c r="H1427" s="4" t="e">
        <f>VLOOKUP(A1427,المعطيات!$A$1:$J$3500,3,0)</f>
        <v>#N/A</v>
      </c>
      <c r="I1427" s="1" t="s">
        <v>1484</v>
      </c>
      <c r="J1427" s="1" t="s">
        <v>1485</v>
      </c>
      <c r="K1427" s="4" t="e">
        <f>VLOOKUP(A1427,المعطيات!$A$1:$J$3500,6,0)</f>
        <v>#N/A</v>
      </c>
      <c r="L1427" s="1" t="s">
        <v>1486</v>
      </c>
      <c r="M1427" s="1" t="s">
        <v>1487</v>
      </c>
      <c r="N1427" s="4" t="e">
        <f t="shared" si="67"/>
        <v>#N/A</v>
      </c>
      <c r="O1427" s="1" t="s">
        <v>1488</v>
      </c>
      <c r="P1427" s="4" t="e">
        <f>VLOOKUP(A1427,المعطيات!$A$1:$J$3500,4,0)</f>
        <v>#N/A</v>
      </c>
      <c r="Q1427" s="1" t="s">
        <v>1489</v>
      </c>
      <c r="R1427" s="1" t="s">
        <v>1480</v>
      </c>
      <c r="S1427" s="6" t="e">
        <f t="shared" si="68"/>
        <v>#N/A</v>
      </c>
    </row>
    <row r="1428" spans="2:19" x14ac:dyDescent="0.25">
      <c r="B1428" s="1" t="s">
        <v>1479</v>
      </c>
      <c r="C1428" s="1" t="s">
        <v>1481</v>
      </c>
      <c r="D1428" s="4" t="e">
        <f>VLOOKUP(A1428,المعطيات!$A$1:$J$3500,5,0)</f>
        <v>#N/A</v>
      </c>
      <c r="E1428" s="1" t="s">
        <v>1482</v>
      </c>
      <c r="F1428" s="5">
        <f t="shared" si="66"/>
        <v>0</v>
      </c>
      <c r="G1428" s="5" t="s">
        <v>1483</v>
      </c>
      <c r="H1428" s="4" t="e">
        <f>VLOOKUP(A1428,المعطيات!$A$1:$J$3500,3,0)</f>
        <v>#N/A</v>
      </c>
      <c r="I1428" s="1" t="s">
        <v>1484</v>
      </c>
      <c r="J1428" s="1" t="s">
        <v>1485</v>
      </c>
      <c r="K1428" s="4" t="e">
        <f>VLOOKUP(A1428,المعطيات!$A$1:$J$3500,6,0)</f>
        <v>#N/A</v>
      </c>
      <c r="L1428" s="1" t="s">
        <v>1486</v>
      </c>
      <c r="M1428" s="1" t="s">
        <v>1487</v>
      </c>
      <c r="N1428" s="4" t="e">
        <f t="shared" si="67"/>
        <v>#N/A</v>
      </c>
      <c r="O1428" s="1" t="s">
        <v>1488</v>
      </c>
      <c r="P1428" s="4" t="e">
        <f>VLOOKUP(A1428,المعطيات!$A$1:$J$3500,4,0)</f>
        <v>#N/A</v>
      </c>
      <c r="Q1428" s="1" t="s">
        <v>1489</v>
      </c>
      <c r="R1428" s="1" t="s">
        <v>1480</v>
      </c>
      <c r="S1428" s="6" t="e">
        <f t="shared" si="68"/>
        <v>#N/A</v>
      </c>
    </row>
    <row r="1429" spans="2:19" x14ac:dyDescent="0.25">
      <c r="B1429" s="1" t="s">
        <v>1479</v>
      </c>
      <c r="C1429" s="1" t="s">
        <v>1481</v>
      </c>
      <c r="D1429" s="4" t="e">
        <f>VLOOKUP(A1429,المعطيات!$A$1:$J$3500,5,0)</f>
        <v>#N/A</v>
      </c>
      <c r="E1429" s="1" t="s">
        <v>1482</v>
      </c>
      <c r="F1429" s="5">
        <f t="shared" si="66"/>
        <v>0</v>
      </c>
      <c r="G1429" s="5" t="s">
        <v>1483</v>
      </c>
      <c r="H1429" s="4" t="e">
        <f>VLOOKUP(A1429,المعطيات!$A$1:$J$3500,3,0)</f>
        <v>#N/A</v>
      </c>
      <c r="I1429" s="1" t="s">
        <v>1484</v>
      </c>
      <c r="J1429" s="1" t="s">
        <v>1485</v>
      </c>
      <c r="K1429" s="4" t="e">
        <f>VLOOKUP(A1429,المعطيات!$A$1:$J$3500,6,0)</f>
        <v>#N/A</v>
      </c>
      <c r="L1429" s="1" t="s">
        <v>1486</v>
      </c>
      <c r="M1429" s="1" t="s">
        <v>1487</v>
      </c>
      <c r="N1429" s="4" t="e">
        <f t="shared" si="67"/>
        <v>#N/A</v>
      </c>
      <c r="O1429" s="1" t="s">
        <v>1488</v>
      </c>
      <c r="P1429" s="4" t="e">
        <f>VLOOKUP(A1429,المعطيات!$A$1:$J$3500,4,0)</f>
        <v>#N/A</v>
      </c>
      <c r="Q1429" s="1" t="s">
        <v>1489</v>
      </c>
      <c r="R1429" s="1" t="s">
        <v>1480</v>
      </c>
      <c r="S1429" s="6" t="e">
        <f t="shared" si="68"/>
        <v>#N/A</v>
      </c>
    </row>
    <row r="1430" spans="2:19" x14ac:dyDescent="0.25">
      <c r="B1430" s="1" t="s">
        <v>1479</v>
      </c>
      <c r="C1430" s="1" t="s">
        <v>1481</v>
      </c>
      <c r="D1430" s="4" t="e">
        <f>VLOOKUP(A1430,المعطيات!$A$1:$J$3500,5,0)</f>
        <v>#N/A</v>
      </c>
      <c r="E1430" s="1" t="s">
        <v>1482</v>
      </c>
      <c r="F1430" s="5">
        <f t="shared" si="66"/>
        <v>0</v>
      </c>
      <c r="G1430" s="5" t="s">
        <v>1483</v>
      </c>
      <c r="H1430" s="4" t="e">
        <f>VLOOKUP(A1430,المعطيات!$A$1:$J$3500,3,0)</f>
        <v>#N/A</v>
      </c>
      <c r="I1430" s="1" t="s">
        <v>1484</v>
      </c>
      <c r="J1430" s="1" t="s">
        <v>1485</v>
      </c>
      <c r="K1430" s="4" t="e">
        <f>VLOOKUP(A1430,المعطيات!$A$1:$J$3500,6,0)</f>
        <v>#N/A</v>
      </c>
      <c r="L1430" s="1" t="s">
        <v>1486</v>
      </c>
      <c r="M1430" s="1" t="s">
        <v>1487</v>
      </c>
      <c r="N1430" s="4" t="e">
        <f t="shared" si="67"/>
        <v>#N/A</v>
      </c>
      <c r="O1430" s="1" t="s">
        <v>1488</v>
      </c>
      <c r="P1430" s="4" t="e">
        <f>VLOOKUP(A1430,المعطيات!$A$1:$J$3500,4,0)</f>
        <v>#N/A</v>
      </c>
      <c r="Q1430" s="1" t="s">
        <v>1489</v>
      </c>
      <c r="R1430" s="1" t="s">
        <v>1480</v>
      </c>
      <c r="S1430" s="6" t="e">
        <f t="shared" si="68"/>
        <v>#N/A</v>
      </c>
    </row>
    <row r="1431" spans="2:19" x14ac:dyDescent="0.25">
      <c r="B1431" s="1" t="s">
        <v>1479</v>
      </c>
      <c r="C1431" s="1" t="s">
        <v>1481</v>
      </c>
      <c r="D1431" s="4" t="e">
        <f>VLOOKUP(A1431,المعطيات!$A$1:$J$3500,5,0)</f>
        <v>#N/A</v>
      </c>
      <c r="E1431" s="1" t="s">
        <v>1482</v>
      </c>
      <c r="F1431" s="5">
        <f t="shared" si="66"/>
        <v>0</v>
      </c>
      <c r="G1431" s="5" t="s">
        <v>1483</v>
      </c>
      <c r="H1431" s="4" t="e">
        <f>VLOOKUP(A1431,المعطيات!$A$1:$J$3500,3,0)</f>
        <v>#N/A</v>
      </c>
      <c r="I1431" s="1" t="s">
        <v>1484</v>
      </c>
      <c r="J1431" s="1" t="s">
        <v>1485</v>
      </c>
      <c r="K1431" s="4" t="e">
        <f>VLOOKUP(A1431,المعطيات!$A$1:$J$3500,6,0)</f>
        <v>#N/A</v>
      </c>
      <c r="L1431" s="1" t="s">
        <v>1486</v>
      </c>
      <c r="M1431" s="1" t="s">
        <v>1487</v>
      </c>
      <c r="N1431" s="4" t="e">
        <f t="shared" si="67"/>
        <v>#N/A</v>
      </c>
      <c r="O1431" s="1" t="s">
        <v>1488</v>
      </c>
      <c r="P1431" s="4" t="e">
        <f>VLOOKUP(A1431,المعطيات!$A$1:$J$3500,4,0)</f>
        <v>#N/A</v>
      </c>
      <c r="Q1431" s="1" t="s">
        <v>1489</v>
      </c>
      <c r="R1431" s="1" t="s">
        <v>1480</v>
      </c>
      <c r="S1431" s="6" t="e">
        <f t="shared" si="68"/>
        <v>#N/A</v>
      </c>
    </row>
    <row r="1432" spans="2:19" x14ac:dyDescent="0.25">
      <c r="B1432" s="1" t="s">
        <v>1479</v>
      </c>
      <c r="C1432" s="1" t="s">
        <v>1481</v>
      </c>
      <c r="D1432" s="4" t="e">
        <f>VLOOKUP(A1432,المعطيات!$A$1:$J$3500,5,0)</f>
        <v>#N/A</v>
      </c>
      <c r="E1432" s="1" t="s">
        <v>1482</v>
      </c>
      <c r="F1432" s="5">
        <f t="shared" si="66"/>
        <v>0</v>
      </c>
      <c r="G1432" s="5" t="s">
        <v>1483</v>
      </c>
      <c r="H1432" s="4" t="e">
        <f>VLOOKUP(A1432,المعطيات!$A$1:$J$3500,3,0)</f>
        <v>#N/A</v>
      </c>
      <c r="I1432" s="1" t="s">
        <v>1484</v>
      </c>
      <c r="J1432" s="1" t="s">
        <v>1485</v>
      </c>
      <c r="K1432" s="4" t="e">
        <f>VLOOKUP(A1432,المعطيات!$A$1:$J$3500,6,0)</f>
        <v>#N/A</v>
      </c>
      <c r="L1432" s="1" t="s">
        <v>1486</v>
      </c>
      <c r="M1432" s="1" t="s">
        <v>1487</v>
      </c>
      <c r="N1432" s="4" t="e">
        <f t="shared" si="67"/>
        <v>#N/A</v>
      </c>
      <c r="O1432" s="1" t="s">
        <v>1488</v>
      </c>
      <c r="P1432" s="4" t="e">
        <f>VLOOKUP(A1432,المعطيات!$A$1:$J$3500,4,0)</f>
        <v>#N/A</v>
      </c>
      <c r="Q1432" s="1" t="s">
        <v>1489</v>
      </c>
      <c r="R1432" s="1" t="s">
        <v>1480</v>
      </c>
      <c r="S1432" s="6" t="e">
        <f t="shared" si="68"/>
        <v>#N/A</v>
      </c>
    </row>
    <row r="1433" spans="2:19" x14ac:dyDescent="0.25">
      <c r="B1433" s="1" t="s">
        <v>1479</v>
      </c>
      <c r="C1433" s="1" t="s">
        <v>1481</v>
      </c>
      <c r="D1433" s="4" t="e">
        <f>VLOOKUP(A1433,المعطيات!$A$1:$J$3500,5,0)</f>
        <v>#N/A</v>
      </c>
      <c r="E1433" s="1" t="s">
        <v>1482</v>
      </c>
      <c r="F1433" s="5">
        <f t="shared" si="66"/>
        <v>0</v>
      </c>
      <c r="G1433" s="5" t="s">
        <v>1483</v>
      </c>
      <c r="H1433" s="4" t="e">
        <f>VLOOKUP(A1433,المعطيات!$A$1:$J$3500,3,0)</f>
        <v>#N/A</v>
      </c>
      <c r="I1433" s="1" t="s">
        <v>1484</v>
      </c>
      <c r="J1433" s="1" t="s">
        <v>1485</v>
      </c>
      <c r="K1433" s="4" t="e">
        <f>VLOOKUP(A1433,المعطيات!$A$1:$J$3500,6,0)</f>
        <v>#N/A</v>
      </c>
      <c r="L1433" s="1" t="s">
        <v>1486</v>
      </c>
      <c r="M1433" s="1" t="s">
        <v>1487</v>
      </c>
      <c r="N1433" s="4" t="e">
        <f t="shared" si="67"/>
        <v>#N/A</v>
      </c>
      <c r="O1433" s="1" t="s">
        <v>1488</v>
      </c>
      <c r="P1433" s="4" t="e">
        <f>VLOOKUP(A1433,المعطيات!$A$1:$J$3500,4,0)</f>
        <v>#N/A</v>
      </c>
      <c r="Q1433" s="1" t="s">
        <v>1489</v>
      </c>
      <c r="R1433" s="1" t="s">
        <v>1480</v>
      </c>
      <c r="S1433" s="6" t="e">
        <f t="shared" si="68"/>
        <v>#N/A</v>
      </c>
    </row>
    <row r="1434" spans="2:19" x14ac:dyDescent="0.25">
      <c r="B1434" s="1" t="s">
        <v>1479</v>
      </c>
      <c r="C1434" s="1" t="s">
        <v>1481</v>
      </c>
      <c r="D1434" s="4" t="e">
        <f>VLOOKUP(A1434,المعطيات!$A$1:$J$3500,5,0)</f>
        <v>#N/A</v>
      </c>
      <c r="E1434" s="1" t="s">
        <v>1482</v>
      </c>
      <c r="F1434" s="5">
        <f t="shared" si="66"/>
        <v>0</v>
      </c>
      <c r="G1434" s="5" t="s">
        <v>1483</v>
      </c>
      <c r="H1434" s="4" t="e">
        <f>VLOOKUP(A1434,المعطيات!$A$1:$J$3500,3,0)</f>
        <v>#N/A</v>
      </c>
      <c r="I1434" s="1" t="s">
        <v>1484</v>
      </c>
      <c r="J1434" s="1" t="s">
        <v>1485</v>
      </c>
      <c r="K1434" s="4" t="e">
        <f>VLOOKUP(A1434,المعطيات!$A$1:$J$3500,6,0)</f>
        <v>#N/A</v>
      </c>
      <c r="L1434" s="1" t="s">
        <v>1486</v>
      </c>
      <c r="M1434" s="1" t="s">
        <v>1487</v>
      </c>
      <c r="N1434" s="4" t="e">
        <f t="shared" si="67"/>
        <v>#N/A</v>
      </c>
      <c r="O1434" s="1" t="s">
        <v>1488</v>
      </c>
      <c r="P1434" s="4" t="e">
        <f>VLOOKUP(A1434,المعطيات!$A$1:$J$3500,4,0)</f>
        <v>#N/A</v>
      </c>
      <c r="Q1434" s="1" t="s">
        <v>1489</v>
      </c>
      <c r="R1434" s="1" t="s">
        <v>1480</v>
      </c>
      <c r="S1434" s="6" t="e">
        <f t="shared" si="68"/>
        <v>#N/A</v>
      </c>
    </row>
    <row r="1435" spans="2:19" x14ac:dyDescent="0.25">
      <c r="B1435" s="1" t="s">
        <v>1479</v>
      </c>
      <c r="C1435" s="1" t="s">
        <v>1481</v>
      </c>
      <c r="D1435" s="4" t="e">
        <f>VLOOKUP(A1435,المعطيات!$A$1:$J$3500,5,0)</f>
        <v>#N/A</v>
      </c>
      <c r="E1435" s="1" t="s">
        <v>1482</v>
      </c>
      <c r="F1435" s="5">
        <f t="shared" si="66"/>
        <v>0</v>
      </c>
      <c r="G1435" s="5" t="s">
        <v>1483</v>
      </c>
      <c r="H1435" s="4" t="e">
        <f>VLOOKUP(A1435,المعطيات!$A$1:$J$3500,3,0)</f>
        <v>#N/A</v>
      </c>
      <c r="I1435" s="1" t="s">
        <v>1484</v>
      </c>
      <c r="J1435" s="1" t="s">
        <v>1485</v>
      </c>
      <c r="K1435" s="4" t="e">
        <f>VLOOKUP(A1435,المعطيات!$A$1:$J$3500,6,0)</f>
        <v>#N/A</v>
      </c>
      <c r="L1435" s="1" t="s">
        <v>1486</v>
      </c>
      <c r="M1435" s="1" t="s">
        <v>1487</v>
      </c>
      <c r="N1435" s="4" t="e">
        <f t="shared" si="67"/>
        <v>#N/A</v>
      </c>
      <c r="O1435" s="1" t="s">
        <v>1488</v>
      </c>
      <c r="P1435" s="4" t="e">
        <f>VLOOKUP(A1435,المعطيات!$A$1:$J$3500,4,0)</f>
        <v>#N/A</v>
      </c>
      <c r="Q1435" s="1" t="s">
        <v>1489</v>
      </c>
      <c r="R1435" s="1" t="s">
        <v>1480</v>
      </c>
      <c r="S1435" s="6" t="e">
        <f t="shared" si="68"/>
        <v>#N/A</v>
      </c>
    </row>
    <row r="1436" spans="2:19" x14ac:dyDescent="0.25">
      <c r="B1436" s="1" t="s">
        <v>1479</v>
      </c>
      <c r="C1436" s="1" t="s">
        <v>1481</v>
      </c>
      <c r="D1436" s="4" t="e">
        <f>VLOOKUP(A1436,المعطيات!$A$1:$J$3500,5,0)</f>
        <v>#N/A</v>
      </c>
      <c r="E1436" s="1" t="s">
        <v>1482</v>
      </c>
      <c r="F1436" s="5">
        <f t="shared" si="66"/>
        <v>0</v>
      </c>
      <c r="G1436" s="5" t="s">
        <v>1483</v>
      </c>
      <c r="H1436" s="4" t="e">
        <f>VLOOKUP(A1436,المعطيات!$A$1:$J$3500,3,0)</f>
        <v>#N/A</v>
      </c>
      <c r="I1436" s="1" t="s">
        <v>1484</v>
      </c>
      <c r="J1436" s="1" t="s">
        <v>1485</v>
      </c>
      <c r="K1436" s="4" t="e">
        <f>VLOOKUP(A1436,المعطيات!$A$1:$J$3500,6,0)</f>
        <v>#N/A</v>
      </c>
      <c r="L1436" s="1" t="s">
        <v>1486</v>
      </c>
      <c r="M1436" s="1" t="s">
        <v>1487</v>
      </c>
      <c r="N1436" s="4" t="e">
        <f t="shared" si="67"/>
        <v>#N/A</v>
      </c>
      <c r="O1436" s="1" t="s">
        <v>1488</v>
      </c>
      <c r="P1436" s="4" t="e">
        <f>VLOOKUP(A1436,المعطيات!$A$1:$J$3500,4,0)</f>
        <v>#N/A</v>
      </c>
      <c r="Q1436" s="1" t="s">
        <v>1489</v>
      </c>
      <c r="R1436" s="1" t="s">
        <v>1480</v>
      </c>
      <c r="S1436" s="6" t="e">
        <f t="shared" si="68"/>
        <v>#N/A</v>
      </c>
    </row>
    <row r="1437" spans="2:19" x14ac:dyDescent="0.25">
      <c r="B1437" s="1" t="s">
        <v>1479</v>
      </c>
      <c r="C1437" s="1" t="s">
        <v>1481</v>
      </c>
      <c r="D1437" s="4" t="e">
        <f>VLOOKUP(A1437,المعطيات!$A$1:$J$3500,5,0)</f>
        <v>#N/A</v>
      </c>
      <c r="E1437" s="1" t="s">
        <v>1482</v>
      </c>
      <c r="F1437" s="5">
        <f t="shared" si="66"/>
        <v>0</v>
      </c>
      <c r="G1437" s="5" t="s">
        <v>1483</v>
      </c>
      <c r="H1437" s="4" t="e">
        <f>VLOOKUP(A1437,المعطيات!$A$1:$J$3500,3,0)</f>
        <v>#N/A</v>
      </c>
      <c r="I1437" s="1" t="s">
        <v>1484</v>
      </c>
      <c r="J1437" s="1" t="s">
        <v>1485</v>
      </c>
      <c r="K1437" s="4" t="e">
        <f>VLOOKUP(A1437,المعطيات!$A$1:$J$3500,6,0)</f>
        <v>#N/A</v>
      </c>
      <c r="L1437" s="1" t="s">
        <v>1486</v>
      </c>
      <c r="M1437" s="1" t="s">
        <v>1487</v>
      </c>
      <c r="N1437" s="4" t="e">
        <f t="shared" si="67"/>
        <v>#N/A</v>
      </c>
      <c r="O1437" s="1" t="s">
        <v>1488</v>
      </c>
      <c r="P1437" s="4" t="e">
        <f>VLOOKUP(A1437,المعطيات!$A$1:$J$3500,4,0)</f>
        <v>#N/A</v>
      </c>
      <c r="Q1437" s="1" t="s">
        <v>1489</v>
      </c>
      <c r="R1437" s="1" t="s">
        <v>1480</v>
      </c>
      <c r="S1437" s="6" t="e">
        <f t="shared" si="68"/>
        <v>#N/A</v>
      </c>
    </row>
    <row r="1438" spans="2:19" x14ac:dyDescent="0.25">
      <c r="B1438" s="1" t="s">
        <v>1479</v>
      </c>
      <c r="C1438" s="1" t="s">
        <v>1481</v>
      </c>
      <c r="D1438" s="4" t="e">
        <f>VLOOKUP(A1438,المعطيات!$A$1:$J$3500,5,0)</f>
        <v>#N/A</v>
      </c>
      <c r="E1438" s="1" t="s">
        <v>1482</v>
      </c>
      <c r="F1438" s="5">
        <f t="shared" si="66"/>
        <v>0</v>
      </c>
      <c r="G1438" s="5" t="s">
        <v>1483</v>
      </c>
      <c r="H1438" s="4" t="e">
        <f>VLOOKUP(A1438,المعطيات!$A$1:$J$3500,3,0)</f>
        <v>#N/A</v>
      </c>
      <c r="I1438" s="1" t="s">
        <v>1484</v>
      </c>
      <c r="J1438" s="1" t="s">
        <v>1485</v>
      </c>
      <c r="K1438" s="4" t="e">
        <f>VLOOKUP(A1438,المعطيات!$A$1:$J$3500,6,0)</f>
        <v>#N/A</v>
      </c>
      <c r="L1438" s="1" t="s">
        <v>1486</v>
      </c>
      <c r="M1438" s="1" t="s">
        <v>1487</v>
      </c>
      <c r="N1438" s="4" t="e">
        <f t="shared" si="67"/>
        <v>#N/A</v>
      </c>
      <c r="O1438" s="1" t="s">
        <v>1488</v>
      </c>
      <c r="P1438" s="4" t="e">
        <f>VLOOKUP(A1438,المعطيات!$A$1:$J$3500,4,0)</f>
        <v>#N/A</v>
      </c>
      <c r="Q1438" s="1" t="s">
        <v>1489</v>
      </c>
      <c r="R1438" s="1" t="s">
        <v>1480</v>
      </c>
      <c r="S1438" s="6" t="e">
        <f t="shared" si="68"/>
        <v>#N/A</v>
      </c>
    </row>
    <row r="1439" spans="2:19" x14ac:dyDescent="0.25">
      <c r="B1439" s="1" t="s">
        <v>1479</v>
      </c>
      <c r="C1439" s="1" t="s">
        <v>1481</v>
      </c>
      <c r="D1439" s="4" t="e">
        <f>VLOOKUP(A1439,المعطيات!$A$1:$J$3500,5,0)</f>
        <v>#N/A</v>
      </c>
      <c r="E1439" s="1" t="s">
        <v>1482</v>
      </c>
      <c r="F1439" s="5">
        <f t="shared" si="66"/>
        <v>0</v>
      </c>
      <c r="G1439" s="5" t="s">
        <v>1483</v>
      </c>
      <c r="H1439" s="4" t="e">
        <f>VLOOKUP(A1439,المعطيات!$A$1:$J$3500,3,0)</f>
        <v>#N/A</v>
      </c>
      <c r="I1439" s="1" t="s">
        <v>1484</v>
      </c>
      <c r="J1439" s="1" t="s">
        <v>1485</v>
      </c>
      <c r="K1439" s="4" t="e">
        <f>VLOOKUP(A1439,المعطيات!$A$1:$J$3500,6,0)</f>
        <v>#N/A</v>
      </c>
      <c r="L1439" s="1" t="s">
        <v>1486</v>
      </c>
      <c r="M1439" s="1" t="s">
        <v>1487</v>
      </c>
      <c r="N1439" s="4" t="e">
        <f t="shared" si="67"/>
        <v>#N/A</v>
      </c>
      <c r="O1439" s="1" t="s">
        <v>1488</v>
      </c>
      <c r="P1439" s="4" t="e">
        <f>VLOOKUP(A1439,المعطيات!$A$1:$J$3500,4,0)</f>
        <v>#N/A</v>
      </c>
      <c r="Q1439" s="1" t="s">
        <v>1489</v>
      </c>
      <c r="R1439" s="1" t="s">
        <v>1480</v>
      </c>
      <c r="S1439" s="6" t="e">
        <f t="shared" si="68"/>
        <v>#N/A</v>
      </c>
    </row>
    <row r="1440" spans="2:19" x14ac:dyDescent="0.25">
      <c r="B1440" s="1" t="s">
        <v>1479</v>
      </c>
      <c r="C1440" s="1" t="s">
        <v>1481</v>
      </c>
      <c r="D1440" s="4" t="e">
        <f>VLOOKUP(A1440,المعطيات!$A$1:$J$3500,5,0)</f>
        <v>#N/A</v>
      </c>
      <c r="E1440" s="1" t="s">
        <v>1482</v>
      </c>
      <c r="F1440" s="5">
        <f t="shared" si="66"/>
        <v>0</v>
      </c>
      <c r="G1440" s="5" t="s">
        <v>1483</v>
      </c>
      <c r="H1440" s="4" t="e">
        <f>VLOOKUP(A1440,المعطيات!$A$1:$J$3500,3,0)</f>
        <v>#N/A</v>
      </c>
      <c r="I1440" s="1" t="s">
        <v>1484</v>
      </c>
      <c r="J1440" s="1" t="s">
        <v>1485</v>
      </c>
      <c r="K1440" s="4" t="e">
        <f>VLOOKUP(A1440,المعطيات!$A$1:$J$3500,6,0)</f>
        <v>#N/A</v>
      </c>
      <c r="L1440" s="1" t="s">
        <v>1486</v>
      </c>
      <c r="M1440" s="1" t="s">
        <v>1487</v>
      </c>
      <c r="N1440" s="4" t="e">
        <f t="shared" si="67"/>
        <v>#N/A</v>
      </c>
      <c r="O1440" s="1" t="s">
        <v>1488</v>
      </c>
      <c r="P1440" s="4" t="e">
        <f>VLOOKUP(A1440,المعطيات!$A$1:$J$3500,4,0)</f>
        <v>#N/A</v>
      </c>
      <c r="Q1440" s="1" t="s">
        <v>1489</v>
      </c>
      <c r="R1440" s="1" t="s">
        <v>1480</v>
      </c>
      <c r="S1440" s="6" t="e">
        <f t="shared" si="68"/>
        <v>#N/A</v>
      </c>
    </row>
    <row r="1441" spans="2:19" x14ac:dyDescent="0.25">
      <c r="B1441" s="1" t="s">
        <v>1479</v>
      </c>
      <c r="C1441" s="1" t="s">
        <v>1481</v>
      </c>
      <c r="D1441" s="4" t="e">
        <f>VLOOKUP(A1441,المعطيات!$A$1:$J$3500,5,0)</f>
        <v>#N/A</v>
      </c>
      <c r="E1441" s="1" t="s">
        <v>1482</v>
      </c>
      <c r="F1441" s="5">
        <f t="shared" si="66"/>
        <v>0</v>
      </c>
      <c r="G1441" s="5" t="s">
        <v>1483</v>
      </c>
      <c r="H1441" s="4" t="e">
        <f>VLOOKUP(A1441,المعطيات!$A$1:$J$3500,3,0)</f>
        <v>#N/A</v>
      </c>
      <c r="I1441" s="1" t="s">
        <v>1484</v>
      </c>
      <c r="J1441" s="1" t="s">
        <v>1485</v>
      </c>
      <c r="K1441" s="4" t="e">
        <f>VLOOKUP(A1441,المعطيات!$A$1:$J$3500,6,0)</f>
        <v>#N/A</v>
      </c>
      <c r="L1441" s="1" t="s">
        <v>1486</v>
      </c>
      <c r="M1441" s="1" t="s">
        <v>1487</v>
      </c>
      <c r="N1441" s="4" t="e">
        <f t="shared" si="67"/>
        <v>#N/A</v>
      </c>
      <c r="O1441" s="1" t="s">
        <v>1488</v>
      </c>
      <c r="P1441" s="4" t="e">
        <f>VLOOKUP(A1441,المعطيات!$A$1:$J$3500,4,0)</f>
        <v>#N/A</v>
      </c>
      <c r="Q1441" s="1" t="s">
        <v>1489</v>
      </c>
      <c r="R1441" s="1" t="s">
        <v>1480</v>
      </c>
      <c r="S1441" s="6" t="e">
        <f t="shared" si="68"/>
        <v>#N/A</v>
      </c>
    </row>
    <row r="1442" spans="2:19" x14ac:dyDescent="0.25">
      <c r="B1442" s="1" t="s">
        <v>1479</v>
      </c>
      <c r="C1442" s="1" t="s">
        <v>1481</v>
      </c>
      <c r="D1442" s="4" t="e">
        <f>VLOOKUP(A1442,المعطيات!$A$1:$J$3500,5,0)</f>
        <v>#N/A</v>
      </c>
      <c r="E1442" s="1" t="s">
        <v>1482</v>
      </c>
      <c r="F1442" s="5">
        <f t="shared" si="66"/>
        <v>0</v>
      </c>
      <c r="G1442" s="5" t="s">
        <v>1483</v>
      </c>
      <c r="H1442" s="4" t="e">
        <f>VLOOKUP(A1442,المعطيات!$A$1:$J$3500,3,0)</f>
        <v>#N/A</v>
      </c>
      <c r="I1442" s="1" t="s">
        <v>1484</v>
      </c>
      <c r="J1442" s="1" t="s">
        <v>1485</v>
      </c>
      <c r="K1442" s="4" t="e">
        <f>VLOOKUP(A1442,المعطيات!$A$1:$J$3500,6,0)</f>
        <v>#N/A</v>
      </c>
      <c r="L1442" s="1" t="s">
        <v>1486</v>
      </c>
      <c r="M1442" s="1" t="s">
        <v>1487</v>
      </c>
      <c r="N1442" s="4" t="e">
        <f t="shared" si="67"/>
        <v>#N/A</v>
      </c>
      <c r="O1442" s="1" t="s">
        <v>1488</v>
      </c>
      <c r="P1442" s="4" t="e">
        <f>VLOOKUP(A1442,المعطيات!$A$1:$J$3500,4,0)</f>
        <v>#N/A</v>
      </c>
      <c r="Q1442" s="1" t="s">
        <v>1489</v>
      </c>
      <c r="R1442" s="1" t="s">
        <v>1480</v>
      </c>
      <c r="S1442" s="6" t="e">
        <f t="shared" si="68"/>
        <v>#N/A</v>
      </c>
    </row>
    <row r="1443" spans="2:19" x14ac:dyDescent="0.25">
      <c r="B1443" s="1" t="s">
        <v>1479</v>
      </c>
      <c r="C1443" s="1" t="s">
        <v>1481</v>
      </c>
      <c r="D1443" s="4" t="e">
        <f>VLOOKUP(A1443,المعطيات!$A$1:$J$3500,5,0)</f>
        <v>#N/A</v>
      </c>
      <c r="E1443" s="1" t="s">
        <v>1482</v>
      </c>
      <c r="F1443" s="5">
        <f t="shared" si="66"/>
        <v>0</v>
      </c>
      <c r="G1443" s="5" t="s">
        <v>1483</v>
      </c>
      <c r="H1443" s="4" t="e">
        <f>VLOOKUP(A1443,المعطيات!$A$1:$J$3500,3,0)</f>
        <v>#N/A</v>
      </c>
      <c r="I1443" s="1" t="s">
        <v>1484</v>
      </c>
      <c r="J1443" s="1" t="s">
        <v>1485</v>
      </c>
      <c r="K1443" s="4" t="e">
        <f>VLOOKUP(A1443,المعطيات!$A$1:$J$3500,6,0)</f>
        <v>#N/A</v>
      </c>
      <c r="L1443" s="1" t="s">
        <v>1486</v>
      </c>
      <c r="M1443" s="1" t="s">
        <v>1487</v>
      </c>
      <c r="N1443" s="4" t="e">
        <f t="shared" si="67"/>
        <v>#N/A</v>
      </c>
      <c r="O1443" s="1" t="s">
        <v>1488</v>
      </c>
      <c r="P1443" s="4" t="e">
        <f>VLOOKUP(A1443,المعطيات!$A$1:$J$3500,4,0)</f>
        <v>#N/A</v>
      </c>
      <c r="Q1443" s="1" t="s">
        <v>1489</v>
      </c>
      <c r="R1443" s="1" t="s">
        <v>1480</v>
      </c>
      <c r="S1443" s="6" t="e">
        <f t="shared" si="68"/>
        <v>#N/A</v>
      </c>
    </row>
    <row r="1444" spans="2:19" x14ac:dyDescent="0.25">
      <c r="B1444" s="1" t="s">
        <v>1479</v>
      </c>
      <c r="C1444" s="1" t="s">
        <v>1481</v>
      </c>
      <c r="D1444" s="4" t="e">
        <f>VLOOKUP(A1444,المعطيات!$A$1:$J$3500,5,0)</f>
        <v>#N/A</v>
      </c>
      <c r="E1444" s="1" t="s">
        <v>1482</v>
      </c>
      <c r="F1444" s="5">
        <f t="shared" si="66"/>
        <v>0</v>
      </c>
      <c r="G1444" s="5" t="s">
        <v>1483</v>
      </c>
      <c r="H1444" s="4" t="e">
        <f>VLOOKUP(A1444,المعطيات!$A$1:$J$3500,3,0)</f>
        <v>#N/A</v>
      </c>
      <c r="I1444" s="1" t="s">
        <v>1484</v>
      </c>
      <c r="J1444" s="1" t="s">
        <v>1485</v>
      </c>
      <c r="K1444" s="4" t="e">
        <f>VLOOKUP(A1444,المعطيات!$A$1:$J$3500,6,0)</f>
        <v>#N/A</v>
      </c>
      <c r="L1444" s="1" t="s">
        <v>1486</v>
      </c>
      <c r="M1444" s="1" t="s">
        <v>1487</v>
      </c>
      <c r="N1444" s="4" t="e">
        <f t="shared" si="67"/>
        <v>#N/A</v>
      </c>
      <c r="O1444" s="1" t="s">
        <v>1488</v>
      </c>
      <c r="P1444" s="4" t="e">
        <f>VLOOKUP(A1444,المعطيات!$A$1:$J$3500,4,0)</f>
        <v>#N/A</v>
      </c>
      <c r="Q1444" s="1" t="s">
        <v>1489</v>
      </c>
      <c r="R1444" s="1" t="s">
        <v>1480</v>
      </c>
      <c r="S1444" s="6" t="e">
        <f t="shared" si="68"/>
        <v>#N/A</v>
      </c>
    </row>
    <row r="1445" spans="2:19" x14ac:dyDescent="0.25">
      <c r="B1445" s="1" t="s">
        <v>1479</v>
      </c>
      <c r="C1445" s="1" t="s">
        <v>1481</v>
      </c>
      <c r="D1445" s="4" t="e">
        <f>VLOOKUP(A1445,المعطيات!$A$1:$J$3500,5,0)</f>
        <v>#N/A</v>
      </c>
      <c r="E1445" s="1" t="s">
        <v>1482</v>
      </c>
      <c r="F1445" s="5">
        <f t="shared" si="66"/>
        <v>0</v>
      </c>
      <c r="G1445" s="5" t="s">
        <v>1483</v>
      </c>
      <c r="H1445" s="4" t="e">
        <f>VLOOKUP(A1445,المعطيات!$A$1:$J$3500,3,0)</f>
        <v>#N/A</v>
      </c>
      <c r="I1445" s="1" t="s">
        <v>1484</v>
      </c>
      <c r="J1445" s="1" t="s">
        <v>1485</v>
      </c>
      <c r="K1445" s="4" t="e">
        <f>VLOOKUP(A1445,المعطيات!$A$1:$J$3500,6,0)</f>
        <v>#N/A</v>
      </c>
      <c r="L1445" s="1" t="s">
        <v>1486</v>
      </c>
      <c r="M1445" s="1" t="s">
        <v>1487</v>
      </c>
      <c r="N1445" s="4" t="e">
        <f t="shared" si="67"/>
        <v>#N/A</v>
      </c>
      <c r="O1445" s="1" t="s">
        <v>1488</v>
      </c>
      <c r="P1445" s="4" t="e">
        <f>VLOOKUP(A1445,المعطيات!$A$1:$J$3500,4,0)</f>
        <v>#N/A</v>
      </c>
      <c r="Q1445" s="1" t="s">
        <v>1489</v>
      </c>
      <c r="R1445" s="1" t="s">
        <v>1480</v>
      </c>
      <c r="S1445" s="6" t="e">
        <f t="shared" si="68"/>
        <v>#N/A</v>
      </c>
    </row>
    <row r="1446" spans="2:19" x14ac:dyDescent="0.25">
      <c r="B1446" s="1" t="s">
        <v>1479</v>
      </c>
      <c r="C1446" s="1" t="s">
        <v>1481</v>
      </c>
      <c r="D1446" s="4" t="e">
        <f>VLOOKUP(A1446,المعطيات!$A$1:$J$3500,5,0)</f>
        <v>#N/A</v>
      </c>
      <c r="E1446" s="1" t="s">
        <v>1482</v>
      </c>
      <c r="F1446" s="5">
        <f t="shared" si="66"/>
        <v>0</v>
      </c>
      <c r="G1446" s="5" t="s">
        <v>1483</v>
      </c>
      <c r="H1446" s="4" t="e">
        <f>VLOOKUP(A1446,المعطيات!$A$1:$J$3500,3,0)</f>
        <v>#N/A</v>
      </c>
      <c r="I1446" s="1" t="s">
        <v>1484</v>
      </c>
      <c r="J1446" s="1" t="s">
        <v>1485</v>
      </c>
      <c r="K1446" s="4" t="e">
        <f>VLOOKUP(A1446,المعطيات!$A$1:$J$3500,6,0)</f>
        <v>#N/A</v>
      </c>
      <c r="L1446" s="1" t="s">
        <v>1486</v>
      </c>
      <c r="M1446" s="1" t="s">
        <v>1487</v>
      </c>
      <c r="N1446" s="4" t="e">
        <f t="shared" si="67"/>
        <v>#N/A</v>
      </c>
      <c r="O1446" s="1" t="s">
        <v>1488</v>
      </c>
      <c r="P1446" s="4" t="e">
        <f>VLOOKUP(A1446,المعطيات!$A$1:$J$3500,4,0)</f>
        <v>#N/A</v>
      </c>
      <c r="Q1446" s="1" t="s">
        <v>1489</v>
      </c>
      <c r="R1446" s="1" t="s">
        <v>1480</v>
      </c>
      <c r="S1446" s="6" t="e">
        <f t="shared" si="68"/>
        <v>#N/A</v>
      </c>
    </row>
    <row r="1447" spans="2:19" x14ac:dyDescent="0.25">
      <c r="B1447" s="1" t="s">
        <v>1479</v>
      </c>
      <c r="C1447" s="1" t="s">
        <v>1481</v>
      </c>
      <c r="D1447" s="4" t="e">
        <f>VLOOKUP(A1447,المعطيات!$A$1:$J$3500,5,0)</f>
        <v>#N/A</v>
      </c>
      <c r="E1447" s="1" t="s">
        <v>1482</v>
      </c>
      <c r="F1447" s="5">
        <f t="shared" si="66"/>
        <v>0</v>
      </c>
      <c r="G1447" s="5" t="s">
        <v>1483</v>
      </c>
      <c r="H1447" s="4" t="e">
        <f>VLOOKUP(A1447,المعطيات!$A$1:$J$3500,3,0)</f>
        <v>#N/A</v>
      </c>
      <c r="I1447" s="1" t="s">
        <v>1484</v>
      </c>
      <c r="J1447" s="1" t="s">
        <v>1485</v>
      </c>
      <c r="K1447" s="4" t="e">
        <f>VLOOKUP(A1447,المعطيات!$A$1:$J$3500,6,0)</f>
        <v>#N/A</v>
      </c>
      <c r="L1447" s="1" t="s">
        <v>1486</v>
      </c>
      <c r="M1447" s="1" t="s">
        <v>1487</v>
      </c>
      <c r="N1447" s="4" t="e">
        <f t="shared" si="67"/>
        <v>#N/A</v>
      </c>
      <c r="O1447" s="1" t="s">
        <v>1488</v>
      </c>
      <c r="P1447" s="4" t="e">
        <f>VLOOKUP(A1447,المعطيات!$A$1:$J$3500,4,0)</f>
        <v>#N/A</v>
      </c>
      <c r="Q1447" s="1" t="s">
        <v>1489</v>
      </c>
      <c r="R1447" s="1" t="s">
        <v>1480</v>
      </c>
      <c r="S1447" s="6" t="e">
        <f t="shared" si="68"/>
        <v>#N/A</v>
      </c>
    </row>
    <row r="1448" spans="2:19" x14ac:dyDescent="0.25">
      <c r="B1448" s="1" t="s">
        <v>1479</v>
      </c>
      <c r="C1448" s="1" t="s">
        <v>1481</v>
      </c>
      <c r="D1448" s="4" t="e">
        <f>VLOOKUP(A1448,المعطيات!$A$1:$J$3500,5,0)</f>
        <v>#N/A</v>
      </c>
      <c r="E1448" s="1" t="s">
        <v>1482</v>
      </c>
      <c r="F1448" s="5">
        <f t="shared" si="66"/>
        <v>0</v>
      </c>
      <c r="G1448" s="5" t="s">
        <v>1483</v>
      </c>
      <c r="H1448" s="4" t="e">
        <f>VLOOKUP(A1448,المعطيات!$A$1:$J$3500,3,0)</f>
        <v>#N/A</v>
      </c>
      <c r="I1448" s="1" t="s">
        <v>1484</v>
      </c>
      <c r="J1448" s="1" t="s">
        <v>1485</v>
      </c>
      <c r="K1448" s="4" t="e">
        <f>VLOOKUP(A1448,المعطيات!$A$1:$J$3500,6,0)</f>
        <v>#N/A</v>
      </c>
      <c r="L1448" s="1" t="s">
        <v>1486</v>
      </c>
      <c r="M1448" s="1" t="s">
        <v>1487</v>
      </c>
      <c r="N1448" s="4" t="e">
        <f t="shared" si="67"/>
        <v>#N/A</v>
      </c>
      <c r="O1448" s="1" t="s">
        <v>1488</v>
      </c>
      <c r="P1448" s="4" t="e">
        <f>VLOOKUP(A1448,المعطيات!$A$1:$J$3500,4,0)</f>
        <v>#N/A</v>
      </c>
      <c r="Q1448" s="1" t="s">
        <v>1489</v>
      </c>
      <c r="R1448" s="1" t="s">
        <v>1480</v>
      </c>
      <c r="S1448" s="6" t="e">
        <f t="shared" si="68"/>
        <v>#N/A</v>
      </c>
    </row>
    <row r="1449" spans="2:19" x14ac:dyDescent="0.25">
      <c r="B1449" s="1" t="s">
        <v>1479</v>
      </c>
      <c r="C1449" s="1" t="s">
        <v>1481</v>
      </c>
      <c r="D1449" s="4" t="e">
        <f>VLOOKUP(A1449,المعطيات!$A$1:$J$3500,5,0)</f>
        <v>#N/A</v>
      </c>
      <c r="E1449" s="1" t="s">
        <v>1482</v>
      </c>
      <c r="F1449" s="5">
        <f t="shared" si="66"/>
        <v>0</v>
      </c>
      <c r="G1449" s="5" t="s">
        <v>1483</v>
      </c>
      <c r="H1449" s="4" t="e">
        <f>VLOOKUP(A1449,المعطيات!$A$1:$J$3500,3,0)</f>
        <v>#N/A</v>
      </c>
      <c r="I1449" s="1" t="s">
        <v>1484</v>
      </c>
      <c r="J1449" s="1" t="s">
        <v>1485</v>
      </c>
      <c r="K1449" s="4" t="e">
        <f>VLOOKUP(A1449,المعطيات!$A$1:$J$3500,6,0)</f>
        <v>#N/A</v>
      </c>
      <c r="L1449" s="1" t="s">
        <v>1486</v>
      </c>
      <c r="M1449" s="1" t="s">
        <v>1487</v>
      </c>
      <c r="N1449" s="4" t="e">
        <f t="shared" si="67"/>
        <v>#N/A</v>
      </c>
      <c r="O1449" s="1" t="s">
        <v>1488</v>
      </c>
      <c r="P1449" s="4" t="e">
        <f>VLOOKUP(A1449,المعطيات!$A$1:$J$3500,4,0)</f>
        <v>#N/A</v>
      </c>
      <c r="Q1449" s="1" t="s">
        <v>1489</v>
      </c>
      <c r="R1449" s="1" t="s">
        <v>1480</v>
      </c>
      <c r="S1449" s="6" t="e">
        <f t="shared" si="68"/>
        <v>#N/A</v>
      </c>
    </row>
    <row r="1450" spans="2:19" x14ac:dyDescent="0.25">
      <c r="B1450" s="1" t="s">
        <v>1479</v>
      </c>
      <c r="C1450" s="1" t="s">
        <v>1481</v>
      </c>
      <c r="D1450" s="4" t="e">
        <f>VLOOKUP(A1450,المعطيات!$A$1:$J$3500,5,0)</f>
        <v>#N/A</v>
      </c>
      <c r="E1450" s="1" t="s">
        <v>1482</v>
      </c>
      <c r="F1450" s="5">
        <f t="shared" si="66"/>
        <v>0</v>
      </c>
      <c r="G1450" s="5" t="s">
        <v>1483</v>
      </c>
      <c r="H1450" s="4" t="e">
        <f>VLOOKUP(A1450,المعطيات!$A$1:$J$3500,3,0)</f>
        <v>#N/A</v>
      </c>
      <c r="I1450" s="1" t="s">
        <v>1484</v>
      </c>
      <c r="J1450" s="1" t="s">
        <v>1485</v>
      </c>
      <c r="K1450" s="4" t="e">
        <f>VLOOKUP(A1450,المعطيات!$A$1:$J$3500,6,0)</f>
        <v>#N/A</v>
      </c>
      <c r="L1450" s="1" t="s">
        <v>1486</v>
      </c>
      <c r="M1450" s="1" t="s">
        <v>1487</v>
      </c>
      <c r="N1450" s="4" t="e">
        <f t="shared" si="67"/>
        <v>#N/A</v>
      </c>
      <c r="O1450" s="1" t="s">
        <v>1488</v>
      </c>
      <c r="P1450" s="4" t="e">
        <f>VLOOKUP(A1450,المعطيات!$A$1:$J$3500,4,0)</f>
        <v>#N/A</v>
      </c>
      <c r="Q1450" s="1" t="s">
        <v>1489</v>
      </c>
      <c r="R1450" s="1" t="s">
        <v>1480</v>
      </c>
      <c r="S1450" s="6" t="e">
        <f t="shared" si="68"/>
        <v>#N/A</v>
      </c>
    </row>
    <row r="1451" spans="2:19" x14ac:dyDescent="0.25">
      <c r="B1451" s="1" t="s">
        <v>1479</v>
      </c>
      <c r="C1451" s="1" t="s">
        <v>1481</v>
      </c>
      <c r="D1451" s="4" t="e">
        <f>VLOOKUP(A1451,المعطيات!$A$1:$J$3500,5,0)</f>
        <v>#N/A</v>
      </c>
      <c r="E1451" s="1" t="s">
        <v>1482</v>
      </c>
      <c r="F1451" s="5">
        <f t="shared" si="66"/>
        <v>0</v>
      </c>
      <c r="G1451" s="5" t="s">
        <v>1483</v>
      </c>
      <c r="H1451" s="4" t="e">
        <f>VLOOKUP(A1451,المعطيات!$A$1:$J$3500,3,0)</f>
        <v>#N/A</v>
      </c>
      <c r="I1451" s="1" t="s">
        <v>1484</v>
      </c>
      <c r="J1451" s="1" t="s">
        <v>1485</v>
      </c>
      <c r="K1451" s="4" t="e">
        <f>VLOOKUP(A1451,المعطيات!$A$1:$J$3500,6,0)</f>
        <v>#N/A</v>
      </c>
      <c r="L1451" s="1" t="s">
        <v>1486</v>
      </c>
      <c r="M1451" s="1" t="s">
        <v>1487</v>
      </c>
      <c r="N1451" s="4" t="e">
        <f t="shared" si="67"/>
        <v>#N/A</v>
      </c>
      <c r="O1451" s="1" t="s">
        <v>1488</v>
      </c>
      <c r="P1451" s="4" t="e">
        <f>VLOOKUP(A1451,المعطيات!$A$1:$J$3500,4,0)</f>
        <v>#N/A</v>
      </c>
      <c r="Q1451" s="1" t="s">
        <v>1489</v>
      </c>
      <c r="R1451" s="1" t="s">
        <v>1480</v>
      </c>
      <c r="S1451" s="6" t="e">
        <f t="shared" si="68"/>
        <v>#N/A</v>
      </c>
    </row>
    <row r="1452" spans="2:19" x14ac:dyDescent="0.25">
      <c r="B1452" s="1" t="s">
        <v>1479</v>
      </c>
      <c r="C1452" s="1" t="s">
        <v>1481</v>
      </c>
      <c r="D1452" s="4" t="e">
        <f>VLOOKUP(A1452,المعطيات!$A$1:$J$3500,5,0)</f>
        <v>#N/A</v>
      </c>
      <c r="E1452" s="1" t="s">
        <v>1482</v>
      </c>
      <c r="F1452" s="5">
        <f t="shared" si="66"/>
        <v>0</v>
      </c>
      <c r="G1452" s="5" t="s">
        <v>1483</v>
      </c>
      <c r="H1452" s="4" t="e">
        <f>VLOOKUP(A1452,المعطيات!$A$1:$J$3500,3,0)</f>
        <v>#N/A</v>
      </c>
      <c r="I1452" s="1" t="s">
        <v>1484</v>
      </c>
      <c r="J1452" s="1" t="s">
        <v>1485</v>
      </c>
      <c r="K1452" s="4" t="e">
        <f>VLOOKUP(A1452,المعطيات!$A$1:$J$3500,6,0)</f>
        <v>#N/A</v>
      </c>
      <c r="L1452" s="1" t="s">
        <v>1486</v>
      </c>
      <c r="M1452" s="1" t="s">
        <v>1487</v>
      </c>
      <c r="N1452" s="4" t="e">
        <f t="shared" si="67"/>
        <v>#N/A</v>
      </c>
      <c r="O1452" s="1" t="s">
        <v>1488</v>
      </c>
      <c r="P1452" s="4" t="e">
        <f>VLOOKUP(A1452,المعطيات!$A$1:$J$3500,4,0)</f>
        <v>#N/A</v>
      </c>
      <c r="Q1452" s="1" t="s">
        <v>1489</v>
      </c>
      <c r="R1452" s="1" t="s">
        <v>1480</v>
      </c>
      <c r="S1452" s="6" t="e">
        <f t="shared" si="68"/>
        <v>#N/A</v>
      </c>
    </row>
    <row r="1453" spans="2:19" x14ac:dyDescent="0.25">
      <c r="B1453" s="1" t="s">
        <v>1479</v>
      </c>
      <c r="C1453" s="1" t="s">
        <v>1481</v>
      </c>
      <c r="D1453" s="4" t="e">
        <f>VLOOKUP(A1453,المعطيات!$A$1:$J$3500,5,0)</f>
        <v>#N/A</v>
      </c>
      <c r="E1453" s="1" t="s">
        <v>1482</v>
      </c>
      <c r="F1453" s="5">
        <f t="shared" si="66"/>
        <v>0</v>
      </c>
      <c r="G1453" s="5" t="s">
        <v>1483</v>
      </c>
      <c r="H1453" s="4" t="e">
        <f>VLOOKUP(A1453,المعطيات!$A$1:$J$3500,3,0)</f>
        <v>#N/A</v>
      </c>
      <c r="I1453" s="1" t="s">
        <v>1484</v>
      </c>
      <c r="J1453" s="1" t="s">
        <v>1485</v>
      </c>
      <c r="K1453" s="4" t="e">
        <f>VLOOKUP(A1453,المعطيات!$A$1:$J$3500,6,0)</f>
        <v>#N/A</v>
      </c>
      <c r="L1453" s="1" t="s">
        <v>1486</v>
      </c>
      <c r="M1453" s="1" t="s">
        <v>1487</v>
      </c>
      <c r="N1453" s="4" t="e">
        <f t="shared" si="67"/>
        <v>#N/A</v>
      </c>
      <c r="O1453" s="1" t="s">
        <v>1488</v>
      </c>
      <c r="P1453" s="4" t="e">
        <f>VLOOKUP(A1453,المعطيات!$A$1:$J$3500,4,0)</f>
        <v>#N/A</v>
      </c>
      <c r="Q1453" s="1" t="s">
        <v>1489</v>
      </c>
      <c r="R1453" s="1" t="s">
        <v>1480</v>
      </c>
      <c r="S1453" s="6" t="e">
        <f t="shared" si="68"/>
        <v>#N/A</v>
      </c>
    </row>
    <row r="1454" spans="2:19" x14ac:dyDescent="0.25">
      <c r="B1454" s="1" t="s">
        <v>1479</v>
      </c>
      <c r="C1454" s="1" t="s">
        <v>1481</v>
      </c>
      <c r="D1454" s="4" t="e">
        <f>VLOOKUP(A1454,المعطيات!$A$1:$J$3500,5,0)</f>
        <v>#N/A</v>
      </c>
      <c r="E1454" s="1" t="s">
        <v>1482</v>
      </c>
      <c r="F1454" s="5">
        <f t="shared" si="66"/>
        <v>0</v>
      </c>
      <c r="G1454" s="5" t="s">
        <v>1483</v>
      </c>
      <c r="H1454" s="4" t="e">
        <f>VLOOKUP(A1454,المعطيات!$A$1:$J$3500,3,0)</f>
        <v>#N/A</v>
      </c>
      <c r="I1454" s="1" t="s">
        <v>1484</v>
      </c>
      <c r="J1454" s="1" t="s">
        <v>1485</v>
      </c>
      <c r="K1454" s="4" t="e">
        <f>VLOOKUP(A1454,المعطيات!$A$1:$J$3500,6,0)</f>
        <v>#N/A</v>
      </c>
      <c r="L1454" s="1" t="s">
        <v>1486</v>
      </c>
      <c r="M1454" s="1" t="s">
        <v>1487</v>
      </c>
      <c r="N1454" s="4" t="e">
        <f t="shared" si="67"/>
        <v>#N/A</v>
      </c>
      <c r="O1454" s="1" t="s">
        <v>1488</v>
      </c>
      <c r="P1454" s="4" t="e">
        <f>VLOOKUP(A1454,المعطيات!$A$1:$J$3500,4,0)</f>
        <v>#N/A</v>
      </c>
      <c r="Q1454" s="1" t="s">
        <v>1489</v>
      </c>
      <c r="R1454" s="1" t="s">
        <v>1480</v>
      </c>
      <c r="S1454" s="6" t="e">
        <f t="shared" si="68"/>
        <v>#N/A</v>
      </c>
    </row>
    <row r="1455" spans="2:19" x14ac:dyDescent="0.25">
      <c r="B1455" s="1" t="s">
        <v>1479</v>
      </c>
      <c r="C1455" s="1" t="s">
        <v>1481</v>
      </c>
      <c r="D1455" s="4" t="e">
        <f>VLOOKUP(A1455,المعطيات!$A$1:$J$3500,5,0)</f>
        <v>#N/A</v>
      </c>
      <c r="E1455" s="1" t="s">
        <v>1482</v>
      </c>
      <c r="F1455" s="5">
        <f t="shared" si="66"/>
        <v>0</v>
      </c>
      <c r="G1455" s="5" t="s">
        <v>1483</v>
      </c>
      <c r="H1455" s="4" t="e">
        <f>VLOOKUP(A1455,المعطيات!$A$1:$J$3500,3,0)</f>
        <v>#N/A</v>
      </c>
      <c r="I1455" s="1" t="s">
        <v>1484</v>
      </c>
      <c r="J1455" s="1" t="s">
        <v>1485</v>
      </c>
      <c r="K1455" s="4" t="e">
        <f>VLOOKUP(A1455,المعطيات!$A$1:$J$3500,6,0)</f>
        <v>#N/A</v>
      </c>
      <c r="L1455" s="1" t="s">
        <v>1486</v>
      </c>
      <c r="M1455" s="1" t="s">
        <v>1487</v>
      </c>
      <c r="N1455" s="4" t="e">
        <f t="shared" si="67"/>
        <v>#N/A</v>
      </c>
      <c r="O1455" s="1" t="s">
        <v>1488</v>
      </c>
      <c r="P1455" s="4" t="e">
        <f>VLOOKUP(A1455,المعطيات!$A$1:$J$3500,4,0)</f>
        <v>#N/A</v>
      </c>
      <c r="Q1455" s="1" t="s">
        <v>1489</v>
      </c>
      <c r="R1455" s="1" t="s">
        <v>1480</v>
      </c>
      <c r="S1455" s="6" t="e">
        <f t="shared" si="68"/>
        <v>#N/A</v>
      </c>
    </row>
    <row r="1456" spans="2:19" x14ac:dyDescent="0.25">
      <c r="B1456" s="1" t="s">
        <v>1479</v>
      </c>
      <c r="C1456" s="1" t="s">
        <v>1481</v>
      </c>
      <c r="D1456" s="4" t="e">
        <f>VLOOKUP(A1456,المعطيات!$A$1:$J$3500,5,0)</f>
        <v>#N/A</v>
      </c>
      <c r="E1456" s="1" t="s">
        <v>1482</v>
      </c>
      <c r="F1456" s="5">
        <f t="shared" si="66"/>
        <v>0</v>
      </c>
      <c r="G1456" s="5" t="s">
        <v>1483</v>
      </c>
      <c r="H1456" s="4" t="e">
        <f>VLOOKUP(A1456,المعطيات!$A$1:$J$3500,3,0)</f>
        <v>#N/A</v>
      </c>
      <c r="I1456" s="1" t="s">
        <v>1484</v>
      </c>
      <c r="J1456" s="1" t="s">
        <v>1485</v>
      </c>
      <c r="K1456" s="4" t="e">
        <f>VLOOKUP(A1456,المعطيات!$A$1:$J$3500,6,0)</f>
        <v>#N/A</v>
      </c>
      <c r="L1456" s="1" t="s">
        <v>1486</v>
      </c>
      <c r="M1456" s="1" t="s">
        <v>1487</v>
      </c>
      <c r="N1456" s="4" t="e">
        <f t="shared" si="67"/>
        <v>#N/A</v>
      </c>
      <c r="O1456" s="1" t="s">
        <v>1488</v>
      </c>
      <c r="P1456" s="4" t="e">
        <f>VLOOKUP(A1456,المعطيات!$A$1:$J$3500,4,0)</f>
        <v>#N/A</v>
      </c>
      <c r="Q1456" s="1" t="s">
        <v>1489</v>
      </c>
      <c r="R1456" s="1" t="s">
        <v>1480</v>
      </c>
      <c r="S1456" s="6" t="e">
        <f t="shared" si="68"/>
        <v>#N/A</v>
      </c>
    </row>
    <row r="1457" spans="2:19" x14ac:dyDescent="0.25">
      <c r="B1457" s="1" t="s">
        <v>1479</v>
      </c>
      <c r="C1457" s="1" t="s">
        <v>1481</v>
      </c>
      <c r="D1457" s="4" t="e">
        <f>VLOOKUP(A1457,المعطيات!$A$1:$J$3500,5,0)</f>
        <v>#N/A</v>
      </c>
      <c r="E1457" s="1" t="s">
        <v>1482</v>
      </c>
      <c r="F1457" s="5">
        <f t="shared" si="66"/>
        <v>0</v>
      </c>
      <c r="G1457" s="5" t="s">
        <v>1483</v>
      </c>
      <c r="H1457" s="4" t="e">
        <f>VLOOKUP(A1457,المعطيات!$A$1:$J$3500,3,0)</f>
        <v>#N/A</v>
      </c>
      <c r="I1457" s="1" t="s">
        <v>1484</v>
      </c>
      <c r="J1457" s="1" t="s">
        <v>1485</v>
      </c>
      <c r="K1457" s="4" t="e">
        <f>VLOOKUP(A1457,المعطيات!$A$1:$J$3500,6,0)</f>
        <v>#N/A</v>
      </c>
      <c r="L1457" s="1" t="s">
        <v>1486</v>
      </c>
      <c r="M1457" s="1" t="s">
        <v>1487</v>
      </c>
      <c r="N1457" s="4" t="e">
        <f t="shared" si="67"/>
        <v>#N/A</v>
      </c>
      <c r="O1457" s="1" t="s">
        <v>1488</v>
      </c>
      <c r="P1457" s="4" t="e">
        <f>VLOOKUP(A1457,المعطيات!$A$1:$J$3500,4,0)</f>
        <v>#N/A</v>
      </c>
      <c r="Q1457" s="1" t="s">
        <v>1489</v>
      </c>
      <c r="R1457" s="1" t="s">
        <v>1480</v>
      </c>
      <c r="S1457" s="6" t="e">
        <f t="shared" si="68"/>
        <v>#N/A</v>
      </c>
    </row>
    <row r="1458" spans="2:19" x14ac:dyDescent="0.25">
      <c r="B1458" s="1" t="s">
        <v>1479</v>
      </c>
      <c r="C1458" s="1" t="s">
        <v>1481</v>
      </c>
      <c r="D1458" s="4" t="e">
        <f>VLOOKUP(A1458,المعطيات!$A$1:$J$3500,5,0)</f>
        <v>#N/A</v>
      </c>
      <c r="E1458" s="1" t="s">
        <v>1482</v>
      </c>
      <c r="F1458" s="5">
        <f t="shared" si="66"/>
        <v>0</v>
      </c>
      <c r="G1458" s="5" t="s">
        <v>1483</v>
      </c>
      <c r="H1458" s="4" t="e">
        <f>VLOOKUP(A1458,المعطيات!$A$1:$J$3500,3,0)</f>
        <v>#N/A</v>
      </c>
      <c r="I1458" s="1" t="s">
        <v>1484</v>
      </c>
      <c r="J1458" s="1" t="s">
        <v>1485</v>
      </c>
      <c r="K1458" s="4" t="e">
        <f>VLOOKUP(A1458,المعطيات!$A$1:$J$3500,6,0)</f>
        <v>#N/A</v>
      </c>
      <c r="L1458" s="1" t="s">
        <v>1486</v>
      </c>
      <c r="M1458" s="1" t="s">
        <v>1487</v>
      </c>
      <c r="N1458" s="4" t="e">
        <f t="shared" si="67"/>
        <v>#N/A</v>
      </c>
      <c r="O1458" s="1" t="s">
        <v>1488</v>
      </c>
      <c r="P1458" s="4" t="e">
        <f>VLOOKUP(A1458,المعطيات!$A$1:$J$3500,4,0)</f>
        <v>#N/A</v>
      </c>
      <c r="Q1458" s="1" t="s">
        <v>1489</v>
      </c>
      <c r="R1458" s="1" t="s">
        <v>1480</v>
      </c>
      <c r="S1458" s="6" t="e">
        <f t="shared" si="68"/>
        <v>#N/A</v>
      </c>
    </row>
    <row r="1459" spans="2:19" x14ac:dyDescent="0.25">
      <c r="B1459" s="1" t="s">
        <v>1479</v>
      </c>
      <c r="C1459" s="1" t="s">
        <v>1481</v>
      </c>
      <c r="D1459" s="4" t="e">
        <f>VLOOKUP(A1459,المعطيات!$A$1:$J$3500,5,0)</f>
        <v>#N/A</v>
      </c>
      <c r="E1459" s="1" t="s">
        <v>1482</v>
      </c>
      <c r="F1459" s="5">
        <f t="shared" si="66"/>
        <v>0</v>
      </c>
      <c r="G1459" s="5" t="s">
        <v>1483</v>
      </c>
      <c r="H1459" s="4" t="e">
        <f>VLOOKUP(A1459,المعطيات!$A$1:$J$3500,3,0)</f>
        <v>#N/A</v>
      </c>
      <c r="I1459" s="1" t="s">
        <v>1484</v>
      </c>
      <c r="J1459" s="1" t="s">
        <v>1485</v>
      </c>
      <c r="K1459" s="4" t="e">
        <f>VLOOKUP(A1459,المعطيات!$A$1:$J$3500,6,0)</f>
        <v>#N/A</v>
      </c>
      <c r="L1459" s="1" t="s">
        <v>1486</v>
      </c>
      <c r="M1459" s="1" t="s">
        <v>1487</v>
      </c>
      <c r="N1459" s="4" t="e">
        <f t="shared" si="67"/>
        <v>#N/A</v>
      </c>
      <c r="O1459" s="1" t="s">
        <v>1488</v>
      </c>
      <c r="P1459" s="4" t="e">
        <f>VLOOKUP(A1459,المعطيات!$A$1:$J$3500,4,0)</f>
        <v>#N/A</v>
      </c>
      <c r="Q1459" s="1" t="s">
        <v>1489</v>
      </c>
      <c r="R1459" s="1" t="s">
        <v>1480</v>
      </c>
      <c r="S1459" s="6" t="e">
        <f t="shared" si="68"/>
        <v>#N/A</v>
      </c>
    </row>
    <row r="1460" spans="2:19" x14ac:dyDescent="0.25">
      <c r="B1460" s="1" t="s">
        <v>1479</v>
      </c>
      <c r="C1460" s="1" t="s">
        <v>1481</v>
      </c>
      <c r="D1460" s="4" t="e">
        <f>VLOOKUP(A1460,المعطيات!$A$1:$J$3500,5,0)</f>
        <v>#N/A</v>
      </c>
      <c r="E1460" s="1" t="s">
        <v>1482</v>
      </c>
      <c r="F1460" s="5">
        <f t="shared" si="66"/>
        <v>0</v>
      </c>
      <c r="G1460" s="5" t="s">
        <v>1483</v>
      </c>
      <c r="H1460" s="4" t="e">
        <f>VLOOKUP(A1460,المعطيات!$A$1:$J$3500,3,0)</f>
        <v>#N/A</v>
      </c>
      <c r="I1460" s="1" t="s">
        <v>1484</v>
      </c>
      <c r="J1460" s="1" t="s">
        <v>1485</v>
      </c>
      <c r="K1460" s="4" t="e">
        <f>VLOOKUP(A1460,المعطيات!$A$1:$J$3500,6,0)</f>
        <v>#N/A</v>
      </c>
      <c r="L1460" s="1" t="s">
        <v>1486</v>
      </c>
      <c r="M1460" s="1" t="s">
        <v>1487</v>
      </c>
      <c r="N1460" s="4" t="e">
        <f t="shared" si="67"/>
        <v>#N/A</v>
      </c>
      <c r="O1460" s="1" t="s">
        <v>1488</v>
      </c>
      <c r="P1460" s="4" t="e">
        <f>VLOOKUP(A1460,المعطيات!$A$1:$J$3500,4,0)</f>
        <v>#N/A</v>
      </c>
      <c r="Q1460" s="1" t="s">
        <v>1489</v>
      </c>
      <c r="R1460" s="1" t="s">
        <v>1480</v>
      </c>
      <c r="S1460" s="6" t="e">
        <f t="shared" si="68"/>
        <v>#N/A</v>
      </c>
    </row>
    <row r="1461" spans="2:19" x14ac:dyDescent="0.25">
      <c r="B1461" s="1" t="s">
        <v>1479</v>
      </c>
      <c r="C1461" s="1" t="s">
        <v>1481</v>
      </c>
      <c r="D1461" s="4" t="e">
        <f>VLOOKUP(A1461,المعطيات!$A$1:$J$3500,5,0)</f>
        <v>#N/A</v>
      </c>
      <c r="E1461" s="1" t="s">
        <v>1482</v>
      </c>
      <c r="F1461" s="5">
        <f t="shared" si="66"/>
        <v>0</v>
      </c>
      <c r="G1461" s="5" t="s">
        <v>1483</v>
      </c>
      <c r="H1461" s="4" t="e">
        <f>VLOOKUP(A1461,المعطيات!$A$1:$J$3500,3,0)</f>
        <v>#N/A</v>
      </c>
      <c r="I1461" s="1" t="s">
        <v>1484</v>
      </c>
      <c r="J1461" s="1" t="s">
        <v>1485</v>
      </c>
      <c r="K1461" s="4" t="e">
        <f>VLOOKUP(A1461,المعطيات!$A$1:$J$3500,6,0)</f>
        <v>#N/A</v>
      </c>
      <c r="L1461" s="1" t="s">
        <v>1486</v>
      </c>
      <c r="M1461" s="1" t="s">
        <v>1487</v>
      </c>
      <c r="N1461" s="4" t="e">
        <f t="shared" si="67"/>
        <v>#N/A</v>
      </c>
      <c r="O1461" s="1" t="s">
        <v>1488</v>
      </c>
      <c r="P1461" s="4" t="e">
        <f>VLOOKUP(A1461,المعطيات!$A$1:$J$3500,4,0)</f>
        <v>#N/A</v>
      </c>
      <c r="Q1461" s="1" t="s">
        <v>1489</v>
      </c>
      <c r="R1461" s="1" t="s">
        <v>1480</v>
      </c>
      <c r="S1461" s="6" t="e">
        <f t="shared" si="68"/>
        <v>#N/A</v>
      </c>
    </row>
    <row r="1462" spans="2:19" x14ac:dyDescent="0.25">
      <c r="B1462" s="1" t="s">
        <v>1479</v>
      </c>
      <c r="C1462" s="1" t="s">
        <v>1481</v>
      </c>
      <c r="D1462" s="4" t="e">
        <f>VLOOKUP(A1462,المعطيات!$A$1:$J$3500,5,0)</f>
        <v>#N/A</v>
      </c>
      <c r="E1462" s="1" t="s">
        <v>1482</v>
      </c>
      <c r="F1462" s="5">
        <f t="shared" si="66"/>
        <v>0</v>
      </c>
      <c r="G1462" s="5" t="s">
        <v>1483</v>
      </c>
      <c r="H1462" s="4" t="e">
        <f>VLOOKUP(A1462,المعطيات!$A$1:$J$3500,3,0)</f>
        <v>#N/A</v>
      </c>
      <c r="I1462" s="1" t="s">
        <v>1484</v>
      </c>
      <c r="J1462" s="1" t="s">
        <v>1485</v>
      </c>
      <c r="K1462" s="4" t="e">
        <f>VLOOKUP(A1462,المعطيات!$A$1:$J$3500,6,0)</f>
        <v>#N/A</v>
      </c>
      <c r="L1462" s="1" t="s">
        <v>1486</v>
      </c>
      <c r="M1462" s="1" t="s">
        <v>1487</v>
      </c>
      <c r="N1462" s="4" t="e">
        <f t="shared" si="67"/>
        <v>#N/A</v>
      </c>
      <c r="O1462" s="1" t="s">
        <v>1488</v>
      </c>
      <c r="P1462" s="4" t="e">
        <f>VLOOKUP(A1462,المعطيات!$A$1:$J$3500,4,0)</f>
        <v>#N/A</v>
      </c>
      <c r="Q1462" s="1" t="s">
        <v>1489</v>
      </c>
      <c r="R1462" s="1" t="s">
        <v>1480</v>
      </c>
      <c r="S1462" s="6" t="e">
        <f t="shared" si="68"/>
        <v>#N/A</v>
      </c>
    </row>
    <row r="1463" spans="2:19" x14ac:dyDescent="0.25">
      <c r="B1463" s="1" t="s">
        <v>1479</v>
      </c>
      <c r="C1463" s="1" t="s">
        <v>1481</v>
      </c>
      <c r="D1463" s="4" t="e">
        <f>VLOOKUP(A1463,المعطيات!$A$1:$J$3500,5,0)</f>
        <v>#N/A</v>
      </c>
      <c r="E1463" s="1" t="s">
        <v>1482</v>
      </c>
      <c r="F1463" s="5">
        <f t="shared" si="66"/>
        <v>0</v>
      </c>
      <c r="G1463" s="5" t="s">
        <v>1483</v>
      </c>
      <c r="H1463" s="4" t="e">
        <f>VLOOKUP(A1463,المعطيات!$A$1:$J$3500,3,0)</f>
        <v>#N/A</v>
      </c>
      <c r="I1463" s="1" t="s">
        <v>1484</v>
      </c>
      <c r="J1463" s="1" t="s">
        <v>1485</v>
      </c>
      <c r="K1463" s="4" t="e">
        <f>VLOOKUP(A1463,المعطيات!$A$1:$J$3500,6,0)</f>
        <v>#N/A</v>
      </c>
      <c r="L1463" s="1" t="s">
        <v>1486</v>
      </c>
      <c r="M1463" s="1" t="s">
        <v>1487</v>
      </c>
      <c r="N1463" s="4" t="e">
        <f t="shared" si="67"/>
        <v>#N/A</v>
      </c>
      <c r="O1463" s="1" t="s">
        <v>1488</v>
      </c>
      <c r="P1463" s="4" t="e">
        <f>VLOOKUP(A1463,المعطيات!$A$1:$J$3500,4,0)</f>
        <v>#N/A</v>
      </c>
      <c r="Q1463" s="1" t="s">
        <v>1489</v>
      </c>
      <c r="R1463" s="1" t="s">
        <v>1480</v>
      </c>
      <c r="S1463" s="6" t="e">
        <f t="shared" si="68"/>
        <v>#N/A</v>
      </c>
    </row>
    <row r="1464" spans="2:19" x14ac:dyDescent="0.25">
      <c r="B1464" s="1" t="s">
        <v>1479</v>
      </c>
      <c r="C1464" s="1" t="s">
        <v>1481</v>
      </c>
      <c r="D1464" s="4" t="e">
        <f>VLOOKUP(A1464,المعطيات!$A$1:$J$3500,5,0)</f>
        <v>#N/A</v>
      </c>
      <c r="E1464" s="1" t="s">
        <v>1482</v>
      </c>
      <c r="F1464" s="5">
        <f t="shared" si="66"/>
        <v>0</v>
      </c>
      <c r="G1464" s="5" t="s">
        <v>1483</v>
      </c>
      <c r="H1464" s="4" t="e">
        <f>VLOOKUP(A1464,المعطيات!$A$1:$J$3500,3,0)</f>
        <v>#N/A</v>
      </c>
      <c r="I1464" s="1" t="s">
        <v>1484</v>
      </c>
      <c r="J1464" s="1" t="s">
        <v>1485</v>
      </c>
      <c r="K1464" s="4" t="e">
        <f>VLOOKUP(A1464,المعطيات!$A$1:$J$3500,6,0)</f>
        <v>#N/A</v>
      </c>
      <c r="L1464" s="1" t="s">
        <v>1486</v>
      </c>
      <c r="M1464" s="1" t="s">
        <v>1487</v>
      </c>
      <c r="N1464" s="4" t="e">
        <f t="shared" si="67"/>
        <v>#N/A</v>
      </c>
      <c r="O1464" s="1" t="s">
        <v>1488</v>
      </c>
      <c r="P1464" s="4" t="e">
        <f>VLOOKUP(A1464,المعطيات!$A$1:$J$3500,4,0)</f>
        <v>#N/A</v>
      </c>
      <c r="Q1464" s="1" t="s">
        <v>1489</v>
      </c>
      <c r="R1464" s="1" t="s">
        <v>1480</v>
      </c>
      <c r="S1464" s="6" t="e">
        <f t="shared" si="68"/>
        <v>#N/A</v>
      </c>
    </row>
    <row r="1465" spans="2:19" x14ac:dyDescent="0.25">
      <c r="B1465" s="1" t="s">
        <v>1479</v>
      </c>
      <c r="C1465" s="1" t="s">
        <v>1481</v>
      </c>
      <c r="D1465" s="4" t="e">
        <f>VLOOKUP(A1465,المعطيات!$A$1:$J$3500,5,0)</f>
        <v>#N/A</v>
      </c>
      <c r="E1465" s="1" t="s">
        <v>1482</v>
      </c>
      <c r="F1465" s="5">
        <f t="shared" si="66"/>
        <v>0</v>
      </c>
      <c r="G1465" s="5" t="s">
        <v>1483</v>
      </c>
      <c r="H1465" s="4" t="e">
        <f>VLOOKUP(A1465,المعطيات!$A$1:$J$3500,3,0)</f>
        <v>#N/A</v>
      </c>
      <c r="I1465" s="1" t="s">
        <v>1484</v>
      </c>
      <c r="J1465" s="1" t="s">
        <v>1485</v>
      </c>
      <c r="K1465" s="4" t="e">
        <f>VLOOKUP(A1465,المعطيات!$A$1:$J$3500,6,0)</f>
        <v>#N/A</v>
      </c>
      <c r="L1465" s="1" t="s">
        <v>1486</v>
      </c>
      <c r="M1465" s="1" t="s">
        <v>1487</v>
      </c>
      <c r="N1465" s="4" t="e">
        <f t="shared" si="67"/>
        <v>#N/A</v>
      </c>
      <c r="O1465" s="1" t="s">
        <v>1488</v>
      </c>
      <c r="P1465" s="4" t="e">
        <f>VLOOKUP(A1465,المعطيات!$A$1:$J$3500,4,0)</f>
        <v>#N/A</v>
      </c>
      <c r="Q1465" s="1" t="s">
        <v>1489</v>
      </c>
      <c r="R1465" s="1" t="s">
        <v>1480</v>
      </c>
      <c r="S1465" s="6" t="e">
        <f t="shared" si="68"/>
        <v>#N/A</v>
      </c>
    </row>
    <row r="1466" spans="2:19" x14ac:dyDescent="0.25">
      <c r="B1466" s="1" t="s">
        <v>1479</v>
      </c>
      <c r="C1466" s="1" t="s">
        <v>1481</v>
      </c>
      <c r="D1466" s="4" t="e">
        <f>VLOOKUP(A1466,المعطيات!$A$1:$J$3500,5,0)</f>
        <v>#N/A</v>
      </c>
      <c r="E1466" s="1" t="s">
        <v>1482</v>
      </c>
      <c r="F1466" s="5">
        <f t="shared" si="66"/>
        <v>0</v>
      </c>
      <c r="G1466" s="5" t="s">
        <v>1483</v>
      </c>
      <c r="H1466" s="4" t="e">
        <f>VLOOKUP(A1466,المعطيات!$A$1:$J$3500,3,0)</f>
        <v>#N/A</v>
      </c>
      <c r="I1466" s="1" t="s">
        <v>1484</v>
      </c>
      <c r="J1466" s="1" t="s">
        <v>1485</v>
      </c>
      <c r="K1466" s="4" t="e">
        <f>VLOOKUP(A1466,المعطيات!$A$1:$J$3500,6,0)</f>
        <v>#N/A</v>
      </c>
      <c r="L1466" s="1" t="s">
        <v>1486</v>
      </c>
      <c r="M1466" s="1" t="s">
        <v>1487</v>
      </c>
      <c r="N1466" s="4" t="e">
        <f t="shared" si="67"/>
        <v>#N/A</v>
      </c>
      <c r="O1466" s="1" t="s">
        <v>1488</v>
      </c>
      <c r="P1466" s="4" t="e">
        <f>VLOOKUP(A1466,المعطيات!$A$1:$J$3500,4,0)</f>
        <v>#N/A</v>
      </c>
      <c r="Q1466" s="1" t="s">
        <v>1489</v>
      </c>
      <c r="R1466" s="1" t="s">
        <v>1480</v>
      </c>
      <c r="S1466" s="6" t="e">
        <f t="shared" si="68"/>
        <v>#N/A</v>
      </c>
    </row>
    <row r="1467" spans="2:19" x14ac:dyDescent="0.25">
      <c r="B1467" s="1" t="s">
        <v>1479</v>
      </c>
      <c r="C1467" s="1" t="s">
        <v>1481</v>
      </c>
      <c r="D1467" s="4" t="e">
        <f>VLOOKUP(A1467,المعطيات!$A$1:$J$3500,5,0)</f>
        <v>#N/A</v>
      </c>
      <c r="E1467" s="1" t="s">
        <v>1482</v>
      </c>
      <c r="F1467" s="5">
        <f t="shared" si="66"/>
        <v>0</v>
      </c>
      <c r="G1467" s="5" t="s">
        <v>1483</v>
      </c>
      <c r="H1467" s="4" t="e">
        <f>VLOOKUP(A1467,المعطيات!$A$1:$J$3500,3,0)</f>
        <v>#N/A</v>
      </c>
      <c r="I1467" s="1" t="s">
        <v>1484</v>
      </c>
      <c r="J1467" s="1" t="s">
        <v>1485</v>
      </c>
      <c r="K1467" s="4" t="e">
        <f>VLOOKUP(A1467,المعطيات!$A$1:$J$3500,6,0)</f>
        <v>#N/A</v>
      </c>
      <c r="L1467" s="1" t="s">
        <v>1486</v>
      </c>
      <c r="M1467" s="1" t="s">
        <v>1487</v>
      </c>
      <c r="N1467" s="4" t="e">
        <f t="shared" si="67"/>
        <v>#N/A</v>
      </c>
      <c r="O1467" s="1" t="s">
        <v>1488</v>
      </c>
      <c r="P1467" s="4" t="e">
        <f>VLOOKUP(A1467,المعطيات!$A$1:$J$3500,4,0)</f>
        <v>#N/A</v>
      </c>
      <c r="Q1467" s="1" t="s">
        <v>1489</v>
      </c>
      <c r="R1467" s="1" t="s">
        <v>1480</v>
      </c>
      <c r="S1467" s="6" t="e">
        <f t="shared" si="68"/>
        <v>#N/A</v>
      </c>
    </row>
    <row r="1468" spans="2:19" x14ac:dyDescent="0.25">
      <c r="B1468" s="1" t="s">
        <v>1479</v>
      </c>
      <c r="C1468" s="1" t="s">
        <v>1481</v>
      </c>
      <c r="D1468" s="4" t="e">
        <f>VLOOKUP(A1468,المعطيات!$A$1:$J$3500,5,0)</f>
        <v>#N/A</v>
      </c>
      <c r="E1468" s="1" t="s">
        <v>1482</v>
      </c>
      <c r="F1468" s="5">
        <f t="shared" si="66"/>
        <v>0</v>
      </c>
      <c r="G1468" s="5" t="s">
        <v>1483</v>
      </c>
      <c r="H1468" s="4" t="e">
        <f>VLOOKUP(A1468,المعطيات!$A$1:$J$3500,3,0)</f>
        <v>#N/A</v>
      </c>
      <c r="I1468" s="1" t="s">
        <v>1484</v>
      </c>
      <c r="J1468" s="1" t="s">
        <v>1485</v>
      </c>
      <c r="K1468" s="4" t="e">
        <f>VLOOKUP(A1468,المعطيات!$A$1:$J$3500,6,0)</f>
        <v>#N/A</v>
      </c>
      <c r="L1468" s="1" t="s">
        <v>1486</v>
      </c>
      <c r="M1468" s="1" t="s">
        <v>1487</v>
      </c>
      <c r="N1468" s="4" t="e">
        <f t="shared" si="67"/>
        <v>#N/A</v>
      </c>
      <c r="O1468" s="1" t="s">
        <v>1488</v>
      </c>
      <c r="P1468" s="4" t="e">
        <f>VLOOKUP(A1468,المعطيات!$A$1:$J$3500,4,0)</f>
        <v>#N/A</v>
      </c>
      <c r="Q1468" s="1" t="s">
        <v>1489</v>
      </c>
      <c r="R1468" s="1" t="s">
        <v>1480</v>
      </c>
      <c r="S1468" s="6" t="e">
        <f t="shared" si="68"/>
        <v>#N/A</v>
      </c>
    </row>
    <row r="1469" spans="2:19" x14ac:dyDescent="0.25">
      <c r="B1469" s="1" t="s">
        <v>1479</v>
      </c>
      <c r="C1469" s="1" t="s">
        <v>1481</v>
      </c>
      <c r="D1469" s="4" t="e">
        <f>VLOOKUP(A1469,المعطيات!$A$1:$J$3500,5,0)</f>
        <v>#N/A</v>
      </c>
      <c r="E1469" s="1" t="s">
        <v>1482</v>
      </c>
      <c r="F1469" s="5">
        <f t="shared" si="66"/>
        <v>0</v>
      </c>
      <c r="G1469" s="5" t="s">
        <v>1483</v>
      </c>
      <c r="H1469" s="4" t="e">
        <f>VLOOKUP(A1469,المعطيات!$A$1:$J$3500,3,0)</f>
        <v>#N/A</v>
      </c>
      <c r="I1469" s="1" t="s">
        <v>1484</v>
      </c>
      <c r="J1469" s="1" t="s">
        <v>1485</v>
      </c>
      <c r="K1469" s="4" t="e">
        <f>VLOOKUP(A1469,المعطيات!$A$1:$J$3500,6,0)</f>
        <v>#N/A</v>
      </c>
      <c r="L1469" s="1" t="s">
        <v>1486</v>
      </c>
      <c r="M1469" s="1" t="s">
        <v>1487</v>
      </c>
      <c r="N1469" s="4" t="e">
        <f t="shared" si="67"/>
        <v>#N/A</v>
      </c>
      <c r="O1469" s="1" t="s">
        <v>1488</v>
      </c>
      <c r="P1469" s="4" t="e">
        <f>VLOOKUP(A1469,المعطيات!$A$1:$J$3500,4,0)</f>
        <v>#N/A</v>
      </c>
      <c r="Q1469" s="1" t="s">
        <v>1489</v>
      </c>
      <c r="R1469" s="1" t="s">
        <v>1480</v>
      </c>
      <c r="S1469" s="6" t="e">
        <f t="shared" si="68"/>
        <v>#N/A</v>
      </c>
    </row>
    <row r="1470" spans="2:19" x14ac:dyDescent="0.25">
      <c r="B1470" s="1" t="s">
        <v>1479</v>
      </c>
      <c r="C1470" s="1" t="s">
        <v>1481</v>
      </c>
      <c r="D1470" s="4" t="e">
        <f>VLOOKUP(A1470,المعطيات!$A$1:$J$3500,5,0)</f>
        <v>#N/A</v>
      </c>
      <c r="E1470" s="1" t="s">
        <v>1482</v>
      </c>
      <c r="F1470" s="5">
        <f t="shared" si="66"/>
        <v>0</v>
      </c>
      <c r="G1470" s="5" t="s">
        <v>1483</v>
      </c>
      <c r="H1470" s="4" t="e">
        <f>VLOOKUP(A1470,المعطيات!$A$1:$J$3500,3,0)</f>
        <v>#N/A</v>
      </c>
      <c r="I1470" s="1" t="s">
        <v>1484</v>
      </c>
      <c r="J1470" s="1" t="s">
        <v>1485</v>
      </c>
      <c r="K1470" s="4" t="e">
        <f>VLOOKUP(A1470,المعطيات!$A$1:$J$3500,6,0)</f>
        <v>#N/A</v>
      </c>
      <c r="L1470" s="1" t="s">
        <v>1486</v>
      </c>
      <c r="M1470" s="1" t="s">
        <v>1487</v>
      </c>
      <c r="N1470" s="4" t="e">
        <f t="shared" si="67"/>
        <v>#N/A</v>
      </c>
      <c r="O1470" s="1" t="s">
        <v>1488</v>
      </c>
      <c r="P1470" s="4" t="e">
        <f>VLOOKUP(A1470,المعطيات!$A$1:$J$3500,4,0)</f>
        <v>#N/A</v>
      </c>
      <c r="Q1470" s="1" t="s">
        <v>1489</v>
      </c>
      <c r="R1470" s="1" t="s">
        <v>1480</v>
      </c>
      <c r="S1470" s="6" t="e">
        <f t="shared" si="68"/>
        <v>#N/A</v>
      </c>
    </row>
    <row r="1471" spans="2:19" x14ac:dyDescent="0.25">
      <c r="B1471" s="1" t="s">
        <v>1479</v>
      </c>
      <c r="C1471" s="1" t="s">
        <v>1481</v>
      </c>
      <c r="D1471" s="4" t="e">
        <f>VLOOKUP(A1471,المعطيات!$A$1:$J$3500,5,0)</f>
        <v>#N/A</v>
      </c>
      <c r="E1471" s="1" t="s">
        <v>1482</v>
      </c>
      <c r="F1471" s="5">
        <f t="shared" si="66"/>
        <v>0</v>
      </c>
      <c r="G1471" s="5" t="s">
        <v>1483</v>
      </c>
      <c r="H1471" s="4" t="e">
        <f>VLOOKUP(A1471,المعطيات!$A$1:$J$3500,3,0)</f>
        <v>#N/A</v>
      </c>
      <c r="I1471" s="1" t="s">
        <v>1484</v>
      </c>
      <c r="J1471" s="1" t="s">
        <v>1485</v>
      </c>
      <c r="K1471" s="4" t="e">
        <f>VLOOKUP(A1471,المعطيات!$A$1:$J$3500,6,0)</f>
        <v>#N/A</v>
      </c>
      <c r="L1471" s="1" t="s">
        <v>1486</v>
      </c>
      <c r="M1471" s="1" t="s">
        <v>1487</v>
      </c>
      <c r="N1471" s="4" t="e">
        <f t="shared" si="67"/>
        <v>#N/A</v>
      </c>
      <c r="O1471" s="1" t="s">
        <v>1488</v>
      </c>
      <c r="P1471" s="4" t="e">
        <f>VLOOKUP(A1471,المعطيات!$A$1:$J$3500,4,0)</f>
        <v>#N/A</v>
      </c>
      <c r="Q1471" s="1" t="s">
        <v>1489</v>
      </c>
      <c r="R1471" s="1" t="s">
        <v>1480</v>
      </c>
      <c r="S1471" s="6" t="e">
        <f t="shared" si="68"/>
        <v>#N/A</v>
      </c>
    </row>
    <row r="1472" spans="2:19" x14ac:dyDescent="0.25">
      <c r="B1472" s="1" t="s">
        <v>1479</v>
      </c>
      <c r="C1472" s="1" t="s">
        <v>1481</v>
      </c>
      <c r="D1472" s="4" t="e">
        <f>VLOOKUP(A1472,المعطيات!$A$1:$J$3500,5,0)</f>
        <v>#N/A</v>
      </c>
      <c r="E1472" s="1" t="s">
        <v>1482</v>
      </c>
      <c r="F1472" s="5">
        <f t="shared" si="66"/>
        <v>0</v>
      </c>
      <c r="G1472" s="5" t="s">
        <v>1483</v>
      </c>
      <c r="H1472" s="4" t="e">
        <f>VLOOKUP(A1472,المعطيات!$A$1:$J$3500,3,0)</f>
        <v>#N/A</v>
      </c>
      <c r="I1472" s="1" t="s">
        <v>1484</v>
      </c>
      <c r="J1472" s="1" t="s">
        <v>1485</v>
      </c>
      <c r="K1472" s="4" t="e">
        <f>VLOOKUP(A1472,المعطيات!$A$1:$J$3500,6,0)</f>
        <v>#N/A</v>
      </c>
      <c r="L1472" s="1" t="s">
        <v>1486</v>
      </c>
      <c r="M1472" s="1" t="s">
        <v>1487</v>
      </c>
      <c r="N1472" s="4" t="e">
        <f t="shared" si="67"/>
        <v>#N/A</v>
      </c>
      <c r="O1472" s="1" t="s">
        <v>1488</v>
      </c>
      <c r="P1472" s="4" t="e">
        <f>VLOOKUP(A1472,المعطيات!$A$1:$J$3500,4,0)</f>
        <v>#N/A</v>
      </c>
      <c r="Q1472" s="1" t="s">
        <v>1489</v>
      </c>
      <c r="R1472" s="1" t="s">
        <v>1480</v>
      </c>
      <c r="S1472" s="6" t="e">
        <f t="shared" si="68"/>
        <v>#N/A</v>
      </c>
    </row>
    <row r="1473" spans="2:19" x14ac:dyDescent="0.25">
      <c r="B1473" s="1" t="s">
        <v>1479</v>
      </c>
      <c r="C1473" s="1" t="s">
        <v>1481</v>
      </c>
      <c r="D1473" s="4" t="e">
        <f>VLOOKUP(A1473,المعطيات!$A$1:$J$3500,5,0)</f>
        <v>#N/A</v>
      </c>
      <c r="E1473" s="1" t="s">
        <v>1482</v>
      </c>
      <c r="F1473" s="5">
        <f t="shared" si="66"/>
        <v>0</v>
      </c>
      <c r="G1473" s="5" t="s">
        <v>1483</v>
      </c>
      <c r="H1473" s="4" t="e">
        <f>VLOOKUP(A1473,المعطيات!$A$1:$J$3500,3,0)</f>
        <v>#N/A</v>
      </c>
      <c r="I1473" s="1" t="s">
        <v>1484</v>
      </c>
      <c r="J1473" s="1" t="s">
        <v>1485</v>
      </c>
      <c r="K1473" s="4" t="e">
        <f>VLOOKUP(A1473,المعطيات!$A$1:$J$3500,6,0)</f>
        <v>#N/A</v>
      </c>
      <c r="L1473" s="1" t="s">
        <v>1486</v>
      </c>
      <c r="M1473" s="1" t="s">
        <v>1487</v>
      </c>
      <c r="N1473" s="4" t="e">
        <f t="shared" si="67"/>
        <v>#N/A</v>
      </c>
      <c r="O1473" s="1" t="s">
        <v>1488</v>
      </c>
      <c r="P1473" s="4" t="e">
        <f>VLOOKUP(A1473,المعطيات!$A$1:$J$3500,4,0)</f>
        <v>#N/A</v>
      </c>
      <c r="Q1473" s="1" t="s">
        <v>1489</v>
      </c>
      <c r="R1473" s="1" t="s">
        <v>1480</v>
      </c>
      <c r="S1473" s="6" t="e">
        <f t="shared" si="68"/>
        <v>#N/A</v>
      </c>
    </row>
    <row r="1474" spans="2:19" x14ac:dyDescent="0.25">
      <c r="B1474" s="1" t="s">
        <v>1479</v>
      </c>
      <c r="C1474" s="1" t="s">
        <v>1481</v>
      </c>
      <c r="D1474" s="4" t="e">
        <f>VLOOKUP(A1474,المعطيات!$A$1:$J$3500,5,0)</f>
        <v>#N/A</v>
      </c>
      <c r="E1474" s="1" t="s">
        <v>1482</v>
      </c>
      <c r="F1474" s="5">
        <f t="shared" ref="F1474:F1537" si="69">A1474</f>
        <v>0</v>
      </c>
      <c r="G1474" s="5" t="s">
        <v>1483</v>
      </c>
      <c r="H1474" s="4" t="e">
        <f>VLOOKUP(A1474,المعطيات!$A$1:$J$3500,3,0)</f>
        <v>#N/A</v>
      </c>
      <c r="I1474" s="1" t="s">
        <v>1484</v>
      </c>
      <c r="J1474" s="1" t="s">
        <v>1485</v>
      </c>
      <c r="K1474" s="4" t="e">
        <f>VLOOKUP(A1474,المعطيات!$A$1:$J$3500,6,0)</f>
        <v>#N/A</v>
      </c>
      <c r="L1474" s="1" t="s">
        <v>1486</v>
      </c>
      <c r="M1474" s="1" t="s">
        <v>1487</v>
      </c>
      <c r="N1474" s="4" t="e">
        <f t="shared" ref="N1474:N1537" si="70">D1474</f>
        <v>#N/A</v>
      </c>
      <c r="O1474" s="1" t="s">
        <v>1488</v>
      </c>
      <c r="P1474" s="4" t="e">
        <f>VLOOKUP(A1474,المعطيات!$A$1:$J$3500,4,0)</f>
        <v>#N/A</v>
      </c>
      <c r="Q1474" s="1" t="s">
        <v>1489</v>
      </c>
      <c r="R1474" s="1" t="s">
        <v>1480</v>
      </c>
      <c r="S1474" s="6" t="e">
        <f t="shared" ref="S1474:S1537" si="71">B1474&amp;""&amp;C1474&amp;""&amp;D1474&amp;""&amp;E1474&amp;""&amp;F1474&amp;""&amp;G1474&amp;""&amp;H1474&amp;""&amp;I1474&amp;""&amp;J1474&amp;""&amp;K1474&amp;""&amp;L1474&amp;""&amp;M1474&amp;""&amp;N1474&amp;""&amp;O1474&amp;""&amp;P1474&amp;""&amp;Q1474&amp;""&amp;R1474</f>
        <v>#N/A</v>
      </c>
    </row>
    <row r="1475" spans="2:19" x14ac:dyDescent="0.25">
      <c r="B1475" s="1" t="s">
        <v>1479</v>
      </c>
      <c r="C1475" s="1" t="s">
        <v>1481</v>
      </c>
      <c r="D1475" s="4" t="e">
        <f>VLOOKUP(A1475,المعطيات!$A$1:$J$3500,5,0)</f>
        <v>#N/A</v>
      </c>
      <c r="E1475" s="1" t="s">
        <v>1482</v>
      </c>
      <c r="F1475" s="5">
        <f t="shared" si="69"/>
        <v>0</v>
      </c>
      <c r="G1475" s="5" t="s">
        <v>1483</v>
      </c>
      <c r="H1475" s="4" t="e">
        <f>VLOOKUP(A1475,المعطيات!$A$1:$J$3500,3,0)</f>
        <v>#N/A</v>
      </c>
      <c r="I1475" s="1" t="s">
        <v>1484</v>
      </c>
      <c r="J1475" s="1" t="s">
        <v>1485</v>
      </c>
      <c r="K1475" s="4" t="e">
        <f>VLOOKUP(A1475,المعطيات!$A$1:$J$3500,6,0)</f>
        <v>#N/A</v>
      </c>
      <c r="L1475" s="1" t="s">
        <v>1486</v>
      </c>
      <c r="M1475" s="1" t="s">
        <v>1487</v>
      </c>
      <c r="N1475" s="4" t="e">
        <f t="shared" si="70"/>
        <v>#N/A</v>
      </c>
      <c r="O1475" s="1" t="s">
        <v>1488</v>
      </c>
      <c r="P1475" s="4" t="e">
        <f>VLOOKUP(A1475,المعطيات!$A$1:$J$3500,4,0)</f>
        <v>#N/A</v>
      </c>
      <c r="Q1475" s="1" t="s">
        <v>1489</v>
      </c>
      <c r="R1475" s="1" t="s">
        <v>1480</v>
      </c>
      <c r="S1475" s="6" t="e">
        <f t="shared" si="71"/>
        <v>#N/A</v>
      </c>
    </row>
    <row r="1476" spans="2:19" x14ac:dyDescent="0.25">
      <c r="B1476" s="1" t="s">
        <v>1479</v>
      </c>
      <c r="C1476" s="1" t="s">
        <v>1481</v>
      </c>
      <c r="D1476" s="4" t="e">
        <f>VLOOKUP(A1476,المعطيات!$A$1:$J$3500,5,0)</f>
        <v>#N/A</v>
      </c>
      <c r="E1476" s="1" t="s">
        <v>1482</v>
      </c>
      <c r="F1476" s="5">
        <f t="shared" si="69"/>
        <v>0</v>
      </c>
      <c r="G1476" s="5" t="s">
        <v>1483</v>
      </c>
      <c r="H1476" s="4" t="e">
        <f>VLOOKUP(A1476,المعطيات!$A$1:$J$3500,3,0)</f>
        <v>#N/A</v>
      </c>
      <c r="I1476" s="1" t="s">
        <v>1484</v>
      </c>
      <c r="J1476" s="1" t="s">
        <v>1485</v>
      </c>
      <c r="K1476" s="4" t="e">
        <f>VLOOKUP(A1476,المعطيات!$A$1:$J$3500,6,0)</f>
        <v>#N/A</v>
      </c>
      <c r="L1476" s="1" t="s">
        <v>1486</v>
      </c>
      <c r="M1476" s="1" t="s">
        <v>1487</v>
      </c>
      <c r="N1476" s="4" t="e">
        <f t="shared" si="70"/>
        <v>#N/A</v>
      </c>
      <c r="O1476" s="1" t="s">
        <v>1488</v>
      </c>
      <c r="P1476" s="4" t="e">
        <f>VLOOKUP(A1476,المعطيات!$A$1:$J$3500,4,0)</f>
        <v>#N/A</v>
      </c>
      <c r="Q1476" s="1" t="s">
        <v>1489</v>
      </c>
      <c r="R1476" s="1" t="s">
        <v>1480</v>
      </c>
      <c r="S1476" s="6" t="e">
        <f t="shared" si="71"/>
        <v>#N/A</v>
      </c>
    </row>
    <row r="1477" spans="2:19" x14ac:dyDescent="0.25">
      <c r="B1477" s="1" t="s">
        <v>1479</v>
      </c>
      <c r="C1477" s="1" t="s">
        <v>1481</v>
      </c>
      <c r="D1477" s="4" t="e">
        <f>VLOOKUP(A1477,المعطيات!$A$1:$J$3500,5,0)</f>
        <v>#N/A</v>
      </c>
      <c r="E1477" s="1" t="s">
        <v>1482</v>
      </c>
      <c r="F1477" s="5">
        <f t="shared" si="69"/>
        <v>0</v>
      </c>
      <c r="G1477" s="5" t="s">
        <v>1483</v>
      </c>
      <c r="H1477" s="4" t="e">
        <f>VLOOKUP(A1477,المعطيات!$A$1:$J$3500,3,0)</f>
        <v>#N/A</v>
      </c>
      <c r="I1477" s="1" t="s">
        <v>1484</v>
      </c>
      <c r="J1477" s="1" t="s">
        <v>1485</v>
      </c>
      <c r="K1477" s="4" t="e">
        <f>VLOOKUP(A1477,المعطيات!$A$1:$J$3500,6,0)</f>
        <v>#N/A</v>
      </c>
      <c r="L1477" s="1" t="s">
        <v>1486</v>
      </c>
      <c r="M1477" s="1" t="s">
        <v>1487</v>
      </c>
      <c r="N1477" s="4" t="e">
        <f t="shared" si="70"/>
        <v>#N/A</v>
      </c>
      <c r="O1477" s="1" t="s">
        <v>1488</v>
      </c>
      <c r="P1477" s="4" t="e">
        <f>VLOOKUP(A1477,المعطيات!$A$1:$J$3500,4,0)</f>
        <v>#N/A</v>
      </c>
      <c r="Q1477" s="1" t="s">
        <v>1489</v>
      </c>
      <c r="R1477" s="1" t="s">
        <v>1480</v>
      </c>
      <c r="S1477" s="6" t="e">
        <f t="shared" si="71"/>
        <v>#N/A</v>
      </c>
    </row>
    <row r="1478" spans="2:19" x14ac:dyDescent="0.25">
      <c r="B1478" s="1" t="s">
        <v>1479</v>
      </c>
      <c r="C1478" s="1" t="s">
        <v>1481</v>
      </c>
      <c r="D1478" s="4" t="e">
        <f>VLOOKUP(A1478,المعطيات!$A$1:$J$3500,5,0)</f>
        <v>#N/A</v>
      </c>
      <c r="E1478" s="1" t="s">
        <v>1482</v>
      </c>
      <c r="F1478" s="5">
        <f t="shared" si="69"/>
        <v>0</v>
      </c>
      <c r="G1478" s="5" t="s">
        <v>1483</v>
      </c>
      <c r="H1478" s="4" t="e">
        <f>VLOOKUP(A1478,المعطيات!$A$1:$J$3500,3,0)</f>
        <v>#N/A</v>
      </c>
      <c r="I1478" s="1" t="s">
        <v>1484</v>
      </c>
      <c r="J1478" s="1" t="s">
        <v>1485</v>
      </c>
      <c r="K1478" s="4" t="e">
        <f>VLOOKUP(A1478,المعطيات!$A$1:$J$3500,6,0)</f>
        <v>#N/A</v>
      </c>
      <c r="L1478" s="1" t="s">
        <v>1486</v>
      </c>
      <c r="M1478" s="1" t="s">
        <v>1487</v>
      </c>
      <c r="N1478" s="4" t="e">
        <f t="shared" si="70"/>
        <v>#N/A</v>
      </c>
      <c r="O1478" s="1" t="s">
        <v>1488</v>
      </c>
      <c r="P1478" s="4" t="e">
        <f>VLOOKUP(A1478,المعطيات!$A$1:$J$3500,4,0)</f>
        <v>#N/A</v>
      </c>
      <c r="Q1478" s="1" t="s">
        <v>1489</v>
      </c>
      <c r="R1478" s="1" t="s">
        <v>1480</v>
      </c>
      <c r="S1478" s="6" t="e">
        <f t="shared" si="71"/>
        <v>#N/A</v>
      </c>
    </row>
    <row r="1479" spans="2:19" x14ac:dyDescent="0.25">
      <c r="B1479" s="1" t="s">
        <v>1479</v>
      </c>
      <c r="C1479" s="1" t="s">
        <v>1481</v>
      </c>
      <c r="D1479" s="4" t="e">
        <f>VLOOKUP(A1479,المعطيات!$A$1:$J$3500,5,0)</f>
        <v>#N/A</v>
      </c>
      <c r="E1479" s="1" t="s">
        <v>1482</v>
      </c>
      <c r="F1479" s="5">
        <f t="shared" si="69"/>
        <v>0</v>
      </c>
      <c r="G1479" s="5" t="s">
        <v>1483</v>
      </c>
      <c r="H1479" s="4" t="e">
        <f>VLOOKUP(A1479,المعطيات!$A$1:$J$3500,3,0)</f>
        <v>#N/A</v>
      </c>
      <c r="I1479" s="1" t="s">
        <v>1484</v>
      </c>
      <c r="J1479" s="1" t="s">
        <v>1485</v>
      </c>
      <c r="K1479" s="4" t="e">
        <f>VLOOKUP(A1479,المعطيات!$A$1:$J$3500,6,0)</f>
        <v>#N/A</v>
      </c>
      <c r="L1479" s="1" t="s">
        <v>1486</v>
      </c>
      <c r="M1479" s="1" t="s">
        <v>1487</v>
      </c>
      <c r="N1479" s="4" t="e">
        <f t="shared" si="70"/>
        <v>#N/A</v>
      </c>
      <c r="O1479" s="1" t="s">
        <v>1488</v>
      </c>
      <c r="P1479" s="4" t="e">
        <f>VLOOKUP(A1479,المعطيات!$A$1:$J$3500,4,0)</f>
        <v>#N/A</v>
      </c>
      <c r="Q1479" s="1" t="s">
        <v>1489</v>
      </c>
      <c r="R1479" s="1" t="s">
        <v>1480</v>
      </c>
      <c r="S1479" s="6" t="e">
        <f t="shared" si="71"/>
        <v>#N/A</v>
      </c>
    </row>
    <row r="1480" spans="2:19" x14ac:dyDescent="0.25">
      <c r="B1480" s="1" t="s">
        <v>1479</v>
      </c>
      <c r="C1480" s="1" t="s">
        <v>1481</v>
      </c>
      <c r="D1480" s="4" t="e">
        <f>VLOOKUP(A1480,المعطيات!$A$1:$J$3500,5,0)</f>
        <v>#N/A</v>
      </c>
      <c r="E1480" s="1" t="s">
        <v>1482</v>
      </c>
      <c r="F1480" s="5">
        <f t="shared" si="69"/>
        <v>0</v>
      </c>
      <c r="G1480" s="5" t="s">
        <v>1483</v>
      </c>
      <c r="H1480" s="4" t="e">
        <f>VLOOKUP(A1480,المعطيات!$A$1:$J$3500,3,0)</f>
        <v>#N/A</v>
      </c>
      <c r="I1480" s="1" t="s">
        <v>1484</v>
      </c>
      <c r="J1480" s="1" t="s">
        <v>1485</v>
      </c>
      <c r="K1480" s="4" t="e">
        <f>VLOOKUP(A1480,المعطيات!$A$1:$J$3500,6,0)</f>
        <v>#N/A</v>
      </c>
      <c r="L1480" s="1" t="s">
        <v>1486</v>
      </c>
      <c r="M1480" s="1" t="s">
        <v>1487</v>
      </c>
      <c r="N1480" s="4" t="e">
        <f t="shared" si="70"/>
        <v>#N/A</v>
      </c>
      <c r="O1480" s="1" t="s">
        <v>1488</v>
      </c>
      <c r="P1480" s="4" t="e">
        <f>VLOOKUP(A1480,المعطيات!$A$1:$J$3500,4,0)</f>
        <v>#N/A</v>
      </c>
      <c r="Q1480" s="1" t="s">
        <v>1489</v>
      </c>
      <c r="R1480" s="1" t="s">
        <v>1480</v>
      </c>
      <c r="S1480" s="6" t="e">
        <f t="shared" si="71"/>
        <v>#N/A</v>
      </c>
    </row>
    <row r="1481" spans="2:19" x14ac:dyDescent="0.25">
      <c r="B1481" s="1" t="s">
        <v>1479</v>
      </c>
      <c r="C1481" s="1" t="s">
        <v>1481</v>
      </c>
      <c r="D1481" s="4" t="e">
        <f>VLOOKUP(A1481,المعطيات!$A$1:$J$3500,5,0)</f>
        <v>#N/A</v>
      </c>
      <c r="E1481" s="1" t="s">
        <v>1482</v>
      </c>
      <c r="F1481" s="5">
        <f t="shared" si="69"/>
        <v>0</v>
      </c>
      <c r="G1481" s="5" t="s">
        <v>1483</v>
      </c>
      <c r="H1481" s="4" t="e">
        <f>VLOOKUP(A1481,المعطيات!$A$1:$J$3500,3,0)</f>
        <v>#N/A</v>
      </c>
      <c r="I1481" s="1" t="s">
        <v>1484</v>
      </c>
      <c r="J1481" s="1" t="s">
        <v>1485</v>
      </c>
      <c r="K1481" s="4" t="e">
        <f>VLOOKUP(A1481,المعطيات!$A$1:$J$3500,6,0)</f>
        <v>#N/A</v>
      </c>
      <c r="L1481" s="1" t="s">
        <v>1486</v>
      </c>
      <c r="M1481" s="1" t="s">
        <v>1487</v>
      </c>
      <c r="N1481" s="4" t="e">
        <f t="shared" si="70"/>
        <v>#N/A</v>
      </c>
      <c r="O1481" s="1" t="s">
        <v>1488</v>
      </c>
      <c r="P1481" s="4" t="e">
        <f>VLOOKUP(A1481,المعطيات!$A$1:$J$3500,4,0)</f>
        <v>#N/A</v>
      </c>
      <c r="Q1481" s="1" t="s">
        <v>1489</v>
      </c>
      <c r="R1481" s="1" t="s">
        <v>1480</v>
      </c>
      <c r="S1481" s="6" t="e">
        <f t="shared" si="71"/>
        <v>#N/A</v>
      </c>
    </row>
    <row r="1482" spans="2:19" x14ac:dyDescent="0.25">
      <c r="B1482" s="1" t="s">
        <v>1479</v>
      </c>
      <c r="C1482" s="1" t="s">
        <v>1481</v>
      </c>
      <c r="D1482" s="4" t="e">
        <f>VLOOKUP(A1482,المعطيات!$A$1:$J$3500,5,0)</f>
        <v>#N/A</v>
      </c>
      <c r="E1482" s="1" t="s">
        <v>1482</v>
      </c>
      <c r="F1482" s="5">
        <f t="shared" si="69"/>
        <v>0</v>
      </c>
      <c r="G1482" s="5" t="s">
        <v>1483</v>
      </c>
      <c r="H1482" s="4" t="e">
        <f>VLOOKUP(A1482,المعطيات!$A$1:$J$3500,3,0)</f>
        <v>#N/A</v>
      </c>
      <c r="I1482" s="1" t="s">
        <v>1484</v>
      </c>
      <c r="J1482" s="1" t="s">
        <v>1485</v>
      </c>
      <c r="K1482" s="4" t="e">
        <f>VLOOKUP(A1482,المعطيات!$A$1:$J$3500,6,0)</f>
        <v>#N/A</v>
      </c>
      <c r="L1482" s="1" t="s">
        <v>1486</v>
      </c>
      <c r="M1482" s="1" t="s">
        <v>1487</v>
      </c>
      <c r="N1482" s="4" t="e">
        <f t="shared" si="70"/>
        <v>#N/A</v>
      </c>
      <c r="O1482" s="1" t="s">
        <v>1488</v>
      </c>
      <c r="P1482" s="4" t="e">
        <f>VLOOKUP(A1482,المعطيات!$A$1:$J$3500,4,0)</f>
        <v>#N/A</v>
      </c>
      <c r="Q1482" s="1" t="s">
        <v>1489</v>
      </c>
      <c r="R1482" s="1" t="s">
        <v>1480</v>
      </c>
      <c r="S1482" s="6" t="e">
        <f t="shared" si="71"/>
        <v>#N/A</v>
      </c>
    </row>
    <row r="1483" spans="2:19" x14ac:dyDescent="0.25">
      <c r="B1483" s="1" t="s">
        <v>1479</v>
      </c>
      <c r="C1483" s="1" t="s">
        <v>1481</v>
      </c>
      <c r="D1483" s="4" t="e">
        <f>VLOOKUP(A1483,المعطيات!$A$1:$J$3500,5,0)</f>
        <v>#N/A</v>
      </c>
      <c r="E1483" s="1" t="s">
        <v>1482</v>
      </c>
      <c r="F1483" s="5">
        <f t="shared" si="69"/>
        <v>0</v>
      </c>
      <c r="G1483" s="5" t="s">
        <v>1483</v>
      </c>
      <c r="H1483" s="4" t="e">
        <f>VLOOKUP(A1483,المعطيات!$A$1:$J$3500,3,0)</f>
        <v>#N/A</v>
      </c>
      <c r="I1483" s="1" t="s">
        <v>1484</v>
      </c>
      <c r="J1483" s="1" t="s">
        <v>1485</v>
      </c>
      <c r="K1483" s="4" t="e">
        <f>VLOOKUP(A1483,المعطيات!$A$1:$J$3500,6,0)</f>
        <v>#N/A</v>
      </c>
      <c r="L1483" s="1" t="s">
        <v>1486</v>
      </c>
      <c r="M1483" s="1" t="s">
        <v>1487</v>
      </c>
      <c r="N1483" s="4" t="e">
        <f t="shared" si="70"/>
        <v>#N/A</v>
      </c>
      <c r="O1483" s="1" t="s">
        <v>1488</v>
      </c>
      <c r="P1483" s="4" t="e">
        <f>VLOOKUP(A1483,المعطيات!$A$1:$J$3500,4,0)</f>
        <v>#N/A</v>
      </c>
      <c r="Q1483" s="1" t="s">
        <v>1489</v>
      </c>
      <c r="R1483" s="1" t="s">
        <v>1480</v>
      </c>
      <c r="S1483" s="6" t="e">
        <f t="shared" si="71"/>
        <v>#N/A</v>
      </c>
    </row>
    <row r="1484" spans="2:19" x14ac:dyDescent="0.25">
      <c r="B1484" s="1" t="s">
        <v>1479</v>
      </c>
      <c r="C1484" s="1" t="s">
        <v>1481</v>
      </c>
      <c r="D1484" s="4" t="e">
        <f>VLOOKUP(A1484,المعطيات!$A$1:$J$3500,5,0)</f>
        <v>#N/A</v>
      </c>
      <c r="E1484" s="1" t="s">
        <v>1482</v>
      </c>
      <c r="F1484" s="5">
        <f t="shared" si="69"/>
        <v>0</v>
      </c>
      <c r="G1484" s="5" t="s">
        <v>1483</v>
      </c>
      <c r="H1484" s="4" t="e">
        <f>VLOOKUP(A1484,المعطيات!$A$1:$J$3500,3,0)</f>
        <v>#N/A</v>
      </c>
      <c r="I1484" s="1" t="s">
        <v>1484</v>
      </c>
      <c r="J1484" s="1" t="s">
        <v>1485</v>
      </c>
      <c r="K1484" s="4" t="e">
        <f>VLOOKUP(A1484,المعطيات!$A$1:$J$3500,6,0)</f>
        <v>#N/A</v>
      </c>
      <c r="L1484" s="1" t="s">
        <v>1486</v>
      </c>
      <c r="M1484" s="1" t="s">
        <v>1487</v>
      </c>
      <c r="N1484" s="4" t="e">
        <f t="shared" si="70"/>
        <v>#N/A</v>
      </c>
      <c r="O1484" s="1" t="s">
        <v>1488</v>
      </c>
      <c r="P1484" s="4" t="e">
        <f>VLOOKUP(A1484,المعطيات!$A$1:$J$3500,4,0)</f>
        <v>#N/A</v>
      </c>
      <c r="Q1484" s="1" t="s">
        <v>1489</v>
      </c>
      <c r="R1484" s="1" t="s">
        <v>1480</v>
      </c>
      <c r="S1484" s="6" t="e">
        <f t="shared" si="71"/>
        <v>#N/A</v>
      </c>
    </row>
    <row r="1485" spans="2:19" x14ac:dyDescent="0.25">
      <c r="B1485" s="1" t="s">
        <v>1479</v>
      </c>
      <c r="C1485" s="1" t="s">
        <v>1481</v>
      </c>
      <c r="D1485" s="4" t="e">
        <f>VLOOKUP(A1485,المعطيات!$A$1:$J$3500,5,0)</f>
        <v>#N/A</v>
      </c>
      <c r="E1485" s="1" t="s">
        <v>1482</v>
      </c>
      <c r="F1485" s="5">
        <f t="shared" si="69"/>
        <v>0</v>
      </c>
      <c r="G1485" s="5" t="s">
        <v>1483</v>
      </c>
      <c r="H1485" s="4" t="e">
        <f>VLOOKUP(A1485,المعطيات!$A$1:$J$3500,3,0)</f>
        <v>#N/A</v>
      </c>
      <c r="I1485" s="1" t="s">
        <v>1484</v>
      </c>
      <c r="J1485" s="1" t="s">
        <v>1485</v>
      </c>
      <c r="K1485" s="4" t="e">
        <f>VLOOKUP(A1485,المعطيات!$A$1:$J$3500,6,0)</f>
        <v>#N/A</v>
      </c>
      <c r="L1485" s="1" t="s">
        <v>1486</v>
      </c>
      <c r="M1485" s="1" t="s">
        <v>1487</v>
      </c>
      <c r="N1485" s="4" t="e">
        <f t="shared" si="70"/>
        <v>#N/A</v>
      </c>
      <c r="O1485" s="1" t="s">
        <v>1488</v>
      </c>
      <c r="P1485" s="4" t="e">
        <f>VLOOKUP(A1485,المعطيات!$A$1:$J$3500,4,0)</f>
        <v>#N/A</v>
      </c>
      <c r="Q1485" s="1" t="s">
        <v>1489</v>
      </c>
      <c r="R1485" s="1" t="s">
        <v>1480</v>
      </c>
      <c r="S1485" s="6" t="e">
        <f t="shared" si="71"/>
        <v>#N/A</v>
      </c>
    </row>
    <row r="1486" spans="2:19" x14ac:dyDescent="0.25">
      <c r="B1486" s="1" t="s">
        <v>1479</v>
      </c>
      <c r="C1486" s="1" t="s">
        <v>1481</v>
      </c>
      <c r="D1486" s="4" t="e">
        <f>VLOOKUP(A1486,المعطيات!$A$1:$J$3500,5,0)</f>
        <v>#N/A</v>
      </c>
      <c r="E1486" s="1" t="s">
        <v>1482</v>
      </c>
      <c r="F1486" s="5">
        <f t="shared" si="69"/>
        <v>0</v>
      </c>
      <c r="G1486" s="5" t="s">
        <v>1483</v>
      </c>
      <c r="H1486" s="4" t="e">
        <f>VLOOKUP(A1486,المعطيات!$A$1:$J$3500,3,0)</f>
        <v>#N/A</v>
      </c>
      <c r="I1486" s="1" t="s">
        <v>1484</v>
      </c>
      <c r="J1486" s="1" t="s">
        <v>1485</v>
      </c>
      <c r="K1486" s="4" t="e">
        <f>VLOOKUP(A1486,المعطيات!$A$1:$J$3500,6,0)</f>
        <v>#N/A</v>
      </c>
      <c r="L1486" s="1" t="s">
        <v>1486</v>
      </c>
      <c r="M1486" s="1" t="s">
        <v>1487</v>
      </c>
      <c r="N1486" s="4" t="e">
        <f t="shared" si="70"/>
        <v>#N/A</v>
      </c>
      <c r="O1486" s="1" t="s">
        <v>1488</v>
      </c>
      <c r="P1486" s="4" t="e">
        <f>VLOOKUP(A1486,المعطيات!$A$1:$J$3500,4,0)</f>
        <v>#N/A</v>
      </c>
      <c r="Q1486" s="1" t="s">
        <v>1489</v>
      </c>
      <c r="R1486" s="1" t="s">
        <v>1480</v>
      </c>
      <c r="S1486" s="6" t="e">
        <f t="shared" si="71"/>
        <v>#N/A</v>
      </c>
    </row>
    <row r="1487" spans="2:19" x14ac:dyDescent="0.25">
      <c r="B1487" s="1" t="s">
        <v>1479</v>
      </c>
      <c r="C1487" s="1" t="s">
        <v>1481</v>
      </c>
      <c r="D1487" s="4" t="e">
        <f>VLOOKUP(A1487,المعطيات!$A$1:$J$3500,5,0)</f>
        <v>#N/A</v>
      </c>
      <c r="E1487" s="1" t="s">
        <v>1482</v>
      </c>
      <c r="F1487" s="5">
        <f t="shared" si="69"/>
        <v>0</v>
      </c>
      <c r="G1487" s="5" t="s">
        <v>1483</v>
      </c>
      <c r="H1487" s="4" t="e">
        <f>VLOOKUP(A1487,المعطيات!$A$1:$J$3500,3,0)</f>
        <v>#N/A</v>
      </c>
      <c r="I1487" s="1" t="s">
        <v>1484</v>
      </c>
      <c r="J1487" s="1" t="s">
        <v>1485</v>
      </c>
      <c r="K1487" s="4" t="e">
        <f>VLOOKUP(A1487,المعطيات!$A$1:$J$3500,6,0)</f>
        <v>#N/A</v>
      </c>
      <c r="L1487" s="1" t="s">
        <v>1486</v>
      </c>
      <c r="M1487" s="1" t="s">
        <v>1487</v>
      </c>
      <c r="N1487" s="4" t="e">
        <f t="shared" si="70"/>
        <v>#N/A</v>
      </c>
      <c r="O1487" s="1" t="s">
        <v>1488</v>
      </c>
      <c r="P1487" s="4" t="e">
        <f>VLOOKUP(A1487,المعطيات!$A$1:$J$3500,4,0)</f>
        <v>#N/A</v>
      </c>
      <c r="Q1487" s="1" t="s">
        <v>1489</v>
      </c>
      <c r="R1487" s="1" t="s">
        <v>1480</v>
      </c>
      <c r="S1487" s="6" t="e">
        <f t="shared" si="71"/>
        <v>#N/A</v>
      </c>
    </row>
    <row r="1488" spans="2:19" x14ac:dyDescent="0.25">
      <c r="B1488" s="1" t="s">
        <v>1479</v>
      </c>
      <c r="C1488" s="1" t="s">
        <v>1481</v>
      </c>
      <c r="D1488" s="4" t="e">
        <f>VLOOKUP(A1488,المعطيات!$A$1:$J$3500,5,0)</f>
        <v>#N/A</v>
      </c>
      <c r="E1488" s="1" t="s">
        <v>1482</v>
      </c>
      <c r="F1488" s="5">
        <f t="shared" si="69"/>
        <v>0</v>
      </c>
      <c r="G1488" s="5" t="s">
        <v>1483</v>
      </c>
      <c r="H1488" s="4" t="e">
        <f>VLOOKUP(A1488,المعطيات!$A$1:$J$3500,3,0)</f>
        <v>#N/A</v>
      </c>
      <c r="I1488" s="1" t="s">
        <v>1484</v>
      </c>
      <c r="J1488" s="1" t="s">
        <v>1485</v>
      </c>
      <c r="K1488" s="4" t="e">
        <f>VLOOKUP(A1488,المعطيات!$A$1:$J$3500,6,0)</f>
        <v>#N/A</v>
      </c>
      <c r="L1488" s="1" t="s">
        <v>1486</v>
      </c>
      <c r="M1488" s="1" t="s">
        <v>1487</v>
      </c>
      <c r="N1488" s="4" t="e">
        <f t="shared" si="70"/>
        <v>#N/A</v>
      </c>
      <c r="O1488" s="1" t="s">
        <v>1488</v>
      </c>
      <c r="P1488" s="4" t="e">
        <f>VLOOKUP(A1488,المعطيات!$A$1:$J$3500,4,0)</f>
        <v>#N/A</v>
      </c>
      <c r="Q1488" s="1" t="s">
        <v>1489</v>
      </c>
      <c r="R1488" s="1" t="s">
        <v>1480</v>
      </c>
      <c r="S1488" s="6" t="e">
        <f t="shared" si="71"/>
        <v>#N/A</v>
      </c>
    </row>
    <row r="1489" spans="2:19" x14ac:dyDescent="0.25">
      <c r="B1489" s="1" t="s">
        <v>1479</v>
      </c>
      <c r="C1489" s="1" t="s">
        <v>1481</v>
      </c>
      <c r="D1489" s="4" t="e">
        <f>VLOOKUP(A1489,المعطيات!$A$1:$J$3500,5,0)</f>
        <v>#N/A</v>
      </c>
      <c r="E1489" s="1" t="s">
        <v>1482</v>
      </c>
      <c r="F1489" s="5">
        <f t="shared" si="69"/>
        <v>0</v>
      </c>
      <c r="G1489" s="5" t="s">
        <v>1483</v>
      </c>
      <c r="H1489" s="4" t="e">
        <f>VLOOKUP(A1489,المعطيات!$A$1:$J$3500,3,0)</f>
        <v>#N/A</v>
      </c>
      <c r="I1489" s="1" t="s">
        <v>1484</v>
      </c>
      <c r="J1489" s="1" t="s">
        <v>1485</v>
      </c>
      <c r="K1489" s="4" t="e">
        <f>VLOOKUP(A1489,المعطيات!$A$1:$J$3500,6,0)</f>
        <v>#N/A</v>
      </c>
      <c r="L1489" s="1" t="s">
        <v>1486</v>
      </c>
      <c r="M1489" s="1" t="s">
        <v>1487</v>
      </c>
      <c r="N1489" s="4" t="e">
        <f t="shared" si="70"/>
        <v>#N/A</v>
      </c>
      <c r="O1489" s="1" t="s">
        <v>1488</v>
      </c>
      <c r="P1489" s="4" t="e">
        <f>VLOOKUP(A1489,المعطيات!$A$1:$J$3500,4,0)</f>
        <v>#N/A</v>
      </c>
      <c r="Q1489" s="1" t="s">
        <v>1489</v>
      </c>
      <c r="R1489" s="1" t="s">
        <v>1480</v>
      </c>
      <c r="S1489" s="6" t="e">
        <f t="shared" si="71"/>
        <v>#N/A</v>
      </c>
    </row>
    <row r="1490" spans="2:19" x14ac:dyDescent="0.25">
      <c r="B1490" s="1" t="s">
        <v>1479</v>
      </c>
      <c r="C1490" s="1" t="s">
        <v>1481</v>
      </c>
      <c r="D1490" s="4" t="e">
        <f>VLOOKUP(A1490,المعطيات!$A$1:$J$3500,5,0)</f>
        <v>#N/A</v>
      </c>
      <c r="E1490" s="1" t="s">
        <v>1482</v>
      </c>
      <c r="F1490" s="5">
        <f t="shared" si="69"/>
        <v>0</v>
      </c>
      <c r="G1490" s="5" t="s">
        <v>1483</v>
      </c>
      <c r="H1490" s="4" t="e">
        <f>VLOOKUP(A1490,المعطيات!$A$1:$J$3500,3,0)</f>
        <v>#N/A</v>
      </c>
      <c r="I1490" s="1" t="s">
        <v>1484</v>
      </c>
      <c r="J1490" s="1" t="s">
        <v>1485</v>
      </c>
      <c r="K1490" s="4" t="e">
        <f>VLOOKUP(A1490,المعطيات!$A$1:$J$3500,6,0)</f>
        <v>#N/A</v>
      </c>
      <c r="L1490" s="1" t="s">
        <v>1486</v>
      </c>
      <c r="M1490" s="1" t="s">
        <v>1487</v>
      </c>
      <c r="N1490" s="4" t="e">
        <f t="shared" si="70"/>
        <v>#N/A</v>
      </c>
      <c r="O1490" s="1" t="s">
        <v>1488</v>
      </c>
      <c r="P1490" s="4" t="e">
        <f>VLOOKUP(A1490,المعطيات!$A$1:$J$3500,4,0)</f>
        <v>#N/A</v>
      </c>
      <c r="Q1490" s="1" t="s">
        <v>1489</v>
      </c>
      <c r="R1490" s="1" t="s">
        <v>1480</v>
      </c>
      <c r="S1490" s="6" t="e">
        <f t="shared" si="71"/>
        <v>#N/A</v>
      </c>
    </row>
    <row r="1491" spans="2:19" x14ac:dyDescent="0.25">
      <c r="B1491" s="1" t="s">
        <v>1479</v>
      </c>
      <c r="C1491" s="1" t="s">
        <v>1481</v>
      </c>
      <c r="D1491" s="4" t="e">
        <f>VLOOKUP(A1491,المعطيات!$A$1:$J$3500,5,0)</f>
        <v>#N/A</v>
      </c>
      <c r="E1491" s="1" t="s">
        <v>1482</v>
      </c>
      <c r="F1491" s="5">
        <f t="shared" si="69"/>
        <v>0</v>
      </c>
      <c r="G1491" s="5" t="s">
        <v>1483</v>
      </c>
      <c r="H1491" s="4" t="e">
        <f>VLOOKUP(A1491,المعطيات!$A$1:$J$3500,3,0)</f>
        <v>#N/A</v>
      </c>
      <c r="I1491" s="1" t="s">
        <v>1484</v>
      </c>
      <c r="J1491" s="1" t="s">
        <v>1485</v>
      </c>
      <c r="K1491" s="4" t="e">
        <f>VLOOKUP(A1491,المعطيات!$A$1:$J$3500,6,0)</f>
        <v>#N/A</v>
      </c>
      <c r="L1491" s="1" t="s">
        <v>1486</v>
      </c>
      <c r="M1491" s="1" t="s">
        <v>1487</v>
      </c>
      <c r="N1491" s="4" t="e">
        <f t="shared" si="70"/>
        <v>#N/A</v>
      </c>
      <c r="O1491" s="1" t="s">
        <v>1488</v>
      </c>
      <c r="P1491" s="4" t="e">
        <f>VLOOKUP(A1491,المعطيات!$A$1:$J$3500,4,0)</f>
        <v>#N/A</v>
      </c>
      <c r="Q1491" s="1" t="s">
        <v>1489</v>
      </c>
      <c r="R1491" s="1" t="s">
        <v>1480</v>
      </c>
      <c r="S1491" s="6" t="e">
        <f t="shared" si="71"/>
        <v>#N/A</v>
      </c>
    </row>
    <row r="1492" spans="2:19" x14ac:dyDescent="0.25">
      <c r="B1492" s="1" t="s">
        <v>1479</v>
      </c>
      <c r="C1492" s="1" t="s">
        <v>1481</v>
      </c>
      <c r="D1492" s="4" t="e">
        <f>VLOOKUP(A1492,المعطيات!$A$1:$J$3500,5,0)</f>
        <v>#N/A</v>
      </c>
      <c r="E1492" s="1" t="s">
        <v>1482</v>
      </c>
      <c r="F1492" s="5">
        <f t="shared" si="69"/>
        <v>0</v>
      </c>
      <c r="G1492" s="5" t="s">
        <v>1483</v>
      </c>
      <c r="H1492" s="4" t="e">
        <f>VLOOKUP(A1492,المعطيات!$A$1:$J$3500,3,0)</f>
        <v>#N/A</v>
      </c>
      <c r="I1492" s="1" t="s">
        <v>1484</v>
      </c>
      <c r="J1492" s="1" t="s">
        <v>1485</v>
      </c>
      <c r="K1492" s="4" t="e">
        <f>VLOOKUP(A1492,المعطيات!$A$1:$J$3500,6,0)</f>
        <v>#N/A</v>
      </c>
      <c r="L1492" s="1" t="s">
        <v>1486</v>
      </c>
      <c r="M1492" s="1" t="s">
        <v>1487</v>
      </c>
      <c r="N1492" s="4" t="e">
        <f t="shared" si="70"/>
        <v>#N/A</v>
      </c>
      <c r="O1492" s="1" t="s">
        <v>1488</v>
      </c>
      <c r="P1492" s="4" t="e">
        <f>VLOOKUP(A1492,المعطيات!$A$1:$J$3500,4,0)</f>
        <v>#N/A</v>
      </c>
      <c r="Q1492" s="1" t="s">
        <v>1489</v>
      </c>
      <c r="R1492" s="1" t="s">
        <v>1480</v>
      </c>
      <c r="S1492" s="6" t="e">
        <f t="shared" si="71"/>
        <v>#N/A</v>
      </c>
    </row>
    <row r="1493" spans="2:19" x14ac:dyDescent="0.25">
      <c r="B1493" s="1" t="s">
        <v>1479</v>
      </c>
      <c r="C1493" s="1" t="s">
        <v>1481</v>
      </c>
      <c r="D1493" s="4" t="e">
        <f>VLOOKUP(A1493,المعطيات!$A$1:$J$3500,5,0)</f>
        <v>#N/A</v>
      </c>
      <c r="E1493" s="1" t="s">
        <v>1482</v>
      </c>
      <c r="F1493" s="5">
        <f t="shared" si="69"/>
        <v>0</v>
      </c>
      <c r="G1493" s="5" t="s">
        <v>1483</v>
      </c>
      <c r="H1493" s="4" t="e">
        <f>VLOOKUP(A1493,المعطيات!$A$1:$J$3500,3,0)</f>
        <v>#N/A</v>
      </c>
      <c r="I1493" s="1" t="s">
        <v>1484</v>
      </c>
      <c r="J1493" s="1" t="s">
        <v>1485</v>
      </c>
      <c r="K1493" s="4" t="e">
        <f>VLOOKUP(A1493,المعطيات!$A$1:$J$3500,6,0)</f>
        <v>#N/A</v>
      </c>
      <c r="L1493" s="1" t="s">
        <v>1486</v>
      </c>
      <c r="M1493" s="1" t="s">
        <v>1487</v>
      </c>
      <c r="N1493" s="4" t="e">
        <f t="shared" si="70"/>
        <v>#N/A</v>
      </c>
      <c r="O1493" s="1" t="s">
        <v>1488</v>
      </c>
      <c r="P1493" s="4" t="e">
        <f>VLOOKUP(A1493,المعطيات!$A$1:$J$3500,4,0)</f>
        <v>#N/A</v>
      </c>
      <c r="Q1493" s="1" t="s">
        <v>1489</v>
      </c>
      <c r="R1493" s="1" t="s">
        <v>1480</v>
      </c>
      <c r="S1493" s="6" t="e">
        <f t="shared" si="71"/>
        <v>#N/A</v>
      </c>
    </row>
    <row r="1494" spans="2:19" x14ac:dyDescent="0.25">
      <c r="B1494" s="1" t="s">
        <v>1479</v>
      </c>
      <c r="C1494" s="1" t="s">
        <v>1481</v>
      </c>
      <c r="D1494" s="4" t="e">
        <f>VLOOKUP(A1494,المعطيات!$A$1:$J$3500,5,0)</f>
        <v>#N/A</v>
      </c>
      <c r="E1494" s="1" t="s">
        <v>1482</v>
      </c>
      <c r="F1494" s="5">
        <f t="shared" si="69"/>
        <v>0</v>
      </c>
      <c r="G1494" s="5" t="s">
        <v>1483</v>
      </c>
      <c r="H1494" s="4" t="e">
        <f>VLOOKUP(A1494,المعطيات!$A$1:$J$3500,3,0)</f>
        <v>#N/A</v>
      </c>
      <c r="I1494" s="1" t="s">
        <v>1484</v>
      </c>
      <c r="J1494" s="1" t="s">
        <v>1485</v>
      </c>
      <c r="K1494" s="4" t="e">
        <f>VLOOKUP(A1494,المعطيات!$A$1:$J$3500,6,0)</f>
        <v>#N/A</v>
      </c>
      <c r="L1494" s="1" t="s">
        <v>1486</v>
      </c>
      <c r="M1494" s="1" t="s">
        <v>1487</v>
      </c>
      <c r="N1494" s="4" t="e">
        <f t="shared" si="70"/>
        <v>#N/A</v>
      </c>
      <c r="O1494" s="1" t="s">
        <v>1488</v>
      </c>
      <c r="P1494" s="4" t="e">
        <f>VLOOKUP(A1494,المعطيات!$A$1:$J$3500,4,0)</f>
        <v>#N/A</v>
      </c>
      <c r="Q1494" s="1" t="s">
        <v>1489</v>
      </c>
      <c r="R1494" s="1" t="s">
        <v>1480</v>
      </c>
      <c r="S1494" s="6" t="e">
        <f t="shared" si="71"/>
        <v>#N/A</v>
      </c>
    </row>
    <row r="1495" spans="2:19" x14ac:dyDescent="0.25">
      <c r="B1495" s="1" t="s">
        <v>1479</v>
      </c>
      <c r="C1495" s="1" t="s">
        <v>1481</v>
      </c>
      <c r="D1495" s="4" t="e">
        <f>VLOOKUP(A1495,المعطيات!$A$1:$J$3500,5,0)</f>
        <v>#N/A</v>
      </c>
      <c r="E1495" s="1" t="s">
        <v>1482</v>
      </c>
      <c r="F1495" s="5">
        <f t="shared" si="69"/>
        <v>0</v>
      </c>
      <c r="G1495" s="5" t="s">
        <v>1483</v>
      </c>
      <c r="H1495" s="4" t="e">
        <f>VLOOKUP(A1495,المعطيات!$A$1:$J$3500,3,0)</f>
        <v>#N/A</v>
      </c>
      <c r="I1495" s="1" t="s">
        <v>1484</v>
      </c>
      <c r="J1495" s="1" t="s">
        <v>1485</v>
      </c>
      <c r="K1495" s="4" t="e">
        <f>VLOOKUP(A1495,المعطيات!$A$1:$J$3500,6,0)</f>
        <v>#N/A</v>
      </c>
      <c r="L1495" s="1" t="s">
        <v>1486</v>
      </c>
      <c r="M1495" s="1" t="s">
        <v>1487</v>
      </c>
      <c r="N1495" s="4" t="e">
        <f t="shared" si="70"/>
        <v>#N/A</v>
      </c>
      <c r="O1495" s="1" t="s">
        <v>1488</v>
      </c>
      <c r="P1495" s="4" t="e">
        <f>VLOOKUP(A1495,المعطيات!$A$1:$J$3500,4,0)</f>
        <v>#N/A</v>
      </c>
      <c r="Q1495" s="1" t="s">
        <v>1489</v>
      </c>
      <c r="R1495" s="1" t="s">
        <v>1480</v>
      </c>
      <c r="S1495" s="6" t="e">
        <f t="shared" si="71"/>
        <v>#N/A</v>
      </c>
    </row>
    <row r="1496" spans="2:19" x14ac:dyDescent="0.25">
      <c r="B1496" s="1" t="s">
        <v>1479</v>
      </c>
      <c r="C1496" s="1" t="s">
        <v>1481</v>
      </c>
      <c r="D1496" s="4" t="e">
        <f>VLOOKUP(A1496,المعطيات!$A$1:$J$3500,5,0)</f>
        <v>#N/A</v>
      </c>
      <c r="E1496" s="1" t="s">
        <v>1482</v>
      </c>
      <c r="F1496" s="5">
        <f t="shared" si="69"/>
        <v>0</v>
      </c>
      <c r="G1496" s="5" t="s">
        <v>1483</v>
      </c>
      <c r="H1496" s="4" t="e">
        <f>VLOOKUP(A1496,المعطيات!$A$1:$J$3500,3,0)</f>
        <v>#N/A</v>
      </c>
      <c r="I1496" s="1" t="s">
        <v>1484</v>
      </c>
      <c r="J1496" s="1" t="s">
        <v>1485</v>
      </c>
      <c r="K1496" s="4" t="e">
        <f>VLOOKUP(A1496,المعطيات!$A$1:$J$3500,6,0)</f>
        <v>#N/A</v>
      </c>
      <c r="L1496" s="1" t="s">
        <v>1486</v>
      </c>
      <c r="M1496" s="1" t="s">
        <v>1487</v>
      </c>
      <c r="N1496" s="4" t="e">
        <f t="shared" si="70"/>
        <v>#N/A</v>
      </c>
      <c r="O1496" s="1" t="s">
        <v>1488</v>
      </c>
      <c r="P1496" s="4" t="e">
        <f>VLOOKUP(A1496,المعطيات!$A$1:$J$3500,4,0)</f>
        <v>#N/A</v>
      </c>
      <c r="Q1496" s="1" t="s">
        <v>1489</v>
      </c>
      <c r="R1496" s="1" t="s">
        <v>1480</v>
      </c>
      <c r="S1496" s="6" t="e">
        <f t="shared" si="71"/>
        <v>#N/A</v>
      </c>
    </row>
    <row r="1497" spans="2:19" x14ac:dyDescent="0.25">
      <c r="B1497" s="1" t="s">
        <v>1479</v>
      </c>
      <c r="C1497" s="1" t="s">
        <v>1481</v>
      </c>
      <c r="D1497" s="4" t="e">
        <f>VLOOKUP(A1497,المعطيات!$A$1:$J$3500,5,0)</f>
        <v>#N/A</v>
      </c>
      <c r="E1497" s="1" t="s">
        <v>1482</v>
      </c>
      <c r="F1497" s="5">
        <f t="shared" si="69"/>
        <v>0</v>
      </c>
      <c r="G1497" s="5" t="s">
        <v>1483</v>
      </c>
      <c r="H1497" s="4" t="e">
        <f>VLOOKUP(A1497,المعطيات!$A$1:$J$3500,3,0)</f>
        <v>#N/A</v>
      </c>
      <c r="I1497" s="1" t="s">
        <v>1484</v>
      </c>
      <c r="J1497" s="1" t="s">
        <v>1485</v>
      </c>
      <c r="K1497" s="4" t="e">
        <f>VLOOKUP(A1497,المعطيات!$A$1:$J$3500,6,0)</f>
        <v>#N/A</v>
      </c>
      <c r="L1497" s="1" t="s">
        <v>1486</v>
      </c>
      <c r="M1497" s="1" t="s">
        <v>1487</v>
      </c>
      <c r="N1497" s="4" t="e">
        <f t="shared" si="70"/>
        <v>#N/A</v>
      </c>
      <c r="O1497" s="1" t="s">
        <v>1488</v>
      </c>
      <c r="P1497" s="4" t="e">
        <f>VLOOKUP(A1497,المعطيات!$A$1:$J$3500,4,0)</f>
        <v>#N/A</v>
      </c>
      <c r="Q1497" s="1" t="s">
        <v>1489</v>
      </c>
      <c r="R1497" s="1" t="s">
        <v>1480</v>
      </c>
      <c r="S1497" s="6" t="e">
        <f t="shared" si="71"/>
        <v>#N/A</v>
      </c>
    </row>
    <row r="1498" spans="2:19" x14ac:dyDescent="0.25">
      <c r="B1498" s="1" t="s">
        <v>1479</v>
      </c>
      <c r="C1498" s="1" t="s">
        <v>1481</v>
      </c>
      <c r="D1498" s="4" t="e">
        <f>VLOOKUP(A1498,المعطيات!$A$1:$J$3500,5,0)</f>
        <v>#N/A</v>
      </c>
      <c r="E1498" s="1" t="s">
        <v>1482</v>
      </c>
      <c r="F1498" s="5">
        <f t="shared" si="69"/>
        <v>0</v>
      </c>
      <c r="G1498" s="5" t="s">
        <v>1483</v>
      </c>
      <c r="H1498" s="4" t="e">
        <f>VLOOKUP(A1498,المعطيات!$A$1:$J$3500,3,0)</f>
        <v>#N/A</v>
      </c>
      <c r="I1498" s="1" t="s">
        <v>1484</v>
      </c>
      <c r="J1498" s="1" t="s">
        <v>1485</v>
      </c>
      <c r="K1498" s="4" t="e">
        <f>VLOOKUP(A1498,المعطيات!$A$1:$J$3500,6,0)</f>
        <v>#N/A</v>
      </c>
      <c r="L1498" s="1" t="s">
        <v>1486</v>
      </c>
      <c r="M1498" s="1" t="s">
        <v>1487</v>
      </c>
      <c r="N1498" s="4" t="e">
        <f t="shared" si="70"/>
        <v>#N/A</v>
      </c>
      <c r="O1498" s="1" t="s">
        <v>1488</v>
      </c>
      <c r="P1498" s="4" t="e">
        <f>VLOOKUP(A1498,المعطيات!$A$1:$J$3500,4,0)</f>
        <v>#N/A</v>
      </c>
      <c r="Q1498" s="1" t="s">
        <v>1489</v>
      </c>
      <c r="R1498" s="1" t="s">
        <v>1480</v>
      </c>
      <c r="S1498" s="6" t="e">
        <f t="shared" si="71"/>
        <v>#N/A</v>
      </c>
    </row>
    <row r="1499" spans="2:19" x14ac:dyDescent="0.25">
      <c r="B1499" s="1" t="s">
        <v>1479</v>
      </c>
      <c r="C1499" s="1" t="s">
        <v>1481</v>
      </c>
      <c r="D1499" s="4" t="e">
        <f>VLOOKUP(A1499,المعطيات!$A$1:$J$3500,5,0)</f>
        <v>#N/A</v>
      </c>
      <c r="E1499" s="1" t="s">
        <v>1482</v>
      </c>
      <c r="F1499" s="5">
        <f t="shared" si="69"/>
        <v>0</v>
      </c>
      <c r="G1499" s="5" t="s">
        <v>1483</v>
      </c>
      <c r="H1499" s="4" t="e">
        <f>VLOOKUP(A1499,المعطيات!$A$1:$J$3500,3,0)</f>
        <v>#N/A</v>
      </c>
      <c r="I1499" s="1" t="s">
        <v>1484</v>
      </c>
      <c r="J1499" s="1" t="s">
        <v>1485</v>
      </c>
      <c r="K1499" s="4" t="e">
        <f>VLOOKUP(A1499,المعطيات!$A$1:$J$3500,6,0)</f>
        <v>#N/A</v>
      </c>
      <c r="L1499" s="1" t="s">
        <v>1486</v>
      </c>
      <c r="M1499" s="1" t="s">
        <v>1487</v>
      </c>
      <c r="N1499" s="4" t="e">
        <f t="shared" si="70"/>
        <v>#N/A</v>
      </c>
      <c r="O1499" s="1" t="s">
        <v>1488</v>
      </c>
      <c r="P1499" s="4" t="e">
        <f>VLOOKUP(A1499,المعطيات!$A$1:$J$3500,4,0)</f>
        <v>#N/A</v>
      </c>
      <c r="Q1499" s="1" t="s">
        <v>1489</v>
      </c>
      <c r="R1499" s="1" t="s">
        <v>1480</v>
      </c>
      <c r="S1499" s="6" t="e">
        <f t="shared" si="71"/>
        <v>#N/A</v>
      </c>
    </row>
    <row r="1500" spans="2:19" x14ac:dyDescent="0.25">
      <c r="B1500" s="1" t="s">
        <v>1479</v>
      </c>
      <c r="C1500" s="1" t="s">
        <v>1481</v>
      </c>
      <c r="D1500" s="4" t="e">
        <f>VLOOKUP(A1500,المعطيات!$A$1:$J$3500,5,0)</f>
        <v>#N/A</v>
      </c>
      <c r="E1500" s="1" t="s">
        <v>1482</v>
      </c>
      <c r="F1500" s="5">
        <f t="shared" si="69"/>
        <v>0</v>
      </c>
      <c r="G1500" s="5" t="s">
        <v>1483</v>
      </c>
      <c r="H1500" s="4" t="e">
        <f>VLOOKUP(A1500,المعطيات!$A$1:$J$3500,3,0)</f>
        <v>#N/A</v>
      </c>
      <c r="I1500" s="1" t="s">
        <v>1484</v>
      </c>
      <c r="J1500" s="1" t="s">
        <v>1485</v>
      </c>
      <c r="K1500" s="4" t="e">
        <f>VLOOKUP(A1500,المعطيات!$A$1:$J$3500,6,0)</f>
        <v>#N/A</v>
      </c>
      <c r="L1500" s="1" t="s">
        <v>1486</v>
      </c>
      <c r="M1500" s="1" t="s">
        <v>1487</v>
      </c>
      <c r="N1500" s="4" t="e">
        <f t="shared" si="70"/>
        <v>#N/A</v>
      </c>
      <c r="O1500" s="1" t="s">
        <v>1488</v>
      </c>
      <c r="P1500" s="4" t="e">
        <f>VLOOKUP(A1500,المعطيات!$A$1:$J$3500,4,0)</f>
        <v>#N/A</v>
      </c>
      <c r="Q1500" s="1" t="s">
        <v>1489</v>
      </c>
      <c r="R1500" s="1" t="s">
        <v>1480</v>
      </c>
      <c r="S1500" s="6" t="e">
        <f t="shared" si="71"/>
        <v>#N/A</v>
      </c>
    </row>
    <row r="1501" spans="2:19" x14ac:dyDescent="0.25">
      <c r="B1501" s="1" t="s">
        <v>1479</v>
      </c>
      <c r="C1501" s="1" t="s">
        <v>1481</v>
      </c>
      <c r="D1501" s="4" t="e">
        <f>VLOOKUP(A1501,المعطيات!$A$1:$J$3500,5,0)</f>
        <v>#N/A</v>
      </c>
      <c r="E1501" s="1" t="s">
        <v>1482</v>
      </c>
      <c r="F1501" s="5">
        <f t="shared" si="69"/>
        <v>0</v>
      </c>
      <c r="G1501" s="5" t="s">
        <v>1483</v>
      </c>
      <c r="H1501" s="4" t="e">
        <f>VLOOKUP(A1501,المعطيات!$A$1:$J$3500,3,0)</f>
        <v>#N/A</v>
      </c>
      <c r="I1501" s="1" t="s">
        <v>1484</v>
      </c>
      <c r="J1501" s="1" t="s">
        <v>1485</v>
      </c>
      <c r="K1501" s="4" t="e">
        <f>VLOOKUP(A1501,المعطيات!$A$1:$J$3500,6,0)</f>
        <v>#N/A</v>
      </c>
      <c r="L1501" s="1" t="s">
        <v>1486</v>
      </c>
      <c r="M1501" s="1" t="s">
        <v>1487</v>
      </c>
      <c r="N1501" s="4" t="e">
        <f t="shared" si="70"/>
        <v>#N/A</v>
      </c>
      <c r="O1501" s="1" t="s">
        <v>1488</v>
      </c>
      <c r="P1501" s="4" t="e">
        <f>VLOOKUP(A1501,المعطيات!$A$1:$J$3500,4,0)</f>
        <v>#N/A</v>
      </c>
      <c r="Q1501" s="1" t="s">
        <v>1489</v>
      </c>
      <c r="R1501" s="1" t="s">
        <v>1480</v>
      </c>
      <c r="S1501" s="6" t="e">
        <f t="shared" si="71"/>
        <v>#N/A</v>
      </c>
    </row>
    <row r="1502" spans="2:19" x14ac:dyDescent="0.25">
      <c r="B1502" s="1" t="s">
        <v>1479</v>
      </c>
      <c r="C1502" s="1" t="s">
        <v>1481</v>
      </c>
      <c r="D1502" s="4" t="e">
        <f>VLOOKUP(A1502,المعطيات!$A$1:$J$3500,5,0)</f>
        <v>#N/A</v>
      </c>
      <c r="E1502" s="1" t="s">
        <v>1482</v>
      </c>
      <c r="F1502" s="5">
        <f t="shared" si="69"/>
        <v>0</v>
      </c>
      <c r="G1502" s="5" t="s">
        <v>1483</v>
      </c>
      <c r="H1502" s="4" t="e">
        <f>VLOOKUP(A1502,المعطيات!$A$1:$J$3500,3,0)</f>
        <v>#N/A</v>
      </c>
      <c r="I1502" s="1" t="s">
        <v>1484</v>
      </c>
      <c r="J1502" s="1" t="s">
        <v>1485</v>
      </c>
      <c r="K1502" s="4" t="e">
        <f>VLOOKUP(A1502,المعطيات!$A$1:$J$3500,6,0)</f>
        <v>#N/A</v>
      </c>
      <c r="L1502" s="1" t="s">
        <v>1486</v>
      </c>
      <c r="M1502" s="1" t="s">
        <v>1487</v>
      </c>
      <c r="N1502" s="4" t="e">
        <f t="shared" si="70"/>
        <v>#N/A</v>
      </c>
      <c r="O1502" s="1" t="s">
        <v>1488</v>
      </c>
      <c r="P1502" s="4" t="e">
        <f>VLOOKUP(A1502,المعطيات!$A$1:$J$3500,4,0)</f>
        <v>#N/A</v>
      </c>
      <c r="Q1502" s="1" t="s">
        <v>1489</v>
      </c>
      <c r="R1502" s="1" t="s">
        <v>1480</v>
      </c>
      <c r="S1502" s="6" t="e">
        <f t="shared" si="71"/>
        <v>#N/A</v>
      </c>
    </row>
    <row r="1503" spans="2:19" x14ac:dyDescent="0.25">
      <c r="B1503" s="1" t="s">
        <v>1479</v>
      </c>
      <c r="C1503" s="1" t="s">
        <v>1481</v>
      </c>
      <c r="D1503" s="4" t="e">
        <f>VLOOKUP(A1503,المعطيات!$A$1:$J$3500,5,0)</f>
        <v>#N/A</v>
      </c>
      <c r="E1503" s="1" t="s">
        <v>1482</v>
      </c>
      <c r="F1503" s="5">
        <f t="shared" si="69"/>
        <v>0</v>
      </c>
      <c r="G1503" s="5" t="s">
        <v>1483</v>
      </c>
      <c r="H1503" s="4" t="e">
        <f>VLOOKUP(A1503,المعطيات!$A$1:$J$3500,3,0)</f>
        <v>#N/A</v>
      </c>
      <c r="I1503" s="1" t="s">
        <v>1484</v>
      </c>
      <c r="J1503" s="1" t="s">
        <v>1485</v>
      </c>
      <c r="K1503" s="4" t="e">
        <f>VLOOKUP(A1503,المعطيات!$A$1:$J$3500,6,0)</f>
        <v>#N/A</v>
      </c>
      <c r="L1503" s="1" t="s">
        <v>1486</v>
      </c>
      <c r="M1503" s="1" t="s">
        <v>1487</v>
      </c>
      <c r="N1503" s="4" t="e">
        <f t="shared" si="70"/>
        <v>#N/A</v>
      </c>
      <c r="O1503" s="1" t="s">
        <v>1488</v>
      </c>
      <c r="P1503" s="4" t="e">
        <f>VLOOKUP(A1503,المعطيات!$A$1:$J$3500,4,0)</f>
        <v>#N/A</v>
      </c>
      <c r="Q1503" s="1" t="s">
        <v>1489</v>
      </c>
      <c r="R1503" s="1" t="s">
        <v>1480</v>
      </c>
      <c r="S1503" s="6" t="e">
        <f t="shared" si="71"/>
        <v>#N/A</v>
      </c>
    </row>
    <row r="1504" spans="2:19" x14ac:dyDescent="0.25">
      <c r="B1504" s="1" t="s">
        <v>1479</v>
      </c>
      <c r="C1504" s="1" t="s">
        <v>1481</v>
      </c>
      <c r="D1504" s="4" t="e">
        <f>VLOOKUP(A1504,المعطيات!$A$1:$J$3500,5,0)</f>
        <v>#N/A</v>
      </c>
      <c r="E1504" s="1" t="s">
        <v>1482</v>
      </c>
      <c r="F1504" s="5">
        <f t="shared" si="69"/>
        <v>0</v>
      </c>
      <c r="G1504" s="5" t="s">
        <v>1483</v>
      </c>
      <c r="H1504" s="4" t="e">
        <f>VLOOKUP(A1504,المعطيات!$A$1:$J$3500,3,0)</f>
        <v>#N/A</v>
      </c>
      <c r="I1504" s="1" t="s">
        <v>1484</v>
      </c>
      <c r="J1504" s="1" t="s">
        <v>1485</v>
      </c>
      <c r="K1504" s="4" t="e">
        <f>VLOOKUP(A1504,المعطيات!$A$1:$J$3500,6,0)</f>
        <v>#N/A</v>
      </c>
      <c r="L1504" s="1" t="s">
        <v>1486</v>
      </c>
      <c r="M1504" s="1" t="s">
        <v>1487</v>
      </c>
      <c r="N1504" s="4" t="e">
        <f t="shared" si="70"/>
        <v>#N/A</v>
      </c>
      <c r="O1504" s="1" t="s">
        <v>1488</v>
      </c>
      <c r="P1504" s="4" t="e">
        <f>VLOOKUP(A1504,المعطيات!$A$1:$J$3500,4,0)</f>
        <v>#N/A</v>
      </c>
      <c r="Q1504" s="1" t="s">
        <v>1489</v>
      </c>
      <c r="R1504" s="1" t="s">
        <v>1480</v>
      </c>
      <c r="S1504" s="6" t="e">
        <f t="shared" si="71"/>
        <v>#N/A</v>
      </c>
    </row>
    <row r="1505" spans="2:19" x14ac:dyDescent="0.25">
      <c r="B1505" s="1" t="s">
        <v>1479</v>
      </c>
      <c r="C1505" s="1" t="s">
        <v>1481</v>
      </c>
      <c r="D1505" s="4" t="e">
        <f>VLOOKUP(A1505,المعطيات!$A$1:$J$3500,5,0)</f>
        <v>#N/A</v>
      </c>
      <c r="E1505" s="1" t="s">
        <v>1482</v>
      </c>
      <c r="F1505" s="5">
        <f t="shared" si="69"/>
        <v>0</v>
      </c>
      <c r="G1505" s="5" t="s">
        <v>1483</v>
      </c>
      <c r="H1505" s="4" t="e">
        <f>VLOOKUP(A1505,المعطيات!$A$1:$J$3500,3,0)</f>
        <v>#N/A</v>
      </c>
      <c r="I1505" s="1" t="s">
        <v>1484</v>
      </c>
      <c r="J1505" s="1" t="s">
        <v>1485</v>
      </c>
      <c r="K1505" s="4" t="e">
        <f>VLOOKUP(A1505,المعطيات!$A$1:$J$3500,6,0)</f>
        <v>#N/A</v>
      </c>
      <c r="L1505" s="1" t="s">
        <v>1486</v>
      </c>
      <c r="M1505" s="1" t="s">
        <v>1487</v>
      </c>
      <c r="N1505" s="4" t="e">
        <f t="shared" si="70"/>
        <v>#N/A</v>
      </c>
      <c r="O1505" s="1" t="s">
        <v>1488</v>
      </c>
      <c r="P1505" s="4" t="e">
        <f>VLOOKUP(A1505,المعطيات!$A$1:$J$3500,4,0)</f>
        <v>#N/A</v>
      </c>
      <c r="Q1505" s="1" t="s">
        <v>1489</v>
      </c>
      <c r="R1505" s="1" t="s">
        <v>1480</v>
      </c>
      <c r="S1505" s="6" t="e">
        <f t="shared" si="71"/>
        <v>#N/A</v>
      </c>
    </row>
    <row r="1506" spans="2:19" x14ac:dyDescent="0.25">
      <c r="B1506" s="1" t="s">
        <v>1479</v>
      </c>
      <c r="C1506" s="1" t="s">
        <v>1481</v>
      </c>
      <c r="D1506" s="4" t="e">
        <f>VLOOKUP(A1506,المعطيات!$A$1:$J$3500,5,0)</f>
        <v>#N/A</v>
      </c>
      <c r="E1506" s="1" t="s">
        <v>1482</v>
      </c>
      <c r="F1506" s="5">
        <f t="shared" si="69"/>
        <v>0</v>
      </c>
      <c r="G1506" s="5" t="s">
        <v>1483</v>
      </c>
      <c r="H1506" s="4" t="e">
        <f>VLOOKUP(A1506,المعطيات!$A$1:$J$3500,3,0)</f>
        <v>#N/A</v>
      </c>
      <c r="I1506" s="1" t="s">
        <v>1484</v>
      </c>
      <c r="J1506" s="1" t="s">
        <v>1485</v>
      </c>
      <c r="K1506" s="4" t="e">
        <f>VLOOKUP(A1506,المعطيات!$A$1:$J$3500,6,0)</f>
        <v>#N/A</v>
      </c>
      <c r="L1506" s="1" t="s">
        <v>1486</v>
      </c>
      <c r="M1506" s="1" t="s">
        <v>1487</v>
      </c>
      <c r="N1506" s="4" t="e">
        <f t="shared" si="70"/>
        <v>#N/A</v>
      </c>
      <c r="O1506" s="1" t="s">
        <v>1488</v>
      </c>
      <c r="P1506" s="4" t="e">
        <f>VLOOKUP(A1506,المعطيات!$A$1:$J$3500,4,0)</f>
        <v>#N/A</v>
      </c>
      <c r="Q1506" s="1" t="s">
        <v>1489</v>
      </c>
      <c r="R1506" s="1" t="s">
        <v>1480</v>
      </c>
      <c r="S1506" s="6" t="e">
        <f t="shared" si="71"/>
        <v>#N/A</v>
      </c>
    </row>
    <row r="1507" spans="2:19" x14ac:dyDescent="0.25">
      <c r="B1507" s="1" t="s">
        <v>1479</v>
      </c>
      <c r="C1507" s="1" t="s">
        <v>1481</v>
      </c>
      <c r="D1507" s="4" t="e">
        <f>VLOOKUP(A1507,المعطيات!$A$1:$J$3500,5,0)</f>
        <v>#N/A</v>
      </c>
      <c r="E1507" s="1" t="s">
        <v>1482</v>
      </c>
      <c r="F1507" s="5">
        <f t="shared" si="69"/>
        <v>0</v>
      </c>
      <c r="G1507" s="5" t="s">
        <v>1483</v>
      </c>
      <c r="H1507" s="4" t="e">
        <f>VLOOKUP(A1507,المعطيات!$A$1:$J$3500,3,0)</f>
        <v>#N/A</v>
      </c>
      <c r="I1507" s="1" t="s">
        <v>1484</v>
      </c>
      <c r="J1507" s="1" t="s">
        <v>1485</v>
      </c>
      <c r="K1507" s="4" t="e">
        <f>VLOOKUP(A1507,المعطيات!$A$1:$J$3500,6,0)</f>
        <v>#N/A</v>
      </c>
      <c r="L1507" s="1" t="s">
        <v>1486</v>
      </c>
      <c r="M1507" s="1" t="s">
        <v>1487</v>
      </c>
      <c r="N1507" s="4" t="e">
        <f t="shared" si="70"/>
        <v>#N/A</v>
      </c>
      <c r="O1507" s="1" t="s">
        <v>1488</v>
      </c>
      <c r="P1507" s="4" t="e">
        <f>VLOOKUP(A1507,المعطيات!$A$1:$J$3500,4,0)</f>
        <v>#N/A</v>
      </c>
      <c r="Q1507" s="1" t="s">
        <v>1489</v>
      </c>
      <c r="R1507" s="1" t="s">
        <v>1480</v>
      </c>
      <c r="S1507" s="6" t="e">
        <f t="shared" si="71"/>
        <v>#N/A</v>
      </c>
    </row>
    <row r="1508" spans="2:19" x14ac:dyDescent="0.25">
      <c r="B1508" s="1" t="s">
        <v>1479</v>
      </c>
      <c r="C1508" s="1" t="s">
        <v>1481</v>
      </c>
      <c r="D1508" s="4" t="e">
        <f>VLOOKUP(A1508,المعطيات!$A$1:$J$3500,5,0)</f>
        <v>#N/A</v>
      </c>
      <c r="E1508" s="1" t="s">
        <v>1482</v>
      </c>
      <c r="F1508" s="5">
        <f t="shared" si="69"/>
        <v>0</v>
      </c>
      <c r="G1508" s="5" t="s">
        <v>1483</v>
      </c>
      <c r="H1508" s="4" t="e">
        <f>VLOOKUP(A1508,المعطيات!$A$1:$J$3500,3,0)</f>
        <v>#N/A</v>
      </c>
      <c r="I1508" s="1" t="s">
        <v>1484</v>
      </c>
      <c r="J1508" s="1" t="s">
        <v>1485</v>
      </c>
      <c r="K1508" s="4" t="e">
        <f>VLOOKUP(A1508,المعطيات!$A$1:$J$3500,6,0)</f>
        <v>#N/A</v>
      </c>
      <c r="L1508" s="1" t="s">
        <v>1486</v>
      </c>
      <c r="M1508" s="1" t="s">
        <v>1487</v>
      </c>
      <c r="N1508" s="4" t="e">
        <f t="shared" si="70"/>
        <v>#N/A</v>
      </c>
      <c r="O1508" s="1" t="s">
        <v>1488</v>
      </c>
      <c r="P1508" s="4" t="e">
        <f>VLOOKUP(A1508,المعطيات!$A$1:$J$3500,4,0)</f>
        <v>#N/A</v>
      </c>
      <c r="Q1508" s="1" t="s">
        <v>1489</v>
      </c>
      <c r="R1508" s="1" t="s">
        <v>1480</v>
      </c>
      <c r="S1508" s="6" t="e">
        <f t="shared" si="71"/>
        <v>#N/A</v>
      </c>
    </row>
    <row r="1509" spans="2:19" x14ac:dyDescent="0.25">
      <c r="B1509" s="1" t="s">
        <v>1479</v>
      </c>
      <c r="C1509" s="1" t="s">
        <v>1481</v>
      </c>
      <c r="D1509" s="4" t="e">
        <f>VLOOKUP(A1509,المعطيات!$A$1:$J$3500,5,0)</f>
        <v>#N/A</v>
      </c>
      <c r="E1509" s="1" t="s">
        <v>1482</v>
      </c>
      <c r="F1509" s="5">
        <f t="shared" si="69"/>
        <v>0</v>
      </c>
      <c r="G1509" s="5" t="s">
        <v>1483</v>
      </c>
      <c r="H1509" s="4" t="e">
        <f>VLOOKUP(A1509,المعطيات!$A$1:$J$3500,3,0)</f>
        <v>#N/A</v>
      </c>
      <c r="I1509" s="1" t="s">
        <v>1484</v>
      </c>
      <c r="J1509" s="1" t="s">
        <v>1485</v>
      </c>
      <c r="K1509" s="4" t="e">
        <f>VLOOKUP(A1509,المعطيات!$A$1:$J$3500,6,0)</f>
        <v>#N/A</v>
      </c>
      <c r="L1509" s="1" t="s">
        <v>1486</v>
      </c>
      <c r="M1509" s="1" t="s">
        <v>1487</v>
      </c>
      <c r="N1509" s="4" t="e">
        <f t="shared" si="70"/>
        <v>#N/A</v>
      </c>
      <c r="O1509" s="1" t="s">
        <v>1488</v>
      </c>
      <c r="P1509" s="4" t="e">
        <f>VLOOKUP(A1509,المعطيات!$A$1:$J$3500,4,0)</f>
        <v>#N/A</v>
      </c>
      <c r="Q1509" s="1" t="s">
        <v>1489</v>
      </c>
      <c r="R1509" s="1" t="s">
        <v>1480</v>
      </c>
      <c r="S1509" s="6" t="e">
        <f t="shared" si="71"/>
        <v>#N/A</v>
      </c>
    </row>
    <row r="1510" spans="2:19" x14ac:dyDescent="0.25">
      <c r="B1510" s="1" t="s">
        <v>1479</v>
      </c>
      <c r="C1510" s="1" t="s">
        <v>1481</v>
      </c>
      <c r="D1510" s="4" t="e">
        <f>VLOOKUP(A1510,المعطيات!$A$1:$J$3500,5,0)</f>
        <v>#N/A</v>
      </c>
      <c r="E1510" s="1" t="s">
        <v>1482</v>
      </c>
      <c r="F1510" s="5">
        <f t="shared" si="69"/>
        <v>0</v>
      </c>
      <c r="G1510" s="5" t="s">
        <v>1483</v>
      </c>
      <c r="H1510" s="4" t="e">
        <f>VLOOKUP(A1510,المعطيات!$A$1:$J$3500,3,0)</f>
        <v>#N/A</v>
      </c>
      <c r="I1510" s="1" t="s">
        <v>1484</v>
      </c>
      <c r="J1510" s="1" t="s">
        <v>1485</v>
      </c>
      <c r="K1510" s="4" t="e">
        <f>VLOOKUP(A1510,المعطيات!$A$1:$J$3500,6,0)</f>
        <v>#N/A</v>
      </c>
      <c r="L1510" s="1" t="s">
        <v>1486</v>
      </c>
      <c r="M1510" s="1" t="s">
        <v>1487</v>
      </c>
      <c r="N1510" s="4" t="e">
        <f t="shared" si="70"/>
        <v>#N/A</v>
      </c>
      <c r="O1510" s="1" t="s">
        <v>1488</v>
      </c>
      <c r="P1510" s="4" t="e">
        <f>VLOOKUP(A1510,المعطيات!$A$1:$J$3500,4,0)</f>
        <v>#N/A</v>
      </c>
      <c r="Q1510" s="1" t="s">
        <v>1489</v>
      </c>
      <c r="R1510" s="1" t="s">
        <v>1480</v>
      </c>
      <c r="S1510" s="6" t="e">
        <f t="shared" si="71"/>
        <v>#N/A</v>
      </c>
    </row>
    <row r="1511" spans="2:19" x14ac:dyDescent="0.25">
      <c r="B1511" s="1" t="s">
        <v>1479</v>
      </c>
      <c r="C1511" s="1" t="s">
        <v>1481</v>
      </c>
      <c r="D1511" s="4" t="e">
        <f>VLOOKUP(A1511,المعطيات!$A$1:$J$3500,5,0)</f>
        <v>#N/A</v>
      </c>
      <c r="E1511" s="1" t="s">
        <v>1482</v>
      </c>
      <c r="F1511" s="5">
        <f t="shared" si="69"/>
        <v>0</v>
      </c>
      <c r="G1511" s="5" t="s">
        <v>1483</v>
      </c>
      <c r="H1511" s="4" t="e">
        <f>VLOOKUP(A1511,المعطيات!$A$1:$J$3500,3,0)</f>
        <v>#N/A</v>
      </c>
      <c r="I1511" s="1" t="s">
        <v>1484</v>
      </c>
      <c r="J1511" s="1" t="s">
        <v>1485</v>
      </c>
      <c r="K1511" s="4" t="e">
        <f>VLOOKUP(A1511,المعطيات!$A$1:$J$3500,6,0)</f>
        <v>#N/A</v>
      </c>
      <c r="L1511" s="1" t="s">
        <v>1486</v>
      </c>
      <c r="M1511" s="1" t="s">
        <v>1487</v>
      </c>
      <c r="N1511" s="4" t="e">
        <f t="shared" si="70"/>
        <v>#N/A</v>
      </c>
      <c r="O1511" s="1" t="s">
        <v>1488</v>
      </c>
      <c r="P1511" s="4" t="e">
        <f>VLOOKUP(A1511,المعطيات!$A$1:$J$3500,4,0)</f>
        <v>#N/A</v>
      </c>
      <c r="Q1511" s="1" t="s">
        <v>1489</v>
      </c>
      <c r="R1511" s="1" t="s">
        <v>1480</v>
      </c>
      <c r="S1511" s="6" t="e">
        <f t="shared" si="71"/>
        <v>#N/A</v>
      </c>
    </row>
    <row r="1512" spans="2:19" x14ac:dyDescent="0.25">
      <c r="B1512" s="1" t="s">
        <v>1479</v>
      </c>
      <c r="C1512" s="1" t="s">
        <v>1481</v>
      </c>
      <c r="D1512" s="4" t="e">
        <f>VLOOKUP(A1512,المعطيات!$A$1:$J$3500,5,0)</f>
        <v>#N/A</v>
      </c>
      <c r="E1512" s="1" t="s">
        <v>1482</v>
      </c>
      <c r="F1512" s="5">
        <f t="shared" si="69"/>
        <v>0</v>
      </c>
      <c r="G1512" s="5" t="s">
        <v>1483</v>
      </c>
      <c r="H1512" s="4" t="e">
        <f>VLOOKUP(A1512,المعطيات!$A$1:$J$3500,3,0)</f>
        <v>#N/A</v>
      </c>
      <c r="I1512" s="1" t="s">
        <v>1484</v>
      </c>
      <c r="J1512" s="1" t="s">
        <v>1485</v>
      </c>
      <c r="K1512" s="4" t="e">
        <f>VLOOKUP(A1512,المعطيات!$A$1:$J$3500,6,0)</f>
        <v>#N/A</v>
      </c>
      <c r="L1512" s="1" t="s">
        <v>1486</v>
      </c>
      <c r="M1512" s="1" t="s">
        <v>1487</v>
      </c>
      <c r="N1512" s="4" t="e">
        <f t="shared" si="70"/>
        <v>#N/A</v>
      </c>
      <c r="O1512" s="1" t="s">
        <v>1488</v>
      </c>
      <c r="P1512" s="4" t="e">
        <f>VLOOKUP(A1512,المعطيات!$A$1:$J$3500,4,0)</f>
        <v>#N/A</v>
      </c>
      <c r="Q1512" s="1" t="s">
        <v>1489</v>
      </c>
      <c r="R1512" s="1" t="s">
        <v>1480</v>
      </c>
      <c r="S1512" s="6" t="e">
        <f t="shared" si="71"/>
        <v>#N/A</v>
      </c>
    </row>
    <row r="1513" spans="2:19" x14ac:dyDescent="0.25">
      <c r="B1513" s="1" t="s">
        <v>1479</v>
      </c>
      <c r="C1513" s="1" t="s">
        <v>1481</v>
      </c>
      <c r="D1513" s="4" t="e">
        <f>VLOOKUP(A1513,المعطيات!$A$1:$J$3500,5,0)</f>
        <v>#N/A</v>
      </c>
      <c r="E1513" s="1" t="s">
        <v>1482</v>
      </c>
      <c r="F1513" s="5">
        <f t="shared" si="69"/>
        <v>0</v>
      </c>
      <c r="G1513" s="5" t="s">
        <v>1483</v>
      </c>
      <c r="H1513" s="4" t="e">
        <f>VLOOKUP(A1513,المعطيات!$A$1:$J$3500,3,0)</f>
        <v>#N/A</v>
      </c>
      <c r="I1513" s="1" t="s">
        <v>1484</v>
      </c>
      <c r="J1513" s="1" t="s">
        <v>1485</v>
      </c>
      <c r="K1513" s="4" t="e">
        <f>VLOOKUP(A1513,المعطيات!$A$1:$J$3500,6,0)</f>
        <v>#N/A</v>
      </c>
      <c r="L1513" s="1" t="s">
        <v>1486</v>
      </c>
      <c r="M1513" s="1" t="s">
        <v>1487</v>
      </c>
      <c r="N1513" s="4" t="e">
        <f t="shared" si="70"/>
        <v>#N/A</v>
      </c>
      <c r="O1513" s="1" t="s">
        <v>1488</v>
      </c>
      <c r="P1513" s="4" t="e">
        <f>VLOOKUP(A1513,المعطيات!$A$1:$J$3500,4,0)</f>
        <v>#N/A</v>
      </c>
      <c r="Q1513" s="1" t="s">
        <v>1489</v>
      </c>
      <c r="R1513" s="1" t="s">
        <v>1480</v>
      </c>
      <c r="S1513" s="6" t="e">
        <f t="shared" si="71"/>
        <v>#N/A</v>
      </c>
    </row>
    <row r="1514" spans="2:19" x14ac:dyDescent="0.25">
      <c r="B1514" s="1" t="s">
        <v>1479</v>
      </c>
      <c r="C1514" s="1" t="s">
        <v>1481</v>
      </c>
      <c r="D1514" s="4" t="e">
        <f>VLOOKUP(A1514,المعطيات!$A$1:$J$3500,5,0)</f>
        <v>#N/A</v>
      </c>
      <c r="E1514" s="1" t="s">
        <v>1482</v>
      </c>
      <c r="F1514" s="5">
        <f t="shared" si="69"/>
        <v>0</v>
      </c>
      <c r="G1514" s="5" t="s">
        <v>1483</v>
      </c>
      <c r="H1514" s="4" t="e">
        <f>VLOOKUP(A1514,المعطيات!$A$1:$J$3500,3,0)</f>
        <v>#N/A</v>
      </c>
      <c r="I1514" s="1" t="s">
        <v>1484</v>
      </c>
      <c r="J1514" s="1" t="s">
        <v>1485</v>
      </c>
      <c r="K1514" s="4" t="e">
        <f>VLOOKUP(A1514,المعطيات!$A$1:$J$3500,6,0)</f>
        <v>#N/A</v>
      </c>
      <c r="L1514" s="1" t="s">
        <v>1486</v>
      </c>
      <c r="M1514" s="1" t="s">
        <v>1487</v>
      </c>
      <c r="N1514" s="4" t="e">
        <f t="shared" si="70"/>
        <v>#N/A</v>
      </c>
      <c r="O1514" s="1" t="s">
        <v>1488</v>
      </c>
      <c r="P1514" s="4" t="e">
        <f>VLOOKUP(A1514,المعطيات!$A$1:$J$3500,4,0)</f>
        <v>#N/A</v>
      </c>
      <c r="Q1514" s="1" t="s">
        <v>1489</v>
      </c>
      <c r="R1514" s="1" t="s">
        <v>1480</v>
      </c>
      <c r="S1514" s="6" t="e">
        <f t="shared" si="71"/>
        <v>#N/A</v>
      </c>
    </row>
    <row r="1515" spans="2:19" x14ac:dyDescent="0.25">
      <c r="B1515" s="1" t="s">
        <v>1479</v>
      </c>
      <c r="C1515" s="1" t="s">
        <v>1481</v>
      </c>
      <c r="D1515" s="4" t="e">
        <f>VLOOKUP(A1515,المعطيات!$A$1:$J$3500,5,0)</f>
        <v>#N/A</v>
      </c>
      <c r="E1515" s="1" t="s">
        <v>1482</v>
      </c>
      <c r="F1515" s="5">
        <f t="shared" si="69"/>
        <v>0</v>
      </c>
      <c r="G1515" s="5" t="s">
        <v>1483</v>
      </c>
      <c r="H1515" s="4" t="e">
        <f>VLOOKUP(A1515,المعطيات!$A$1:$J$3500,3,0)</f>
        <v>#N/A</v>
      </c>
      <c r="I1515" s="1" t="s">
        <v>1484</v>
      </c>
      <c r="J1515" s="1" t="s">
        <v>1485</v>
      </c>
      <c r="K1515" s="4" t="e">
        <f>VLOOKUP(A1515,المعطيات!$A$1:$J$3500,6,0)</f>
        <v>#N/A</v>
      </c>
      <c r="L1515" s="1" t="s">
        <v>1486</v>
      </c>
      <c r="M1515" s="1" t="s">
        <v>1487</v>
      </c>
      <c r="N1515" s="4" t="e">
        <f t="shared" si="70"/>
        <v>#N/A</v>
      </c>
      <c r="O1515" s="1" t="s">
        <v>1488</v>
      </c>
      <c r="P1515" s="4" t="e">
        <f>VLOOKUP(A1515,المعطيات!$A$1:$J$3500,4,0)</f>
        <v>#N/A</v>
      </c>
      <c r="Q1515" s="1" t="s">
        <v>1489</v>
      </c>
      <c r="R1515" s="1" t="s">
        <v>1480</v>
      </c>
      <c r="S1515" s="6" t="e">
        <f t="shared" si="71"/>
        <v>#N/A</v>
      </c>
    </row>
    <row r="1516" spans="2:19" x14ac:dyDescent="0.25">
      <c r="B1516" s="1" t="s">
        <v>1479</v>
      </c>
      <c r="C1516" s="1" t="s">
        <v>1481</v>
      </c>
      <c r="D1516" s="4" t="e">
        <f>VLOOKUP(A1516,المعطيات!$A$1:$J$3500,5,0)</f>
        <v>#N/A</v>
      </c>
      <c r="E1516" s="1" t="s">
        <v>1482</v>
      </c>
      <c r="F1516" s="5">
        <f t="shared" si="69"/>
        <v>0</v>
      </c>
      <c r="G1516" s="5" t="s">
        <v>1483</v>
      </c>
      <c r="H1516" s="4" t="e">
        <f>VLOOKUP(A1516,المعطيات!$A$1:$J$3500,3,0)</f>
        <v>#N/A</v>
      </c>
      <c r="I1516" s="1" t="s">
        <v>1484</v>
      </c>
      <c r="J1516" s="1" t="s">
        <v>1485</v>
      </c>
      <c r="K1516" s="4" t="e">
        <f>VLOOKUP(A1516,المعطيات!$A$1:$J$3500,6,0)</f>
        <v>#N/A</v>
      </c>
      <c r="L1516" s="1" t="s">
        <v>1486</v>
      </c>
      <c r="M1516" s="1" t="s">
        <v>1487</v>
      </c>
      <c r="N1516" s="4" t="e">
        <f t="shared" si="70"/>
        <v>#N/A</v>
      </c>
      <c r="O1516" s="1" t="s">
        <v>1488</v>
      </c>
      <c r="P1516" s="4" t="e">
        <f>VLOOKUP(A1516,المعطيات!$A$1:$J$3500,4,0)</f>
        <v>#N/A</v>
      </c>
      <c r="Q1516" s="1" t="s">
        <v>1489</v>
      </c>
      <c r="R1516" s="1" t="s">
        <v>1480</v>
      </c>
      <c r="S1516" s="6" t="e">
        <f t="shared" si="71"/>
        <v>#N/A</v>
      </c>
    </row>
    <row r="1517" spans="2:19" x14ac:dyDescent="0.25">
      <c r="B1517" s="1" t="s">
        <v>1479</v>
      </c>
      <c r="C1517" s="1" t="s">
        <v>1481</v>
      </c>
      <c r="D1517" s="4" t="e">
        <f>VLOOKUP(A1517,المعطيات!$A$1:$J$3500,5,0)</f>
        <v>#N/A</v>
      </c>
      <c r="E1517" s="1" t="s">
        <v>1482</v>
      </c>
      <c r="F1517" s="5">
        <f t="shared" si="69"/>
        <v>0</v>
      </c>
      <c r="G1517" s="5" t="s">
        <v>1483</v>
      </c>
      <c r="H1517" s="4" t="e">
        <f>VLOOKUP(A1517,المعطيات!$A$1:$J$3500,3,0)</f>
        <v>#N/A</v>
      </c>
      <c r="I1517" s="1" t="s">
        <v>1484</v>
      </c>
      <c r="J1517" s="1" t="s">
        <v>1485</v>
      </c>
      <c r="K1517" s="4" t="e">
        <f>VLOOKUP(A1517,المعطيات!$A$1:$J$3500,6,0)</f>
        <v>#N/A</v>
      </c>
      <c r="L1517" s="1" t="s">
        <v>1486</v>
      </c>
      <c r="M1517" s="1" t="s">
        <v>1487</v>
      </c>
      <c r="N1517" s="4" t="e">
        <f t="shared" si="70"/>
        <v>#N/A</v>
      </c>
      <c r="O1517" s="1" t="s">
        <v>1488</v>
      </c>
      <c r="P1517" s="4" t="e">
        <f>VLOOKUP(A1517,المعطيات!$A$1:$J$3500,4,0)</f>
        <v>#N/A</v>
      </c>
      <c r="Q1517" s="1" t="s">
        <v>1489</v>
      </c>
      <c r="R1517" s="1" t="s">
        <v>1480</v>
      </c>
      <c r="S1517" s="6" t="e">
        <f t="shared" si="71"/>
        <v>#N/A</v>
      </c>
    </row>
    <row r="1518" spans="2:19" x14ac:dyDescent="0.25">
      <c r="B1518" s="1" t="s">
        <v>1479</v>
      </c>
      <c r="C1518" s="1" t="s">
        <v>1481</v>
      </c>
      <c r="D1518" s="4" t="e">
        <f>VLOOKUP(A1518,المعطيات!$A$1:$J$3500,5,0)</f>
        <v>#N/A</v>
      </c>
      <c r="E1518" s="1" t="s">
        <v>1482</v>
      </c>
      <c r="F1518" s="5">
        <f t="shared" si="69"/>
        <v>0</v>
      </c>
      <c r="G1518" s="5" t="s">
        <v>1483</v>
      </c>
      <c r="H1518" s="4" t="e">
        <f>VLOOKUP(A1518,المعطيات!$A$1:$J$3500,3,0)</f>
        <v>#N/A</v>
      </c>
      <c r="I1518" s="1" t="s">
        <v>1484</v>
      </c>
      <c r="J1518" s="1" t="s">
        <v>1485</v>
      </c>
      <c r="K1518" s="4" t="e">
        <f>VLOOKUP(A1518,المعطيات!$A$1:$J$3500,6,0)</f>
        <v>#N/A</v>
      </c>
      <c r="L1518" s="1" t="s">
        <v>1486</v>
      </c>
      <c r="M1518" s="1" t="s">
        <v>1487</v>
      </c>
      <c r="N1518" s="4" t="e">
        <f t="shared" si="70"/>
        <v>#N/A</v>
      </c>
      <c r="O1518" s="1" t="s">
        <v>1488</v>
      </c>
      <c r="P1518" s="4" t="e">
        <f>VLOOKUP(A1518,المعطيات!$A$1:$J$3500,4,0)</f>
        <v>#N/A</v>
      </c>
      <c r="Q1518" s="1" t="s">
        <v>1489</v>
      </c>
      <c r="R1518" s="1" t="s">
        <v>1480</v>
      </c>
      <c r="S1518" s="6" t="e">
        <f t="shared" si="71"/>
        <v>#N/A</v>
      </c>
    </row>
    <row r="1519" spans="2:19" x14ac:dyDescent="0.25">
      <c r="B1519" s="1" t="s">
        <v>1479</v>
      </c>
      <c r="C1519" s="1" t="s">
        <v>1481</v>
      </c>
      <c r="D1519" s="4" t="e">
        <f>VLOOKUP(A1519,المعطيات!$A$1:$J$3500,5,0)</f>
        <v>#N/A</v>
      </c>
      <c r="E1519" s="1" t="s">
        <v>1482</v>
      </c>
      <c r="F1519" s="5">
        <f t="shared" si="69"/>
        <v>0</v>
      </c>
      <c r="G1519" s="5" t="s">
        <v>1483</v>
      </c>
      <c r="H1519" s="4" t="e">
        <f>VLOOKUP(A1519,المعطيات!$A$1:$J$3500,3,0)</f>
        <v>#N/A</v>
      </c>
      <c r="I1519" s="1" t="s">
        <v>1484</v>
      </c>
      <c r="J1519" s="1" t="s">
        <v>1485</v>
      </c>
      <c r="K1519" s="4" t="e">
        <f>VLOOKUP(A1519,المعطيات!$A$1:$J$3500,6,0)</f>
        <v>#N/A</v>
      </c>
      <c r="L1519" s="1" t="s">
        <v>1486</v>
      </c>
      <c r="M1519" s="1" t="s">
        <v>1487</v>
      </c>
      <c r="N1519" s="4" t="e">
        <f t="shared" si="70"/>
        <v>#N/A</v>
      </c>
      <c r="O1519" s="1" t="s">
        <v>1488</v>
      </c>
      <c r="P1519" s="4" t="e">
        <f>VLOOKUP(A1519,المعطيات!$A$1:$J$3500,4,0)</f>
        <v>#N/A</v>
      </c>
      <c r="Q1519" s="1" t="s">
        <v>1489</v>
      </c>
      <c r="R1519" s="1" t="s">
        <v>1480</v>
      </c>
      <c r="S1519" s="6" t="e">
        <f t="shared" si="71"/>
        <v>#N/A</v>
      </c>
    </row>
    <row r="1520" spans="2:19" x14ac:dyDescent="0.25">
      <c r="B1520" s="1" t="s">
        <v>1479</v>
      </c>
      <c r="C1520" s="1" t="s">
        <v>1481</v>
      </c>
      <c r="D1520" s="4" t="e">
        <f>VLOOKUP(A1520,المعطيات!$A$1:$J$3500,5,0)</f>
        <v>#N/A</v>
      </c>
      <c r="E1520" s="1" t="s">
        <v>1482</v>
      </c>
      <c r="F1520" s="5">
        <f t="shared" si="69"/>
        <v>0</v>
      </c>
      <c r="G1520" s="5" t="s">
        <v>1483</v>
      </c>
      <c r="H1520" s="4" t="e">
        <f>VLOOKUP(A1520,المعطيات!$A$1:$J$3500,3,0)</f>
        <v>#N/A</v>
      </c>
      <c r="I1520" s="1" t="s">
        <v>1484</v>
      </c>
      <c r="J1520" s="1" t="s">
        <v>1485</v>
      </c>
      <c r="K1520" s="4" t="e">
        <f>VLOOKUP(A1520,المعطيات!$A$1:$J$3500,6,0)</f>
        <v>#N/A</v>
      </c>
      <c r="L1520" s="1" t="s">
        <v>1486</v>
      </c>
      <c r="M1520" s="1" t="s">
        <v>1487</v>
      </c>
      <c r="N1520" s="4" t="e">
        <f t="shared" si="70"/>
        <v>#N/A</v>
      </c>
      <c r="O1520" s="1" t="s">
        <v>1488</v>
      </c>
      <c r="P1520" s="4" t="e">
        <f>VLOOKUP(A1520,المعطيات!$A$1:$J$3500,4,0)</f>
        <v>#N/A</v>
      </c>
      <c r="Q1520" s="1" t="s">
        <v>1489</v>
      </c>
      <c r="R1520" s="1" t="s">
        <v>1480</v>
      </c>
      <c r="S1520" s="6" t="e">
        <f t="shared" si="71"/>
        <v>#N/A</v>
      </c>
    </row>
    <row r="1521" spans="2:19" x14ac:dyDescent="0.25">
      <c r="B1521" s="1" t="s">
        <v>1479</v>
      </c>
      <c r="C1521" s="1" t="s">
        <v>1481</v>
      </c>
      <c r="D1521" s="4" t="e">
        <f>VLOOKUP(A1521,المعطيات!$A$1:$J$3500,5,0)</f>
        <v>#N/A</v>
      </c>
      <c r="E1521" s="1" t="s">
        <v>1482</v>
      </c>
      <c r="F1521" s="5">
        <f t="shared" si="69"/>
        <v>0</v>
      </c>
      <c r="G1521" s="5" t="s">
        <v>1483</v>
      </c>
      <c r="H1521" s="4" t="e">
        <f>VLOOKUP(A1521,المعطيات!$A$1:$J$3500,3,0)</f>
        <v>#N/A</v>
      </c>
      <c r="I1521" s="1" t="s">
        <v>1484</v>
      </c>
      <c r="J1521" s="1" t="s">
        <v>1485</v>
      </c>
      <c r="K1521" s="4" t="e">
        <f>VLOOKUP(A1521,المعطيات!$A$1:$J$3500,6,0)</f>
        <v>#N/A</v>
      </c>
      <c r="L1521" s="1" t="s">
        <v>1486</v>
      </c>
      <c r="M1521" s="1" t="s">
        <v>1487</v>
      </c>
      <c r="N1521" s="4" t="e">
        <f t="shared" si="70"/>
        <v>#N/A</v>
      </c>
      <c r="O1521" s="1" t="s">
        <v>1488</v>
      </c>
      <c r="P1521" s="4" t="e">
        <f>VLOOKUP(A1521,المعطيات!$A$1:$J$3500,4,0)</f>
        <v>#N/A</v>
      </c>
      <c r="Q1521" s="1" t="s">
        <v>1489</v>
      </c>
      <c r="R1521" s="1" t="s">
        <v>1480</v>
      </c>
      <c r="S1521" s="6" t="e">
        <f t="shared" si="71"/>
        <v>#N/A</v>
      </c>
    </row>
    <row r="1522" spans="2:19" x14ac:dyDescent="0.25">
      <c r="B1522" s="1" t="s">
        <v>1479</v>
      </c>
      <c r="C1522" s="1" t="s">
        <v>1481</v>
      </c>
      <c r="D1522" s="4" t="e">
        <f>VLOOKUP(A1522,المعطيات!$A$1:$J$3500,5,0)</f>
        <v>#N/A</v>
      </c>
      <c r="E1522" s="1" t="s">
        <v>1482</v>
      </c>
      <c r="F1522" s="5">
        <f t="shared" si="69"/>
        <v>0</v>
      </c>
      <c r="G1522" s="5" t="s">
        <v>1483</v>
      </c>
      <c r="H1522" s="4" t="e">
        <f>VLOOKUP(A1522,المعطيات!$A$1:$J$3500,3,0)</f>
        <v>#N/A</v>
      </c>
      <c r="I1522" s="1" t="s">
        <v>1484</v>
      </c>
      <c r="J1522" s="1" t="s">
        <v>1485</v>
      </c>
      <c r="K1522" s="4" t="e">
        <f>VLOOKUP(A1522,المعطيات!$A$1:$J$3500,6,0)</f>
        <v>#N/A</v>
      </c>
      <c r="L1522" s="1" t="s">
        <v>1486</v>
      </c>
      <c r="M1522" s="1" t="s">
        <v>1487</v>
      </c>
      <c r="N1522" s="4" t="e">
        <f t="shared" si="70"/>
        <v>#N/A</v>
      </c>
      <c r="O1522" s="1" t="s">
        <v>1488</v>
      </c>
      <c r="P1522" s="4" t="e">
        <f>VLOOKUP(A1522,المعطيات!$A$1:$J$3500,4,0)</f>
        <v>#N/A</v>
      </c>
      <c r="Q1522" s="1" t="s">
        <v>1489</v>
      </c>
      <c r="R1522" s="1" t="s">
        <v>1480</v>
      </c>
      <c r="S1522" s="6" t="e">
        <f t="shared" si="71"/>
        <v>#N/A</v>
      </c>
    </row>
    <row r="1523" spans="2:19" x14ac:dyDescent="0.25">
      <c r="B1523" s="1" t="s">
        <v>1479</v>
      </c>
      <c r="C1523" s="1" t="s">
        <v>1481</v>
      </c>
      <c r="D1523" s="4" t="e">
        <f>VLOOKUP(A1523,المعطيات!$A$1:$J$3500,5,0)</f>
        <v>#N/A</v>
      </c>
      <c r="E1523" s="1" t="s">
        <v>1482</v>
      </c>
      <c r="F1523" s="5">
        <f t="shared" si="69"/>
        <v>0</v>
      </c>
      <c r="G1523" s="5" t="s">
        <v>1483</v>
      </c>
      <c r="H1523" s="4" t="e">
        <f>VLOOKUP(A1523,المعطيات!$A$1:$J$3500,3,0)</f>
        <v>#N/A</v>
      </c>
      <c r="I1523" s="1" t="s">
        <v>1484</v>
      </c>
      <c r="J1523" s="1" t="s">
        <v>1485</v>
      </c>
      <c r="K1523" s="4" t="e">
        <f>VLOOKUP(A1523,المعطيات!$A$1:$J$3500,6,0)</f>
        <v>#N/A</v>
      </c>
      <c r="L1523" s="1" t="s">
        <v>1486</v>
      </c>
      <c r="M1523" s="1" t="s">
        <v>1487</v>
      </c>
      <c r="N1523" s="4" t="e">
        <f t="shared" si="70"/>
        <v>#N/A</v>
      </c>
      <c r="O1523" s="1" t="s">
        <v>1488</v>
      </c>
      <c r="P1523" s="4" t="e">
        <f>VLOOKUP(A1523,المعطيات!$A$1:$J$3500,4,0)</f>
        <v>#N/A</v>
      </c>
      <c r="Q1523" s="1" t="s">
        <v>1489</v>
      </c>
      <c r="R1523" s="1" t="s">
        <v>1480</v>
      </c>
      <c r="S1523" s="6" t="e">
        <f t="shared" si="71"/>
        <v>#N/A</v>
      </c>
    </row>
    <row r="1524" spans="2:19" x14ac:dyDescent="0.25">
      <c r="B1524" s="1" t="s">
        <v>1479</v>
      </c>
      <c r="C1524" s="1" t="s">
        <v>1481</v>
      </c>
      <c r="D1524" s="4" t="e">
        <f>VLOOKUP(A1524,المعطيات!$A$1:$J$3500,5,0)</f>
        <v>#N/A</v>
      </c>
      <c r="E1524" s="1" t="s">
        <v>1482</v>
      </c>
      <c r="F1524" s="5">
        <f t="shared" si="69"/>
        <v>0</v>
      </c>
      <c r="G1524" s="5" t="s">
        <v>1483</v>
      </c>
      <c r="H1524" s="4" t="e">
        <f>VLOOKUP(A1524,المعطيات!$A$1:$J$3500,3,0)</f>
        <v>#N/A</v>
      </c>
      <c r="I1524" s="1" t="s">
        <v>1484</v>
      </c>
      <c r="J1524" s="1" t="s">
        <v>1485</v>
      </c>
      <c r="K1524" s="4" t="e">
        <f>VLOOKUP(A1524,المعطيات!$A$1:$J$3500,6,0)</f>
        <v>#N/A</v>
      </c>
      <c r="L1524" s="1" t="s">
        <v>1486</v>
      </c>
      <c r="M1524" s="1" t="s">
        <v>1487</v>
      </c>
      <c r="N1524" s="4" t="e">
        <f t="shared" si="70"/>
        <v>#N/A</v>
      </c>
      <c r="O1524" s="1" t="s">
        <v>1488</v>
      </c>
      <c r="P1524" s="4" t="e">
        <f>VLOOKUP(A1524,المعطيات!$A$1:$J$3500,4,0)</f>
        <v>#N/A</v>
      </c>
      <c r="Q1524" s="1" t="s">
        <v>1489</v>
      </c>
      <c r="R1524" s="1" t="s">
        <v>1480</v>
      </c>
      <c r="S1524" s="6" t="e">
        <f t="shared" si="71"/>
        <v>#N/A</v>
      </c>
    </row>
    <row r="1525" spans="2:19" x14ac:dyDescent="0.25">
      <c r="B1525" s="1" t="s">
        <v>1479</v>
      </c>
      <c r="C1525" s="1" t="s">
        <v>1481</v>
      </c>
      <c r="D1525" s="4" t="e">
        <f>VLOOKUP(A1525,المعطيات!$A$1:$J$3500,5,0)</f>
        <v>#N/A</v>
      </c>
      <c r="E1525" s="1" t="s">
        <v>1482</v>
      </c>
      <c r="F1525" s="5">
        <f t="shared" si="69"/>
        <v>0</v>
      </c>
      <c r="G1525" s="5" t="s">
        <v>1483</v>
      </c>
      <c r="H1525" s="4" t="e">
        <f>VLOOKUP(A1525,المعطيات!$A$1:$J$3500,3,0)</f>
        <v>#N/A</v>
      </c>
      <c r="I1525" s="1" t="s">
        <v>1484</v>
      </c>
      <c r="J1525" s="1" t="s">
        <v>1485</v>
      </c>
      <c r="K1525" s="4" t="e">
        <f>VLOOKUP(A1525,المعطيات!$A$1:$J$3500,6,0)</f>
        <v>#N/A</v>
      </c>
      <c r="L1525" s="1" t="s">
        <v>1486</v>
      </c>
      <c r="M1525" s="1" t="s">
        <v>1487</v>
      </c>
      <c r="N1525" s="4" t="e">
        <f t="shared" si="70"/>
        <v>#N/A</v>
      </c>
      <c r="O1525" s="1" t="s">
        <v>1488</v>
      </c>
      <c r="P1525" s="4" t="e">
        <f>VLOOKUP(A1525,المعطيات!$A$1:$J$3500,4,0)</f>
        <v>#N/A</v>
      </c>
      <c r="Q1525" s="1" t="s">
        <v>1489</v>
      </c>
      <c r="R1525" s="1" t="s">
        <v>1480</v>
      </c>
      <c r="S1525" s="6" t="e">
        <f t="shared" si="71"/>
        <v>#N/A</v>
      </c>
    </row>
    <row r="1526" spans="2:19" x14ac:dyDescent="0.25">
      <c r="B1526" s="1" t="s">
        <v>1479</v>
      </c>
      <c r="C1526" s="1" t="s">
        <v>1481</v>
      </c>
      <c r="D1526" s="4" t="e">
        <f>VLOOKUP(A1526,المعطيات!$A$1:$J$3500,5,0)</f>
        <v>#N/A</v>
      </c>
      <c r="E1526" s="1" t="s">
        <v>1482</v>
      </c>
      <c r="F1526" s="5">
        <f t="shared" si="69"/>
        <v>0</v>
      </c>
      <c r="G1526" s="5" t="s">
        <v>1483</v>
      </c>
      <c r="H1526" s="4" t="e">
        <f>VLOOKUP(A1526,المعطيات!$A$1:$J$3500,3,0)</f>
        <v>#N/A</v>
      </c>
      <c r="I1526" s="1" t="s">
        <v>1484</v>
      </c>
      <c r="J1526" s="1" t="s">
        <v>1485</v>
      </c>
      <c r="K1526" s="4" t="e">
        <f>VLOOKUP(A1526,المعطيات!$A$1:$J$3500,6,0)</f>
        <v>#N/A</v>
      </c>
      <c r="L1526" s="1" t="s">
        <v>1486</v>
      </c>
      <c r="M1526" s="1" t="s">
        <v>1487</v>
      </c>
      <c r="N1526" s="4" t="e">
        <f t="shared" si="70"/>
        <v>#N/A</v>
      </c>
      <c r="O1526" s="1" t="s">
        <v>1488</v>
      </c>
      <c r="P1526" s="4" t="e">
        <f>VLOOKUP(A1526,المعطيات!$A$1:$J$3500,4,0)</f>
        <v>#N/A</v>
      </c>
      <c r="Q1526" s="1" t="s">
        <v>1489</v>
      </c>
      <c r="R1526" s="1" t="s">
        <v>1480</v>
      </c>
      <c r="S1526" s="6" t="e">
        <f t="shared" si="71"/>
        <v>#N/A</v>
      </c>
    </row>
    <row r="1527" spans="2:19" x14ac:dyDescent="0.25">
      <c r="B1527" s="1" t="s">
        <v>1479</v>
      </c>
      <c r="C1527" s="1" t="s">
        <v>1481</v>
      </c>
      <c r="D1527" s="4" t="e">
        <f>VLOOKUP(A1527,المعطيات!$A$1:$J$3500,5,0)</f>
        <v>#N/A</v>
      </c>
      <c r="E1527" s="1" t="s">
        <v>1482</v>
      </c>
      <c r="F1527" s="5">
        <f t="shared" si="69"/>
        <v>0</v>
      </c>
      <c r="G1527" s="5" t="s">
        <v>1483</v>
      </c>
      <c r="H1527" s="4" t="e">
        <f>VLOOKUP(A1527,المعطيات!$A$1:$J$3500,3,0)</f>
        <v>#N/A</v>
      </c>
      <c r="I1527" s="1" t="s">
        <v>1484</v>
      </c>
      <c r="J1527" s="1" t="s">
        <v>1485</v>
      </c>
      <c r="K1527" s="4" t="e">
        <f>VLOOKUP(A1527,المعطيات!$A$1:$J$3500,6,0)</f>
        <v>#N/A</v>
      </c>
      <c r="L1527" s="1" t="s">
        <v>1486</v>
      </c>
      <c r="M1527" s="1" t="s">
        <v>1487</v>
      </c>
      <c r="N1527" s="4" t="e">
        <f t="shared" si="70"/>
        <v>#N/A</v>
      </c>
      <c r="O1527" s="1" t="s">
        <v>1488</v>
      </c>
      <c r="P1527" s="4" t="e">
        <f>VLOOKUP(A1527,المعطيات!$A$1:$J$3500,4,0)</f>
        <v>#N/A</v>
      </c>
      <c r="Q1527" s="1" t="s">
        <v>1489</v>
      </c>
      <c r="R1527" s="1" t="s">
        <v>1480</v>
      </c>
      <c r="S1527" s="6" t="e">
        <f t="shared" si="71"/>
        <v>#N/A</v>
      </c>
    </row>
    <row r="1528" spans="2:19" x14ac:dyDescent="0.25">
      <c r="B1528" s="1" t="s">
        <v>1479</v>
      </c>
      <c r="C1528" s="1" t="s">
        <v>1481</v>
      </c>
      <c r="D1528" s="4" t="e">
        <f>VLOOKUP(A1528,المعطيات!$A$1:$J$3500,5,0)</f>
        <v>#N/A</v>
      </c>
      <c r="E1528" s="1" t="s">
        <v>1482</v>
      </c>
      <c r="F1528" s="5">
        <f t="shared" si="69"/>
        <v>0</v>
      </c>
      <c r="G1528" s="5" t="s">
        <v>1483</v>
      </c>
      <c r="H1528" s="4" t="e">
        <f>VLOOKUP(A1528,المعطيات!$A$1:$J$3500,3,0)</f>
        <v>#N/A</v>
      </c>
      <c r="I1528" s="1" t="s">
        <v>1484</v>
      </c>
      <c r="J1528" s="1" t="s">
        <v>1485</v>
      </c>
      <c r="K1528" s="4" t="e">
        <f>VLOOKUP(A1528,المعطيات!$A$1:$J$3500,6,0)</f>
        <v>#N/A</v>
      </c>
      <c r="L1528" s="1" t="s">
        <v>1486</v>
      </c>
      <c r="M1528" s="1" t="s">
        <v>1487</v>
      </c>
      <c r="N1528" s="4" t="e">
        <f t="shared" si="70"/>
        <v>#N/A</v>
      </c>
      <c r="O1528" s="1" t="s">
        <v>1488</v>
      </c>
      <c r="P1528" s="4" t="e">
        <f>VLOOKUP(A1528,المعطيات!$A$1:$J$3500,4,0)</f>
        <v>#N/A</v>
      </c>
      <c r="Q1528" s="1" t="s">
        <v>1489</v>
      </c>
      <c r="R1528" s="1" t="s">
        <v>1480</v>
      </c>
      <c r="S1528" s="6" t="e">
        <f t="shared" si="71"/>
        <v>#N/A</v>
      </c>
    </row>
    <row r="1529" spans="2:19" x14ac:dyDescent="0.25">
      <c r="B1529" s="1" t="s">
        <v>1479</v>
      </c>
      <c r="C1529" s="1" t="s">
        <v>1481</v>
      </c>
      <c r="D1529" s="4" t="e">
        <f>VLOOKUP(A1529,المعطيات!$A$1:$J$3500,5,0)</f>
        <v>#N/A</v>
      </c>
      <c r="E1529" s="1" t="s">
        <v>1482</v>
      </c>
      <c r="F1529" s="5">
        <f t="shared" si="69"/>
        <v>0</v>
      </c>
      <c r="G1529" s="5" t="s">
        <v>1483</v>
      </c>
      <c r="H1529" s="4" t="e">
        <f>VLOOKUP(A1529,المعطيات!$A$1:$J$3500,3,0)</f>
        <v>#N/A</v>
      </c>
      <c r="I1529" s="1" t="s">
        <v>1484</v>
      </c>
      <c r="J1529" s="1" t="s">
        <v>1485</v>
      </c>
      <c r="K1529" s="4" t="e">
        <f>VLOOKUP(A1529,المعطيات!$A$1:$J$3500,6,0)</f>
        <v>#N/A</v>
      </c>
      <c r="L1529" s="1" t="s">
        <v>1486</v>
      </c>
      <c r="M1529" s="1" t="s">
        <v>1487</v>
      </c>
      <c r="N1529" s="4" t="e">
        <f t="shared" si="70"/>
        <v>#N/A</v>
      </c>
      <c r="O1529" s="1" t="s">
        <v>1488</v>
      </c>
      <c r="P1529" s="4" t="e">
        <f>VLOOKUP(A1529,المعطيات!$A$1:$J$3500,4,0)</f>
        <v>#N/A</v>
      </c>
      <c r="Q1529" s="1" t="s">
        <v>1489</v>
      </c>
      <c r="R1529" s="1" t="s">
        <v>1480</v>
      </c>
      <c r="S1529" s="6" t="e">
        <f t="shared" si="71"/>
        <v>#N/A</v>
      </c>
    </row>
    <row r="1530" spans="2:19" x14ac:dyDescent="0.25">
      <c r="B1530" s="1" t="s">
        <v>1479</v>
      </c>
      <c r="C1530" s="1" t="s">
        <v>1481</v>
      </c>
      <c r="D1530" s="4" t="e">
        <f>VLOOKUP(A1530,المعطيات!$A$1:$J$3500,5,0)</f>
        <v>#N/A</v>
      </c>
      <c r="E1530" s="1" t="s">
        <v>1482</v>
      </c>
      <c r="F1530" s="5">
        <f t="shared" si="69"/>
        <v>0</v>
      </c>
      <c r="G1530" s="5" t="s">
        <v>1483</v>
      </c>
      <c r="H1530" s="4" t="e">
        <f>VLOOKUP(A1530,المعطيات!$A$1:$J$3500,3,0)</f>
        <v>#N/A</v>
      </c>
      <c r="I1530" s="1" t="s">
        <v>1484</v>
      </c>
      <c r="J1530" s="1" t="s">
        <v>1485</v>
      </c>
      <c r="K1530" s="4" t="e">
        <f>VLOOKUP(A1530,المعطيات!$A$1:$J$3500,6,0)</f>
        <v>#N/A</v>
      </c>
      <c r="L1530" s="1" t="s">
        <v>1486</v>
      </c>
      <c r="M1530" s="1" t="s">
        <v>1487</v>
      </c>
      <c r="N1530" s="4" t="e">
        <f t="shared" si="70"/>
        <v>#N/A</v>
      </c>
      <c r="O1530" s="1" t="s">
        <v>1488</v>
      </c>
      <c r="P1530" s="4" t="e">
        <f>VLOOKUP(A1530,المعطيات!$A$1:$J$3500,4,0)</f>
        <v>#N/A</v>
      </c>
      <c r="Q1530" s="1" t="s">
        <v>1489</v>
      </c>
      <c r="R1530" s="1" t="s">
        <v>1480</v>
      </c>
      <c r="S1530" s="6" t="e">
        <f t="shared" si="71"/>
        <v>#N/A</v>
      </c>
    </row>
    <row r="1531" spans="2:19" x14ac:dyDescent="0.25">
      <c r="B1531" s="1" t="s">
        <v>1479</v>
      </c>
      <c r="C1531" s="1" t="s">
        <v>1481</v>
      </c>
      <c r="D1531" s="4" t="e">
        <f>VLOOKUP(A1531,المعطيات!$A$1:$J$3500,5,0)</f>
        <v>#N/A</v>
      </c>
      <c r="E1531" s="1" t="s">
        <v>1482</v>
      </c>
      <c r="F1531" s="5">
        <f t="shared" si="69"/>
        <v>0</v>
      </c>
      <c r="G1531" s="5" t="s">
        <v>1483</v>
      </c>
      <c r="H1531" s="4" t="e">
        <f>VLOOKUP(A1531,المعطيات!$A$1:$J$3500,3,0)</f>
        <v>#N/A</v>
      </c>
      <c r="I1531" s="1" t="s">
        <v>1484</v>
      </c>
      <c r="J1531" s="1" t="s">
        <v>1485</v>
      </c>
      <c r="K1531" s="4" t="e">
        <f>VLOOKUP(A1531,المعطيات!$A$1:$J$3500,6,0)</f>
        <v>#N/A</v>
      </c>
      <c r="L1531" s="1" t="s">
        <v>1486</v>
      </c>
      <c r="M1531" s="1" t="s">
        <v>1487</v>
      </c>
      <c r="N1531" s="4" t="e">
        <f t="shared" si="70"/>
        <v>#N/A</v>
      </c>
      <c r="O1531" s="1" t="s">
        <v>1488</v>
      </c>
      <c r="P1531" s="4" t="e">
        <f>VLOOKUP(A1531,المعطيات!$A$1:$J$3500,4,0)</f>
        <v>#N/A</v>
      </c>
      <c r="Q1531" s="1" t="s">
        <v>1489</v>
      </c>
      <c r="R1531" s="1" t="s">
        <v>1480</v>
      </c>
      <c r="S1531" s="6" t="e">
        <f t="shared" si="71"/>
        <v>#N/A</v>
      </c>
    </row>
    <row r="1532" spans="2:19" x14ac:dyDescent="0.25">
      <c r="B1532" s="1" t="s">
        <v>1479</v>
      </c>
      <c r="C1532" s="1" t="s">
        <v>1481</v>
      </c>
      <c r="D1532" s="4" t="e">
        <f>VLOOKUP(A1532,المعطيات!$A$1:$J$3500,5,0)</f>
        <v>#N/A</v>
      </c>
      <c r="E1532" s="1" t="s">
        <v>1482</v>
      </c>
      <c r="F1532" s="5">
        <f t="shared" si="69"/>
        <v>0</v>
      </c>
      <c r="G1532" s="5" t="s">
        <v>1483</v>
      </c>
      <c r="H1532" s="4" t="e">
        <f>VLOOKUP(A1532,المعطيات!$A$1:$J$3500,3,0)</f>
        <v>#N/A</v>
      </c>
      <c r="I1532" s="1" t="s">
        <v>1484</v>
      </c>
      <c r="J1532" s="1" t="s">
        <v>1485</v>
      </c>
      <c r="K1532" s="4" t="e">
        <f>VLOOKUP(A1532,المعطيات!$A$1:$J$3500,6,0)</f>
        <v>#N/A</v>
      </c>
      <c r="L1532" s="1" t="s">
        <v>1486</v>
      </c>
      <c r="M1532" s="1" t="s">
        <v>1487</v>
      </c>
      <c r="N1532" s="4" t="e">
        <f t="shared" si="70"/>
        <v>#N/A</v>
      </c>
      <c r="O1532" s="1" t="s">
        <v>1488</v>
      </c>
      <c r="P1532" s="4" t="e">
        <f>VLOOKUP(A1532,المعطيات!$A$1:$J$3500,4,0)</f>
        <v>#N/A</v>
      </c>
      <c r="Q1532" s="1" t="s">
        <v>1489</v>
      </c>
      <c r="R1532" s="1" t="s">
        <v>1480</v>
      </c>
      <c r="S1532" s="6" t="e">
        <f t="shared" si="71"/>
        <v>#N/A</v>
      </c>
    </row>
    <row r="1533" spans="2:19" x14ac:dyDescent="0.25">
      <c r="B1533" s="1" t="s">
        <v>1479</v>
      </c>
      <c r="C1533" s="1" t="s">
        <v>1481</v>
      </c>
      <c r="D1533" s="4" t="e">
        <f>VLOOKUP(A1533,المعطيات!$A$1:$J$3500,5,0)</f>
        <v>#N/A</v>
      </c>
      <c r="E1533" s="1" t="s">
        <v>1482</v>
      </c>
      <c r="F1533" s="5">
        <f t="shared" si="69"/>
        <v>0</v>
      </c>
      <c r="G1533" s="5" t="s">
        <v>1483</v>
      </c>
      <c r="H1533" s="4" t="e">
        <f>VLOOKUP(A1533,المعطيات!$A$1:$J$3500,3,0)</f>
        <v>#N/A</v>
      </c>
      <c r="I1533" s="1" t="s">
        <v>1484</v>
      </c>
      <c r="J1533" s="1" t="s">
        <v>1485</v>
      </c>
      <c r="K1533" s="4" t="e">
        <f>VLOOKUP(A1533,المعطيات!$A$1:$J$3500,6,0)</f>
        <v>#N/A</v>
      </c>
      <c r="L1533" s="1" t="s">
        <v>1486</v>
      </c>
      <c r="M1533" s="1" t="s">
        <v>1487</v>
      </c>
      <c r="N1533" s="4" t="e">
        <f t="shared" si="70"/>
        <v>#N/A</v>
      </c>
      <c r="O1533" s="1" t="s">
        <v>1488</v>
      </c>
      <c r="P1533" s="4" t="e">
        <f>VLOOKUP(A1533,المعطيات!$A$1:$J$3500,4,0)</f>
        <v>#N/A</v>
      </c>
      <c r="Q1533" s="1" t="s">
        <v>1489</v>
      </c>
      <c r="R1533" s="1" t="s">
        <v>1480</v>
      </c>
      <c r="S1533" s="6" t="e">
        <f t="shared" si="71"/>
        <v>#N/A</v>
      </c>
    </row>
    <row r="1534" spans="2:19" x14ac:dyDescent="0.25">
      <c r="B1534" s="1" t="s">
        <v>1479</v>
      </c>
      <c r="C1534" s="1" t="s">
        <v>1481</v>
      </c>
      <c r="D1534" s="4" t="e">
        <f>VLOOKUP(A1534,المعطيات!$A$1:$J$3500,5,0)</f>
        <v>#N/A</v>
      </c>
      <c r="E1534" s="1" t="s">
        <v>1482</v>
      </c>
      <c r="F1534" s="5">
        <f t="shared" si="69"/>
        <v>0</v>
      </c>
      <c r="G1534" s="5" t="s">
        <v>1483</v>
      </c>
      <c r="H1534" s="4" t="e">
        <f>VLOOKUP(A1534,المعطيات!$A$1:$J$3500,3,0)</f>
        <v>#N/A</v>
      </c>
      <c r="I1534" s="1" t="s">
        <v>1484</v>
      </c>
      <c r="J1534" s="1" t="s">
        <v>1485</v>
      </c>
      <c r="K1534" s="4" t="e">
        <f>VLOOKUP(A1534,المعطيات!$A$1:$J$3500,6,0)</f>
        <v>#N/A</v>
      </c>
      <c r="L1534" s="1" t="s">
        <v>1486</v>
      </c>
      <c r="M1534" s="1" t="s">
        <v>1487</v>
      </c>
      <c r="N1534" s="4" t="e">
        <f t="shared" si="70"/>
        <v>#N/A</v>
      </c>
      <c r="O1534" s="1" t="s">
        <v>1488</v>
      </c>
      <c r="P1534" s="4" t="e">
        <f>VLOOKUP(A1534,المعطيات!$A$1:$J$3500,4,0)</f>
        <v>#N/A</v>
      </c>
      <c r="Q1534" s="1" t="s">
        <v>1489</v>
      </c>
      <c r="R1534" s="1" t="s">
        <v>1480</v>
      </c>
      <c r="S1534" s="6" t="e">
        <f t="shared" si="71"/>
        <v>#N/A</v>
      </c>
    </row>
    <row r="1535" spans="2:19" x14ac:dyDescent="0.25">
      <c r="B1535" s="1" t="s">
        <v>1479</v>
      </c>
      <c r="C1535" s="1" t="s">
        <v>1481</v>
      </c>
      <c r="D1535" s="4" t="e">
        <f>VLOOKUP(A1535,المعطيات!$A$1:$J$3500,5,0)</f>
        <v>#N/A</v>
      </c>
      <c r="E1535" s="1" t="s">
        <v>1482</v>
      </c>
      <c r="F1535" s="5">
        <f t="shared" si="69"/>
        <v>0</v>
      </c>
      <c r="G1535" s="5" t="s">
        <v>1483</v>
      </c>
      <c r="H1535" s="4" t="e">
        <f>VLOOKUP(A1535,المعطيات!$A$1:$J$3500,3,0)</f>
        <v>#N/A</v>
      </c>
      <c r="I1535" s="1" t="s">
        <v>1484</v>
      </c>
      <c r="J1535" s="1" t="s">
        <v>1485</v>
      </c>
      <c r="K1535" s="4" t="e">
        <f>VLOOKUP(A1535,المعطيات!$A$1:$J$3500,6,0)</f>
        <v>#N/A</v>
      </c>
      <c r="L1535" s="1" t="s">
        <v>1486</v>
      </c>
      <c r="M1535" s="1" t="s">
        <v>1487</v>
      </c>
      <c r="N1535" s="4" t="e">
        <f t="shared" si="70"/>
        <v>#N/A</v>
      </c>
      <c r="O1535" s="1" t="s">
        <v>1488</v>
      </c>
      <c r="P1535" s="4" t="e">
        <f>VLOOKUP(A1535,المعطيات!$A$1:$J$3500,4,0)</f>
        <v>#N/A</v>
      </c>
      <c r="Q1535" s="1" t="s">
        <v>1489</v>
      </c>
      <c r="R1535" s="1" t="s">
        <v>1480</v>
      </c>
      <c r="S1535" s="6" t="e">
        <f t="shared" si="71"/>
        <v>#N/A</v>
      </c>
    </row>
    <row r="1536" spans="2:19" x14ac:dyDescent="0.25">
      <c r="B1536" s="1" t="s">
        <v>1479</v>
      </c>
      <c r="C1536" s="1" t="s">
        <v>1481</v>
      </c>
      <c r="D1536" s="4" t="e">
        <f>VLOOKUP(A1536,المعطيات!$A$1:$J$3500,5,0)</f>
        <v>#N/A</v>
      </c>
      <c r="E1536" s="1" t="s">
        <v>1482</v>
      </c>
      <c r="F1536" s="5">
        <f t="shared" si="69"/>
        <v>0</v>
      </c>
      <c r="G1536" s="5" t="s">
        <v>1483</v>
      </c>
      <c r="H1536" s="4" t="e">
        <f>VLOOKUP(A1536,المعطيات!$A$1:$J$3500,3,0)</f>
        <v>#N/A</v>
      </c>
      <c r="I1536" s="1" t="s">
        <v>1484</v>
      </c>
      <c r="J1536" s="1" t="s">
        <v>1485</v>
      </c>
      <c r="K1536" s="4" t="e">
        <f>VLOOKUP(A1536,المعطيات!$A$1:$J$3500,6,0)</f>
        <v>#N/A</v>
      </c>
      <c r="L1536" s="1" t="s">
        <v>1486</v>
      </c>
      <c r="M1536" s="1" t="s">
        <v>1487</v>
      </c>
      <c r="N1536" s="4" t="e">
        <f t="shared" si="70"/>
        <v>#N/A</v>
      </c>
      <c r="O1536" s="1" t="s">
        <v>1488</v>
      </c>
      <c r="P1536" s="4" t="e">
        <f>VLOOKUP(A1536,المعطيات!$A$1:$J$3500,4,0)</f>
        <v>#N/A</v>
      </c>
      <c r="Q1536" s="1" t="s">
        <v>1489</v>
      </c>
      <c r="R1536" s="1" t="s">
        <v>1480</v>
      </c>
      <c r="S1536" s="6" t="e">
        <f t="shared" si="71"/>
        <v>#N/A</v>
      </c>
    </row>
    <row r="1537" spans="2:19" x14ac:dyDescent="0.25">
      <c r="B1537" s="1" t="s">
        <v>1479</v>
      </c>
      <c r="C1537" s="1" t="s">
        <v>1481</v>
      </c>
      <c r="D1537" s="4" t="e">
        <f>VLOOKUP(A1537,المعطيات!$A$1:$J$3500,5,0)</f>
        <v>#N/A</v>
      </c>
      <c r="E1537" s="1" t="s">
        <v>1482</v>
      </c>
      <c r="F1537" s="5">
        <f t="shared" si="69"/>
        <v>0</v>
      </c>
      <c r="G1537" s="5" t="s">
        <v>1483</v>
      </c>
      <c r="H1537" s="4" t="e">
        <f>VLOOKUP(A1537,المعطيات!$A$1:$J$3500,3,0)</f>
        <v>#N/A</v>
      </c>
      <c r="I1537" s="1" t="s">
        <v>1484</v>
      </c>
      <c r="J1537" s="1" t="s">
        <v>1485</v>
      </c>
      <c r="K1537" s="4" t="e">
        <f>VLOOKUP(A1537,المعطيات!$A$1:$J$3500,6,0)</f>
        <v>#N/A</v>
      </c>
      <c r="L1537" s="1" t="s">
        <v>1486</v>
      </c>
      <c r="M1537" s="1" t="s">
        <v>1487</v>
      </c>
      <c r="N1537" s="4" t="e">
        <f t="shared" si="70"/>
        <v>#N/A</v>
      </c>
      <c r="O1537" s="1" t="s">
        <v>1488</v>
      </c>
      <c r="P1537" s="4" t="e">
        <f>VLOOKUP(A1537,المعطيات!$A$1:$J$3500,4,0)</f>
        <v>#N/A</v>
      </c>
      <c r="Q1537" s="1" t="s">
        <v>1489</v>
      </c>
      <c r="R1537" s="1" t="s">
        <v>1480</v>
      </c>
      <c r="S1537" s="6" t="e">
        <f t="shared" si="71"/>
        <v>#N/A</v>
      </c>
    </row>
    <row r="1538" spans="2:19" x14ac:dyDescent="0.25">
      <c r="B1538" s="1" t="s">
        <v>1479</v>
      </c>
      <c r="C1538" s="1" t="s">
        <v>1481</v>
      </c>
      <c r="D1538" s="4" t="e">
        <f>VLOOKUP(A1538,المعطيات!$A$1:$J$3500,5,0)</f>
        <v>#N/A</v>
      </c>
      <c r="E1538" s="1" t="s">
        <v>1482</v>
      </c>
      <c r="F1538" s="5">
        <f t="shared" ref="F1538:F1601" si="72">A1538</f>
        <v>0</v>
      </c>
      <c r="G1538" s="5" t="s">
        <v>1483</v>
      </c>
      <c r="H1538" s="4" t="e">
        <f>VLOOKUP(A1538,المعطيات!$A$1:$J$3500,3,0)</f>
        <v>#N/A</v>
      </c>
      <c r="I1538" s="1" t="s">
        <v>1484</v>
      </c>
      <c r="J1538" s="1" t="s">
        <v>1485</v>
      </c>
      <c r="K1538" s="4" t="e">
        <f>VLOOKUP(A1538,المعطيات!$A$1:$J$3500,6,0)</f>
        <v>#N/A</v>
      </c>
      <c r="L1538" s="1" t="s">
        <v>1486</v>
      </c>
      <c r="M1538" s="1" t="s">
        <v>1487</v>
      </c>
      <c r="N1538" s="4" t="e">
        <f t="shared" ref="N1538:N1601" si="73">D1538</f>
        <v>#N/A</v>
      </c>
      <c r="O1538" s="1" t="s">
        <v>1488</v>
      </c>
      <c r="P1538" s="4" t="e">
        <f>VLOOKUP(A1538,المعطيات!$A$1:$J$3500,4,0)</f>
        <v>#N/A</v>
      </c>
      <c r="Q1538" s="1" t="s">
        <v>1489</v>
      </c>
      <c r="R1538" s="1" t="s">
        <v>1480</v>
      </c>
      <c r="S1538" s="6" t="e">
        <f t="shared" ref="S1538:S1601" si="74">B1538&amp;""&amp;C1538&amp;""&amp;D1538&amp;""&amp;E1538&amp;""&amp;F1538&amp;""&amp;G1538&amp;""&amp;H1538&amp;""&amp;I1538&amp;""&amp;J1538&amp;""&amp;K1538&amp;""&amp;L1538&amp;""&amp;M1538&amp;""&amp;N1538&amp;""&amp;O1538&amp;""&amp;P1538&amp;""&amp;Q1538&amp;""&amp;R1538</f>
        <v>#N/A</v>
      </c>
    </row>
    <row r="1539" spans="2:19" x14ac:dyDescent="0.25">
      <c r="B1539" s="1" t="s">
        <v>1479</v>
      </c>
      <c r="C1539" s="1" t="s">
        <v>1481</v>
      </c>
      <c r="D1539" s="4" t="e">
        <f>VLOOKUP(A1539,المعطيات!$A$1:$J$3500,5,0)</f>
        <v>#N/A</v>
      </c>
      <c r="E1539" s="1" t="s">
        <v>1482</v>
      </c>
      <c r="F1539" s="5">
        <f t="shared" si="72"/>
        <v>0</v>
      </c>
      <c r="G1539" s="5" t="s">
        <v>1483</v>
      </c>
      <c r="H1539" s="4" t="e">
        <f>VLOOKUP(A1539,المعطيات!$A$1:$J$3500,3,0)</f>
        <v>#N/A</v>
      </c>
      <c r="I1539" s="1" t="s">
        <v>1484</v>
      </c>
      <c r="J1539" s="1" t="s">
        <v>1485</v>
      </c>
      <c r="K1539" s="4" t="e">
        <f>VLOOKUP(A1539,المعطيات!$A$1:$J$3500,6,0)</f>
        <v>#N/A</v>
      </c>
      <c r="L1539" s="1" t="s">
        <v>1486</v>
      </c>
      <c r="M1539" s="1" t="s">
        <v>1487</v>
      </c>
      <c r="N1539" s="4" t="e">
        <f t="shared" si="73"/>
        <v>#N/A</v>
      </c>
      <c r="O1539" s="1" t="s">
        <v>1488</v>
      </c>
      <c r="P1539" s="4" t="e">
        <f>VLOOKUP(A1539,المعطيات!$A$1:$J$3500,4,0)</f>
        <v>#N/A</v>
      </c>
      <c r="Q1539" s="1" t="s">
        <v>1489</v>
      </c>
      <c r="R1539" s="1" t="s">
        <v>1480</v>
      </c>
      <c r="S1539" s="6" t="e">
        <f t="shared" si="74"/>
        <v>#N/A</v>
      </c>
    </row>
    <row r="1540" spans="2:19" x14ac:dyDescent="0.25">
      <c r="B1540" s="1" t="s">
        <v>1479</v>
      </c>
      <c r="C1540" s="1" t="s">
        <v>1481</v>
      </c>
      <c r="D1540" s="4" t="e">
        <f>VLOOKUP(A1540,المعطيات!$A$1:$J$3500,5,0)</f>
        <v>#N/A</v>
      </c>
      <c r="E1540" s="1" t="s">
        <v>1482</v>
      </c>
      <c r="F1540" s="5">
        <f t="shared" si="72"/>
        <v>0</v>
      </c>
      <c r="G1540" s="5" t="s">
        <v>1483</v>
      </c>
      <c r="H1540" s="4" t="e">
        <f>VLOOKUP(A1540,المعطيات!$A$1:$J$3500,3,0)</f>
        <v>#N/A</v>
      </c>
      <c r="I1540" s="1" t="s">
        <v>1484</v>
      </c>
      <c r="J1540" s="1" t="s">
        <v>1485</v>
      </c>
      <c r="K1540" s="4" t="e">
        <f>VLOOKUP(A1540,المعطيات!$A$1:$J$3500,6,0)</f>
        <v>#N/A</v>
      </c>
      <c r="L1540" s="1" t="s">
        <v>1486</v>
      </c>
      <c r="M1540" s="1" t="s">
        <v>1487</v>
      </c>
      <c r="N1540" s="4" t="e">
        <f t="shared" si="73"/>
        <v>#N/A</v>
      </c>
      <c r="O1540" s="1" t="s">
        <v>1488</v>
      </c>
      <c r="P1540" s="4" t="e">
        <f>VLOOKUP(A1540,المعطيات!$A$1:$J$3500,4,0)</f>
        <v>#N/A</v>
      </c>
      <c r="Q1540" s="1" t="s">
        <v>1489</v>
      </c>
      <c r="R1540" s="1" t="s">
        <v>1480</v>
      </c>
      <c r="S1540" s="6" t="e">
        <f t="shared" si="74"/>
        <v>#N/A</v>
      </c>
    </row>
    <row r="1541" spans="2:19" x14ac:dyDescent="0.25">
      <c r="B1541" s="1" t="s">
        <v>1479</v>
      </c>
      <c r="C1541" s="1" t="s">
        <v>1481</v>
      </c>
      <c r="D1541" s="4" t="e">
        <f>VLOOKUP(A1541,المعطيات!$A$1:$J$3500,5,0)</f>
        <v>#N/A</v>
      </c>
      <c r="E1541" s="1" t="s">
        <v>1482</v>
      </c>
      <c r="F1541" s="5">
        <f t="shared" si="72"/>
        <v>0</v>
      </c>
      <c r="G1541" s="5" t="s">
        <v>1483</v>
      </c>
      <c r="H1541" s="4" t="e">
        <f>VLOOKUP(A1541,المعطيات!$A$1:$J$3500,3,0)</f>
        <v>#N/A</v>
      </c>
      <c r="I1541" s="1" t="s">
        <v>1484</v>
      </c>
      <c r="J1541" s="1" t="s">
        <v>1485</v>
      </c>
      <c r="K1541" s="4" t="e">
        <f>VLOOKUP(A1541,المعطيات!$A$1:$J$3500,6,0)</f>
        <v>#N/A</v>
      </c>
      <c r="L1541" s="1" t="s">
        <v>1486</v>
      </c>
      <c r="M1541" s="1" t="s">
        <v>1487</v>
      </c>
      <c r="N1541" s="4" t="e">
        <f t="shared" si="73"/>
        <v>#N/A</v>
      </c>
      <c r="O1541" s="1" t="s">
        <v>1488</v>
      </c>
      <c r="P1541" s="4" t="e">
        <f>VLOOKUP(A1541,المعطيات!$A$1:$J$3500,4,0)</f>
        <v>#N/A</v>
      </c>
      <c r="Q1541" s="1" t="s">
        <v>1489</v>
      </c>
      <c r="R1541" s="1" t="s">
        <v>1480</v>
      </c>
      <c r="S1541" s="6" t="e">
        <f t="shared" si="74"/>
        <v>#N/A</v>
      </c>
    </row>
    <row r="1542" spans="2:19" x14ac:dyDescent="0.25">
      <c r="B1542" s="1" t="s">
        <v>1479</v>
      </c>
      <c r="C1542" s="1" t="s">
        <v>1481</v>
      </c>
      <c r="D1542" s="4" t="e">
        <f>VLOOKUP(A1542,المعطيات!$A$1:$J$3500,5,0)</f>
        <v>#N/A</v>
      </c>
      <c r="E1542" s="1" t="s">
        <v>1482</v>
      </c>
      <c r="F1542" s="5">
        <f t="shared" si="72"/>
        <v>0</v>
      </c>
      <c r="G1542" s="5" t="s">
        <v>1483</v>
      </c>
      <c r="H1542" s="4" t="e">
        <f>VLOOKUP(A1542,المعطيات!$A$1:$J$3500,3,0)</f>
        <v>#N/A</v>
      </c>
      <c r="I1542" s="1" t="s">
        <v>1484</v>
      </c>
      <c r="J1542" s="1" t="s">
        <v>1485</v>
      </c>
      <c r="K1542" s="4" t="e">
        <f>VLOOKUP(A1542,المعطيات!$A$1:$J$3500,6,0)</f>
        <v>#N/A</v>
      </c>
      <c r="L1542" s="1" t="s">
        <v>1486</v>
      </c>
      <c r="M1542" s="1" t="s">
        <v>1487</v>
      </c>
      <c r="N1542" s="4" t="e">
        <f t="shared" si="73"/>
        <v>#N/A</v>
      </c>
      <c r="O1542" s="1" t="s">
        <v>1488</v>
      </c>
      <c r="P1542" s="4" t="e">
        <f>VLOOKUP(A1542,المعطيات!$A$1:$J$3500,4,0)</f>
        <v>#N/A</v>
      </c>
      <c r="Q1542" s="1" t="s">
        <v>1489</v>
      </c>
      <c r="R1542" s="1" t="s">
        <v>1480</v>
      </c>
      <c r="S1542" s="6" t="e">
        <f t="shared" si="74"/>
        <v>#N/A</v>
      </c>
    </row>
    <row r="1543" spans="2:19" x14ac:dyDescent="0.25">
      <c r="B1543" s="1" t="s">
        <v>1479</v>
      </c>
      <c r="C1543" s="1" t="s">
        <v>1481</v>
      </c>
      <c r="D1543" s="4" t="e">
        <f>VLOOKUP(A1543,المعطيات!$A$1:$J$3500,5,0)</f>
        <v>#N/A</v>
      </c>
      <c r="E1543" s="1" t="s">
        <v>1482</v>
      </c>
      <c r="F1543" s="5">
        <f t="shared" si="72"/>
        <v>0</v>
      </c>
      <c r="G1543" s="5" t="s">
        <v>1483</v>
      </c>
      <c r="H1543" s="4" t="e">
        <f>VLOOKUP(A1543,المعطيات!$A$1:$J$3500,3,0)</f>
        <v>#N/A</v>
      </c>
      <c r="I1543" s="1" t="s">
        <v>1484</v>
      </c>
      <c r="J1543" s="1" t="s">
        <v>1485</v>
      </c>
      <c r="K1543" s="4" t="e">
        <f>VLOOKUP(A1543,المعطيات!$A$1:$J$3500,6,0)</f>
        <v>#N/A</v>
      </c>
      <c r="L1543" s="1" t="s">
        <v>1486</v>
      </c>
      <c r="M1543" s="1" t="s">
        <v>1487</v>
      </c>
      <c r="N1543" s="4" t="e">
        <f t="shared" si="73"/>
        <v>#N/A</v>
      </c>
      <c r="O1543" s="1" t="s">
        <v>1488</v>
      </c>
      <c r="P1543" s="4" t="e">
        <f>VLOOKUP(A1543,المعطيات!$A$1:$J$3500,4,0)</f>
        <v>#N/A</v>
      </c>
      <c r="Q1543" s="1" t="s">
        <v>1489</v>
      </c>
      <c r="R1543" s="1" t="s">
        <v>1480</v>
      </c>
      <c r="S1543" s="6" t="e">
        <f t="shared" si="74"/>
        <v>#N/A</v>
      </c>
    </row>
    <row r="1544" spans="2:19" x14ac:dyDescent="0.25">
      <c r="B1544" s="1" t="s">
        <v>1479</v>
      </c>
      <c r="C1544" s="1" t="s">
        <v>1481</v>
      </c>
      <c r="D1544" s="4" t="e">
        <f>VLOOKUP(A1544,المعطيات!$A$1:$J$3500,5,0)</f>
        <v>#N/A</v>
      </c>
      <c r="E1544" s="1" t="s">
        <v>1482</v>
      </c>
      <c r="F1544" s="5">
        <f t="shared" si="72"/>
        <v>0</v>
      </c>
      <c r="G1544" s="5" t="s">
        <v>1483</v>
      </c>
      <c r="H1544" s="4" t="e">
        <f>VLOOKUP(A1544,المعطيات!$A$1:$J$3500,3,0)</f>
        <v>#N/A</v>
      </c>
      <c r="I1544" s="1" t="s">
        <v>1484</v>
      </c>
      <c r="J1544" s="1" t="s">
        <v>1485</v>
      </c>
      <c r="K1544" s="4" t="e">
        <f>VLOOKUP(A1544,المعطيات!$A$1:$J$3500,6,0)</f>
        <v>#N/A</v>
      </c>
      <c r="L1544" s="1" t="s">
        <v>1486</v>
      </c>
      <c r="M1544" s="1" t="s">
        <v>1487</v>
      </c>
      <c r="N1544" s="4" t="e">
        <f t="shared" si="73"/>
        <v>#N/A</v>
      </c>
      <c r="O1544" s="1" t="s">
        <v>1488</v>
      </c>
      <c r="P1544" s="4" t="e">
        <f>VLOOKUP(A1544,المعطيات!$A$1:$J$3500,4,0)</f>
        <v>#N/A</v>
      </c>
      <c r="Q1544" s="1" t="s">
        <v>1489</v>
      </c>
      <c r="R1544" s="1" t="s">
        <v>1480</v>
      </c>
      <c r="S1544" s="6" t="e">
        <f t="shared" si="74"/>
        <v>#N/A</v>
      </c>
    </row>
    <row r="1545" spans="2:19" x14ac:dyDescent="0.25">
      <c r="B1545" s="1" t="s">
        <v>1479</v>
      </c>
      <c r="C1545" s="1" t="s">
        <v>1481</v>
      </c>
      <c r="D1545" s="4" t="e">
        <f>VLOOKUP(A1545,المعطيات!$A$1:$J$3500,5,0)</f>
        <v>#N/A</v>
      </c>
      <c r="E1545" s="1" t="s">
        <v>1482</v>
      </c>
      <c r="F1545" s="5">
        <f t="shared" si="72"/>
        <v>0</v>
      </c>
      <c r="G1545" s="5" t="s">
        <v>1483</v>
      </c>
      <c r="H1545" s="4" t="e">
        <f>VLOOKUP(A1545,المعطيات!$A$1:$J$3500,3,0)</f>
        <v>#N/A</v>
      </c>
      <c r="I1545" s="1" t="s">
        <v>1484</v>
      </c>
      <c r="J1545" s="1" t="s">
        <v>1485</v>
      </c>
      <c r="K1545" s="4" t="e">
        <f>VLOOKUP(A1545,المعطيات!$A$1:$J$3500,6,0)</f>
        <v>#N/A</v>
      </c>
      <c r="L1545" s="1" t="s">
        <v>1486</v>
      </c>
      <c r="M1545" s="1" t="s">
        <v>1487</v>
      </c>
      <c r="N1545" s="4" t="e">
        <f t="shared" si="73"/>
        <v>#N/A</v>
      </c>
      <c r="O1545" s="1" t="s">
        <v>1488</v>
      </c>
      <c r="P1545" s="4" t="e">
        <f>VLOOKUP(A1545,المعطيات!$A$1:$J$3500,4,0)</f>
        <v>#N/A</v>
      </c>
      <c r="Q1545" s="1" t="s">
        <v>1489</v>
      </c>
      <c r="R1545" s="1" t="s">
        <v>1480</v>
      </c>
      <c r="S1545" s="6" t="e">
        <f t="shared" si="74"/>
        <v>#N/A</v>
      </c>
    </row>
    <row r="1546" spans="2:19" x14ac:dyDescent="0.25">
      <c r="B1546" s="1" t="s">
        <v>1479</v>
      </c>
      <c r="C1546" s="1" t="s">
        <v>1481</v>
      </c>
      <c r="D1546" s="4" t="e">
        <f>VLOOKUP(A1546,المعطيات!$A$1:$J$3500,5,0)</f>
        <v>#N/A</v>
      </c>
      <c r="E1546" s="1" t="s">
        <v>1482</v>
      </c>
      <c r="F1546" s="5">
        <f t="shared" si="72"/>
        <v>0</v>
      </c>
      <c r="G1546" s="5" t="s">
        <v>1483</v>
      </c>
      <c r="H1546" s="4" t="e">
        <f>VLOOKUP(A1546,المعطيات!$A$1:$J$3500,3,0)</f>
        <v>#N/A</v>
      </c>
      <c r="I1546" s="1" t="s">
        <v>1484</v>
      </c>
      <c r="J1546" s="1" t="s">
        <v>1485</v>
      </c>
      <c r="K1546" s="4" t="e">
        <f>VLOOKUP(A1546,المعطيات!$A$1:$J$3500,6,0)</f>
        <v>#N/A</v>
      </c>
      <c r="L1546" s="1" t="s">
        <v>1486</v>
      </c>
      <c r="M1546" s="1" t="s">
        <v>1487</v>
      </c>
      <c r="N1546" s="4" t="e">
        <f t="shared" si="73"/>
        <v>#N/A</v>
      </c>
      <c r="O1546" s="1" t="s">
        <v>1488</v>
      </c>
      <c r="P1546" s="4" t="e">
        <f>VLOOKUP(A1546,المعطيات!$A$1:$J$3500,4,0)</f>
        <v>#N/A</v>
      </c>
      <c r="Q1546" s="1" t="s">
        <v>1489</v>
      </c>
      <c r="R1546" s="1" t="s">
        <v>1480</v>
      </c>
      <c r="S1546" s="6" t="e">
        <f t="shared" si="74"/>
        <v>#N/A</v>
      </c>
    </row>
    <row r="1547" spans="2:19" x14ac:dyDescent="0.25">
      <c r="B1547" s="1" t="s">
        <v>1479</v>
      </c>
      <c r="C1547" s="1" t="s">
        <v>1481</v>
      </c>
      <c r="D1547" s="4" t="e">
        <f>VLOOKUP(A1547,المعطيات!$A$1:$J$3500,5,0)</f>
        <v>#N/A</v>
      </c>
      <c r="E1547" s="1" t="s">
        <v>1482</v>
      </c>
      <c r="F1547" s="5">
        <f t="shared" si="72"/>
        <v>0</v>
      </c>
      <c r="G1547" s="5" t="s">
        <v>1483</v>
      </c>
      <c r="H1547" s="4" t="e">
        <f>VLOOKUP(A1547,المعطيات!$A$1:$J$3500,3,0)</f>
        <v>#N/A</v>
      </c>
      <c r="I1547" s="1" t="s">
        <v>1484</v>
      </c>
      <c r="J1547" s="1" t="s">
        <v>1485</v>
      </c>
      <c r="K1547" s="4" t="e">
        <f>VLOOKUP(A1547,المعطيات!$A$1:$J$3500,6,0)</f>
        <v>#N/A</v>
      </c>
      <c r="L1547" s="1" t="s">
        <v>1486</v>
      </c>
      <c r="M1547" s="1" t="s">
        <v>1487</v>
      </c>
      <c r="N1547" s="4" t="e">
        <f t="shared" si="73"/>
        <v>#N/A</v>
      </c>
      <c r="O1547" s="1" t="s">
        <v>1488</v>
      </c>
      <c r="P1547" s="4" t="e">
        <f>VLOOKUP(A1547,المعطيات!$A$1:$J$3500,4,0)</f>
        <v>#N/A</v>
      </c>
      <c r="Q1547" s="1" t="s">
        <v>1489</v>
      </c>
      <c r="R1547" s="1" t="s">
        <v>1480</v>
      </c>
      <c r="S1547" s="6" t="e">
        <f t="shared" si="74"/>
        <v>#N/A</v>
      </c>
    </row>
    <row r="1548" spans="2:19" x14ac:dyDescent="0.25">
      <c r="B1548" s="1" t="s">
        <v>1479</v>
      </c>
      <c r="C1548" s="1" t="s">
        <v>1481</v>
      </c>
      <c r="D1548" s="4" t="e">
        <f>VLOOKUP(A1548,المعطيات!$A$1:$J$3500,5,0)</f>
        <v>#N/A</v>
      </c>
      <c r="E1548" s="1" t="s">
        <v>1482</v>
      </c>
      <c r="F1548" s="5">
        <f t="shared" si="72"/>
        <v>0</v>
      </c>
      <c r="G1548" s="5" t="s">
        <v>1483</v>
      </c>
      <c r="H1548" s="4" t="e">
        <f>VLOOKUP(A1548,المعطيات!$A$1:$J$3500,3,0)</f>
        <v>#N/A</v>
      </c>
      <c r="I1548" s="1" t="s">
        <v>1484</v>
      </c>
      <c r="J1548" s="1" t="s">
        <v>1485</v>
      </c>
      <c r="K1548" s="4" t="e">
        <f>VLOOKUP(A1548,المعطيات!$A$1:$J$3500,6,0)</f>
        <v>#N/A</v>
      </c>
      <c r="L1548" s="1" t="s">
        <v>1486</v>
      </c>
      <c r="M1548" s="1" t="s">
        <v>1487</v>
      </c>
      <c r="N1548" s="4" t="e">
        <f t="shared" si="73"/>
        <v>#N/A</v>
      </c>
      <c r="O1548" s="1" t="s">
        <v>1488</v>
      </c>
      <c r="P1548" s="4" t="e">
        <f>VLOOKUP(A1548,المعطيات!$A$1:$J$3500,4,0)</f>
        <v>#N/A</v>
      </c>
      <c r="Q1548" s="1" t="s">
        <v>1489</v>
      </c>
      <c r="R1548" s="1" t="s">
        <v>1480</v>
      </c>
      <c r="S1548" s="6" t="e">
        <f t="shared" si="74"/>
        <v>#N/A</v>
      </c>
    </row>
    <row r="1549" spans="2:19" x14ac:dyDescent="0.25">
      <c r="B1549" s="1" t="s">
        <v>1479</v>
      </c>
      <c r="C1549" s="1" t="s">
        <v>1481</v>
      </c>
      <c r="D1549" s="4" t="e">
        <f>VLOOKUP(A1549,المعطيات!$A$1:$J$3500,5,0)</f>
        <v>#N/A</v>
      </c>
      <c r="E1549" s="1" t="s">
        <v>1482</v>
      </c>
      <c r="F1549" s="5">
        <f t="shared" si="72"/>
        <v>0</v>
      </c>
      <c r="G1549" s="5" t="s">
        <v>1483</v>
      </c>
      <c r="H1549" s="4" t="e">
        <f>VLOOKUP(A1549,المعطيات!$A$1:$J$3500,3,0)</f>
        <v>#N/A</v>
      </c>
      <c r="I1549" s="1" t="s">
        <v>1484</v>
      </c>
      <c r="J1549" s="1" t="s">
        <v>1485</v>
      </c>
      <c r="K1549" s="4" t="e">
        <f>VLOOKUP(A1549,المعطيات!$A$1:$J$3500,6,0)</f>
        <v>#N/A</v>
      </c>
      <c r="L1549" s="1" t="s">
        <v>1486</v>
      </c>
      <c r="M1549" s="1" t="s">
        <v>1487</v>
      </c>
      <c r="N1549" s="4" t="e">
        <f t="shared" si="73"/>
        <v>#N/A</v>
      </c>
      <c r="O1549" s="1" t="s">
        <v>1488</v>
      </c>
      <c r="P1549" s="4" t="e">
        <f>VLOOKUP(A1549,المعطيات!$A$1:$J$3500,4,0)</f>
        <v>#N/A</v>
      </c>
      <c r="Q1549" s="1" t="s">
        <v>1489</v>
      </c>
      <c r="R1549" s="1" t="s">
        <v>1480</v>
      </c>
      <c r="S1549" s="6" t="e">
        <f t="shared" si="74"/>
        <v>#N/A</v>
      </c>
    </row>
    <row r="1550" spans="2:19" x14ac:dyDescent="0.25">
      <c r="B1550" s="1" t="s">
        <v>1479</v>
      </c>
      <c r="C1550" s="1" t="s">
        <v>1481</v>
      </c>
      <c r="D1550" s="4" t="e">
        <f>VLOOKUP(A1550,المعطيات!$A$1:$J$3500,5,0)</f>
        <v>#N/A</v>
      </c>
      <c r="E1550" s="1" t="s">
        <v>1482</v>
      </c>
      <c r="F1550" s="5">
        <f t="shared" si="72"/>
        <v>0</v>
      </c>
      <c r="G1550" s="5" t="s">
        <v>1483</v>
      </c>
      <c r="H1550" s="4" t="e">
        <f>VLOOKUP(A1550,المعطيات!$A$1:$J$3500,3,0)</f>
        <v>#N/A</v>
      </c>
      <c r="I1550" s="1" t="s">
        <v>1484</v>
      </c>
      <c r="J1550" s="1" t="s">
        <v>1485</v>
      </c>
      <c r="K1550" s="4" t="e">
        <f>VLOOKUP(A1550,المعطيات!$A$1:$J$3500,6,0)</f>
        <v>#N/A</v>
      </c>
      <c r="L1550" s="1" t="s">
        <v>1486</v>
      </c>
      <c r="M1550" s="1" t="s">
        <v>1487</v>
      </c>
      <c r="N1550" s="4" t="e">
        <f t="shared" si="73"/>
        <v>#N/A</v>
      </c>
      <c r="O1550" s="1" t="s">
        <v>1488</v>
      </c>
      <c r="P1550" s="4" t="e">
        <f>VLOOKUP(A1550,المعطيات!$A$1:$J$3500,4,0)</f>
        <v>#N/A</v>
      </c>
      <c r="Q1550" s="1" t="s">
        <v>1489</v>
      </c>
      <c r="R1550" s="1" t="s">
        <v>1480</v>
      </c>
      <c r="S1550" s="6" t="e">
        <f t="shared" si="74"/>
        <v>#N/A</v>
      </c>
    </row>
    <row r="1551" spans="2:19" x14ac:dyDescent="0.25">
      <c r="B1551" s="1" t="s">
        <v>1479</v>
      </c>
      <c r="C1551" s="1" t="s">
        <v>1481</v>
      </c>
      <c r="D1551" s="4" t="e">
        <f>VLOOKUP(A1551,المعطيات!$A$1:$J$3500,5,0)</f>
        <v>#N/A</v>
      </c>
      <c r="E1551" s="1" t="s">
        <v>1482</v>
      </c>
      <c r="F1551" s="5">
        <f t="shared" si="72"/>
        <v>0</v>
      </c>
      <c r="G1551" s="5" t="s">
        <v>1483</v>
      </c>
      <c r="H1551" s="4" t="e">
        <f>VLOOKUP(A1551,المعطيات!$A$1:$J$3500,3,0)</f>
        <v>#N/A</v>
      </c>
      <c r="I1551" s="1" t="s">
        <v>1484</v>
      </c>
      <c r="J1551" s="1" t="s">
        <v>1485</v>
      </c>
      <c r="K1551" s="4" t="e">
        <f>VLOOKUP(A1551,المعطيات!$A$1:$J$3500,6,0)</f>
        <v>#N/A</v>
      </c>
      <c r="L1551" s="1" t="s">
        <v>1486</v>
      </c>
      <c r="M1551" s="1" t="s">
        <v>1487</v>
      </c>
      <c r="N1551" s="4" t="e">
        <f t="shared" si="73"/>
        <v>#N/A</v>
      </c>
      <c r="O1551" s="1" t="s">
        <v>1488</v>
      </c>
      <c r="P1551" s="4" t="e">
        <f>VLOOKUP(A1551,المعطيات!$A$1:$J$3500,4,0)</f>
        <v>#N/A</v>
      </c>
      <c r="Q1551" s="1" t="s">
        <v>1489</v>
      </c>
      <c r="R1551" s="1" t="s">
        <v>1480</v>
      </c>
      <c r="S1551" s="6" t="e">
        <f t="shared" si="74"/>
        <v>#N/A</v>
      </c>
    </row>
    <row r="1552" spans="2:19" x14ac:dyDescent="0.25">
      <c r="B1552" s="1" t="s">
        <v>1479</v>
      </c>
      <c r="C1552" s="1" t="s">
        <v>1481</v>
      </c>
      <c r="D1552" s="4" t="e">
        <f>VLOOKUP(A1552,المعطيات!$A$1:$J$3500,5,0)</f>
        <v>#N/A</v>
      </c>
      <c r="E1552" s="1" t="s">
        <v>1482</v>
      </c>
      <c r="F1552" s="5">
        <f t="shared" si="72"/>
        <v>0</v>
      </c>
      <c r="G1552" s="5" t="s">
        <v>1483</v>
      </c>
      <c r="H1552" s="4" t="e">
        <f>VLOOKUP(A1552,المعطيات!$A$1:$J$3500,3,0)</f>
        <v>#N/A</v>
      </c>
      <c r="I1552" s="1" t="s">
        <v>1484</v>
      </c>
      <c r="J1552" s="1" t="s">
        <v>1485</v>
      </c>
      <c r="K1552" s="4" t="e">
        <f>VLOOKUP(A1552,المعطيات!$A$1:$J$3500,6,0)</f>
        <v>#N/A</v>
      </c>
      <c r="L1552" s="1" t="s">
        <v>1486</v>
      </c>
      <c r="M1552" s="1" t="s">
        <v>1487</v>
      </c>
      <c r="N1552" s="4" t="e">
        <f t="shared" si="73"/>
        <v>#N/A</v>
      </c>
      <c r="O1552" s="1" t="s">
        <v>1488</v>
      </c>
      <c r="P1552" s="4" t="e">
        <f>VLOOKUP(A1552,المعطيات!$A$1:$J$3500,4,0)</f>
        <v>#N/A</v>
      </c>
      <c r="Q1552" s="1" t="s">
        <v>1489</v>
      </c>
      <c r="R1552" s="1" t="s">
        <v>1480</v>
      </c>
      <c r="S1552" s="6" t="e">
        <f t="shared" si="74"/>
        <v>#N/A</v>
      </c>
    </row>
    <row r="1553" spans="2:19" x14ac:dyDescent="0.25">
      <c r="B1553" s="1" t="s">
        <v>1479</v>
      </c>
      <c r="C1553" s="1" t="s">
        <v>1481</v>
      </c>
      <c r="D1553" s="4" t="e">
        <f>VLOOKUP(A1553,المعطيات!$A$1:$J$3500,5,0)</f>
        <v>#N/A</v>
      </c>
      <c r="E1553" s="1" t="s">
        <v>1482</v>
      </c>
      <c r="F1553" s="5">
        <f t="shared" si="72"/>
        <v>0</v>
      </c>
      <c r="G1553" s="5" t="s">
        <v>1483</v>
      </c>
      <c r="H1553" s="4" t="e">
        <f>VLOOKUP(A1553,المعطيات!$A$1:$J$3500,3,0)</f>
        <v>#N/A</v>
      </c>
      <c r="I1553" s="1" t="s">
        <v>1484</v>
      </c>
      <c r="J1553" s="1" t="s">
        <v>1485</v>
      </c>
      <c r="K1553" s="4" t="e">
        <f>VLOOKUP(A1553,المعطيات!$A$1:$J$3500,6,0)</f>
        <v>#N/A</v>
      </c>
      <c r="L1553" s="1" t="s">
        <v>1486</v>
      </c>
      <c r="M1553" s="1" t="s">
        <v>1487</v>
      </c>
      <c r="N1553" s="4" t="e">
        <f t="shared" si="73"/>
        <v>#N/A</v>
      </c>
      <c r="O1553" s="1" t="s">
        <v>1488</v>
      </c>
      <c r="P1553" s="4" t="e">
        <f>VLOOKUP(A1553,المعطيات!$A$1:$J$3500,4,0)</f>
        <v>#N/A</v>
      </c>
      <c r="Q1553" s="1" t="s">
        <v>1489</v>
      </c>
      <c r="R1553" s="1" t="s">
        <v>1480</v>
      </c>
      <c r="S1553" s="6" t="e">
        <f t="shared" si="74"/>
        <v>#N/A</v>
      </c>
    </row>
    <row r="1554" spans="2:19" x14ac:dyDescent="0.25">
      <c r="B1554" s="1" t="s">
        <v>1479</v>
      </c>
      <c r="C1554" s="1" t="s">
        <v>1481</v>
      </c>
      <c r="D1554" s="4" t="e">
        <f>VLOOKUP(A1554,المعطيات!$A$1:$J$3500,5,0)</f>
        <v>#N/A</v>
      </c>
      <c r="E1554" s="1" t="s">
        <v>1482</v>
      </c>
      <c r="F1554" s="5">
        <f t="shared" si="72"/>
        <v>0</v>
      </c>
      <c r="G1554" s="5" t="s">
        <v>1483</v>
      </c>
      <c r="H1554" s="4" t="e">
        <f>VLOOKUP(A1554,المعطيات!$A$1:$J$3500,3,0)</f>
        <v>#N/A</v>
      </c>
      <c r="I1554" s="1" t="s">
        <v>1484</v>
      </c>
      <c r="J1554" s="1" t="s">
        <v>1485</v>
      </c>
      <c r="K1554" s="4" t="e">
        <f>VLOOKUP(A1554,المعطيات!$A$1:$J$3500,6,0)</f>
        <v>#N/A</v>
      </c>
      <c r="L1554" s="1" t="s">
        <v>1486</v>
      </c>
      <c r="M1554" s="1" t="s">
        <v>1487</v>
      </c>
      <c r="N1554" s="4" t="e">
        <f t="shared" si="73"/>
        <v>#N/A</v>
      </c>
      <c r="O1554" s="1" t="s">
        <v>1488</v>
      </c>
      <c r="P1554" s="4" t="e">
        <f>VLOOKUP(A1554,المعطيات!$A$1:$J$3500,4,0)</f>
        <v>#N/A</v>
      </c>
      <c r="Q1554" s="1" t="s">
        <v>1489</v>
      </c>
      <c r="R1554" s="1" t="s">
        <v>1480</v>
      </c>
      <c r="S1554" s="6" t="e">
        <f t="shared" si="74"/>
        <v>#N/A</v>
      </c>
    </row>
    <row r="1555" spans="2:19" x14ac:dyDescent="0.25">
      <c r="B1555" s="1" t="s">
        <v>1479</v>
      </c>
      <c r="C1555" s="1" t="s">
        <v>1481</v>
      </c>
      <c r="D1555" s="4" t="e">
        <f>VLOOKUP(A1555,المعطيات!$A$1:$J$3500,5,0)</f>
        <v>#N/A</v>
      </c>
      <c r="E1555" s="1" t="s">
        <v>1482</v>
      </c>
      <c r="F1555" s="5">
        <f t="shared" si="72"/>
        <v>0</v>
      </c>
      <c r="G1555" s="5" t="s">
        <v>1483</v>
      </c>
      <c r="H1555" s="4" t="e">
        <f>VLOOKUP(A1555,المعطيات!$A$1:$J$3500,3,0)</f>
        <v>#N/A</v>
      </c>
      <c r="I1555" s="1" t="s">
        <v>1484</v>
      </c>
      <c r="J1555" s="1" t="s">
        <v>1485</v>
      </c>
      <c r="K1555" s="4" t="e">
        <f>VLOOKUP(A1555,المعطيات!$A$1:$J$3500,6,0)</f>
        <v>#N/A</v>
      </c>
      <c r="L1555" s="1" t="s">
        <v>1486</v>
      </c>
      <c r="M1555" s="1" t="s">
        <v>1487</v>
      </c>
      <c r="N1555" s="4" t="e">
        <f t="shared" si="73"/>
        <v>#N/A</v>
      </c>
      <c r="O1555" s="1" t="s">
        <v>1488</v>
      </c>
      <c r="P1555" s="4" t="e">
        <f>VLOOKUP(A1555,المعطيات!$A$1:$J$3500,4,0)</f>
        <v>#N/A</v>
      </c>
      <c r="Q1555" s="1" t="s">
        <v>1489</v>
      </c>
      <c r="R1555" s="1" t="s">
        <v>1480</v>
      </c>
      <c r="S1555" s="6" t="e">
        <f t="shared" si="74"/>
        <v>#N/A</v>
      </c>
    </row>
    <row r="1556" spans="2:19" x14ac:dyDescent="0.25">
      <c r="B1556" s="1" t="s">
        <v>1479</v>
      </c>
      <c r="C1556" s="1" t="s">
        <v>1481</v>
      </c>
      <c r="D1556" s="4" t="e">
        <f>VLOOKUP(A1556,المعطيات!$A$1:$J$3500,5,0)</f>
        <v>#N/A</v>
      </c>
      <c r="E1556" s="1" t="s">
        <v>1482</v>
      </c>
      <c r="F1556" s="5">
        <f t="shared" si="72"/>
        <v>0</v>
      </c>
      <c r="G1556" s="5" t="s">
        <v>1483</v>
      </c>
      <c r="H1556" s="4" t="e">
        <f>VLOOKUP(A1556,المعطيات!$A$1:$J$3500,3,0)</f>
        <v>#N/A</v>
      </c>
      <c r="I1556" s="1" t="s">
        <v>1484</v>
      </c>
      <c r="J1556" s="1" t="s">
        <v>1485</v>
      </c>
      <c r="K1556" s="4" t="e">
        <f>VLOOKUP(A1556,المعطيات!$A$1:$J$3500,6,0)</f>
        <v>#N/A</v>
      </c>
      <c r="L1556" s="1" t="s">
        <v>1486</v>
      </c>
      <c r="M1556" s="1" t="s">
        <v>1487</v>
      </c>
      <c r="N1556" s="4" t="e">
        <f t="shared" si="73"/>
        <v>#N/A</v>
      </c>
      <c r="O1556" s="1" t="s">
        <v>1488</v>
      </c>
      <c r="P1556" s="4" t="e">
        <f>VLOOKUP(A1556,المعطيات!$A$1:$J$3500,4,0)</f>
        <v>#N/A</v>
      </c>
      <c r="Q1556" s="1" t="s">
        <v>1489</v>
      </c>
      <c r="R1556" s="1" t="s">
        <v>1480</v>
      </c>
      <c r="S1556" s="6" t="e">
        <f t="shared" si="74"/>
        <v>#N/A</v>
      </c>
    </row>
    <row r="1557" spans="2:19" x14ac:dyDescent="0.25">
      <c r="B1557" s="1" t="s">
        <v>1479</v>
      </c>
      <c r="C1557" s="1" t="s">
        <v>1481</v>
      </c>
      <c r="D1557" s="4" t="e">
        <f>VLOOKUP(A1557,المعطيات!$A$1:$J$3500,5,0)</f>
        <v>#N/A</v>
      </c>
      <c r="E1557" s="1" t="s">
        <v>1482</v>
      </c>
      <c r="F1557" s="5">
        <f t="shared" si="72"/>
        <v>0</v>
      </c>
      <c r="G1557" s="5" t="s">
        <v>1483</v>
      </c>
      <c r="H1557" s="4" t="e">
        <f>VLOOKUP(A1557,المعطيات!$A$1:$J$3500,3,0)</f>
        <v>#N/A</v>
      </c>
      <c r="I1557" s="1" t="s">
        <v>1484</v>
      </c>
      <c r="J1557" s="1" t="s">
        <v>1485</v>
      </c>
      <c r="K1557" s="4" t="e">
        <f>VLOOKUP(A1557,المعطيات!$A$1:$J$3500,6,0)</f>
        <v>#N/A</v>
      </c>
      <c r="L1557" s="1" t="s">
        <v>1486</v>
      </c>
      <c r="M1557" s="1" t="s">
        <v>1487</v>
      </c>
      <c r="N1557" s="4" t="e">
        <f t="shared" si="73"/>
        <v>#N/A</v>
      </c>
      <c r="O1557" s="1" t="s">
        <v>1488</v>
      </c>
      <c r="P1557" s="4" t="e">
        <f>VLOOKUP(A1557,المعطيات!$A$1:$J$3500,4,0)</f>
        <v>#N/A</v>
      </c>
      <c r="Q1557" s="1" t="s">
        <v>1489</v>
      </c>
      <c r="R1557" s="1" t="s">
        <v>1480</v>
      </c>
      <c r="S1557" s="6" t="e">
        <f t="shared" si="74"/>
        <v>#N/A</v>
      </c>
    </row>
    <row r="1558" spans="2:19" x14ac:dyDescent="0.25">
      <c r="B1558" s="1" t="s">
        <v>1479</v>
      </c>
      <c r="C1558" s="1" t="s">
        <v>1481</v>
      </c>
      <c r="D1558" s="4" t="e">
        <f>VLOOKUP(A1558,المعطيات!$A$1:$J$3500,5,0)</f>
        <v>#N/A</v>
      </c>
      <c r="E1558" s="1" t="s">
        <v>1482</v>
      </c>
      <c r="F1558" s="5">
        <f t="shared" si="72"/>
        <v>0</v>
      </c>
      <c r="G1558" s="5" t="s">
        <v>1483</v>
      </c>
      <c r="H1558" s="4" t="e">
        <f>VLOOKUP(A1558,المعطيات!$A$1:$J$3500,3,0)</f>
        <v>#N/A</v>
      </c>
      <c r="I1558" s="1" t="s">
        <v>1484</v>
      </c>
      <c r="J1558" s="1" t="s">
        <v>1485</v>
      </c>
      <c r="K1558" s="4" t="e">
        <f>VLOOKUP(A1558,المعطيات!$A$1:$J$3500,6,0)</f>
        <v>#N/A</v>
      </c>
      <c r="L1558" s="1" t="s">
        <v>1486</v>
      </c>
      <c r="M1558" s="1" t="s">
        <v>1487</v>
      </c>
      <c r="N1558" s="4" t="e">
        <f t="shared" si="73"/>
        <v>#N/A</v>
      </c>
      <c r="O1558" s="1" t="s">
        <v>1488</v>
      </c>
      <c r="P1558" s="4" t="e">
        <f>VLOOKUP(A1558,المعطيات!$A$1:$J$3500,4,0)</f>
        <v>#N/A</v>
      </c>
      <c r="Q1558" s="1" t="s">
        <v>1489</v>
      </c>
      <c r="R1558" s="1" t="s">
        <v>1480</v>
      </c>
      <c r="S1558" s="6" t="e">
        <f t="shared" si="74"/>
        <v>#N/A</v>
      </c>
    </row>
    <row r="1559" spans="2:19" x14ac:dyDescent="0.25">
      <c r="B1559" s="1" t="s">
        <v>1479</v>
      </c>
      <c r="C1559" s="1" t="s">
        <v>1481</v>
      </c>
      <c r="D1559" s="4" t="e">
        <f>VLOOKUP(A1559,المعطيات!$A$1:$J$3500,5,0)</f>
        <v>#N/A</v>
      </c>
      <c r="E1559" s="1" t="s">
        <v>1482</v>
      </c>
      <c r="F1559" s="5">
        <f t="shared" si="72"/>
        <v>0</v>
      </c>
      <c r="G1559" s="5" t="s">
        <v>1483</v>
      </c>
      <c r="H1559" s="4" t="e">
        <f>VLOOKUP(A1559,المعطيات!$A$1:$J$3500,3,0)</f>
        <v>#N/A</v>
      </c>
      <c r="I1559" s="1" t="s">
        <v>1484</v>
      </c>
      <c r="J1559" s="1" t="s">
        <v>1485</v>
      </c>
      <c r="K1559" s="4" t="e">
        <f>VLOOKUP(A1559,المعطيات!$A$1:$J$3500,6,0)</f>
        <v>#N/A</v>
      </c>
      <c r="L1559" s="1" t="s">
        <v>1486</v>
      </c>
      <c r="M1559" s="1" t="s">
        <v>1487</v>
      </c>
      <c r="N1559" s="4" t="e">
        <f t="shared" si="73"/>
        <v>#N/A</v>
      </c>
      <c r="O1559" s="1" t="s">
        <v>1488</v>
      </c>
      <c r="P1559" s="4" t="e">
        <f>VLOOKUP(A1559,المعطيات!$A$1:$J$3500,4,0)</f>
        <v>#N/A</v>
      </c>
      <c r="Q1559" s="1" t="s">
        <v>1489</v>
      </c>
      <c r="R1559" s="1" t="s">
        <v>1480</v>
      </c>
      <c r="S1559" s="6" t="e">
        <f t="shared" si="74"/>
        <v>#N/A</v>
      </c>
    </row>
    <row r="1560" spans="2:19" x14ac:dyDescent="0.25">
      <c r="B1560" s="1" t="s">
        <v>1479</v>
      </c>
      <c r="C1560" s="1" t="s">
        <v>1481</v>
      </c>
      <c r="D1560" s="4" t="e">
        <f>VLOOKUP(A1560,المعطيات!$A$1:$J$3500,5,0)</f>
        <v>#N/A</v>
      </c>
      <c r="E1560" s="1" t="s">
        <v>1482</v>
      </c>
      <c r="F1560" s="5">
        <f t="shared" si="72"/>
        <v>0</v>
      </c>
      <c r="G1560" s="5" t="s">
        <v>1483</v>
      </c>
      <c r="H1560" s="4" t="e">
        <f>VLOOKUP(A1560,المعطيات!$A$1:$J$3500,3,0)</f>
        <v>#N/A</v>
      </c>
      <c r="I1560" s="1" t="s">
        <v>1484</v>
      </c>
      <c r="J1560" s="1" t="s">
        <v>1485</v>
      </c>
      <c r="K1560" s="4" t="e">
        <f>VLOOKUP(A1560,المعطيات!$A$1:$J$3500,6,0)</f>
        <v>#N/A</v>
      </c>
      <c r="L1560" s="1" t="s">
        <v>1486</v>
      </c>
      <c r="M1560" s="1" t="s">
        <v>1487</v>
      </c>
      <c r="N1560" s="4" t="e">
        <f t="shared" si="73"/>
        <v>#N/A</v>
      </c>
      <c r="O1560" s="1" t="s">
        <v>1488</v>
      </c>
      <c r="P1560" s="4" t="e">
        <f>VLOOKUP(A1560,المعطيات!$A$1:$J$3500,4,0)</f>
        <v>#N/A</v>
      </c>
      <c r="Q1560" s="1" t="s">
        <v>1489</v>
      </c>
      <c r="R1560" s="1" t="s">
        <v>1480</v>
      </c>
      <c r="S1560" s="6" t="e">
        <f t="shared" si="74"/>
        <v>#N/A</v>
      </c>
    </row>
    <row r="1561" spans="2:19" x14ac:dyDescent="0.25">
      <c r="B1561" s="1" t="s">
        <v>1479</v>
      </c>
      <c r="C1561" s="1" t="s">
        <v>1481</v>
      </c>
      <c r="D1561" s="4" t="e">
        <f>VLOOKUP(A1561,المعطيات!$A$1:$J$3500,5,0)</f>
        <v>#N/A</v>
      </c>
      <c r="E1561" s="1" t="s">
        <v>1482</v>
      </c>
      <c r="F1561" s="5">
        <f t="shared" si="72"/>
        <v>0</v>
      </c>
      <c r="G1561" s="5" t="s">
        <v>1483</v>
      </c>
      <c r="H1561" s="4" t="e">
        <f>VLOOKUP(A1561,المعطيات!$A$1:$J$3500,3,0)</f>
        <v>#N/A</v>
      </c>
      <c r="I1561" s="1" t="s">
        <v>1484</v>
      </c>
      <c r="J1561" s="1" t="s">
        <v>1485</v>
      </c>
      <c r="K1561" s="4" t="e">
        <f>VLOOKUP(A1561,المعطيات!$A$1:$J$3500,6,0)</f>
        <v>#N/A</v>
      </c>
      <c r="L1561" s="1" t="s">
        <v>1486</v>
      </c>
      <c r="M1561" s="1" t="s">
        <v>1487</v>
      </c>
      <c r="N1561" s="4" t="e">
        <f t="shared" si="73"/>
        <v>#N/A</v>
      </c>
      <c r="O1561" s="1" t="s">
        <v>1488</v>
      </c>
      <c r="P1561" s="4" t="e">
        <f>VLOOKUP(A1561,المعطيات!$A$1:$J$3500,4,0)</f>
        <v>#N/A</v>
      </c>
      <c r="Q1561" s="1" t="s">
        <v>1489</v>
      </c>
      <c r="R1561" s="1" t="s">
        <v>1480</v>
      </c>
      <c r="S1561" s="6" t="e">
        <f t="shared" si="74"/>
        <v>#N/A</v>
      </c>
    </row>
    <row r="1562" spans="2:19" x14ac:dyDescent="0.25">
      <c r="B1562" s="1" t="s">
        <v>1479</v>
      </c>
      <c r="C1562" s="1" t="s">
        <v>1481</v>
      </c>
      <c r="D1562" s="4" t="e">
        <f>VLOOKUP(A1562,المعطيات!$A$1:$J$3500,5,0)</f>
        <v>#N/A</v>
      </c>
      <c r="E1562" s="1" t="s">
        <v>1482</v>
      </c>
      <c r="F1562" s="5">
        <f t="shared" si="72"/>
        <v>0</v>
      </c>
      <c r="G1562" s="5" t="s">
        <v>1483</v>
      </c>
      <c r="H1562" s="4" t="e">
        <f>VLOOKUP(A1562,المعطيات!$A$1:$J$3500,3,0)</f>
        <v>#N/A</v>
      </c>
      <c r="I1562" s="1" t="s">
        <v>1484</v>
      </c>
      <c r="J1562" s="1" t="s">
        <v>1485</v>
      </c>
      <c r="K1562" s="4" t="e">
        <f>VLOOKUP(A1562,المعطيات!$A$1:$J$3500,6,0)</f>
        <v>#N/A</v>
      </c>
      <c r="L1562" s="1" t="s">
        <v>1486</v>
      </c>
      <c r="M1562" s="1" t="s">
        <v>1487</v>
      </c>
      <c r="N1562" s="4" t="e">
        <f t="shared" si="73"/>
        <v>#N/A</v>
      </c>
      <c r="O1562" s="1" t="s">
        <v>1488</v>
      </c>
      <c r="P1562" s="4" t="e">
        <f>VLOOKUP(A1562,المعطيات!$A$1:$J$3500,4,0)</f>
        <v>#N/A</v>
      </c>
      <c r="Q1562" s="1" t="s">
        <v>1489</v>
      </c>
      <c r="R1562" s="1" t="s">
        <v>1480</v>
      </c>
      <c r="S1562" s="6" t="e">
        <f t="shared" si="74"/>
        <v>#N/A</v>
      </c>
    </row>
    <row r="1563" spans="2:19" x14ac:dyDescent="0.25">
      <c r="B1563" s="1" t="s">
        <v>1479</v>
      </c>
      <c r="C1563" s="1" t="s">
        <v>1481</v>
      </c>
      <c r="D1563" s="4" t="e">
        <f>VLOOKUP(A1563,المعطيات!$A$1:$J$3500,5,0)</f>
        <v>#N/A</v>
      </c>
      <c r="E1563" s="1" t="s">
        <v>1482</v>
      </c>
      <c r="F1563" s="5">
        <f t="shared" si="72"/>
        <v>0</v>
      </c>
      <c r="G1563" s="5" t="s">
        <v>1483</v>
      </c>
      <c r="H1563" s="4" t="e">
        <f>VLOOKUP(A1563,المعطيات!$A$1:$J$3500,3,0)</f>
        <v>#N/A</v>
      </c>
      <c r="I1563" s="1" t="s">
        <v>1484</v>
      </c>
      <c r="J1563" s="1" t="s">
        <v>1485</v>
      </c>
      <c r="K1563" s="4" t="e">
        <f>VLOOKUP(A1563,المعطيات!$A$1:$J$3500,6,0)</f>
        <v>#N/A</v>
      </c>
      <c r="L1563" s="1" t="s">
        <v>1486</v>
      </c>
      <c r="M1563" s="1" t="s">
        <v>1487</v>
      </c>
      <c r="N1563" s="4" t="e">
        <f t="shared" si="73"/>
        <v>#N/A</v>
      </c>
      <c r="O1563" s="1" t="s">
        <v>1488</v>
      </c>
      <c r="P1563" s="4" t="e">
        <f>VLOOKUP(A1563,المعطيات!$A$1:$J$3500,4,0)</f>
        <v>#N/A</v>
      </c>
      <c r="Q1563" s="1" t="s">
        <v>1489</v>
      </c>
      <c r="R1563" s="1" t="s">
        <v>1480</v>
      </c>
      <c r="S1563" s="6" t="e">
        <f t="shared" si="74"/>
        <v>#N/A</v>
      </c>
    </row>
    <row r="1564" spans="2:19" x14ac:dyDescent="0.25">
      <c r="B1564" s="1" t="s">
        <v>1479</v>
      </c>
      <c r="C1564" s="1" t="s">
        <v>1481</v>
      </c>
      <c r="D1564" s="4" t="e">
        <f>VLOOKUP(A1564,المعطيات!$A$1:$J$3500,5,0)</f>
        <v>#N/A</v>
      </c>
      <c r="E1564" s="1" t="s">
        <v>1482</v>
      </c>
      <c r="F1564" s="5">
        <f t="shared" si="72"/>
        <v>0</v>
      </c>
      <c r="G1564" s="5" t="s">
        <v>1483</v>
      </c>
      <c r="H1564" s="4" t="e">
        <f>VLOOKUP(A1564,المعطيات!$A$1:$J$3500,3,0)</f>
        <v>#N/A</v>
      </c>
      <c r="I1564" s="1" t="s">
        <v>1484</v>
      </c>
      <c r="J1564" s="1" t="s">
        <v>1485</v>
      </c>
      <c r="K1564" s="4" t="e">
        <f>VLOOKUP(A1564,المعطيات!$A$1:$J$3500,6,0)</f>
        <v>#N/A</v>
      </c>
      <c r="L1564" s="1" t="s">
        <v>1486</v>
      </c>
      <c r="M1564" s="1" t="s">
        <v>1487</v>
      </c>
      <c r="N1564" s="4" t="e">
        <f t="shared" si="73"/>
        <v>#N/A</v>
      </c>
      <c r="O1564" s="1" t="s">
        <v>1488</v>
      </c>
      <c r="P1564" s="4" t="e">
        <f>VLOOKUP(A1564,المعطيات!$A$1:$J$3500,4,0)</f>
        <v>#N/A</v>
      </c>
      <c r="Q1564" s="1" t="s">
        <v>1489</v>
      </c>
      <c r="R1564" s="1" t="s">
        <v>1480</v>
      </c>
      <c r="S1564" s="6" t="e">
        <f t="shared" si="74"/>
        <v>#N/A</v>
      </c>
    </row>
    <row r="1565" spans="2:19" x14ac:dyDescent="0.25">
      <c r="B1565" s="1" t="s">
        <v>1479</v>
      </c>
      <c r="C1565" s="1" t="s">
        <v>1481</v>
      </c>
      <c r="D1565" s="4" t="e">
        <f>VLOOKUP(A1565,المعطيات!$A$1:$J$3500,5,0)</f>
        <v>#N/A</v>
      </c>
      <c r="E1565" s="1" t="s">
        <v>1482</v>
      </c>
      <c r="F1565" s="5">
        <f t="shared" si="72"/>
        <v>0</v>
      </c>
      <c r="G1565" s="5" t="s">
        <v>1483</v>
      </c>
      <c r="H1565" s="4" t="e">
        <f>VLOOKUP(A1565,المعطيات!$A$1:$J$3500,3,0)</f>
        <v>#N/A</v>
      </c>
      <c r="I1565" s="1" t="s">
        <v>1484</v>
      </c>
      <c r="J1565" s="1" t="s">
        <v>1485</v>
      </c>
      <c r="K1565" s="4" t="e">
        <f>VLOOKUP(A1565,المعطيات!$A$1:$J$3500,6,0)</f>
        <v>#N/A</v>
      </c>
      <c r="L1565" s="1" t="s">
        <v>1486</v>
      </c>
      <c r="M1565" s="1" t="s">
        <v>1487</v>
      </c>
      <c r="N1565" s="4" t="e">
        <f t="shared" si="73"/>
        <v>#N/A</v>
      </c>
      <c r="O1565" s="1" t="s">
        <v>1488</v>
      </c>
      <c r="P1565" s="4" t="e">
        <f>VLOOKUP(A1565,المعطيات!$A$1:$J$3500,4,0)</f>
        <v>#N/A</v>
      </c>
      <c r="Q1565" s="1" t="s">
        <v>1489</v>
      </c>
      <c r="R1565" s="1" t="s">
        <v>1480</v>
      </c>
      <c r="S1565" s="6" t="e">
        <f t="shared" si="74"/>
        <v>#N/A</v>
      </c>
    </row>
    <row r="1566" spans="2:19" x14ac:dyDescent="0.25">
      <c r="B1566" s="1" t="s">
        <v>1479</v>
      </c>
      <c r="C1566" s="1" t="s">
        <v>1481</v>
      </c>
      <c r="D1566" s="4" t="e">
        <f>VLOOKUP(A1566,المعطيات!$A$1:$J$3500,5,0)</f>
        <v>#N/A</v>
      </c>
      <c r="E1566" s="1" t="s">
        <v>1482</v>
      </c>
      <c r="F1566" s="5">
        <f t="shared" si="72"/>
        <v>0</v>
      </c>
      <c r="G1566" s="5" t="s">
        <v>1483</v>
      </c>
      <c r="H1566" s="4" t="e">
        <f>VLOOKUP(A1566,المعطيات!$A$1:$J$3500,3,0)</f>
        <v>#N/A</v>
      </c>
      <c r="I1566" s="1" t="s">
        <v>1484</v>
      </c>
      <c r="J1566" s="1" t="s">
        <v>1485</v>
      </c>
      <c r="K1566" s="4" t="e">
        <f>VLOOKUP(A1566,المعطيات!$A$1:$J$3500,6,0)</f>
        <v>#N/A</v>
      </c>
      <c r="L1566" s="1" t="s">
        <v>1486</v>
      </c>
      <c r="M1566" s="1" t="s">
        <v>1487</v>
      </c>
      <c r="N1566" s="4" t="e">
        <f t="shared" si="73"/>
        <v>#N/A</v>
      </c>
      <c r="O1566" s="1" t="s">
        <v>1488</v>
      </c>
      <c r="P1566" s="4" t="e">
        <f>VLOOKUP(A1566,المعطيات!$A$1:$J$3500,4,0)</f>
        <v>#N/A</v>
      </c>
      <c r="Q1566" s="1" t="s">
        <v>1489</v>
      </c>
      <c r="R1566" s="1" t="s">
        <v>1480</v>
      </c>
      <c r="S1566" s="6" t="e">
        <f t="shared" si="74"/>
        <v>#N/A</v>
      </c>
    </row>
    <row r="1567" spans="2:19" x14ac:dyDescent="0.25">
      <c r="B1567" s="1" t="s">
        <v>1479</v>
      </c>
      <c r="C1567" s="1" t="s">
        <v>1481</v>
      </c>
      <c r="D1567" s="4" t="e">
        <f>VLOOKUP(A1567,المعطيات!$A$1:$J$3500,5,0)</f>
        <v>#N/A</v>
      </c>
      <c r="E1567" s="1" t="s">
        <v>1482</v>
      </c>
      <c r="F1567" s="5">
        <f t="shared" si="72"/>
        <v>0</v>
      </c>
      <c r="G1567" s="5" t="s">
        <v>1483</v>
      </c>
      <c r="H1567" s="4" t="e">
        <f>VLOOKUP(A1567,المعطيات!$A$1:$J$3500,3,0)</f>
        <v>#N/A</v>
      </c>
      <c r="I1567" s="1" t="s">
        <v>1484</v>
      </c>
      <c r="J1567" s="1" t="s">
        <v>1485</v>
      </c>
      <c r="K1567" s="4" t="e">
        <f>VLOOKUP(A1567,المعطيات!$A$1:$J$3500,6,0)</f>
        <v>#N/A</v>
      </c>
      <c r="L1567" s="1" t="s">
        <v>1486</v>
      </c>
      <c r="M1567" s="1" t="s">
        <v>1487</v>
      </c>
      <c r="N1567" s="4" t="e">
        <f t="shared" si="73"/>
        <v>#N/A</v>
      </c>
      <c r="O1567" s="1" t="s">
        <v>1488</v>
      </c>
      <c r="P1567" s="4" t="e">
        <f>VLOOKUP(A1567,المعطيات!$A$1:$J$3500,4,0)</f>
        <v>#N/A</v>
      </c>
      <c r="Q1567" s="1" t="s">
        <v>1489</v>
      </c>
      <c r="R1567" s="1" t="s">
        <v>1480</v>
      </c>
      <c r="S1567" s="6" t="e">
        <f t="shared" si="74"/>
        <v>#N/A</v>
      </c>
    </row>
    <row r="1568" spans="2:19" x14ac:dyDescent="0.25">
      <c r="B1568" s="1" t="s">
        <v>1479</v>
      </c>
      <c r="C1568" s="1" t="s">
        <v>1481</v>
      </c>
      <c r="D1568" s="4" t="e">
        <f>VLOOKUP(A1568,المعطيات!$A$1:$J$3500,5,0)</f>
        <v>#N/A</v>
      </c>
      <c r="E1568" s="1" t="s">
        <v>1482</v>
      </c>
      <c r="F1568" s="5">
        <f t="shared" si="72"/>
        <v>0</v>
      </c>
      <c r="G1568" s="5" t="s">
        <v>1483</v>
      </c>
      <c r="H1568" s="4" t="e">
        <f>VLOOKUP(A1568,المعطيات!$A$1:$J$3500,3,0)</f>
        <v>#N/A</v>
      </c>
      <c r="I1568" s="1" t="s">
        <v>1484</v>
      </c>
      <c r="J1568" s="1" t="s">
        <v>1485</v>
      </c>
      <c r="K1568" s="4" t="e">
        <f>VLOOKUP(A1568,المعطيات!$A$1:$J$3500,6,0)</f>
        <v>#N/A</v>
      </c>
      <c r="L1568" s="1" t="s">
        <v>1486</v>
      </c>
      <c r="M1568" s="1" t="s">
        <v>1487</v>
      </c>
      <c r="N1568" s="4" t="e">
        <f t="shared" si="73"/>
        <v>#N/A</v>
      </c>
      <c r="O1568" s="1" t="s">
        <v>1488</v>
      </c>
      <c r="P1568" s="4" t="e">
        <f>VLOOKUP(A1568,المعطيات!$A$1:$J$3500,4,0)</f>
        <v>#N/A</v>
      </c>
      <c r="Q1568" s="1" t="s">
        <v>1489</v>
      </c>
      <c r="R1568" s="1" t="s">
        <v>1480</v>
      </c>
      <c r="S1568" s="6" t="e">
        <f t="shared" si="74"/>
        <v>#N/A</v>
      </c>
    </row>
    <row r="1569" spans="2:19" x14ac:dyDescent="0.25">
      <c r="B1569" s="1" t="s">
        <v>1479</v>
      </c>
      <c r="C1569" s="1" t="s">
        <v>1481</v>
      </c>
      <c r="D1569" s="4" t="e">
        <f>VLOOKUP(A1569,المعطيات!$A$1:$J$3500,5,0)</f>
        <v>#N/A</v>
      </c>
      <c r="E1569" s="1" t="s">
        <v>1482</v>
      </c>
      <c r="F1569" s="5">
        <f t="shared" si="72"/>
        <v>0</v>
      </c>
      <c r="G1569" s="5" t="s">
        <v>1483</v>
      </c>
      <c r="H1569" s="4" t="e">
        <f>VLOOKUP(A1569,المعطيات!$A$1:$J$3500,3,0)</f>
        <v>#N/A</v>
      </c>
      <c r="I1569" s="1" t="s">
        <v>1484</v>
      </c>
      <c r="J1569" s="1" t="s">
        <v>1485</v>
      </c>
      <c r="K1569" s="4" t="e">
        <f>VLOOKUP(A1569,المعطيات!$A$1:$J$3500,6,0)</f>
        <v>#N/A</v>
      </c>
      <c r="L1569" s="1" t="s">
        <v>1486</v>
      </c>
      <c r="M1569" s="1" t="s">
        <v>1487</v>
      </c>
      <c r="N1569" s="4" t="e">
        <f t="shared" si="73"/>
        <v>#N/A</v>
      </c>
      <c r="O1569" s="1" t="s">
        <v>1488</v>
      </c>
      <c r="P1569" s="4" t="e">
        <f>VLOOKUP(A1569,المعطيات!$A$1:$J$3500,4,0)</f>
        <v>#N/A</v>
      </c>
      <c r="Q1569" s="1" t="s">
        <v>1489</v>
      </c>
      <c r="R1569" s="1" t="s">
        <v>1480</v>
      </c>
      <c r="S1569" s="6" t="e">
        <f t="shared" si="74"/>
        <v>#N/A</v>
      </c>
    </row>
    <row r="1570" spans="2:19" x14ac:dyDescent="0.25">
      <c r="B1570" s="1" t="s">
        <v>1479</v>
      </c>
      <c r="C1570" s="1" t="s">
        <v>1481</v>
      </c>
      <c r="D1570" s="4" t="e">
        <f>VLOOKUP(A1570,المعطيات!$A$1:$J$3500,5,0)</f>
        <v>#N/A</v>
      </c>
      <c r="E1570" s="1" t="s">
        <v>1482</v>
      </c>
      <c r="F1570" s="5">
        <f t="shared" si="72"/>
        <v>0</v>
      </c>
      <c r="G1570" s="5" t="s">
        <v>1483</v>
      </c>
      <c r="H1570" s="4" t="e">
        <f>VLOOKUP(A1570,المعطيات!$A$1:$J$3500,3,0)</f>
        <v>#N/A</v>
      </c>
      <c r="I1570" s="1" t="s">
        <v>1484</v>
      </c>
      <c r="J1570" s="1" t="s">
        <v>1485</v>
      </c>
      <c r="K1570" s="4" t="e">
        <f>VLOOKUP(A1570,المعطيات!$A$1:$J$3500,6,0)</f>
        <v>#N/A</v>
      </c>
      <c r="L1570" s="1" t="s">
        <v>1486</v>
      </c>
      <c r="M1570" s="1" t="s">
        <v>1487</v>
      </c>
      <c r="N1570" s="4" t="e">
        <f t="shared" si="73"/>
        <v>#N/A</v>
      </c>
      <c r="O1570" s="1" t="s">
        <v>1488</v>
      </c>
      <c r="P1570" s="4" t="e">
        <f>VLOOKUP(A1570,المعطيات!$A$1:$J$3500,4,0)</f>
        <v>#N/A</v>
      </c>
      <c r="Q1570" s="1" t="s">
        <v>1489</v>
      </c>
      <c r="R1570" s="1" t="s">
        <v>1480</v>
      </c>
      <c r="S1570" s="6" t="e">
        <f t="shared" si="74"/>
        <v>#N/A</v>
      </c>
    </row>
    <row r="1571" spans="2:19" x14ac:dyDescent="0.25">
      <c r="B1571" s="1" t="s">
        <v>1479</v>
      </c>
      <c r="C1571" s="1" t="s">
        <v>1481</v>
      </c>
      <c r="D1571" s="4" t="e">
        <f>VLOOKUP(A1571,المعطيات!$A$1:$J$3500,5,0)</f>
        <v>#N/A</v>
      </c>
      <c r="E1571" s="1" t="s">
        <v>1482</v>
      </c>
      <c r="F1571" s="5">
        <f t="shared" si="72"/>
        <v>0</v>
      </c>
      <c r="G1571" s="5" t="s">
        <v>1483</v>
      </c>
      <c r="H1571" s="4" t="e">
        <f>VLOOKUP(A1571,المعطيات!$A$1:$J$3500,3,0)</f>
        <v>#N/A</v>
      </c>
      <c r="I1571" s="1" t="s">
        <v>1484</v>
      </c>
      <c r="J1571" s="1" t="s">
        <v>1485</v>
      </c>
      <c r="K1571" s="4" t="e">
        <f>VLOOKUP(A1571,المعطيات!$A$1:$J$3500,6,0)</f>
        <v>#N/A</v>
      </c>
      <c r="L1571" s="1" t="s">
        <v>1486</v>
      </c>
      <c r="M1571" s="1" t="s">
        <v>1487</v>
      </c>
      <c r="N1571" s="4" t="e">
        <f t="shared" si="73"/>
        <v>#N/A</v>
      </c>
      <c r="O1571" s="1" t="s">
        <v>1488</v>
      </c>
      <c r="P1571" s="4" t="e">
        <f>VLOOKUP(A1571,المعطيات!$A$1:$J$3500,4,0)</f>
        <v>#N/A</v>
      </c>
      <c r="Q1571" s="1" t="s">
        <v>1489</v>
      </c>
      <c r="R1571" s="1" t="s">
        <v>1480</v>
      </c>
      <c r="S1571" s="6" t="e">
        <f t="shared" si="74"/>
        <v>#N/A</v>
      </c>
    </row>
    <row r="1572" spans="2:19" x14ac:dyDescent="0.25">
      <c r="B1572" s="1" t="s">
        <v>1479</v>
      </c>
      <c r="C1572" s="1" t="s">
        <v>1481</v>
      </c>
      <c r="D1572" s="4" t="e">
        <f>VLOOKUP(A1572,المعطيات!$A$1:$J$3500,5,0)</f>
        <v>#N/A</v>
      </c>
      <c r="E1572" s="1" t="s">
        <v>1482</v>
      </c>
      <c r="F1572" s="5">
        <f t="shared" si="72"/>
        <v>0</v>
      </c>
      <c r="G1572" s="5" t="s">
        <v>1483</v>
      </c>
      <c r="H1572" s="4" t="e">
        <f>VLOOKUP(A1572,المعطيات!$A$1:$J$3500,3,0)</f>
        <v>#N/A</v>
      </c>
      <c r="I1572" s="1" t="s">
        <v>1484</v>
      </c>
      <c r="J1572" s="1" t="s">
        <v>1485</v>
      </c>
      <c r="K1572" s="4" t="e">
        <f>VLOOKUP(A1572,المعطيات!$A$1:$J$3500,6,0)</f>
        <v>#N/A</v>
      </c>
      <c r="L1572" s="1" t="s">
        <v>1486</v>
      </c>
      <c r="M1572" s="1" t="s">
        <v>1487</v>
      </c>
      <c r="N1572" s="4" t="e">
        <f t="shared" si="73"/>
        <v>#N/A</v>
      </c>
      <c r="O1572" s="1" t="s">
        <v>1488</v>
      </c>
      <c r="P1572" s="4" t="e">
        <f>VLOOKUP(A1572,المعطيات!$A$1:$J$3500,4,0)</f>
        <v>#N/A</v>
      </c>
      <c r="Q1572" s="1" t="s">
        <v>1489</v>
      </c>
      <c r="R1572" s="1" t="s">
        <v>1480</v>
      </c>
      <c r="S1572" s="6" t="e">
        <f t="shared" si="74"/>
        <v>#N/A</v>
      </c>
    </row>
    <row r="1573" spans="2:19" x14ac:dyDescent="0.25">
      <c r="B1573" s="1" t="s">
        <v>1479</v>
      </c>
      <c r="C1573" s="1" t="s">
        <v>1481</v>
      </c>
      <c r="D1573" s="4" t="e">
        <f>VLOOKUP(A1573,المعطيات!$A$1:$J$3500,5,0)</f>
        <v>#N/A</v>
      </c>
      <c r="E1573" s="1" t="s">
        <v>1482</v>
      </c>
      <c r="F1573" s="5">
        <f t="shared" si="72"/>
        <v>0</v>
      </c>
      <c r="G1573" s="5" t="s">
        <v>1483</v>
      </c>
      <c r="H1573" s="4" t="e">
        <f>VLOOKUP(A1573,المعطيات!$A$1:$J$3500,3,0)</f>
        <v>#N/A</v>
      </c>
      <c r="I1573" s="1" t="s">
        <v>1484</v>
      </c>
      <c r="J1573" s="1" t="s">
        <v>1485</v>
      </c>
      <c r="K1573" s="4" t="e">
        <f>VLOOKUP(A1573,المعطيات!$A$1:$J$3500,6,0)</f>
        <v>#N/A</v>
      </c>
      <c r="L1573" s="1" t="s">
        <v>1486</v>
      </c>
      <c r="M1573" s="1" t="s">
        <v>1487</v>
      </c>
      <c r="N1573" s="4" t="e">
        <f t="shared" si="73"/>
        <v>#N/A</v>
      </c>
      <c r="O1573" s="1" t="s">
        <v>1488</v>
      </c>
      <c r="P1573" s="4" t="e">
        <f>VLOOKUP(A1573,المعطيات!$A$1:$J$3500,4,0)</f>
        <v>#N/A</v>
      </c>
      <c r="Q1573" s="1" t="s">
        <v>1489</v>
      </c>
      <c r="R1573" s="1" t="s">
        <v>1480</v>
      </c>
      <c r="S1573" s="6" t="e">
        <f t="shared" si="74"/>
        <v>#N/A</v>
      </c>
    </row>
    <row r="1574" spans="2:19" x14ac:dyDescent="0.25">
      <c r="B1574" s="1" t="s">
        <v>1479</v>
      </c>
      <c r="C1574" s="1" t="s">
        <v>1481</v>
      </c>
      <c r="D1574" s="4" t="e">
        <f>VLOOKUP(A1574,المعطيات!$A$1:$J$3500,5,0)</f>
        <v>#N/A</v>
      </c>
      <c r="E1574" s="1" t="s">
        <v>1482</v>
      </c>
      <c r="F1574" s="5">
        <f t="shared" si="72"/>
        <v>0</v>
      </c>
      <c r="G1574" s="5" t="s">
        <v>1483</v>
      </c>
      <c r="H1574" s="4" t="e">
        <f>VLOOKUP(A1574,المعطيات!$A$1:$J$3500,3,0)</f>
        <v>#N/A</v>
      </c>
      <c r="I1574" s="1" t="s">
        <v>1484</v>
      </c>
      <c r="J1574" s="1" t="s">
        <v>1485</v>
      </c>
      <c r="K1574" s="4" t="e">
        <f>VLOOKUP(A1574,المعطيات!$A$1:$J$3500,6,0)</f>
        <v>#N/A</v>
      </c>
      <c r="L1574" s="1" t="s">
        <v>1486</v>
      </c>
      <c r="M1574" s="1" t="s">
        <v>1487</v>
      </c>
      <c r="N1574" s="4" t="e">
        <f t="shared" si="73"/>
        <v>#N/A</v>
      </c>
      <c r="O1574" s="1" t="s">
        <v>1488</v>
      </c>
      <c r="P1574" s="4" t="e">
        <f>VLOOKUP(A1574,المعطيات!$A$1:$J$3500,4,0)</f>
        <v>#N/A</v>
      </c>
      <c r="Q1574" s="1" t="s">
        <v>1489</v>
      </c>
      <c r="R1574" s="1" t="s">
        <v>1480</v>
      </c>
      <c r="S1574" s="6" t="e">
        <f t="shared" si="74"/>
        <v>#N/A</v>
      </c>
    </row>
    <row r="1575" spans="2:19" x14ac:dyDescent="0.25">
      <c r="B1575" s="1" t="s">
        <v>1479</v>
      </c>
      <c r="C1575" s="1" t="s">
        <v>1481</v>
      </c>
      <c r="D1575" s="4" t="e">
        <f>VLOOKUP(A1575,المعطيات!$A$1:$J$3500,5,0)</f>
        <v>#N/A</v>
      </c>
      <c r="E1575" s="1" t="s">
        <v>1482</v>
      </c>
      <c r="F1575" s="5">
        <f t="shared" si="72"/>
        <v>0</v>
      </c>
      <c r="G1575" s="5" t="s">
        <v>1483</v>
      </c>
      <c r="H1575" s="4" t="e">
        <f>VLOOKUP(A1575,المعطيات!$A$1:$J$3500,3,0)</f>
        <v>#N/A</v>
      </c>
      <c r="I1575" s="1" t="s">
        <v>1484</v>
      </c>
      <c r="J1575" s="1" t="s">
        <v>1485</v>
      </c>
      <c r="K1575" s="4" t="e">
        <f>VLOOKUP(A1575,المعطيات!$A$1:$J$3500,6,0)</f>
        <v>#N/A</v>
      </c>
      <c r="L1575" s="1" t="s">
        <v>1486</v>
      </c>
      <c r="M1575" s="1" t="s">
        <v>1487</v>
      </c>
      <c r="N1575" s="4" t="e">
        <f t="shared" si="73"/>
        <v>#N/A</v>
      </c>
      <c r="O1575" s="1" t="s">
        <v>1488</v>
      </c>
      <c r="P1575" s="4" t="e">
        <f>VLOOKUP(A1575,المعطيات!$A$1:$J$3500,4,0)</f>
        <v>#N/A</v>
      </c>
      <c r="Q1575" s="1" t="s">
        <v>1489</v>
      </c>
      <c r="R1575" s="1" t="s">
        <v>1480</v>
      </c>
      <c r="S1575" s="6" t="e">
        <f t="shared" si="74"/>
        <v>#N/A</v>
      </c>
    </row>
    <row r="1576" spans="2:19" x14ac:dyDescent="0.25">
      <c r="B1576" s="1" t="s">
        <v>1479</v>
      </c>
      <c r="C1576" s="1" t="s">
        <v>1481</v>
      </c>
      <c r="D1576" s="4" t="e">
        <f>VLOOKUP(A1576,المعطيات!$A$1:$J$3500,5,0)</f>
        <v>#N/A</v>
      </c>
      <c r="E1576" s="1" t="s">
        <v>1482</v>
      </c>
      <c r="F1576" s="5">
        <f t="shared" si="72"/>
        <v>0</v>
      </c>
      <c r="G1576" s="5" t="s">
        <v>1483</v>
      </c>
      <c r="H1576" s="4" t="e">
        <f>VLOOKUP(A1576,المعطيات!$A$1:$J$3500,3,0)</f>
        <v>#N/A</v>
      </c>
      <c r="I1576" s="1" t="s">
        <v>1484</v>
      </c>
      <c r="J1576" s="1" t="s">
        <v>1485</v>
      </c>
      <c r="K1576" s="4" t="e">
        <f>VLOOKUP(A1576,المعطيات!$A$1:$J$3500,6,0)</f>
        <v>#N/A</v>
      </c>
      <c r="L1576" s="1" t="s">
        <v>1486</v>
      </c>
      <c r="M1576" s="1" t="s">
        <v>1487</v>
      </c>
      <c r="N1576" s="4" t="e">
        <f t="shared" si="73"/>
        <v>#N/A</v>
      </c>
      <c r="O1576" s="1" t="s">
        <v>1488</v>
      </c>
      <c r="P1576" s="4" t="e">
        <f>VLOOKUP(A1576,المعطيات!$A$1:$J$3500,4,0)</f>
        <v>#N/A</v>
      </c>
      <c r="Q1576" s="1" t="s">
        <v>1489</v>
      </c>
      <c r="R1576" s="1" t="s">
        <v>1480</v>
      </c>
      <c r="S1576" s="6" t="e">
        <f t="shared" si="74"/>
        <v>#N/A</v>
      </c>
    </row>
    <row r="1577" spans="2:19" x14ac:dyDescent="0.25">
      <c r="B1577" s="1" t="s">
        <v>1479</v>
      </c>
      <c r="C1577" s="1" t="s">
        <v>1481</v>
      </c>
      <c r="D1577" s="4" t="e">
        <f>VLOOKUP(A1577,المعطيات!$A$1:$J$3500,5,0)</f>
        <v>#N/A</v>
      </c>
      <c r="E1577" s="1" t="s">
        <v>1482</v>
      </c>
      <c r="F1577" s="5">
        <f t="shared" si="72"/>
        <v>0</v>
      </c>
      <c r="G1577" s="5" t="s">
        <v>1483</v>
      </c>
      <c r="H1577" s="4" t="e">
        <f>VLOOKUP(A1577,المعطيات!$A$1:$J$3500,3,0)</f>
        <v>#N/A</v>
      </c>
      <c r="I1577" s="1" t="s">
        <v>1484</v>
      </c>
      <c r="J1577" s="1" t="s">
        <v>1485</v>
      </c>
      <c r="K1577" s="4" t="e">
        <f>VLOOKUP(A1577,المعطيات!$A$1:$J$3500,6,0)</f>
        <v>#N/A</v>
      </c>
      <c r="L1577" s="1" t="s">
        <v>1486</v>
      </c>
      <c r="M1577" s="1" t="s">
        <v>1487</v>
      </c>
      <c r="N1577" s="4" t="e">
        <f t="shared" si="73"/>
        <v>#N/A</v>
      </c>
      <c r="O1577" s="1" t="s">
        <v>1488</v>
      </c>
      <c r="P1577" s="4" t="e">
        <f>VLOOKUP(A1577,المعطيات!$A$1:$J$3500,4,0)</f>
        <v>#N/A</v>
      </c>
      <c r="Q1577" s="1" t="s">
        <v>1489</v>
      </c>
      <c r="R1577" s="1" t="s">
        <v>1480</v>
      </c>
      <c r="S1577" s="6" t="e">
        <f t="shared" si="74"/>
        <v>#N/A</v>
      </c>
    </row>
    <row r="1578" spans="2:19" x14ac:dyDescent="0.25">
      <c r="B1578" s="1" t="s">
        <v>1479</v>
      </c>
      <c r="C1578" s="1" t="s">
        <v>1481</v>
      </c>
      <c r="D1578" s="4" t="e">
        <f>VLOOKUP(A1578,المعطيات!$A$1:$J$3500,5,0)</f>
        <v>#N/A</v>
      </c>
      <c r="E1578" s="1" t="s">
        <v>1482</v>
      </c>
      <c r="F1578" s="5">
        <f t="shared" si="72"/>
        <v>0</v>
      </c>
      <c r="G1578" s="5" t="s">
        <v>1483</v>
      </c>
      <c r="H1578" s="4" t="e">
        <f>VLOOKUP(A1578,المعطيات!$A$1:$J$3500,3,0)</f>
        <v>#N/A</v>
      </c>
      <c r="I1578" s="1" t="s">
        <v>1484</v>
      </c>
      <c r="J1578" s="1" t="s">
        <v>1485</v>
      </c>
      <c r="K1578" s="4" t="e">
        <f>VLOOKUP(A1578,المعطيات!$A$1:$J$3500,6,0)</f>
        <v>#N/A</v>
      </c>
      <c r="L1578" s="1" t="s">
        <v>1486</v>
      </c>
      <c r="M1578" s="1" t="s">
        <v>1487</v>
      </c>
      <c r="N1578" s="4" t="e">
        <f t="shared" si="73"/>
        <v>#N/A</v>
      </c>
      <c r="O1578" s="1" t="s">
        <v>1488</v>
      </c>
      <c r="P1578" s="4" t="e">
        <f>VLOOKUP(A1578,المعطيات!$A$1:$J$3500,4,0)</f>
        <v>#N/A</v>
      </c>
      <c r="Q1578" s="1" t="s">
        <v>1489</v>
      </c>
      <c r="R1578" s="1" t="s">
        <v>1480</v>
      </c>
      <c r="S1578" s="6" t="e">
        <f t="shared" si="74"/>
        <v>#N/A</v>
      </c>
    </row>
    <row r="1579" spans="2:19" x14ac:dyDescent="0.25">
      <c r="B1579" s="1" t="s">
        <v>1479</v>
      </c>
      <c r="C1579" s="1" t="s">
        <v>1481</v>
      </c>
      <c r="D1579" s="4" t="e">
        <f>VLOOKUP(A1579,المعطيات!$A$1:$J$3500,5,0)</f>
        <v>#N/A</v>
      </c>
      <c r="E1579" s="1" t="s">
        <v>1482</v>
      </c>
      <c r="F1579" s="5">
        <f t="shared" si="72"/>
        <v>0</v>
      </c>
      <c r="G1579" s="5" t="s">
        <v>1483</v>
      </c>
      <c r="H1579" s="4" t="e">
        <f>VLOOKUP(A1579,المعطيات!$A$1:$J$3500,3,0)</f>
        <v>#N/A</v>
      </c>
      <c r="I1579" s="1" t="s">
        <v>1484</v>
      </c>
      <c r="J1579" s="1" t="s">
        <v>1485</v>
      </c>
      <c r="K1579" s="4" t="e">
        <f>VLOOKUP(A1579,المعطيات!$A$1:$J$3500,6,0)</f>
        <v>#N/A</v>
      </c>
      <c r="L1579" s="1" t="s">
        <v>1486</v>
      </c>
      <c r="M1579" s="1" t="s">
        <v>1487</v>
      </c>
      <c r="N1579" s="4" t="e">
        <f t="shared" si="73"/>
        <v>#N/A</v>
      </c>
      <c r="O1579" s="1" t="s">
        <v>1488</v>
      </c>
      <c r="P1579" s="4" t="e">
        <f>VLOOKUP(A1579,المعطيات!$A$1:$J$3500,4,0)</f>
        <v>#N/A</v>
      </c>
      <c r="Q1579" s="1" t="s">
        <v>1489</v>
      </c>
      <c r="R1579" s="1" t="s">
        <v>1480</v>
      </c>
      <c r="S1579" s="6" t="e">
        <f t="shared" si="74"/>
        <v>#N/A</v>
      </c>
    </row>
    <row r="1580" spans="2:19" x14ac:dyDescent="0.25">
      <c r="B1580" s="1" t="s">
        <v>1479</v>
      </c>
      <c r="C1580" s="1" t="s">
        <v>1481</v>
      </c>
      <c r="D1580" s="4" t="e">
        <f>VLOOKUP(A1580,المعطيات!$A$1:$J$3500,5,0)</f>
        <v>#N/A</v>
      </c>
      <c r="E1580" s="1" t="s">
        <v>1482</v>
      </c>
      <c r="F1580" s="5">
        <f t="shared" si="72"/>
        <v>0</v>
      </c>
      <c r="G1580" s="5" t="s">
        <v>1483</v>
      </c>
      <c r="H1580" s="4" t="e">
        <f>VLOOKUP(A1580,المعطيات!$A$1:$J$3500,3,0)</f>
        <v>#N/A</v>
      </c>
      <c r="I1580" s="1" t="s">
        <v>1484</v>
      </c>
      <c r="J1580" s="1" t="s">
        <v>1485</v>
      </c>
      <c r="K1580" s="4" t="e">
        <f>VLOOKUP(A1580,المعطيات!$A$1:$J$3500,6,0)</f>
        <v>#N/A</v>
      </c>
      <c r="L1580" s="1" t="s">
        <v>1486</v>
      </c>
      <c r="M1580" s="1" t="s">
        <v>1487</v>
      </c>
      <c r="N1580" s="4" t="e">
        <f t="shared" si="73"/>
        <v>#N/A</v>
      </c>
      <c r="O1580" s="1" t="s">
        <v>1488</v>
      </c>
      <c r="P1580" s="4" t="e">
        <f>VLOOKUP(A1580,المعطيات!$A$1:$J$3500,4,0)</f>
        <v>#N/A</v>
      </c>
      <c r="Q1580" s="1" t="s">
        <v>1489</v>
      </c>
      <c r="R1580" s="1" t="s">
        <v>1480</v>
      </c>
      <c r="S1580" s="6" t="e">
        <f t="shared" si="74"/>
        <v>#N/A</v>
      </c>
    </row>
    <row r="1581" spans="2:19" x14ac:dyDescent="0.25">
      <c r="B1581" s="1" t="s">
        <v>1479</v>
      </c>
      <c r="C1581" s="1" t="s">
        <v>1481</v>
      </c>
      <c r="D1581" s="4" t="e">
        <f>VLOOKUP(A1581,المعطيات!$A$1:$J$3500,5,0)</f>
        <v>#N/A</v>
      </c>
      <c r="E1581" s="1" t="s">
        <v>1482</v>
      </c>
      <c r="F1581" s="5">
        <f t="shared" si="72"/>
        <v>0</v>
      </c>
      <c r="G1581" s="5" t="s">
        <v>1483</v>
      </c>
      <c r="H1581" s="4" t="e">
        <f>VLOOKUP(A1581,المعطيات!$A$1:$J$3500,3,0)</f>
        <v>#N/A</v>
      </c>
      <c r="I1581" s="1" t="s">
        <v>1484</v>
      </c>
      <c r="J1581" s="1" t="s">
        <v>1485</v>
      </c>
      <c r="K1581" s="4" t="e">
        <f>VLOOKUP(A1581,المعطيات!$A$1:$J$3500,6,0)</f>
        <v>#N/A</v>
      </c>
      <c r="L1581" s="1" t="s">
        <v>1486</v>
      </c>
      <c r="M1581" s="1" t="s">
        <v>1487</v>
      </c>
      <c r="N1581" s="4" t="e">
        <f t="shared" si="73"/>
        <v>#N/A</v>
      </c>
      <c r="O1581" s="1" t="s">
        <v>1488</v>
      </c>
      <c r="P1581" s="4" t="e">
        <f>VLOOKUP(A1581,المعطيات!$A$1:$J$3500,4,0)</f>
        <v>#N/A</v>
      </c>
      <c r="Q1581" s="1" t="s">
        <v>1489</v>
      </c>
      <c r="R1581" s="1" t="s">
        <v>1480</v>
      </c>
      <c r="S1581" s="6" t="e">
        <f t="shared" si="74"/>
        <v>#N/A</v>
      </c>
    </row>
    <row r="1582" spans="2:19" x14ac:dyDescent="0.25">
      <c r="B1582" s="1" t="s">
        <v>1479</v>
      </c>
      <c r="C1582" s="1" t="s">
        <v>1481</v>
      </c>
      <c r="D1582" s="4" t="e">
        <f>VLOOKUP(A1582,المعطيات!$A$1:$J$3500,5,0)</f>
        <v>#N/A</v>
      </c>
      <c r="E1582" s="1" t="s">
        <v>1482</v>
      </c>
      <c r="F1582" s="5">
        <f t="shared" si="72"/>
        <v>0</v>
      </c>
      <c r="G1582" s="5" t="s">
        <v>1483</v>
      </c>
      <c r="H1582" s="4" t="e">
        <f>VLOOKUP(A1582,المعطيات!$A$1:$J$3500,3,0)</f>
        <v>#N/A</v>
      </c>
      <c r="I1582" s="1" t="s">
        <v>1484</v>
      </c>
      <c r="J1582" s="1" t="s">
        <v>1485</v>
      </c>
      <c r="K1582" s="4" t="e">
        <f>VLOOKUP(A1582,المعطيات!$A$1:$J$3500,6,0)</f>
        <v>#N/A</v>
      </c>
      <c r="L1582" s="1" t="s">
        <v>1486</v>
      </c>
      <c r="M1582" s="1" t="s">
        <v>1487</v>
      </c>
      <c r="N1582" s="4" t="e">
        <f t="shared" si="73"/>
        <v>#N/A</v>
      </c>
      <c r="O1582" s="1" t="s">
        <v>1488</v>
      </c>
      <c r="P1582" s="4" t="e">
        <f>VLOOKUP(A1582,المعطيات!$A$1:$J$3500,4,0)</f>
        <v>#N/A</v>
      </c>
      <c r="Q1582" s="1" t="s">
        <v>1489</v>
      </c>
      <c r="R1582" s="1" t="s">
        <v>1480</v>
      </c>
      <c r="S1582" s="6" t="e">
        <f t="shared" si="74"/>
        <v>#N/A</v>
      </c>
    </row>
    <row r="1583" spans="2:19" x14ac:dyDescent="0.25">
      <c r="B1583" s="1" t="s">
        <v>1479</v>
      </c>
      <c r="C1583" s="1" t="s">
        <v>1481</v>
      </c>
      <c r="D1583" s="4" t="e">
        <f>VLOOKUP(A1583,المعطيات!$A$1:$J$3500,5,0)</f>
        <v>#N/A</v>
      </c>
      <c r="E1583" s="1" t="s">
        <v>1482</v>
      </c>
      <c r="F1583" s="5">
        <f t="shared" si="72"/>
        <v>0</v>
      </c>
      <c r="G1583" s="5" t="s">
        <v>1483</v>
      </c>
      <c r="H1583" s="4" t="e">
        <f>VLOOKUP(A1583,المعطيات!$A$1:$J$3500,3,0)</f>
        <v>#N/A</v>
      </c>
      <c r="I1583" s="1" t="s">
        <v>1484</v>
      </c>
      <c r="J1583" s="1" t="s">
        <v>1485</v>
      </c>
      <c r="K1583" s="4" t="e">
        <f>VLOOKUP(A1583,المعطيات!$A$1:$J$3500,6,0)</f>
        <v>#N/A</v>
      </c>
      <c r="L1583" s="1" t="s">
        <v>1486</v>
      </c>
      <c r="M1583" s="1" t="s">
        <v>1487</v>
      </c>
      <c r="N1583" s="4" t="e">
        <f t="shared" si="73"/>
        <v>#N/A</v>
      </c>
      <c r="O1583" s="1" t="s">
        <v>1488</v>
      </c>
      <c r="P1583" s="4" t="e">
        <f>VLOOKUP(A1583,المعطيات!$A$1:$J$3500,4,0)</f>
        <v>#N/A</v>
      </c>
      <c r="Q1583" s="1" t="s">
        <v>1489</v>
      </c>
      <c r="R1583" s="1" t="s">
        <v>1480</v>
      </c>
      <c r="S1583" s="6" t="e">
        <f t="shared" si="74"/>
        <v>#N/A</v>
      </c>
    </row>
    <row r="1584" spans="2:19" x14ac:dyDescent="0.25">
      <c r="B1584" s="1" t="s">
        <v>1479</v>
      </c>
      <c r="C1584" s="1" t="s">
        <v>1481</v>
      </c>
      <c r="D1584" s="4" t="e">
        <f>VLOOKUP(A1584,المعطيات!$A$1:$J$3500,5,0)</f>
        <v>#N/A</v>
      </c>
      <c r="E1584" s="1" t="s">
        <v>1482</v>
      </c>
      <c r="F1584" s="5">
        <f t="shared" si="72"/>
        <v>0</v>
      </c>
      <c r="G1584" s="5" t="s">
        <v>1483</v>
      </c>
      <c r="H1584" s="4" t="e">
        <f>VLOOKUP(A1584,المعطيات!$A$1:$J$3500,3,0)</f>
        <v>#N/A</v>
      </c>
      <c r="I1584" s="1" t="s">
        <v>1484</v>
      </c>
      <c r="J1584" s="1" t="s">
        <v>1485</v>
      </c>
      <c r="K1584" s="4" t="e">
        <f>VLOOKUP(A1584,المعطيات!$A$1:$J$3500,6,0)</f>
        <v>#N/A</v>
      </c>
      <c r="L1584" s="1" t="s">
        <v>1486</v>
      </c>
      <c r="M1584" s="1" t="s">
        <v>1487</v>
      </c>
      <c r="N1584" s="4" t="e">
        <f t="shared" si="73"/>
        <v>#N/A</v>
      </c>
      <c r="O1584" s="1" t="s">
        <v>1488</v>
      </c>
      <c r="P1584" s="4" t="e">
        <f>VLOOKUP(A1584,المعطيات!$A$1:$J$3500,4,0)</f>
        <v>#N/A</v>
      </c>
      <c r="Q1584" s="1" t="s">
        <v>1489</v>
      </c>
      <c r="R1584" s="1" t="s">
        <v>1480</v>
      </c>
      <c r="S1584" s="6" t="e">
        <f t="shared" si="74"/>
        <v>#N/A</v>
      </c>
    </row>
    <row r="1585" spans="2:19" x14ac:dyDescent="0.25">
      <c r="B1585" s="1" t="s">
        <v>1479</v>
      </c>
      <c r="C1585" s="1" t="s">
        <v>1481</v>
      </c>
      <c r="D1585" s="4" t="e">
        <f>VLOOKUP(A1585,المعطيات!$A$1:$J$3500,5,0)</f>
        <v>#N/A</v>
      </c>
      <c r="E1585" s="1" t="s">
        <v>1482</v>
      </c>
      <c r="F1585" s="5">
        <f t="shared" si="72"/>
        <v>0</v>
      </c>
      <c r="G1585" s="5" t="s">
        <v>1483</v>
      </c>
      <c r="H1585" s="4" t="e">
        <f>VLOOKUP(A1585,المعطيات!$A$1:$J$3500,3,0)</f>
        <v>#N/A</v>
      </c>
      <c r="I1585" s="1" t="s">
        <v>1484</v>
      </c>
      <c r="J1585" s="1" t="s">
        <v>1485</v>
      </c>
      <c r="K1585" s="4" t="e">
        <f>VLOOKUP(A1585,المعطيات!$A$1:$J$3500,6,0)</f>
        <v>#N/A</v>
      </c>
      <c r="L1585" s="1" t="s">
        <v>1486</v>
      </c>
      <c r="M1585" s="1" t="s">
        <v>1487</v>
      </c>
      <c r="N1585" s="4" t="e">
        <f t="shared" si="73"/>
        <v>#N/A</v>
      </c>
      <c r="O1585" s="1" t="s">
        <v>1488</v>
      </c>
      <c r="P1585" s="4" t="e">
        <f>VLOOKUP(A1585,المعطيات!$A$1:$J$3500,4,0)</f>
        <v>#N/A</v>
      </c>
      <c r="Q1585" s="1" t="s">
        <v>1489</v>
      </c>
      <c r="R1585" s="1" t="s">
        <v>1480</v>
      </c>
      <c r="S1585" s="6" t="e">
        <f t="shared" si="74"/>
        <v>#N/A</v>
      </c>
    </row>
    <row r="1586" spans="2:19" x14ac:dyDescent="0.25">
      <c r="B1586" s="1" t="s">
        <v>1479</v>
      </c>
      <c r="C1586" s="1" t="s">
        <v>1481</v>
      </c>
      <c r="D1586" s="4" t="e">
        <f>VLOOKUP(A1586,المعطيات!$A$1:$J$3500,5,0)</f>
        <v>#N/A</v>
      </c>
      <c r="E1586" s="1" t="s">
        <v>1482</v>
      </c>
      <c r="F1586" s="5">
        <f t="shared" si="72"/>
        <v>0</v>
      </c>
      <c r="G1586" s="5" t="s">
        <v>1483</v>
      </c>
      <c r="H1586" s="4" t="e">
        <f>VLOOKUP(A1586,المعطيات!$A$1:$J$3500,3,0)</f>
        <v>#N/A</v>
      </c>
      <c r="I1586" s="1" t="s">
        <v>1484</v>
      </c>
      <c r="J1586" s="1" t="s">
        <v>1485</v>
      </c>
      <c r="K1586" s="4" t="e">
        <f>VLOOKUP(A1586,المعطيات!$A$1:$J$3500,6,0)</f>
        <v>#N/A</v>
      </c>
      <c r="L1586" s="1" t="s">
        <v>1486</v>
      </c>
      <c r="M1586" s="1" t="s">
        <v>1487</v>
      </c>
      <c r="N1586" s="4" t="e">
        <f t="shared" si="73"/>
        <v>#N/A</v>
      </c>
      <c r="O1586" s="1" t="s">
        <v>1488</v>
      </c>
      <c r="P1586" s="4" t="e">
        <f>VLOOKUP(A1586,المعطيات!$A$1:$J$3500,4,0)</f>
        <v>#N/A</v>
      </c>
      <c r="Q1586" s="1" t="s">
        <v>1489</v>
      </c>
      <c r="R1586" s="1" t="s">
        <v>1480</v>
      </c>
      <c r="S1586" s="6" t="e">
        <f t="shared" si="74"/>
        <v>#N/A</v>
      </c>
    </row>
    <row r="1587" spans="2:19" x14ac:dyDescent="0.25">
      <c r="B1587" s="1" t="s">
        <v>1479</v>
      </c>
      <c r="C1587" s="1" t="s">
        <v>1481</v>
      </c>
      <c r="D1587" s="4" t="e">
        <f>VLOOKUP(A1587,المعطيات!$A$1:$J$3500,5,0)</f>
        <v>#N/A</v>
      </c>
      <c r="E1587" s="1" t="s">
        <v>1482</v>
      </c>
      <c r="F1587" s="5">
        <f t="shared" si="72"/>
        <v>0</v>
      </c>
      <c r="G1587" s="5" t="s">
        <v>1483</v>
      </c>
      <c r="H1587" s="4" t="e">
        <f>VLOOKUP(A1587,المعطيات!$A$1:$J$3500,3,0)</f>
        <v>#N/A</v>
      </c>
      <c r="I1587" s="1" t="s">
        <v>1484</v>
      </c>
      <c r="J1587" s="1" t="s">
        <v>1485</v>
      </c>
      <c r="K1587" s="4" t="e">
        <f>VLOOKUP(A1587,المعطيات!$A$1:$J$3500,6,0)</f>
        <v>#N/A</v>
      </c>
      <c r="L1587" s="1" t="s">
        <v>1486</v>
      </c>
      <c r="M1587" s="1" t="s">
        <v>1487</v>
      </c>
      <c r="N1587" s="4" t="e">
        <f t="shared" si="73"/>
        <v>#N/A</v>
      </c>
      <c r="O1587" s="1" t="s">
        <v>1488</v>
      </c>
      <c r="P1587" s="4" t="e">
        <f>VLOOKUP(A1587,المعطيات!$A$1:$J$3500,4,0)</f>
        <v>#N/A</v>
      </c>
      <c r="Q1587" s="1" t="s">
        <v>1489</v>
      </c>
      <c r="R1587" s="1" t="s">
        <v>1480</v>
      </c>
      <c r="S1587" s="6" t="e">
        <f t="shared" si="74"/>
        <v>#N/A</v>
      </c>
    </row>
    <row r="1588" spans="2:19" x14ac:dyDescent="0.25">
      <c r="B1588" s="1" t="s">
        <v>1479</v>
      </c>
      <c r="C1588" s="1" t="s">
        <v>1481</v>
      </c>
      <c r="D1588" s="4" t="e">
        <f>VLOOKUP(A1588,المعطيات!$A$1:$J$3500,5,0)</f>
        <v>#N/A</v>
      </c>
      <c r="E1588" s="1" t="s">
        <v>1482</v>
      </c>
      <c r="F1588" s="5">
        <f t="shared" si="72"/>
        <v>0</v>
      </c>
      <c r="G1588" s="5" t="s">
        <v>1483</v>
      </c>
      <c r="H1588" s="4" t="e">
        <f>VLOOKUP(A1588,المعطيات!$A$1:$J$3500,3,0)</f>
        <v>#N/A</v>
      </c>
      <c r="I1588" s="1" t="s">
        <v>1484</v>
      </c>
      <c r="J1588" s="1" t="s">
        <v>1485</v>
      </c>
      <c r="K1588" s="4" t="e">
        <f>VLOOKUP(A1588,المعطيات!$A$1:$J$3500,6,0)</f>
        <v>#N/A</v>
      </c>
      <c r="L1588" s="1" t="s">
        <v>1486</v>
      </c>
      <c r="M1588" s="1" t="s">
        <v>1487</v>
      </c>
      <c r="N1588" s="4" t="e">
        <f t="shared" si="73"/>
        <v>#N/A</v>
      </c>
      <c r="O1588" s="1" t="s">
        <v>1488</v>
      </c>
      <c r="P1588" s="4" t="e">
        <f>VLOOKUP(A1588,المعطيات!$A$1:$J$3500,4,0)</f>
        <v>#N/A</v>
      </c>
      <c r="Q1588" s="1" t="s">
        <v>1489</v>
      </c>
      <c r="R1588" s="1" t="s">
        <v>1480</v>
      </c>
      <c r="S1588" s="6" t="e">
        <f t="shared" si="74"/>
        <v>#N/A</v>
      </c>
    </row>
    <row r="1589" spans="2:19" x14ac:dyDescent="0.25">
      <c r="B1589" s="1" t="s">
        <v>1479</v>
      </c>
      <c r="C1589" s="1" t="s">
        <v>1481</v>
      </c>
      <c r="D1589" s="4" t="e">
        <f>VLOOKUP(A1589,المعطيات!$A$1:$J$3500,5,0)</f>
        <v>#N/A</v>
      </c>
      <c r="E1589" s="1" t="s">
        <v>1482</v>
      </c>
      <c r="F1589" s="5">
        <f t="shared" si="72"/>
        <v>0</v>
      </c>
      <c r="G1589" s="5" t="s">
        <v>1483</v>
      </c>
      <c r="H1589" s="4" t="e">
        <f>VLOOKUP(A1589,المعطيات!$A$1:$J$3500,3,0)</f>
        <v>#N/A</v>
      </c>
      <c r="I1589" s="1" t="s">
        <v>1484</v>
      </c>
      <c r="J1589" s="1" t="s">
        <v>1485</v>
      </c>
      <c r="K1589" s="4" t="e">
        <f>VLOOKUP(A1589,المعطيات!$A$1:$J$3500,6,0)</f>
        <v>#N/A</v>
      </c>
      <c r="L1589" s="1" t="s">
        <v>1486</v>
      </c>
      <c r="M1589" s="1" t="s">
        <v>1487</v>
      </c>
      <c r="N1589" s="4" t="e">
        <f t="shared" si="73"/>
        <v>#N/A</v>
      </c>
      <c r="O1589" s="1" t="s">
        <v>1488</v>
      </c>
      <c r="P1589" s="4" t="e">
        <f>VLOOKUP(A1589,المعطيات!$A$1:$J$3500,4,0)</f>
        <v>#N/A</v>
      </c>
      <c r="Q1589" s="1" t="s">
        <v>1489</v>
      </c>
      <c r="R1589" s="1" t="s">
        <v>1480</v>
      </c>
      <c r="S1589" s="6" t="e">
        <f t="shared" si="74"/>
        <v>#N/A</v>
      </c>
    </row>
    <row r="1590" spans="2:19" x14ac:dyDescent="0.25">
      <c r="B1590" s="1" t="s">
        <v>1479</v>
      </c>
      <c r="C1590" s="1" t="s">
        <v>1481</v>
      </c>
      <c r="D1590" s="4" t="e">
        <f>VLOOKUP(A1590,المعطيات!$A$1:$J$3500,5,0)</f>
        <v>#N/A</v>
      </c>
      <c r="E1590" s="1" t="s">
        <v>1482</v>
      </c>
      <c r="F1590" s="5">
        <f t="shared" si="72"/>
        <v>0</v>
      </c>
      <c r="G1590" s="5" t="s">
        <v>1483</v>
      </c>
      <c r="H1590" s="4" t="e">
        <f>VLOOKUP(A1590,المعطيات!$A$1:$J$3500,3,0)</f>
        <v>#N/A</v>
      </c>
      <c r="I1590" s="1" t="s">
        <v>1484</v>
      </c>
      <c r="J1590" s="1" t="s">
        <v>1485</v>
      </c>
      <c r="K1590" s="4" t="e">
        <f>VLOOKUP(A1590,المعطيات!$A$1:$J$3500,6,0)</f>
        <v>#N/A</v>
      </c>
      <c r="L1590" s="1" t="s">
        <v>1486</v>
      </c>
      <c r="M1590" s="1" t="s">
        <v>1487</v>
      </c>
      <c r="N1590" s="4" t="e">
        <f t="shared" si="73"/>
        <v>#N/A</v>
      </c>
      <c r="O1590" s="1" t="s">
        <v>1488</v>
      </c>
      <c r="P1590" s="4" t="e">
        <f>VLOOKUP(A1590,المعطيات!$A$1:$J$3500,4,0)</f>
        <v>#N/A</v>
      </c>
      <c r="Q1590" s="1" t="s">
        <v>1489</v>
      </c>
      <c r="R1590" s="1" t="s">
        <v>1480</v>
      </c>
      <c r="S1590" s="6" t="e">
        <f t="shared" si="74"/>
        <v>#N/A</v>
      </c>
    </row>
    <row r="1591" spans="2:19" x14ac:dyDescent="0.25">
      <c r="B1591" s="1" t="s">
        <v>1479</v>
      </c>
      <c r="C1591" s="1" t="s">
        <v>1481</v>
      </c>
      <c r="D1591" s="4" t="e">
        <f>VLOOKUP(A1591,المعطيات!$A$1:$J$3500,5,0)</f>
        <v>#N/A</v>
      </c>
      <c r="E1591" s="1" t="s">
        <v>1482</v>
      </c>
      <c r="F1591" s="5">
        <f t="shared" si="72"/>
        <v>0</v>
      </c>
      <c r="G1591" s="5" t="s">
        <v>1483</v>
      </c>
      <c r="H1591" s="4" t="e">
        <f>VLOOKUP(A1591,المعطيات!$A$1:$J$3500,3,0)</f>
        <v>#N/A</v>
      </c>
      <c r="I1591" s="1" t="s">
        <v>1484</v>
      </c>
      <c r="J1591" s="1" t="s">
        <v>1485</v>
      </c>
      <c r="K1591" s="4" t="e">
        <f>VLOOKUP(A1591,المعطيات!$A$1:$J$3500,6,0)</f>
        <v>#N/A</v>
      </c>
      <c r="L1591" s="1" t="s">
        <v>1486</v>
      </c>
      <c r="M1591" s="1" t="s">
        <v>1487</v>
      </c>
      <c r="N1591" s="4" t="e">
        <f t="shared" si="73"/>
        <v>#N/A</v>
      </c>
      <c r="O1591" s="1" t="s">
        <v>1488</v>
      </c>
      <c r="P1591" s="4" t="e">
        <f>VLOOKUP(A1591,المعطيات!$A$1:$J$3500,4,0)</f>
        <v>#N/A</v>
      </c>
      <c r="Q1591" s="1" t="s">
        <v>1489</v>
      </c>
      <c r="R1591" s="1" t="s">
        <v>1480</v>
      </c>
      <c r="S1591" s="6" t="e">
        <f t="shared" si="74"/>
        <v>#N/A</v>
      </c>
    </row>
    <row r="1592" spans="2:19" x14ac:dyDescent="0.25">
      <c r="B1592" s="1" t="s">
        <v>1479</v>
      </c>
      <c r="C1592" s="1" t="s">
        <v>1481</v>
      </c>
      <c r="D1592" s="4" t="e">
        <f>VLOOKUP(A1592,المعطيات!$A$1:$J$3500,5,0)</f>
        <v>#N/A</v>
      </c>
      <c r="E1592" s="1" t="s">
        <v>1482</v>
      </c>
      <c r="F1592" s="5">
        <f t="shared" si="72"/>
        <v>0</v>
      </c>
      <c r="G1592" s="5" t="s">
        <v>1483</v>
      </c>
      <c r="H1592" s="4" t="e">
        <f>VLOOKUP(A1592,المعطيات!$A$1:$J$3500,3,0)</f>
        <v>#N/A</v>
      </c>
      <c r="I1592" s="1" t="s">
        <v>1484</v>
      </c>
      <c r="J1592" s="1" t="s">
        <v>1485</v>
      </c>
      <c r="K1592" s="4" t="e">
        <f>VLOOKUP(A1592,المعطيات!$A$1:$J$3500,6,0)</f>
        <v>#N/A</v>
      </c>
      <c r="L1592" s="1" t="s">
        <v>1486</v>
      </c>
      <c r="M1592" s="1" t="s">
        <v>1487</v>
      </c>
      <c r="N1592" s="4" t="e">
        <f t="shared" si="73"/>
        <v>#N/A</v>
      </c>
      <c r="O1592" s="1" t="s">
        <v>1488</v>
      </c>
      <c r="P1592" s="4" t="e">
        <f>VLOOKUP(A1592,المعطيات!$A$1:$J$3500,4,0)</f>
        <v>#N/A</v>
      </c>
      <c r="Q1592" s="1" t="s">
        <v>1489</v>
      </c>
      <c r="R1592" s="1" t="s">
        <v>1480</v>
      </c>
      <c r="S1592" s="6" t="e">
        <f t="shared" si="74"/>
        <v>#N/A</v>
      </c>
    </row>
    <row r="1593" spans="2:19" x14ac:dyDescent="0.25">
      <c r="B1593" s="1" t="s">
        <v>1479</v>
      </c>
      <c r="C1593" s="1" t="s">
        <v>1481</v>
      </c>
      <c r="D1593" s="4" t="e">
        <f>VLOOKUP(A1593,المعطيات!$A$1:$J$3500,5,0)</f>
        <v>#N/A</v>
      </c>
      <c r="E1593" s="1" t="s">
        <v>1482</v>
      </c>
      <c r="F1593" s="5">
        <f t="shared" si="72"/>
        <v>0</v>
      </c>
      <c r="G1593" s="5" t="s">
        <v>1483</v>
      </c>
      <c r="H1593" s="4" t="e">
        <f>VLOOKUP(A1593,المعطيات!$A$1:$J$3500,3,0)</f>
        <v>#N/A</v>
      </c>
      <c r="I1593" s="1" t="s">
        <v>1484</v>
      </c>
      <c r="J1593" s="1" t="s">
        <v>1485</v>
      </c>
      <c r="K1593" s="4" t="e">
        <f>VLOOKUP(A1593,المعطيات!$A$1:$J$3500,6,0)</f>
        <v>#N/A</v>
      </c>
      <c r="L1593" s="1" t="s">
        <v>1486</v>
      </c>
      <c r="M1593" s="1" t="s">
        <v>1487</v>
      </c>
      <c r="N1593" s="4" t="e">
        <f t="shared" si="73"/>
        <v>#N/A</v>
      </c>
      <c r="O1593" s="1" t="s">
        <v>1488</v>
      </c>
      <c r="P1593" s="4" t="e">
        <f>VLOOKUP(A1593,المعطيات!$A$1:$J$3500,4,0)</f>
        <v>#N/A</v>
      </c>
      <c r="Q1593" s="1" t="s">
        <v>1489</v>
      </c>
      <c r="R1593" s="1" t="s">
        <v>1480</v>
      </c>
      <c r="S1593" s="6" t="e">
        <f t="shared" si="74"/>
        <v>#N/A</v>
      </c>
    </row>
    <row r="1594" spans="2:19" x14ac:dyDescent="0.25">
      <c r="B1594" s="1" t="s">
        <v>1479</v>
      </c>
      <c r="C1594" s="1" t="s">
        <v>1481</v>
      </c>
      <c r="D1594" s="4" t="e">
        <f>VLOOKUP(A1594,المعطيات!$A$1:$J$3500,5,0)</f>
        <v>#N/A</v>
      </c>
      <c r="E1594" s="1" t="s">
        <v>1482</v>
      </c>
      <c r="F1594" s="5">
        <f t="shared" si="72"/>
        <v>0</v>
      </c>
      <c r="G1594" s="5" t="s">
        <v>1483</v>
      </c>
      <c r="H1594" s="4" t="e">
        <f>VLOOKUP(A1594,المعطيات!$A$1:$J$3500,3,0)</f>
        <v>#N/A</v>
      </c>
      <c r="I1594" s="1" t="s">
        <v>1484</v>
      </c>
      <c r="J1594" s="1" t="s">
        <v>1485</v>
      </c>
      <c r="K1594" s="4" t="e">
        <f>VLOOKUP(A1594,المعطيات!$A$1:$J$3500,6,0)</f>
        <v>#N/A</v>
      </c>
      <c r="L1594" s="1" t="s">
        <v>1486</v>
      </c>
      <c r="M1594" s="1" t="s">
        <v>1487</v>
      </c>
      <c r="N1594" s="4" t="e">
        <f t="shared" si="73"/>
        <v>#N/A</v>
      </c>
      <c r="O1594" s="1" t="s">
        <v>1488</v>
      </c>
      <c r="P1594" s="4" t="e">
        <f>VLOOKUP(A1594,المعطيات!$A$1:$J$3500,4,0)</f>
        <v>#N/A</v>
      </c>
      <c r="Q1594" s="1" t="s">
        <v>1489</v>
      </c>
      <c r="R1594" s="1" t="s">
        <v>1480</v>
      </c>
      <c r="S1594" s="6" t="e">
        <f t="shared" si="74"/>
        <v>#N/A</v>
      </c>
    </row>
    <row r="1595" spans="2:19" x14ac:dyDescent="0.25">
      <c r="B1595" s="1" t="s">
        <v>1479</v>
      </c>
      <c r="C1595" s="1" t="s">
        <v>1481</v>
      </c>
      <c r="D1595" s="4" t="e">
        <f>VLOOKUP(A1595,المعطيات!$A$1:$J$3500,5,0)</f>
        <v>#N/A</v>
      </c>
      <c r="E1595" s="1" t="s">
        <v>1482</v>
      </c>
      <c r="F1595" s="5">
        <f t="shared" si="72"/>
        <v>0</v>
      </c>
      <c r="G1595" s="5" t="s">
        <v>1483</v>
      </c>
      <c r="H1595" s="4" t="e">
        <f>VLOOKUP(A1595,المعطيات!$A$1:$J$3500,3,0)</f>
        <v>#N/A</v>
      </c>
      <c r="I1595" s="1" t="s">
        <v>1484</v>
      </c>
      <c r="J1595" s="1" t="s">
        <v>1485</v>
      </c>
      <c r="K1595" s="4" t="e">
        <f>VLOOKUP(A1595,المعطيات!$A$1:$J$3500,6,0)</f>
        <v>#N/A</v>
      </c>
      <c r="L1595" s="1" t="s">
        <v>1486</v>
      </c>
      <c r="M1595" s="1" t="s">
        <v>1487</v>
      </c>
      <c r="N1595" s="4" t="e">
        <f t="shared" si="73"/>
        <v>#N/A</v>
      </c>
      <c r="O1595" s="1" t="s">
        <v>1488</v>
      </c>
      <c r="P1595" s="4" t="e">
        <f>VLOOKUP(A1595,المعطيات!$A$1:$J$3500,4,0)</f>
        <v>#N/A</v>
      </c>
      <c r="Q1595" s="1" t="s">
        <v>1489</v>
      </c>
      <c r="R1595" s="1" t="s">
        <v>1480</v>
      </c>
      <c r="S1595" s="6" t="e">
        <f t="shared" si="74"/>
        <v>#N/A</v>
      </c>
    </row>
    <row r="1596" spans="2:19" x14ac:dyDescent="0.25">
      <c r="B1596" s="1" t="s">
        <v>1479</v>
      </c>
      <c r="C1596" s="1" t="s">
        <v>1481</v>
      </c>
      <c r="D1596" s="4" t="e">
        <f>VLOOKUP(A1596,المعطيات!$A$1:$J$3500,5,0)</f>
        <v>#N/A</v>
      </c>
      <c r="E1596" s="1" t="s">
        <v>1482</v>
      </c>
      <c r="F1596" s="5">
        <f t="shared" si="72"/>
        <v>0</v>
      </c>
      <c r="G1596" s="5" t="s">
        <v>1483</v>
      </c>
      <c r="H1596" s="4" t="e">
        <f>VLOOKUP(A1596,المعطيات!$A$1:$J$3500,3,0)</f>
        <v>#N/A</v>
      </c>
      <c r="I1596" s="1" t="s">
        <v>1484</v>
      </c>
      <c r="J1596" s="1" t="s">
        <v>1485</v>
      </c>
      <c r="K1596" s="4" t="e">
        <f>VLOOKUP(A1596,المعطيات!$A$1:$J$3500,6,0)</f>
        <v>#N/A</v>
      </c>
      <c r="L1596" s="1" t="s">
        <v>1486</v>
      </c>
      <c r="M1596" s="1" t="s">
        <v>1487</v>
      </c>
      <c r="N1596" s="4" t="e">
        <f t="shared" si="73"/>
        <v>#N/A</v>
      </c>
      <c r="O1596" s="1" t="s">
        <v>1488</v>
      </c>
      <c r="P1596" s="4" t="e">
        <f>VLOOKUP(A1596,المعطيات!$A$1:$J$3500,4,0)</f>
        <v>#N/A</v>
      </c>
      <c r="Q1596" s="1" t="s">
        <v>1489</v>
      </c>
      <c r="R1596" s="1" t="s">
        <v>1480</v>
      </c>
      <c r="S1596" s="6" t="e">
        <f t="shared" si="74"/>
        <v>#N/A</v>
      </c>
    </row>
    <row r="1597" spans="2:19" x14ac:dyDescent="0.25">
      <c r="B1597" s="1" t="s">
        <v>1479</v>
      </c>
      <c r="C1597" s="1" t="s">
        <v>1481</v>
      </c>
      <c r="D1597" s="4" t="e">
        <f>VLOOKUP(A1597,المعطيات!$A$1:$J$3500,5,0)</f>
        <v>#N/A</v>
      </c>
      <c r="E1597" s="1" t="s">
        <v>1482</v>
      </c>
      <c r="F1597" s="5">
        <f t="shared" si="72"/>
        <v>0</v>
      </c>
      <c r="G1597" s="5" t="s">
        <v>1483</v>
      </c>
      <c r="H1597" s="4" t="e">
        <f>VLOOKUP(A1597,المعطيات!$A$1:$J$3500,3,0)</f>
        <v>#N/A</v>
      </c>
      <c r="I1597" s="1" t="s">
        <v>1484</v>
      </c>
      <c r="J1597" s="1" t="s">
        <v>1485</v>
      </c>
      <c r="K1597" s="4" t="e">
        <f>VLOOKUP(A1597,المعطيات!$A$1:$J$3500,6,0)</f>
        <v>#N/A</v>
      </c>
      <c r="L1597" s="1" t="s">
        <v>1486</v>
      </c>
      <c r="M1597" s="1" t="s">
        <v>1487</v>
      </c>
      <c r="N1597" s="4" t="e">
        <f t="shared" si="73"/>
        <v>#N/A</v>
      </c>
      <c r="O1597" s="1" t="s">
        <v>1488</v>
      </c>
      <c r="P1597" s="4" t="e">
        <f>VLOOKUP(A1597,المعطيات!$A$1:$J$3500,4,0)</f>
        <v>#N/A</v>
      </c>
      <c r="Q1597" s="1" t="s">
        <v>1489</v>
      </c>
      <c r="R1597" s="1" t="s">
        <v>1480</v>
      </c>
      <c r="S1597" s="6" t="e">
        <f t="shared" si="74"/>
        <v>#N/A</v>
      </c>
    </row>
    <row r="1598" spans="2:19" x14ac:dyDescent="0.25">
      <c r="B1598" s="1" t="s">
        <v>1479</v>
      </c>
      <c r="C1598" s="1" t="s">
        <v>1481</v>
      </c>
      <c r="D1598" s="4" t="e">
        <f>VLOOKUP(A1598,المعطيات!$A$1:$J$3500,5,0)</f>
        <v>#N/A</v>
      </c>
      <c r="E1598" s="1" t="s">
        <v>1482</v>
      </c>
      <c r="F1598" s="5">
        <f t="shared" si="72"/>
        <v>0</v>
      </c>
      <c r="G1598" s="5" t="s">
        <v>1483</v>
      </c>
      <c r="H1598" s="4" t="e">
        <f>VLOOKUP(A1598,المعطيات!$A$1:$J$3500,3,0)</f>
        <v>#N/A</v>
      </c>
      <c r="I1598" s="1" t="s">
        <v>1484</v>
      </c>
      <c r="J1598" s="1" t="s">
        <v>1485</v>
      </c>
      <c r="K1598" s="4" t="e">
        <f>VLOOKUP(A1598,المعطيات!$A$1:$J$3500,6,0)</f>
        <v>#N/A</v>
      </c>
      <c r="L1598" s="1" t="s">
        <v>1486</v>
      </c>
      <c r="M1598" s="1" t="s">
        <v>1487</v>
      </c>
      <c r="N1598" s="4" t="e">
        <f t="shared" si="73"/>
        <v>#N/A</v>
      </c>
      <c r="O1598" s="1" t="s">
        <v>1488</v>
      </c>
      <c r="P1598" s="4" t="e">
        <f>VLOOKUP(A1598,المعطيات!$A$1:$J$3500,4,0)</f>
        <v>#N/A</v>
      </c>
      <c r="Q1598" s="1" t="s">
        <v>1489</v>
      </c>
      <c r="R1598" s="1" t="s">
        <v>1480</v>
      </c>
      <c r="S1598" s="6" t="e">
        <f t="shared" si="74"/>
        <v>#N/A</v>
      </c>
    </row>
    <row r="1599" spans="2:19" x14ac:dyDescent="0.25">
      <c r="B1599" s="1" t="s">
        <v>1479</v>
      </c>
      <c r="C1599" s="1" t="s">
        <v>1481</v>
      </c>
      <c r="D1599" s="4" t="e">
        <f>VLOOKUP(A1599,المعطيات!$A$1:$J$3500,5,0)</f>
        <v>#N/A</v>
      </c>
      <c r="E1599" s="1" t="s">
        <v>1482</v>
      </c>
      <c r="F1599" s="5">
        <f t="shared" si="72"/>
        <v>0</v>
      </c>
      <c r="G1599" s="5" t="s">
        <v>1483</v>
      </c>
      <c r="H1599" s="4" t="e">
        <f>VLOOKUP(A1599,المعطيات!$A$1:$J$3500,3,0)</f>
        <v>#N/A</v>
      </c>
      <c r="I1599" s="1" t="s">
        <v>1484</v>
      </c>
      <c r="J1599" s="1" t="s">
        <v>1485</v>
      </c>
      <c r="K1599" s="4" t="e">
        <f>VLOOKUP(A1599,المعطيات!$A$1:$J$3500,6,0)</f>
        <v>#N/A</v>
      </c>
      <c r="L1599" s="1" t="s">
        <v>1486</v>
      </c>
      <c r="M1599" s="1" t="s">
        <v>1487</v>
      </c>
      <c r="N1599" s="4" t="e">
        <f t="shared" si="73"/>
        <v>#N/A</v>
      </c>
      <c r="O1599" s="1" t="s">
        <v>1488</v>
      </c>
      <c r="P1599" s="4" t="e">
        <f>VLOOKUP(A1599,المعطيات!$A$1:$J$3500,4,0)</f>
        <v>#N/A</v>
      </c>
      <c r="Q1599" s="1" t="s">
        <v>1489</v>
      </c>
      <c r="R1599" s="1" t="s">
        <v>1480</v>
      </c>
      <c r="S1599" s="6" t="e">
        <f t="shared" si="74"/>
        <v>#N/A</v>
      </c>
    </row>
    <row r="1600" spans="2:19" x14ac:dyDescent="0.25">
      <c r="B1600" s="1" t="s">
        <v>1479</v>
      </c>
      <c r="C1600" s="1" t="s">
        <v>1481</v>
      </c>
      <c r="D1600" s="4" t="e">
        <f>VLOOKUP(A1600,المعطيات!$A$1:$J$3500,5,0)</f>
        <v>#N/A</v>
      </c>
      <c r="E1600" s="1" t="s">
        <v>1482</v>
      </c>
      <c r="F1600" s="5">
        <f t="shared" si="72"/>
        <v>0</v>
      </c>
      <c r="G1600" s="5" t="s">
        <v>1483</v>
      </c>
      <c r="H1600" s="4" t="e">
        <f>VLOOKUP(A1600,المعطيات!$A$1:$J$3500,3,0)</f>
        <v>#N/A</v>
      </c>
      <c r="I1600" s="1" t="s">
        <v>1484</v>
      </c>
      <c r="J1600" s="1" t="s">
        <v>1485</v>
      </c>
      <c r="K1600" s="4" t="e">
        <f>VLOOKUP(A1600,المعطيات!$A$1:$J$3500,6,0)</f>
        <v>#N/A</v>
      </c>
      <c r="L1600" s="1" t="s">
        <v>1486</v>
      </c>
      <c r="M1600" s="1" t="s">
        <v>1487</v>
      </c>
      <c r="N1600" s="4" t="e">
        <f t="shared" si="73"/>
        <v>#N/A</v>
      </c>
      <c r="O1600" s="1" t="s">
        <v>1488</v>
      </c>
      <c r="P1600" s="4" t="e">
        <f>VLOOKUP(A1600,المعطيات!$A$1:$J$3500,4,0)</f>
        <v>#N/A</v>
      </c>
      <c r="Q1600" s="1" t="s">
        <v>1489</v>
      </c>
      <c r="R1600" s="1" t="s">
        <v>1480</v>
      </c>
      <c r="S1600" s="6" t="e">
        <f t="shared" si="74"/>
        <v>#N/A</v>
      </c>
    </row>
    <row r="1601" spans="2:19" x14ac:dyDescent="0.25">
      <c r="B1601" s="1" t="s">
        <v>1479</v>
      </c>
      <c r="C1601" s="1" t="s">
        <v>1481</v>
      </c>
      <c r="D1601" s="4" t="e">
        <f>VLOOKUP(A1601,المعطيات!$A$1:$J$3500,5,0)</f>
        <v>#N/A</v>
      </c>
      <c r="E1601" s="1" t="s">
        <v>1482</v>
      </c>
      <c r="F1601" s="5">
        <f t="shared" si="72"/>
        <v>0</v>
      </c>
      <c r="G1601" s="5" t="s">
        <v>1483</v>
      </c>
      <c r="H1601" s="4" t="e">
        <f>VLOOKUP(A1601,المعطيات!$A$1:$J$3500,3,0)</f>
        <v>#N/A</v>
      </c>
      <c r="I1601" s="1" t="s">
        <v>1484</v>
      </c>
      <c r="J1601" s="1" t="s">
        <v>1485</v>
      </c>
      <c r="K1601" s="4" t="e">
        <f>VLOOKUP(A1601,المعطيات!$A$1:$J$3500,6,0)</f>
        <v>#N/A</v>
      </c>
      <c r="L1601" s="1" t="s">
        <v>1486</v>
      </c>
      <c r="M1601" s="1" t="s">
        <v>1487</v>
      </c>
      <c r="N1601" s="4" t="e">
        <f t="shared" si="73"/>
        <v>#N/A</v>
      </c>
      <c r="O1601" s="1" t="s">
        <v>1488</v>
      </c>
      <c r="P1601" s="4" t="e">
        <f>VLOOKUP(A1601,المعطيات!$A$1:$J$3500,4,0)</f>
        <v>#N/A</v>
      </c>
      <c r="Q1601" s="1" t="s">
        <v>1489</v>
      </c>
      <c r="R1601" s="1" t="s">
        <v>1480</v>
      </c>
      <c r="S1601" s="6" t="e">
        <f t="shared" si="74"/>
        <v>#N/A</v>
      </c>
    </row>
    <row r="1602" spans="2:19" x14ac:dyDescent="0.25">
      <c r="B1602" s="1" t="s">
        <v>1479</v>
      </c>
      <c r="C1602" s="1" t="s">
        <v>1481</v>
      </c>
      <c r="D1602" s="4" t="e">
        <f>VLOOKUP(A1602,المعطيات!$A$1:$J$3500,5,0)</f>
        <v>#N/A</v>
      </c>
      <c r="E1602" s="1" t="s">
        <v>1482</v>
      </c>
      <c r="F1602" s="5">
        <f t="shared" ref="F1602:F1665" si="75">A1602</f>
        <v>0</v>
      </c>
      <c r="G1602" s="5" t="s">
        <v>1483</v>
      </c>
      <c r="H1602" s="4" t="e">
        <f>VLOOKUP(A1602,المعطيات!$A$1:$J$3500,3,0)</f>
        <v>#N/A</v>
      </c>
      <c r="I1602" s="1" t="s">
        <v>1484</v>
      </c>
      <c r="J1602" s="1" t="s">
        <v>1485</v>
      </c>
      <c r="K1602" s="4" t="e">
        <f>VLOOKUP(A1602,المعطيات!$A$1:$J$3500,6,0)</f>
        <v>#N/A</v>
      </c>
      <c r="L1602" s="1" t="s">
        <v>1486</v>
      </c>
      <c r="M1602" s="1" t="s">
        <v>1487</v>
      </c>
      <c r="N1602" s="4" t="e">
        <f t="shared" ref="N1602:N1665" si="76">D1602</f>
        <v>#N/A</v>
      </c>
      <c r="O1602" s="1" t="s">
        <v>1488</v>
      </c>
      <c r="P1602" s="4" t="e">
        <f>VLOOKUP(A1602,المعطيات!$A$1:$J$3500,4,0)</f>
        <v>#N/A</v>
      </c>
      <c r="Q1602" s="1" t="s">
        <v>1489</v>
      </c>
      <c r="R1602" s="1" t="s">
        <v>1480</v>
      </c>
      <c r="S1602" s="6" t="e">
        <f t="shared" ref="S1602:S1665" si="77">B1602&amp;""&amp;C1602&amp;""&amp;D1602&amp;""&amp;E1602&amp;""&amp;F1602&amp;""&amp;G1602&amp;""&amp;H1602&amp;""&amp;I1602&amp;""&amp;J1602&amp;""&amp;K1602&amp;""&amp;L1602&amp;""&amp;M1602&amp;""&amp;N1602&amp;""&amp;O1602&amp;""&amp;P1602&amp;""&amp;Q1602&amp;""&amp;R1602</f>
        <v>#N/A</v>
      </c>
    </row>
    <row r="1603" spans="2:19" x14ac:dyDescent="0.25">
      <c r="B1603" s="1" t="s">
        <v>1479</v>
      </c>
      <c r="C1603" s="1" t="s">
        <v>1481</v>
      </c>
      <c r="D1603" s="4" t="e">
        <f>VLOOKUP(A1603,المعطيات!$A$1:$J$3500,5,0)</f>
        <v>#N/A</v>
      </c>
      <c r="E1603" s="1" t="s">
        <v>1482</v>
      </c>
      <c r="F1603" s="5">
        <f t="shared" si="75"/>
        <v>0</v>
      </c>
      <c r="G1603" s="5" t="s">
        <v>1483</v>
      </c>
      <c r="H1603" s="4" t="e">
        <f>VLOOKUP(A1603,المعطيات!$A$1:$J$3500,3,0)</f>
        <v>#N/A</v>
      </c>
      <c r="I1603" s="1" t="s">
        <v>1484</v>
      </c>
      <c r="J1603" s="1" t="s">
        <v>1485</v>
      </c>
      <c r="K1603" s="4" t="e">
        <f>VLOOKUP(A1603,المعطيات!$A$1:$J$3500,6,0)</f>
        <v>#N/A</v>
      </c>
      <c r="L1603" s="1" t="s">
        <v>1486</v>
      </c>
      <c r="M1603" s="1" t="s">
        <v>1487</v>
      </c>
      <c r="N1603" s="4" t="e">
        <f t="shared" si="76"/>
        <v>#N/A</v>
      </c>
      <c r="O1603" s="1" t="s">
        <v>1488</v>
      </c>
      <c r="P1603" s="4" t="e">
        <f>VLOOKUP(A1603,المعطيات!$A$1:$J$3500,4,0)</f>
        <v>#N/A</v>
      </c>
      <c r="Q1603" s="1" t="s">
        <v>1489</v>
      </c>
      <c r="R1603" s="1" t="s">
        <v>1480</v>
      </c>
      <c r="S1603" s="6" t="e">
        <f t="shared" si="77"/>
        <v>#N/A</v>
      </c>
    </row>
    <row r="1604" spans="2:19" x14ac:dyDescent="0.25">
      <c r="B1604" s="1" t="s">
        <v>1479</v>
      </c>
      <c r="C1604" s="1" t="s">
        <v>1481</v>
      </c>
      <c r="D1604" s="4" t="e">
        <f>VLOOKUP(A1604,المعطيات!$A$1:$J$3500,5,0)</f>
        <v>#N/A</v>
      </c>
      <c r="E1604" s="1" t="s">
        <v>1482</v>
      </c>
      <c r="F1604" s="5">
        <f t="shared" si="75"/>
        <v>0</v>
      </c>
      <c r="G1604" s="5" t="s">
        <v>1483</v>
      </c>
      <c r="H1604" s="4" t="e">
        <f>VLOOKUP(A1604,المعطيات!$A$1:$J$3500,3,0)</f>
        <v>#N/A</v>
      </c>
      <c r="I1604" s="1" t="s">
        <v>1484</v>
      </c>
      <c r="J1604" s="1" t="s">
        <v>1485</v>
      </c>
      <c r="K1604" s="4" t="e">
        <f>VLOOKUP(A1604,المعطيات!$A$1:$J$3500,6,0)</f>
        <v>#N/A</v>
      </c>
      <c r="L1604" s="1" t="s">
        <v>1486</v>
      </c>
      <c r="M1604" s="1" t="s">
        <v>1487</v>
      </c>
      <c r="N1604" s="4" t="e">
        <f t="shared" si="76"/>
        <v>#N/A</v>
      </c>
      <c r="O1604" s="1" t="s">
        <v>1488</v>
      </c>
      <c r="P1604" s="4" t="e">
        <f>VLOOKUP(A1604,المعطيات!$A$1:$J$3500,4,0)</f>
        <v>#N/A</v>
      </c>
      <c r="Q1604" s="1" t="s">
        <v>1489</v>
      </c>
      <c r="R1604" s="1" t="s">
        <v>1480</v>
      </c>
      <c r="S1604" s="6" t="e">
        <f t="shared" si="77"/>
        <v>#N/A</v>
      </c>
    </row>
    <row r="1605" spans="2:19" x14ac:dyDescent="0.25">
      <c r="B1605" s="1" t="s">
        <v>1479</v>
      </c>
      <c r="C1605" s="1" t="s">
        <v>1481</v>
      </c>
      <c r="D1605" s="4" t="e">
        <f>VLOOKUP(A1605,المعطيات!$A$1:$J$3500,5,0)</f>
        <v>#N/A</v>
      </c>
      <c r="E1605" s="1" t="s">
        <v>1482</v>
      </c>
      <c r="F1605" s="5">
        <f t="shared" si="75"/>
        <v>0</v>
      </c>
      <c r="G1605" s="5" t="s">
        <v>1483</v>
      </c>
      <c r="H1605" s="4" t="e">
        <f>VLOOKUP(A1605,المعطيات!$A$1:$J$3500,3,0)</f>
        <v>#N/A</v>
      </c>
      <c r="I1605" s="1" t="s">
        <v>1484</v>
      </c>
      <c r="J1605" s="1" t="s">
        <v>1485</v>
      </c>
      <c r="K1605" s="4" t="e">
        <f>VLOOKUP(A1605,المعطيات!$A$1:$J$3500,6,0)</f>
        <v>#N/A</v>
      </c>
      <c r="L1605" s="1" t="s">
        <v>1486</v>
      </c>
      <c r="M1605" s="1" t="s">
        <v>1487</v>
      </c>
      <c r="N1605" s="4" t="e">
        <f t="shared" si="76"/>
        <v>#N/A</v>
      </c>
      <c r="O1605" s="1" t="s">
        <v>1488</v>
      </c>
      <c r="P1605" s="4" t="e">
        <f>VLOOKUP(A1605,المعطيات!$A$1:$J$3500,4,0)</f>
        <v>#N/A</v>
      </c>
      <c r="Q1605" s="1" t="s">
        <v>1489</v>
      </c>
      <c r="R1605" s="1" t="s">
        <v>1480</v>
      </c>
      <c r="S1605" s="6" t="e">
        <f t="shared" si="77"/>
        <v>#N/A</v>
      </c>
    </row>
    <row r="1606" spans="2:19" x14ac:dyDescent="0.25">
      <c r="B1606" s="1" t="s">
        <v>1479</v>
      </c>
      <c r="C1606" s="1" t="s">
        <v>1481</v>
      </c>
      <c r="D1606" s="4" t="e">
        <f>VLOOKUP(A1606,المعطيات!$A$1:$J$3500,5,0)</f>
        <v>#N/A</v>
      </c>
      <c r="E1606" s="1" t="s">
        <v>1482</v>
      </c>
      <c r="F1606" s="5">
        <f t="shared" si="75"/>
        <v>0</v>
      </c>
      <c r="G1606" s="5" t="s">
        <v>1483</v>
      </c>
      <c r="H1606" s="4" t="e">
        <f>VLOOKUP(A1606,المعطيات!$A$1:$J$3500,3,0)</f>
        <v>#N/A</v>
      </c>
      <c r="I1606" s="1" t="s">
        <v>1484</v>
      </c>
      <c r="J1606" s="1" t="s">
        <v>1485</v>
      </c>
      <c r="K1606" s="4" t="e">
        <f>VLOOKUP(A1606,المعطيات!$A$1:$J$3500,6,0)</f>
        <v>#N/A</v>
      </c>
      <c r="L1606" s="1" t="s">
        <v>1486</v>
      </c>
      <c r="M1606" s="1" t="s">
        <v>1487</v>
      </c>
      <c r="N1606" s="4" t="e">
        <f t="shared" si="76"/>
        <v>#N/A</v>
      </c>
      <c r="O1606" s="1" t="s">
        <v>1488</v>
      </c>
      <c r="P1606" s="4" t="e">
        <f>VLOOKUP(A1606,المعطيات!$A$1:$J$3500,4,0)</f>
        <v>#N/A</v>
      </c>
      <c r="Q1606" s="1" t="s">
        <v>1489</v>
      </c>
      <c r="R1606" s="1" t="s">
        <v>1480</v>
      </c>
      <c r="S1606" s="6" t="e">
        <f t="shared" si="77"/>
        <v>#N/A</v>
      </c>
    </row>
    <row r="1607" spans="2:19" x14ac:dyDescent="0.25">
      <c r="B1607" s="1" t="s">
        <v>1479</v>
      </c>
      <c r="C1607" s="1" t="s">
        <v>1481</v>
      </c>
      <c r="D1607" s="4" t="e">
        <f>VLOOKUP(A1607,المعطيات!$A$1:$J$3500,5,0)</f>
        <v>#N/A</v>
      </c>
      <c r="E1607" s="1" t="s">
        <v>1482</v>
      </c>
      <c r="F1607" s="5">
        <f t="shared" si="75"/>
        <v>0</v>
      </c>
      <c r="G1607" s="5" t="s">
        <v>1483</v>
      </c>
      <c r="H1607" s="4" t="e">
        <f>VLOOKUP(A1607,المعطيات!$A$1:$J$3500,3,0)</f>
        <v>#N/A</v>
      </c>
      <c r="I1607" s="1" t="s">
        <v>1484</v>
      </c>
      <c r="J1607" s="1" t="s">
        <v>1485</v>
      </c>
      <c r="K1607" s="4" t="e">
        <f>VLOOKUP(A1607,المعطيات!$A$1:$J$3500,6,0)</f>
        <v>#N/A</v>
      </c>
      <c r="L1607" s="1" t="s">
        <v>1486</v>
      </c>
      <c r="M1607" s="1" t="s">
        <v>1487</v>
      </c>
      <c r="N1607" s="4" t="e">
        <f t="shared" si="76"/>
        <v>#N/A</v>
      </c>
      <c r="O1607" s="1" t="s">
        <v>1488</v>
      </c>
      <c r="P1607" s="4" t="e">
        <f>VLOOKUP(A1607,المعطيات!$A$1:$J$3500,4,0)</f>
        <v>#N/A</v>
      </c>
      <c r="Q1607" s="1" t="s">
        <v>1489</v>
      </c>
      <c r="R1607" s="1" t="s">
        <v>1480</v>
      </c>
      <c r="S1607" s="6" t="e">
        <f t="shared" si="77"/>
        <v>#N/A</v>
      </c>
    </row>
    <row r="1608" spans="2:19" x14ac:dyDescent="0.25">
      <c r="B1608" s="1" t="s">
        <v>1479</v>
      </c>
      <c r="C1608" s="1" t="s">
        <v>1481</v>
      </c>
      <c r="D1608" s="4" t="e">
        <f>VLOOKUP(A1608,المعطيات!$A$1:$J$3500,5,0)</f>
        <v>#N/A</v>
      </c>
      <c r="E1608" s="1" t="s">
        <v>1482</v>
      </c>
      <c r="F1608" s="5">
        <f t="shared" si="75"/>
        <v>0</v>
      </c>
      <c r="G1608" s="5" t="s">
        <v>1483</v>
      </c>
      <c r="H1608" s="4" t="e">
        <f>VLOOKUP(A1608,المعطيات!$A$1:$J$3500,3,0)</f>
        <v>#N/A</v>
      </c>
      <c r="I1608" s="1" t="s">
        <v>1484</v>
      </c>
      <c r="J1608" s="1" t="s">
        <v>1485</v>
      </c>
      <c r="K1608" s="4" t="e">
        <f>VLOOKUP(A1608,المعطيات!$A$1:$J$3500,6,0)</f>
        <v>#N/A</v>
      </c>
      <c r="L1608" s="1" t="s">
        <v>1486</v>
      </c>
      <c r="M1608" s="1" t="s">
        <v>1487</v>
      </c>
      <c r="N1608" s="4" t="e">
        <f t="shared" si="76"/>
        <v>#N/A</v>
      </c>
      <c r="O1608" s="1" t="s">
        <v>1488</v>
      </c>
      <c r="P1608" s="4" t="e">
        <f>VLOOKUP(A1608,المعطيات!$A$1:$J$3500,4,0)</f>
        <v>#N/A</v>
      </c>
      <c r="Q1608" s="1" t="s">
        <v>1489</v>
      </c>
      <c r="R1608" s="1" t="s">
        <v>1480</v>
      </c>
      <c r="S1608" s="6" t="e">
        <f t="shared" si="77"/>
        <v>#N/A</v>
      </c>
    </row>
    <row r="1609" spans="2:19" x14ac:dyDescent="0.25">
      <c r="B1609" s="1" t="s">
        <v>1479</v>
      </c>
      <c r="C1609" s="1" t="s">
        <v>1481</v>
      </c>
      <c r="D1609" s="4" t="e">
        <f>VLOOKUP(A1609,المعطيات!$A$1:$J$3500,5,0)</f>
        <v>#N/A</v>
      </c>
      <c r="E1609" s="1" t="s">
        <v>1482</v>
      </c>
      <c r="F1609" s="5">
        <f t="shared" si="75"/>
        <v>0</v>
      </c>
      <c r="G1609" s="5" t="s">
        <v>1483</v>
      </c>
      <c r="H1609" s="4" t="e">
        <f>VLOOKUP(A1609,المعطيات!$A$1:$J$3500,3,0)</f>
        <v>#N/A</v>
      </c>
      <c r="I1609" s="1" t="s">
        <v>1484</v>
      </c>
      <c r="J1609" s="1" t="s">
        <v>1485</v>
      </c>
      <c r="K1609" s="4" t="e">
        <f>VLOOKUP(A1609,المعطيات!$A$1:$J$3500,6,0)</f>
        <v>#N/A</v>
      </c>
      <c r="L1609" s="1" t="s">
        <v>1486</v>
      </c>
      <c r="M1609" s="1" t="s">
        <v>1487</v>
      </c>
      <c r="N1609" s="4" t="e">
        <f t="shared" si="76"/>
        <v>#N/A</v>
      </c>
      <c r="O1609" s="1" t="s">
        <v>1488</v>
      </c>
      <c r="P1609" s="4" t="e">
        <f>VLOOKUP(A1609,المعطيات!$A$1:$J$3500,4,0)</f>
        <v>#N/A</v>
      </c>
      <c r="Q1609" s="1" t="s">
        <v>1489</v>
      </c>
      <c r="R1609" s="1" t="s">
        <v>1480</v>
      </c>
      <c r="S1609" s="6" t="e">
        <f t="shared" si="77"/>
        <v>#N/A</v>
      </c>
    </row>
    <row r="1610" spans="2:19" x14ac:dyDescent="0.25">
      <c r="B1610" s="1" t="s">
        <v>1479</v>
      </c>
      <c r="C1610" s="1" t="s">
        <v>1481</v>
      </c>
      <c r="D1610" s="4" t="e">
        <f>VLOOKUP(A1610,المعطيات!$A$1:$J$3500,5,0)</f>
        <v>#N/A</v>
      </c>
      <c r="E1610" s="1" t="s">
        <v>1482</v>
      </c>
      <c r="F1610" s="5">
        <f t="shared" si="75"/>
        <v>0</v>
      </c>
      <c r="G1610" s="5" t="s">
        <v>1483</v>
      </c>
      <c r="H1610" s="4" t="e">
        <f>VLOOKUP(A1610,المعطيات!$A$1:$J$3500,3,0)</f>
        <v>#N/A</v>
      </c>
      <c r="I1610" s="1" t="s">
        <v>1484</v>
      </c>
      <c r="J1610" s="1" t="s">
        <v>1485</v>
      </c>
      <c r="K1610" s="4" t="e">
        <f>VLOOKUP(A1610,المعطيات!$A$1:$J$3500,6,0)</f>
        <v>#N/A</v>
      </c>
      <c r="L1610" s="1" t="s">
        <v>1486</v>
      </c>
      <c r="M1610" s="1" t="s">
        <v>1487</v>
      </c>
      <c r="N1610" s="4" t="e">
        <f t="shared" si="76"/>
        <v>#N/A</v>
      </c>
      <c r="O1610" s="1" t="s">
        <v>1488</v>
      </c>
      <c r="P1610" s="4" t="e">
        <f>VLOOKUP(A1610,المعطيات!$A$1:$J$3500,4,0)</f>
        <v>#N/A</v>
      </c>
      <c r="Q1610" s="1" t="s">
        <v>1489</v>
      </c>
      <c r="R1610" s="1" t="s">
        <v>1480</v>
      </c>
      <c r="S1610" s="6" t="e">
        <f t="shared" si="77"/>
        <v>#N/A</v>
      </c>
    </row>
    <row r="1611" spans="2:19" x14ac:dyDescent="0.25">
      <c r="B1611" s="1" t="s">
        <v>1479</v>
      </c>
      <c r="C1611" s="1" t="s">
        <v>1481</v>
      </c>
      <c r="D1611" s="4" t="e">
        <f>VLOOKUP(A1611,المعطيات!$A$1:$J$3500,5,0)</f>
        <v>#N/A</v>
      </c>
      <c r="E1611" s="1" t="s">
        <v>1482</v>
      </c>
      <c r="F1611" s="5">
        <f t="shared" si="75"/>
        <v>0</v>
      </c>
      <c r="G1611" s="5" t="s">
        <v>1483</v>
      </c>
      <c r="H1611" s="4" t="e">
        <f>VLOOKUP(A1611,المعطيات!$A$1:$J$3500,3,0)</f>
        <v>#N/A</v>
      </c>
      <c r="I1611" s="1" t="s">
        <v>1484</v>
      </c>
      <c r="J1611" s="1" t="s">
        <v>1485</v>
      </c>
      <c r="K1611" s="4" t="e">
        <f>VLOOKUP(A1611,المعطيات!$A$1:$J$3500,6,0)</f>
        <v>#N/A</v>
      </c>
      <c r="L1611" s="1" t="s">
        <v>1486</v>
      </c>
      <c r="M1611" s="1" t="s">
        <v>1487</v>
      </c>
      <c r="N1611" s="4" t="e">
        <f t="shared" si="76"/>
        <v>#N/A</v>
      </c>
      <c r="O1611" s="1" t="s">
        <v>1488</v>
      </c>
      <c r="P1611" s="4" t="e">
        <f>VLOOKUP(A1611,المعطيات!$A$1:$J$3500,4,0)</f>
        <v>#N/A</v>
      </c>
      <c r="Q1611" s="1" t="s">
        <v>1489</v>
      </c>
      <c r="R1611" s="1" t="s">
        <v>1480</v>
      </c>
      <c r="S1611" s="6" t="e">
        <f t="shared" si="77"/>
        <v>#N/A</v>
      </c>
    </row>
    <row r="1612" spans="2:19" x14ac:dyDescent="0.25">
      <c r="B1612" s="1" t="s">
        <v>1479</v>
      </c>
      <c r="C1612" s="1" t="s">
        <v>1481</v>
      </c>
      <c r="D1612" s="4" t="e">
        <f>VLOOKUP(A1612,المعطيات!$A$1:$J$3500,5,0)</f>
        <v>#N/A</v>
      </c>
      <c r="E1612" s="1" t="s">
        <v>1482</v>
      </c>
      <c r="F1612" s="5">
        <f t="shared" si="75"/>
        <v>0</v>
      </c>
      <c r="G1612" s="5" t="s">
        <v>1483</v>
      </c>
      <c r="H1612" s="4" t="e">
        <f>VLOOKUP(A1612,المعطيات!$A$1:$J$3500,3,0)</f>
        <v>#N/A</v>
      </c>
      <c r="I1612" s="1" t="s">
        <v>1484</v>
      </c>
      <c r="J1612" s="1" t="s">
        <v>1485</v>
      </c>
      <c r="K1612" s="4" t="e">
        <f>VLOOKUP(A1612,المعطيات!$A$1:$J$3500,6,0)</f>
        <v>#N/A</v>
      </c>
      <c r="L1612" s="1" t="s">
        <v>1486</v>
      </c>
      <c r="M1612" s="1" t="s">
        <v>1487</v>
      </c>
      <c r="N1612" s="4" t="e">
        <f t="shared" si="76"/>
        <v>#N/A</v>
      </c>
      <c r="O1612" s="1" t="s">
        <v>1488</v>
      </c>
      <c r="P1612" s="4" t="e">
        <f>VLOOKUP(A1612,المعطيات!$A$1:$J$3500,4,0)</f>
        <v>#N/A</v>
      </c>
      <c r="Q1612" s="1" t="s">
        <v>1489</v>
      </c>
      <c r="R1612" s="1" t="s">
        <v>1480</v>
      </c>
      <c r="S1612" s="6" t="e">
        <f t="shared" si="77"/>
        <v>#N/A</v>
      </c>
    </row>
    <row r="1613" spans="2:19" x14ac:dyDescent="0.25">
      <c r="B1613" s="1" t="s">
        <v>1479</v>
      </c>
      <c r="C1613" s="1" t="s">
        <v>1481</v>
      </c>
      <c r="D1613" s="4" t="e">
        <f>VLOOKUP(A1613,المعطيات!$A$1:$J$3500,5,0)</f>
        <v>#N/A</v>
      </c>
      <c r="E1613" s="1" t="s">
        <v>1482</v>
      </c>
      <c r="F1613" s="5">
        <f t="shared" si="75"/>
        <v>0</v>
      </c>
      <c r="G1613" s="5" t="s">
        <v>1483</v>
      </c>
      <c r="H1613" s="4" t="e">
        <f>VLOOKUP(A1613,المعطيات!$A$1:$J$3500,3,0)</f>
        <v>#N/A</v>
      </c>
      <c r="I1613" s="1" t="s">
        <v>1484</v>
      </c>
      <c r="J1613" s="1" t="s">
        <v>1485</v>
      </c>
      <c r="K1613" s="4" t="e">
        <f>VLOOKUP(A1613,المعطيات!$A$1:$J$3500,6,0)</f>
        <v>#N/A</v>
      </c>
      <c r="L1613" s="1" t="s">
        <v>1486</v>
      </c>
      <c r="M1613" s="1" t="s">
        <v>1487</v>
      </c>
      <c r="N1613" s="4" t="e">
        <f t="shared" si="76"/>
        <v>#N/A</v>
      </c>
      <c r="O1613" s="1" t="s">
        <v>1488</v>
      </c>
      <c r="P1613" s="4" t="e">
        <f>VLOOKUP(A1613,المعطيات!$A$1:$J$3500,4,0)</f>
        <v>#N/A</v>
      </c>
      <c r="Q1613" s="1" t="s">
        <v>1489</v>
      </c>
      <c r="R1613" s="1" t="s">
        <v>1480</v>
      </c>
      <c r="S1613" s="6" t="e">
        <f t="shared" si="77"/>
        <v>#N/A</v>
      </c>
    </row>
    <row r="1614" spans="2:19" x14ac:dyDescent="0.25">
      <c r="B1614" s="1" t="s">
        <v>1479</v>
      </c>
      <c r="C1614" s="1" t="s">
        <v>1481</v>
      </c>
      <c r="D1614" s="4" t="e">
        <f>VLOOKUP(A1614,المعطيات!$A$1:$J$3500,5,0)</f>
        <v>#N/A</v>
      </c>
      <c r="E1614" s="1" t="s">
        <v>1482</v>
      </c>
      <c r="F1614" s="5">
        <f t="shared" si="75"/>
        <v>0</v>
      </c>
      <c r="G1614" s="5" t="s">
        <v>1483</v>
      </c>
      <c r="H1614" s="4" t="e">
        <f>VLOOKUP(A1614,المعطيات!$A$1:$J$3500,3,0)</f>
        <v>#N/A</v>
      </c>
      <c r="I1614" s="1" t="s">
        <v>1484</v>
      </c>
      <c r="J1614" s="1" t="s">
        <v>1485</v>
      </c>
      <c r="K1614" s="4" t="e">
        <f>VLOOKUP(A1614,المعطيات!$A$1:$J$3500,6,0)</f>
        <v>#N/A</v>
      </c>
      <c r="L1614" s="1" t="s">
        <v>1486</v>
      </c>
      <c r="M1614" s="1" t="s">
        <v>1487</v>
      </c>
      <c r="N1614" s="4" t="e">
        <f t="shared" si="76"/>
        <v>#N/A</v>
      </c>
      <c r="O1614" s="1" t="s">
        <v>1488</v>
      </c>
      <c r="P1614" s="4" t="e">
        <f>VLOOKUP(A1614,المعطيات!$A$1:$J$3500,4,0)</f>
        <v>#N/A</v>
      </c>
      <c r="Q1614" s="1" t="s">
        <v>1489</v>
      </c>
      <c r="R1614" s="1" t="s">
        <v>1480</v>
      </c>
      <c r="S1614" s="6" t="e">
        <f t="shared" si="77"/>
        <v>#N/A</v>
      </c>
    </row>
    <row r="1615" spans="2:19" x14ac:dyDescent="0.25">
      <c r="B1615" s="1" t="s">
        <v>1479</v>
      </c>
      <c r="C1615" s="1" t="s">
        <v>1481</v>
      </c>
      <c r="D1615" s="4" t="e">
        <f>VLOOKUP(A1615,المعطيات!$A$1:$J$3500,5,0)</f>
        <v>#N/A</v>
      </c>
      <c r="E1615" s="1" t="s">
        <v>1482</v>
      </c>
      <c r="F1615" s="5">
        <f t="shared" si="75"/>
        <v>0</v>
      </c>
      <c r="G1615" s="5" t="s">
        <v>1483</v>
      </c>
      <c r="H1615" s="4" t="e">
        <f>VLOOKUP(A1615,المعطيات!$A$1:$J$3500,3,0)</f>
        <v>#N/A</v>
      </c>
      <c r="I1615" s="1" t="s">
        <v>1484</v>
      </c>
      <c r="J1615" s="1" t="s">
        <v>1485</v>
      </c>
      <c r="K1615" s="4" t="e">
        <f>VLOOKUP(A1615,المعطيات!$A$1:$J$3500,6,0)</f>
        <v>#N/A</v>
      </c>
      <c r="L1615" s="1" t="s">
        <v>1486</v>
      </c>
      <c r="M1615" s="1" t="s">
        <v>1487</v>
      </c>
      <c r="N1615" s="4" t="e">
        <f t="shared" si="76"/>
        <v>#N/A</v>
      </c>
      <c r="O1615" s="1" t="s">
        <v>1488</v>
      </c>
      <c r="P1615" s="4" t="e">
        <f>VLOOKUP(A1615,المعطيات!$A$1:$J$3500,4,0)</f>
        <v>#N/A</v>
      </c>
      <c r="Q1615" s="1" t="s">
        <v>1489</v>
      </c>
      <c r="R1615" s="1" t="s">
        <v>1480</v>
      </c>
      <c r="S1615" s="6" t="e">
        <f t="shared" si="77"/>
        <v>#N/A</v>
      </c>
    </row>
    <row r="1616" spans="2:19" x14ac:dyDescent="0.25">
      <c r="B1616" s="1" t="s">
        <v>1479</v>
      </c>
      <c r="C1616" s="1" t="s">
        <v>1481</v>
      </c>
      <c r="D1616" s="4" t="e">
        <f>VLOOKUP(A1616,المعطيات!$A$1:$J$3500,5,0)</f>
        <v>#N/A</v>
      </c>
      <c r="E1616" s="1" t="s">
        <v>1482</v>
      </c>
      <c r="F1616" s="5">
        <f t="shared" si="75"/>
        <v>0</v>
      </c>
      <c r="G1616" s="5" t="s">
        <v>1483</v>
      </c>
      <c r="H1616" s="4" t="e">
        <f>VLOOKUP(A1616,المعطيات!$A$1:$J$3500,3,0)</f>
        <v>#N/A</v>
      </c>
      <c r="I1616" s="1" t="s">
        <v>1484</v>
      </c>
      <c r="J1616" s="1" t="s">
        <v>1485</v>
      </c>
      <c r="K1616" s="4" t="e">
        <f>VLOOKUP(A1616,المعطيات!$A$1:$J$3500,6,0)</f>
        <v>#N/A</v>
      </c>
      <c r="L1616" s="1" t="s">
        <v>1486</v>
      </c>
      <c r="M1616" s="1" t="s">
        <v>1487</v>
      </c>
      <c r="N1616" s="4" t="e">
        <f t="shared" si="76"/>
        <v>#N/A</v>
      </c>
      <c r="O1616" s="1" t="s">
        <v>1488</v>
      </c>
      <c r="P1616" s="4" t="e">
        <f>VLOOKUP(A1616,المعطيات!$A$1:$J$3500,4,0)</f>
        <v>#N/A</v>
      </c>
      <c r="Q1616" s="1" t="s">
        <v>1489</v>
      </c>
      <c r="R1616" s="1" t="s">
        <v>1480</v>
      </c>
      <c r="S1616" s="6" t="e">
        <f t="shared" si="77"/>
        <v>#N/A</v>
      </c>
    </row>
    <row r="1617" spans="2:19" x14ac:dyDescent="0.25">
      <c r="B1617" s="1" t="s">
        <v>1479</v>
      </c>
      <c r="C1617" s="1" t="s">
        <v>1481</v>
      </c>
      <c r="D1617" s="4" t="e">
        <f>VLOOKUP(A1617,المعطيات!$A$1:$J$3500,5,0)</f>
        <v>#N/A</v>
      </c>
      <c r="E1617" s="1" t="s">
        <v>1482</v>
      </c>
      <c r="F1617" s="5">
        <f t="shared" si="75"/>
        <v>0</v>
      </c>
      <c r="G1617" s="5" t="s">
        <v>1483</v>
      </c>
      <c r="H1617" s="4" t="e">
        <f>VLOOKUP(A1617,المعطيات!$A$1:$J$3500,3,0)</f>
        <v>#N/A</v>
      </c>
      <c r="I1617" s="1" t="s">
        <v>1484</v>
      </c>
      <c r="J1617" s="1" t="s">
        <v>1485</v>
      </c>
      <c r="K1617" s="4" t="e">
        <f>VLOOKUP(A1617,المعطيات!$A$1:$J$3500,6,0)</f>
        <v>#N/A</v>
      </c>
      <c r="L1617" s="1" t="s">
        <v>1486</v>
      </c>
      <c r="M1617" s="1" t="s">
        <v>1487</v>
      </c>
      <c r="N1617" s="4" t="e">
        <f t="shared" si="76"/>
        <v>#N/A</v>
      </c>
      <c r="O1617" s="1" t="s">
        <v>1488</v>
      </c>
      <c r="P1617" s="4" t="e">
        <f>VLOOKUP(A1617,المعطيات!$A$1:$J$3500,4,0)</f>
        <v>#N/A</v>
      </c>
      <c r="Q1617" s="1" t="s">
        <v>1489</v>
      </c>
      <c r="R1617" s="1" t="s">
        <v>1480</v>
      </c>
      <c r="S1617" s="6" t="e">
        <f t="shared" si="77"/>
        <v>#N/A</v>
      </c>
    </row>
    <row r="1618" spans="2:19" x14ac:dyDescent="0.25">
      <c r="B1618" s="1" t="s">
        <v>1479</v>
      </c>
      <c r="C1618" s="1" t="s">
        <v>1481</v>
      </c>
      <c r="D1618" s="4" t="e">
        <f>VLOOKUP(A1618,المعطيات!$A$1:$J$3500,5,0)</f>
        <v>#N/A</v>
      </c>
      <c r="E1618" s="1" t="s">
        <v>1482</v>
      </c>
      <c r="F1618" s="5">
        <f t="shared" si="75"/>
        <v>0</v>
      </c>
      <c r="G1618" s="5" t="s">
        <v>1483</v>
      </c>
      <c r="H1618" s="4" t="e">
        <f>VLOOKUP(A1618,المعطيات!$A$1:$J$3500,3,0)</f>
        <v>#N/A</v>
      </c>
      <c r="I1618" s="1" t="s">
        <v>1484</v>
      </c>
      <c r="J1618" s="1" t="s">
        <v>1485</v>
      </c>
      <c r="K1618" s="4" t="e">
        <f>VLOOKUP(A1618,المعطيات!$A$1:$J$3500,6,0)</f>
        <v>#N/A</v>
      </c>
      <c r="L1618" s="1" t="s">
        <v>1486</v>
      </c>
      <c r="M1618" s="1" t="s">
        <v>1487</v>
      </c>
      <c r="N1618" s="4" t="e">
        <f t="shared" si="76"/>
        <v>#N/A</v>
      </c>
      <c r="O1618" s="1" t="s">
        <v>1488</v>
      </c>
      <c r="P1618" s="4" t="e">
        <f>VLOOKUP(A1618,المعطيات!$A$1:$J$3500,4,0)</f>
        <v>#N/A</v>
      </c>
      <c r="Q1618" s="1" t="s">
        <v>1489</v>
      </c>
      <c r="R1618" s="1" t="s">
        <v>1480</v>
      </c>
      <c r="S1618" s="6" t="e">
        <f t="shared" si="77"/>
        <v>#N/A</v>
      </c>
    </row>
    <row r="1619" spans="2:19" x14ac:dyDescent="0.25">
      <c r="B1619" s="1" t="s">
        <v>1479</v>
      </c>
      <c r="C1619" s="1" t="s">
        <v>1481</v>
      </c>
      <c r="D1619" s="4" t="e">
        <f>VLOOKUP(A1619,المعطيات!$A$1:$J$3500,5,0)</f>
        <v>#N/A</v>
      </c>
      <c r="E1619" s="1" t="s">
        <v>1482</v>
      </c>
      <c r="F1619" s="5">
        <f t="shared" si="75"/>
        <v>0</v>
      </c>
      <c r="G1619" s="5" t="s">
        <v>1483</v>
      </c>
      <c r="H1619" s="4" t="e">
        <f>VLOOKUP(A1619,المعطيات!$A$1:$J$3500,3,0)</f>
        <v>#N/A</v>
      </c>
      <c r="I1619" s="1" t="s">
        <v>1484</v>
      </c>
      <c r="J1619" s="1" t="s">
        <v>1485</v>
      </c>
      <c r="K1619" s="4" t="e">
        <f>VLOOKUP(A1619,المعطيات!$A$1:$J$3500,6,0)</f>
        <v>#N/A</v>
      </c>
      <c r="L1619" s="1" t="s">
        <v>1486</v>
      </c>
      <c r="M1619" s="1" t="s">
        <v>1487</v>
      </c>
      <c r="N1619" s="4" t="e">
        <f t="shared" si="76"/>
        <v>#N/A</v>
      </c>
      <c r="O1619" s="1" t="s">
        <v>1488</v>
      </c>
      <c r="P1619" s="4" t="e">
        <f>VLOOKUP(A1619,المعطيات!$A$1:$J$3500,4,0)</f>
        <v>#N/A</v>
      </c>
      <c r="Q1619" s="1" t="s">
        <v>1489</v>
      </c>
      <c r="R1619" s="1" t="s">
        <v>1480</v>
      </c>
      <c r="S1619" s="6" t="e">
        <f t="shared" si="77"/>
        <v>#N/A</v>
      </c>
    </row>
    <row r="1620" spans="2:19" x14ac:dyDescent="0.25">
      <c r="B1620" s="1" t="s">
        <v>1479</v>
      </c>
      <c r="C1620" s="1" t="s">
        <v>1481</v>
      </c>
      <c r="D1620" s="4" t="e">
        <f>VLOOKUP(A1620,المعطيات!$A$1:$J$3500,5,0)</f>
        <v>#N/A</v>
      </c>
      <c r="E1620" s="1" t="s">
        <v>1482</v>
      </c>
      <c r="F1620" s="5">
        <f t="shared" si="75"/>
        <v>0</v>
      </c>
      <c r="G1620" s="5" t="s">
        <v>1483</v>
      </c>
      <c r="H1620" s="4" t="e">
        <f>VLOOKUP(A1620,المعطيات!$A$1:$J$3500,3,0)</f>
        <v>#N/A</v>
      </c>
      <c r="I1620" s="1" t="s">
        <v>1484</v>
      </c>
      <c r="J1620" s="1" t="s">
        <v>1485</v>
      </c>
      <c r="K1620" s="4" t="e">
        <f>VLOOKUP(A1620,المعطيات!$A$1:$J$3500,6,0)</f>
        <v>#N/A</v>
      </c>
      <c r="L1620" s="1" t="s">
        <v>1486</v>
      </c>
      <c r="M1620" s="1" t="s">
        <v>1487</v>
      </c>
      <c r="N1620" s="4" t="e">
        <f t="shared" si="76"/>
        <v>#N/A</v>
      </c>
      <c r="O1620" s="1" t="s">
        <v>1488</v>
      </c>
      <c r="P1620" s="4" t="e">
        <f>VLOOKUP(A1620,المعطيات!$A$1:$J$3500,4,0)</f>
        <v>#N/A</v>
      </c>
      <c r="Q1620" s="1" t="s">
        <v>1489</v>
      </c>
      <c r="R1620" s="1" t="s">
        <v>1480</v>
      </c>
      <c r="S1620" s="6" t="e">
        <f t="shared" si="77"/>
        <v>#N/A</v>
      </c>
    </row>
    <row r="1621" spans="2:19" x14ac:dyDescent="0.25">
      <c r="B1621" s="1" t="s">
        <v>1479</v>
      </c>
      <c r="C1621" s="1" t="s">
        <v>1481</v>
      </c>
      <c r="D1621" s="4" t="e">
        <f>VLOOKUP(A1621,المعطيات!$A$1:$J$3500,5,0)</f>
        <v>#N/A</v>
      </c>
      <c r="E1621" s="1" t="s">
        <v>1482</v>
      </c>
      <c r="F1621" s="5">
        <f t="shared" si="75"/>
        <v>0</v>
      </c>
      <c r="G1621" s="5" t="s">
        <v>1483</v>
      </c>
      <c r="H1621" s="4" t="e">
        <f>VLOOKUP(A1621,المعطيات!$A$1:$J$3500,3,0)</f>
        <v>#N/A</v>
      </c>
      <c r="I1621" s="1" t="s">
        <v>1484</v>
      </c>
      <c r="J1621" s="1" t="s">
        <v>1485</v>
      </c>
      <c r="K1621" s="4" t="e">
        <f>VLOOKUP(A1621,المعطيات!$A$1:$J$3500,6,0)</f>
        <v>#N/A</v>
      </c>
      <c r="L1621" s="1" t="s">
        <v>1486</v>
      </c>
      <c r="M1621" s="1" t="s">
        <v>1487</v>
      </c>
      <c r="N1621" s="4" t="e">
        <f t="shared" si="76"/>
        <v>#N/A</v>
      </c>
      <c r="O1621" s="1" t="s">
        <v>1488</v>
      </c>
      <c r="P1621" s="4" t="e">
        <f>VLOOKUP(A1621,المعطيات!$A$1:$J$3500,4,0)</f>
        <v>#N/A</v>
      </c>
      <c r="Q1621" s="1" t="s">
        <v>1489</v>
      </c>
      <c r="R1621" s="1" t="s">
        <v>1480</v>
      </c>
      <c r="S1621" s="6" t="e">
        <f t="shared" si="77"/>
        <v>#N/A</v>
      </c>
    </row>
    <row r="1622" spans="2:19" x14ac:dyDescent="0.25">
      <c r="B1622" s="1" t="s">
        <v>1479</v>
      </c>
      <c r="C1622" s="1" t="s">
        <v>1481</v>
      </c>
      <c r="D1622" s="4" t="e">
        <f>VLOOKUP(A1622,المعطيات!$A$1:$J$3500,5,0)</f>
        <v>#N/A</v>
      </c>
      <c r="E1622" s="1" t="s">
        <v>1482</v>
      </c>
      <c r="F1622" s="5">
        <f t="shared" si="75"/>
        <v>0</v>
      </c>
      <c r="G1622" s="5" t="s">
        <v>1483</v>
      </c>
      <c r="H1622" s="4" t="e">
        <f>VLOOKUP(A1622,المعطيات!$A$1:$J$3500,3,0)</f>
        <v>#N/A</v>
      </c>
      <c r="I1622" s="1" t="s">
        <v>1484</v>
      </c>
      <c r="J1622" s="1" t="s">
        <v>1485</v>
      </c>
      <c r="K1622" s="4" t="e">
        <f>VLOOKUP(A1622,المعطيات!$A$1:$J$3500,6,0)</f>
        <v>#N/A</v>
      </c>
      <c r="L1622" s="1" t="s">
        <v>1486</v>
      </c>
      <c r="M1622" s="1" t="s">
        <v>1487</v>
      </c>
      <c r="N1622" s="4" t="e">
        <f t="shared" si="76"/>
        <v>#N/A</v>
      </c>
      <c r="O1622" s="1" t="s">
        <v>1488</v>
      </c>
      <c r="P1622" s="4" t="e">
        <f>VLOOKUP(A1622,المعطيات!$A$1:$J$3500,4,0)</f>
        <v>#N/A</v>
      </c>
      <c r="Q1622" s="1" t="s">
        <v>1489</v>
      </c>
      <c r="R1622" s="1" t="s">
        <v>1480</v>
      </c>
      <c r="S1622" s="6" t="e">
        <f t="shared" si="77"/>
        <v>#N/A</v>
      </c>
    </row>
    <row r="1623" spans="2:19" x14ac:dyDescent="0.25">
      <c r="B1623" s="1" t="s">
        <v>1479</v>
      </c>
      <c r="C1623" s="1" t="s">
        <v>1481</v>
      </c>
      <c r="D1623" s="4" t="e">
        <f>VLOOKUP(A1623,المعطيات!$A$1:$J$3500,5,0)</f>
        <v>#N/A</v>
      </c>
      <c r="E1623" s="1" t="s">
        <v>1482</v>
      </c>
      <c r="F1623" s="5">
        <f t="shared" si="75"/>
        <v>0</v>
      </c>
      <c r="G1623" s="5" t="s">
        <v>1483</v>
      </c>
      <c r="H1623" s="4" t="e">
        <f>VLOOKUP(A1623,المعطيات!$A$1:$J$3500,3,0)</f>
        <v>#N/A</v>
      </c>
      <c r="I1623" s="1" t="s">
        <v>1484</v>
      </c>
      <c r="J1623" s="1" t="s">
        <v>1485</v>
      </c>
      <c r="K1623" s="4" t="e">
        <f>VLOOKUP(A1623,المعطيات!$A$1:$J$3500,6,0)</f>
        <v>#N/A</v>
      </c>
      <c r="L1623" s="1" t="s">
        <v>1486</v>
      </c>
      <c r="M1623" s="1" t="s">
        <v>1487</v>
      </c>
      <c r="N1623" s="4" t="e">
        <f t="shared" si="76"/>
        <v>#N/A</v>
      </c>
      <c r="O1623" s="1" t="s">
        <v>1488</v>
      </c>
      <c r="P1623" s="4" t="e">
        <f>VLOOKUP(A1623,المعطيات!$A$1:$J$3500,4,0)</f>
        <v>#N/A</v>
      </c>
      <c r="Q1623" s="1" t="s">
        <v>1489</v>
      </c>
      <c r="R1623" s="1" t="s">
        <v>1480</v>
      </c>
      <c r="S1623" s="6" t="e">
        <f t="shared" si="77"/>
        <v>#N/A</v>
      </c>
    </row>
    <row r="1624" spans="2:19" x14ac:dyDescent="0.25">
      <c r="B1624" s="1" t="s">
        <v>1479</v>
      </c>
      <c r="C1624" s="1" t="s">
        <v>1481</v>
      </c>
      <c r="D1624" s="4" t="e">
        <f>VLOOKUP(A1624,المعطيات!$A$1:$J$3500,5,0)</f>
        <v>#N/A</v>
      </c>
      <c r="E1624" s="1" t="s">
        <v>1482</v>
      </c>
      <c r="F1624" s="5">
        <f t="shared" si="75"/>
        <v>0</v>
      </c>
      <c r="G1624" s="5" t="s">
        <v>1483</v>
      </c>
      <c r="H1624" s="4" t="e">
        <f>VLOOKUP(A1624,المعطيات!$A$1:$J$3500,3,0)</f>
        <v>#N/A</v>
      </c>
      <c r="I1624" s="1" t="s">
        <v>1484</v>
      </c>
      <c r="J1624" s="1" t="s">
        <v>1485</v>
      </c>
      <c r="K1624" s="4" t="e">
        <f>VLOOKUP(A1624,المعطيات!$A$1:$J$3500,6,0)</f>
        <v>#N/A</v>
      </c>
      <c r="L1624" s="1" t="s">
        <v>1486</v>
      </c>
      <c r="M1624" s="1" t="s">
        <v>1487</v>
      </c>
      <c r="N1624" s="4" t="e">
        <f t="shared" si="76"/>
        <v>#N/A</v>
      </c>
      <c r="O1624" s="1" t="s">
        <v>1488</v>
      </c>
      <c r="P1624" s="4" t="e">
        <f>VLOOKUP(A1624,المعطيات!$A$1:$J$3500,4,0)</f>
        <v>#N/A</v>
      </c>
      <c r="Q1624" s="1" t="s">
        <v>1489</v>
      </c>
      <c r="R1624" s="1" t="s">
        <v>1480</v>
      </c>
      <c r="S1624" s="6" t="e">
        <f t="shared" si="77"/>
        <v>#N/A</v>
      </c>
    </row>
    <row r="1625" spans="2:19" x14ac:dyDescent="0.25">
      <c r="B1625" s="1" t="s">
        <v>1479</v>
      </c>
      <c r="C1625" s="1" t="s">
        <v>1481</v>
      </c>
      <c r="D1625" s="4" t="e">
        <f>VLOOKUP(A1625,المعطيات!$A$1:$J$3500,5,0)</f>
        <v>#N/A</v>
      </c>
      <c r="E1625" s="1" t="s">
        <v>1482</v>
      </c>
      <c r="F1625" s="5">
        <f t="shared" si="75"/>
        <v>0</v>
      </c>
      <c r="G1625" s="5" t="s">
        <v>1483</v>
      </c>
      <c r="H1625" s="4" t="e">
        <f>VLOOKUP(A1625,المعطيات!$A$1:$J$3500,3,0)</f>
        <v>#N/A</v>
      </c>
      <c r="I1625" s="1" t="s">
        <v>1484</v>
      </c>
      <c r="J1625" s="1" t="s">
        <v>1485</v>
      </c>
      <c r="K1625" s="4" t="e">
        <f>VLOOKUP(A1625,المعطيات!$A$1:$J$3500,6,0)</f>
        <v>#N/A</v>
      </c>
      <c r="L1625" s="1" t="s">
        <v>1486</v>
      </c>
      <c r="M1625" s="1" t="s">
        <v>1487</v>
      </c>
      <c r="N1625" s="4" t="e">
        <f t="shared" si="76"/>
        <v>#N/A</v>
      </c>
      <c r="O1625" s="1" t="s">
        <v>1488</v>
      </c>
      <c r="P1625" s="4" t="e">
        <f>VLOOKUP(A1625,المعطيات!$A$1:$J$3500,4,0)</f>
        <v>#N/A</v>
      </c>
      <c r="Q1625" s="1" t="s">
        <v>1489</v>
      </c>
      <c r="R1625" s="1" t="s">
        <v>1480</v>
      </c>
      <c r="S1625" s="6" t="e">
        <f t="shared" si="77"/>
        <v>#N/A</v>
      </c>
    </row>
    <row r="1626" spans="2:19" x14ac:dyDescent="0.25">
      <c r="B1626" s="1" t="s">
        <v>1479</v>
      </c>
      <c r="C1626" s="1" t="s">
        <v>1481</v>
      </c>
      <c r="D1626" s="4" t="e">
        <f>VLOOKUP(A1626,المعطيات!$A$1:$J$3500,5,0)</f>
        <v>#N/A</v>
      </c>
      <c r="E1626" s="1" t="s">
        <v>1482</v>
      </c>
      <c r="F1626" s="5">
        <f t="shared" si="75"/>
        <v>0</v>
      </c>
      <c r="G1626" s="5" t="s">
        <v>1483</v>
      </c>
      <c r="H1626" s="4" t="e">
        <f>VLOOKUP(A1626,المعطيات!$A$1:$J$3500,3,0)</f>
        <v>#N/A</v>
      </c>
      <c r="I1626" s="1" t="s">
        <v>1484</v>
      </c>
      <c r="J1626" s="1" t="s">
        <v>1485</v>
      </c>
      <c r="K1626" s="4" t="e">
        <f>VLOOKUP(A1626,المعطيات!$A$1:$J$3500,6,0)</f>
        <v>#N/A</v>
      </c>
      <c r="L1626" s="1" t="s">
        <v>1486</v>
      </c>
      <c r="M1626" s="1" t="s">
        <v>1487</v>
      </c>
      <c r="N1626" s="4" t="e">
        <f t="shared" si="76"/>
        <v>#N/A</v>
      </c>
      <c r="O1626" s="1" t="s">
        <v>1488</v>
      </c>
      <c r="P1626" s="4" t="e">
        <f>VLOOKUP(A1626,المعطيات!$A$1:$J$3500,4,0)</f>
        <v>#N/A</v>
      </c>
      <c r="Q1626" s="1" t="s">
        <v>1489</v>
      </c>
      <c r="R1626" s="1" t="s">
        <v>1480</v>
      </c>
      <c r="S1626" s="6" t="e">
        <f t="shared" si="77"/>
        <v>#N/A</v>
      </c>
    </row>
    <row r="1627" spans="2:19" x14ac:dyDescent="0.25">
      <c r="B1627" s="1" t="s">
        <v>1479</v>
      </c>
      <c r="C1627" s="1" t="s">
        <v>1481</v>
      </c>
      <c r="D1627" s="4" t="e">
        <f>VLOOKUP(A1627,المعطيات!$A$1:$J$3500,5,0)</f>
        <v>#N/A</v>
      </c>
      <c r="E1627" s="1" t="s">
        <v>1482</v>
      </c>
      <c r="F1627" s="5">
        <f t="shared" si="75"/>
        <v>0</v>
      </c>
      <c r="G1627" s="5" t="s">
        <v>1483</v>
      </c>
      <c r="H1627" s="4" t="e">
        <f>VLOOKUP(A1627,المعطيات!$A$1:$J$3500,3,0)</f>
        <v>#N/A</v>
      </c>
      <c r="I1627" s="1" t="s">
        <v>1484</v>
      </c>
      <c r="J1627" s="1" t="s">
        <v>1485</v>
      </c>
      <c r="K1627" s="4" t="e">
        <f>VLOOKUP(A1627,المعطيات!$A$1:$J$3500,6,0)</f>
        <v>#N/A</v>
      </c>
      <c r="L1627" s="1" t="s">
        <v>1486</v>
      </c>
      <c r="M1627" s="1" t="s">
        <v>1487</v>
      </c>
      <c r="N1627" s="4" t="e">
        <f t="shared" si="76"/>
        <v>#N/A</v>
      </c>
      <c r="O1627" s="1" t="s">
        <v>1488</v>
      </c>
      <c r="P1627" s="4" t="e">
        <f>VLOOKUP(A1627,المعطيات!$A$1:$J$3500,4,0)</f>
        <v>#N/A</v>
      </c>
      <c r="Q1627" s="1" t="s">
        <v>1489</v>
      </c>
      <c r="R1627" s="1" t="s">
        <v>1480</v>
      </c>
      <c r="S1627" s="6" t="e">
        <f t="shared" si="77"/>
        <v>#N/A</v>
      </c>
    </row>
    <row r="1628" spans="2:19" x14ac:dyDescent="0.25">
      <c r="B1628" s="1" t="s">
        <v>1479</v>
      </c>
      <c r="C1628" s="1" t="s">
        <v>1481</v>
      </c>
      <c r="D1628" s="4" t="e">
        <f>VLOOKUP(A1628,المعطيات!$A$1:$J$3500,5,0)</f>
        <v>#N/A</v>
      </c>
      <c r="E1628" s="1" t="s">
        <v>1482</v>
      </c>
      <c r="F1628" s="5">
        <f t="shared" si="75"/>
        <v>0</v>
      </c>
      <c r="G1628" s="5" t="s">
        <v>1483</v>
      </c>
      <c r="H1628" s="4" t="e">
        <f>VLOOKUP(A1628,المعطيات!$A$1:$J$3500,3,0)</f>
        <v>#N/A</v>
      </c>
      <c r="I1628" s="1" t="s">
        <v>1484</v>
      </c>
      <c r="J1628" s="1" t="s">
        <v>1485</v>
      </c>
      <c r="K1628" s="4" t="e">
        <f>VLOOKUP(A1628,المعطيات!$A$1:$J$3500,6,0)</f>
        <v>#N/A</v>
      </c>
      <c r="L1628" s="1" t="s">
        <v>1486</v>
      </c>
      <c r="M1628" s="1" t="s">
        <v>1487</v>
      </c>
      <c r="N1628" s="4" t="e">
        <f t="shared" si="76"/>
        <v>#N/A</v>
      </c>
      <c r="O1628" s="1" t="s">
        <v>1488</v>
      </c>
      <c r="P1628" s="4" t="e">
        <f>VLOOKUP(A1628,المعطيات!$A$1:$J$3500,4,0)</f>
        <v>#N/A</v>
      </c>
      <c r="Q1628" s="1" t="s">
        <v>1489</v>
      </c>
      <c r="R1628" s="1" t="s">
        <v>1480</v>
      </c>
      <c r="S1628" s="6" t="e">
        <f t="shared" si="77"/>
        <v>#N/A</v>
      </c>
    </row>
    <row r="1629" spans="2:19" x14ac:dyDescent="0.25">
      <c r="B1629" s="1" t="s">
        <v>1479</v>
      </c>
      <c r="C1629" s="1" t="s">
        <v>1481</v>
      </c>
      <c r="D1629" s="4" t="e">
        <f>VLOOKUP(A1629,المعطيات!$A$1:$J$3500,5,0)</f>
        <v>#N/A</v>
      </c>
      <c r="E1629" s="1" t="s">
        <v>1482</v>
      </c>
      <c r="F1629" s="5">
        <f t="shared" si="75"/>
        <v>0</v>
      </c>
      <c r="G1629" s="5" t="s">
        <v>1483</v>
      </c>
      <c r="H1629" s="4" t="e">
        <f>VLOOKUP(A1629,المعطيات!$A$1:$J$3500,3,0)</f>
        <v>#N/A</v>
      </c>
      <c r="I1629" s="1" t="s">
        <v>1484</v>
      </c>
      <c r="J1629" s="1" t="s">
        <v>1485</v>
      </c>
      <c r="K1629" s="4" t="e">
        <f>VLOOKUP(A1629,المعطيات!$A$1:$J$3500,6,0)</f>
        <v>#N/A</v>
      </c>
      <c r="L1629" s="1" t="s">
        <v>1486</v>
      </c>
      <c r="M1629" s="1" t="s">
        <v>1487</v>
      </c>
      <c r="N1629" s="4" t="e">
        <f t="shared" si="76"/>
        <v>#N/A</v>
      </c>
      <c r="O1629" s="1" t="s">
        <v>1488</v>
      </c>
      <c r="P1629" s="4" t="e">
        <f>VLOOKUP(A1629,المعطيات!$A$1:$J$3500,4,0)</f>
        <v>#N/A</v>
      </c>
      <c r="Q1629" s="1" t="s">
        <v>1489</v>
      </c>
      <c r="R1629" s="1" t="s">
        <v>1480</v>
      </c>
      <c r="S1629" s="6" t="e">
        <f t="shared" si="77"/>
        <v>#N/A</v>
      </c>
    </row>
    <row r="1630" spans="2:19" x14ac:dyDescent="0.25">
      <c r="B1630" s="1" t="s">
        <v>1479</v>
      </c>
      <c r="C1630" s="1" t="s">
        <v>1481</v>
      </c>
      <c r="D1630" s="4" t="e">
        <f>VLOOKUP(A1630,المعطيات!$A$1:$J$3500,5,0)</f>
        <v>#N/A</v>
      </c>
      <c r="E1630" s="1" t="s">
        <v>1482</v>
      </c>
      <c r="F1630" s="5">
        <f t="shared" si="75"/>
        <v>0</v>
      </c>
      <c r="G1630" s="5" t="s">
        <v>1483</v>
      </c>
      <c r="H1630" s="4" t="e">
        <f>VLOOKUP(A1630,المعطيات!$A$1:$J$3500,3,0)</f>
        <v>#N/A</v>
      </c>
      <c r="I1630" s="1" t="s">
        <v>1484</v>
      </c>
      <c r="J1630" s="1" t="s">
        <v>1485</v>
      </c>
      <c r="K1630" s="4" t="e">
        <f>VLOOKUP(A1630,المعطيات!$A$1:$J$3500,6,0)</f>
        <v>#N/A</v>
      </c>
      <c r="L1630" s="1" t="s">
        <v>1486</v>
      </c>
      <c r="M1630" s="1" t="s">
        <v>1487</v>
      </c>
      <c r="N1630" s="4" t="e">
        <f t="shared" si="76"/>
        <v>#N/A</v>
      </c>
      <c r="O1630" s="1" t="s">
        <v>1488</v>
      </c>
      <c r="P1630" s="4" t="e">
        <f>VLOOKUP(A1630,المعطيات!$A$1:$J$3500,4,0)</f>
        <v>#N/A</v>
      </c>
      <c r="Q1630" s="1" t="s">
        <v>1489</v>
      </c>
      <c r="R1630" s="1" t="s">
        <v>1480</v>
      </c>
      <c r="S1630" s="6" t="e">
        <f t="shared" si="77"/>
        <v>#N/A</v>
      </c>
    </row>
    <row r="1631" spans="2:19" x14ac:dyDescent="0.25">
      <c r="B1631" s="1" t="s">
        <v>1479</v>
      </c>
      <c r="C1631" s="1" t="s">
        <v>1481</v>
      </c>
      <c r="D1631" s="4" t="e">
        <f>VLOOKUP(A1631,المعطيات!$A$1:$J$3500,5,0)</f>
        <v>#N/A</v>
      </c>
      <c r="E1631" s="1" t="s">
        <v>1482</v>
      </c>
      <c r="F1631" s="5">
        <f t="shared" si="75"/>
        <v>0</v>
      </c>
      <c r="G1631" s="5" t="s">
        <v>1483</v>
      </c>
      <c r="H1631" s="4" t="e">
        <f>VLOOKUP(A1631,المعطيات!$A$1:$J$3500,3,0)</f>
        <v>#N/A</v>
      </c>
      <c r="I1631" s="1" t="s">
        <v>1484</v>
      </c>
      <c r="J1631" s="1" t="s">
        <v>1485</v>
      </c>
      <c r="K1631" s="4" t="e">
        <f>VLOOKUP(A1631,المعطيات!$A$1:$J$3500,6,0)</f>
        <v>#N/A</v>
      </c>
      <c r="L1631" s="1" t="s">
        <v>1486</v>
      </c>
      <c r="M1631" s="1" t="s">
        <v>1487</v>
      </c>
      <c r="N1631" s="4" t="e">
        <f t="shared" si="76"/>
        <v>#N/A</v>
      </c>
      <c r="O1631" s="1" t="s">
        <v>1488</v>
      </c>
      <c r="P1631" s="4" t="e">
        <f>VLOOKUP(A1631,المعطيات!$A$1:$J$3500,4,0)</f>
        <v>#N/A</v>
      </c>
      <c r="Q1631" s="1" t="s">
        <v>1489</v>
      </c>
      <c r="R1631" s="1" t="s">
        <v>1480</v>
      </c>
      <c r="S1631" s="6" t="e">
        <f t="shared" si="77"/>
        <v>#N/A</v>
      </c>
    </row>
    <row r="1632" spans="2:19" x14ac:dyDescent="0.25">
      <c r="B1632" s="1" t="s">
        <v>1479</v>
      </c>
      <c r="C1632" s="1" t="s">
        <v>1481</v>
      </c>
      <c r="D1632" s="4" t="e">
        <f>VLOOKUP(A1632,المعطيات!$A$1:$J$3500,5,0)</f>
        <v>#N/A</v>
      </c>
      <c r="E1632" s="1" t="s">
        <v>1482</v>
      </c>
      <c r="F1632" s="5">
        <f t="shared" si="75"/>
        <v>0</v>
      </c>
      <c r="G1632" s="5" t="s">
        <v>1483</v>
      </c>
      <c r="H1632" s="4" t="e">
        <f>VLOOKUP(A1632,المعطيات!$A$1:$J$3500,3,0)</f>
        <v>#N/A</v>
      </c>
      <c r="I1632" s="1" t="s">
        <v>1484</v>
      </c>
      <c r="J1632" s="1" t="s">
        <v>1485</v>
      </c>
      <c r="K1632" s="4" t="e">
        <f>VLOOKUP(A1632,المعطيات!$A$1:$J$3500,6,0)</f>
        <v>#N/A</v>
      </c>
      <c r="L1632" s="1" t="s">
        <v>1486</v>
      </c>
      <c r="M1632" s="1" t="s">
        <v>1487</v>
      </c>
      <c r="N1632" s="4" t="e">
        <f t="shared" si="76"/>
        <v>#N/A</v>
      </c>
      <c r="O1632" s="1" t="s">
        <v>1488</v>
      </c>
      <c r="P1632" s="4" t="e">
        <f>VLOOKUP(A1632,المعطيات!$A$1:$J$3500,4,0)</f>
        <v>#N/A</v>
      </c>
      <c r="Q1632" s="1" t="s">
        <v>1489</v>
      </c>
      <c r="R1632" s="1" t="s">
        <v>1480</v>
      </c>
      <c r="S1632" s="6" t="e">
        <f t="shared" si="77"/>
        <v>#N/A</v>
      </c>
    </row>
    <row r="1633" spans="2:19" x14ac:dyDescent="0.25">
      <c r="B1633" s="1" t="s">
        <v>1479</v>
      </c>
      <c r="C1633" s="1" t="s">
        <v>1481</v>
      </c>
      <c r="D1633" s="4" t="e">
        <f>VLOOKUP(A1633,المعطيات!$A$1:$J$3500,5,0)</f>
        <v>#N/A</v>
      </c>
      <c r="E1633" s="1" t="s">
        <v>1482</v>
      </c>
      <c r="F1633" s="5">
        <f t="shared" si="75"/>
        <v>0</v>
      </c>
      <c r="G1633" s="5" t="s">
        <v>1483</v>
      </c>
      <c r="H1633" s="4" t="e">
        <f>VLOOKUP(A1633,المعطيات!$A$1:$J$3500,3,0)</f>
        <v>#N/A</v>
      </c>
      <c r="I1633" s="1" t="s">
        <v>1484</v>
      </c>
      <c r="J1633" s="1" t="s">
        <v>1485</v>
      </c>
      <c r="K1633" s="4" t="e">
        <f>VLOOKUP(A1633,المعطيات!$A$1:$J$3500,6,0)</f>
        <v>#N/A</v>
      </c>
      <c r="L1633" s="1" t="s">
        <v>1486</v>
      </c>
      <c r="M1633" s="1" t="s">
        <v>1487</v>
      </c>
      <c r="N1633" s="4" t="e">
        <f t="shared" si="76"/>
        <v>#N/A</v>
      </c>
      <c r="O1633" s="1" t="s">
        <v>1488</v>
      </c>
      <c r="P1633" s="4" t="e">
        <f>VLOOKUP(A1633,المعطيات!$A$1:$J$3500,4,0)</f>
        <v>#N/A</v>
      </c>
      <c r="Q1633" s="1" t="s">
        <v>1489</v>
      </c>
      <c r="R1633" s="1" t="s">
        <v>1480</v>
      </c>
      <c r="S1633" s="6" t="e">
        <f t="shared" si="77"/>
        <v>#N/A</v>
      </c>
    </row>
    <row r="1634" spans="2:19" x14ac:dyDescent="0.25">
      <c r="B1634" s="1" t="s">
        <v>1479</v>
      </c>
      <c r="C1634" s="1" t="s">
        <v>1481</v>
      </c>
      <c r="D1634" s="4" t="e">
        <f>VLOOKUP(A1634,المعطيات!$A$1:$J$3500,5,0)</f>
        <v>#N/A</v>
      </c>
      <c r="E1634" s="1" t="s">
        <v>1482</v>
      </c>
      <c r="F1634" s="5">
        <f t="shared" si="75"/>
        <v>0</v>
      </c>
      <c r="G1634" s="5" t="s">
        <v>1483</v>
      </c>
      <c r="H1634" s="4" t="e">
        <f>VLOOKUP(A1634,المعطيات!$A$1:$J$3500,3,0)</f>
        <v>#N/A</v>
      </c>
      <c r="I1634" s="1" t="s">
        <v>1484</v>
      </c>
      <c r="J1634" s="1" t="s">
        <v>1485</v>
      </c>
      <c r="K1634" s="4" t="e">
        <f>VLOOKUP(A1634,المعطيات!$A$1:$J$3500,6,0)</f>
        <v>#N/A</v>
      </c>
      <c r="L1634" s="1" t="s">
        <v>1486</v>
      </c>
      <c r="M1634" s="1" t="s">
        <v>1487</v>
      </c>
      <c r="N1634" s="4" t="e">
        <f t="shared" si="76"/>
        <v>#N/A</v>
      </c>
      <c r="O1634" s="1" t="s">
        <v>1488</v>
      </c>
      <c r="P1634" s="4" t="e">
        <f>VLOOKUP(A1634,المعطيات!$A$1:$J$3500,4,0)</f>
        <v>#N/A</v>
      </c>
      <c r="Q1634" s="1" t="s">
        <v>1489</v>
      </c>
      <c r="R1634" s="1" t="s">
        <v>1480</v>
      </c>
      <c r="S1634" s="6" t="e">
        <f t="shared" si="77"/>
        <v>#N/A</v>
      </c>
    </row>
    <row r="1635" spans="2:19" x14ac:dyDescent="0.25">
      <c r="B1635" s="1" t="s">
        <v>1479</v>
      </c>
      <c r="C1635" s="1" t="s">
        <v>1481</v>
      </c>
      <c r="D1635" s="4" t="e">
        <f>VLOOKUP(A1635,المعطيات!$A$1:$J$3500,5,0)</f>
        <v>#N/A</v>
      </c>
      <c r="E1635" s="1" t="s">
        <v>1482</v>
      </c>
      <c r="F1635" s="5">
        <f t="shared" si="75"/>
        <v>0</v>
      </c>
      <c r="G1635" s="5" t="s">
        <v>1483</v>
      </c>
      <c r="H1635" s="4" t="e">
        <f>VLOOKUP(A1635,المعطيات!$A$1:$J$3500,3,0)</f>
        <v>#N/A</v>
      </c>
      <c r="I1635" s="1" t="s">
        <v>1484</v>
      </c>
      <c r="J1635" s="1" t="s">
        <v>1485</v>
      </c>
      <c r="K1635" s="4" t="e">
        <f>VLOOKUP(A1635,المعطيات!$A$1:$J$3500,6,0)</f>
        <v>#N/A</v>
      </c>
      <c r="L1635" s="1" t="s">
        <v>1486</v>
      </c>
      <c r="M1635" s="1" t="s">
        <v>1487</v>
      </c>
      <c r="N1635" s="4" t="e">
        <f t="shared" si="76"/>
        <v>#N/A</v>
      </c>
      <c r="O1635" s="1" t="s">
        <v>1488</v>
      </c>
      <c r="P1635" s="4" t="e">
        <f>VLOOKUP(A1635,المعطيات!$A$1:$J$3500,4,0)</f>
        <v>#N/A</v>
      </c>
      <c r="Q1635" s="1" t="s">
        <v>1489</v>
      </c>
      <c r="R1635" s="1" t="s">
        <v>1480</v>
      </c>
      <c r="S1635" s="6" t="e">
        <f t="shared" si="77"/>
        <v>#N/A</v>
      </c>
    </row>
    <row r="1636" spans="2:19" x14ac:dyDescent="0.25">
      <c r="B1636" s="1" t="s">
        <v>1479</v>
      </c>
      <c r="C1636" s="1" t="s">
        <v>1481</v>
      </c>
      <c r="D1636" s="4" t="e">
        <f>VLOOKUP(A1636,المعطيات!$A$1:$J$3500,5,0)</f>
        <v>#N/A</v>
      </c>
      <c r="E1636" s="1" t="s">
        <v>1482</v>
      </c>
      <c r="F1636" s="5">
        <f t="shared" si="75"/>
        <v>0</v>
      </c>
      <c r="G1636" s="5" t="s">
        <v>1483</v>
      </c>
      <c r="H1636" s="4" t="e">
        <f>VLOOKUP(A1636,المعطيات!$A$1:$J$3500,3,0)</f>
        <v>#N/A</v>
      </c>
      <c r="I1636" s="1" t="s">
        <v>1484</v>
      </c>
      <c r="J1636" s="1" t="s">
        <v>1485</v>
      </c>
      <c r="K1636" s="4" t="e">
        <f>VLOOKUP(A1636,المعطيات!$A$1:$J$3500,6,0)</f>
        <v>#N/A</v>
      </c>
      <c r="L1636" s="1" t="s">
        <v>1486</v>
      </c>
      <c r="M1636" s="1" t="s">
        <v>1487</v>
      </c>
      <c r="N1636" s="4" t="e">
        <f t="shared" si="76"/>
        <v>#N/A</v>
      </c>
      <c r="O1636" s="1" t="s">
        <v>1488</v>
      </c>
      <c r="P1636" s="4" t="e">
        <f>VLOOKUP(A1636,المعطيات!$A$1:$J$3500,4,0)</f>
        <v>#N/A</v>
      </c>
      <c r="Q1636" s="1" t="s">
        <v>1489</v>
      </c>
      <c r="R1636" s="1" t="s">
        <v>1480</v>
      </c>
      <c r="S1636" s="6" t="e">
        <f t="shared" si="77"/>
        <v>#N/A</v>
      </c>
    </row>
    <row r="1637" spans="2:19" x14ac:dyDescent="0.25">
      <c r="B1637" s="1" t="s">
        <v>1479</v>
      </c>
      <c r="C1637" s="1" t="s">
        <v>1481</v>
      </c>
      <c r="D1637" s="4" t="e">
        <f>VLOOKUP(A1637,المعطيات!$A$1:$J$3500,5,0)</f>
        <v>#N/A</v>
      </c>
      <c r="E1637" s="1" t="s">
        <v>1482</v>
      </c>
      <c r="F1637" s="5">
        <f t="shared" si="75"/>
        <v>0</v>
      </c>
      <c r="G1637" s="5" t="s">
        <v>1483</v>
      </c>
      <c r="H1637" s="4" t="e">
        <f>VLOOKUP(A1637,المعطيات!$A$1:$J$3500,3,0)</f>
        <v>#N/A</v>
      </c>
      <c r="I1637" s="1" t="s">
        <v>1484</v>
      </c>
      <c r="J1637" s="1" t="s">
        <v>1485</v>
      </c>
      <c r="K1637" s="4" t="e">
        <f>VLOOKUP(A1637,المعطيات!$A$1:$J$3500,6,0)</f>
        <v>#N/A</v>
      </c>
      <c r="L1637" s="1" t="s">
        <v>1486</v>
      </c>
      <c r="M1637" s="1" t="s">
        <v>1487</v>
      </c>
      <c r="N1637" s="4" t="e">
        <f t="shared" si="76"/>
        <v>#N/A</v>
      </c>
      <c r="O1637" s="1" t="s">
        <v>1488</v>
      </c>
      <c r="P1637" s="4" t="e">
        <f>VLOOKUP(A1637,المعطيات!$A$1:$J$3500,4,0)</f>
        <v>#N/A</v>
      </c>
      <c r="Q1637" s="1" t="s">
        <v>1489</v>
      </c>
      <c r="R1637" s="1" t="s">
        <v>1480</v>
      </c>
      <c r="S1637" s="6" t="e">
        <f t="shared" si="77"/>
        <v>#N/A</v>
      </c>
    </row>
    <row r="1638" spans="2:19" x14ac:dyDescent="0.25">
      <c r="B1638" s="1" t="s">
        <v>1479</v>
      </c>
      <c r="C1638" s="1" t="s">
        <v>1481</v>
      </c>
      <c r="D1638" s="4" t="e">
        <f>VLOOKUP(A1638,المعطيات!$A$1:$J$3500,5,0)</f>
        <v>#N/A</v>
      </c>
      <c r="E1638" s="1" t="s">
        <v>1482</v>
      </c>
      <c r="F1638" s="5">
        <f t="shared" si="75"/>
        <v>0</v>
      </c>
      <c r="G1638" s="5" t="s">
        <v>1483</v>
      </c>
      <c r="H1638" s="4" t="e">
        <f>VLOOKUP(A1638,المعطيات!$A$1:$J$3500,3,0)</f>
        <v>#N/A</v>
      </c>
      <c r="I1638" s="1" t="s">
        <v>1484</v>
      </c>
      <c r="J1638" s="1" t="s">
        <v>1485</v>
      </c>
      <c r="K1638" s="4" t="e">
        <f>VLOOKUP(A1638,المعطيات!$A$1:$J$3500,6,0)</f>
        <v>#N/A</v>
      </c>
      <c r="L1638" s="1" t="s">
        <v>1486</v>
      </c>
      <c r="M1638" s="1" t="s">
        <v>1487</v>
      </c>
      <c r="N1638" s="4" t="e">
        <f t="shared" si="76"/>
        <v>#N/A</v>
      </c>
      <c r="O1638" s="1" t="s">
        <v>1488</v>
      </c>
      <c r="P1638" s="4" t="e">
        <f>VLOOKUP(A1638,المعطيات!$A$1:$J$3500,4,0)</f>
        <v>#N/A</v>
      </c>
      <c r="Q1638" s="1" t="s">
        <v>1489</v>
      </c>
      <c r="R1638" s="1" t="s">
        <v>1480</v>
      </c>
      <c r="S1638" s="6" t="e">
        <f t="shared" si="77"/>
        <v>#N/A</v>
      </c>
    </row>
    <row r="1639" spans="2:19" x14ac:dyDescent="0.25">
      <c r="B1639" s="1" t="s">
        <v>1479</v>
      </c>
      <c r="C1639" s="1" t="s">
        <v>1481</v>
      </c>
      <c r="D1639" s="4" t="e">
        <f>VLOOKUP(A1639,المعطيات!$A$1:$J$3500,5,0)</f>
        <v>#N/A</v>
      </c>
      <c r="E1639" s="1" t="s">
        <v>1482</v>
      </c>
      <c r="F1639" s="5">
        <f t="shared" si="75"/>
        <v>0</v>
      </c>
      <c r="G1639" s="5" t="s">
        <v>1483</v>
      </c>
      <c r="H1639" s="4" t="e">
        <f>VLOOKUP(A1639,المعطيات!$A$1:$J$3500,3,0)</f>
        <v>#N/A</v>
      </c>
      <c r="I1639" s="1" t="s">
        <v>1484</v>
      </c>
      <c r="J1639" s="1" t="s">
        <v>1485</v>
      </c>
      <c r="K1639" s="4" t="e">
        <f>VLOOKUP(A1639,المعطيات!$A$1:$J$3500,6,0)</f>
        <v>#N/A</v>
      </c>
      <c r="L1639" s="1" t="s">
        <v>1486</v>
      </c>
      <c r="M1639" s="1" t="s">
        <v>1487</v>
      </c>
      <c r="N1639" s="4" t="e">
        <f t="shared" si="76"/>
        <v>#N/A</v>
      </c>
      <c r="O1639" s="1" t="s">
        <v>1488</v>
      </c>
      <c r="P1639" s="4" t="e">
        <f>VLOOKUP(A1639,المعطيات!$A$1:$J$3500,4,0)</f>
        <v>#N/A</v>
      </c>
      <c r="Q1639" s="1" t="s">
        <v>1489</v>
      </c>
      <c r="R1639" s="1" t="s">
        <v>1480</v>
      </c>
      <c r="S1639" s="6" t="e">
        <f t="shared" si="77"/>
        <v>#N/A</v>
      </c>
    </row>
    <row r="1640" spans="2:19" x14ac:dyDescent="0.25">
      <c r="B1640" s="1" t="s">
        <v>1479</v>
      </c>
      <c r="C1640" s="1" t="s">
        <v>1481</v>
      </c>
      <c r="D1640" s="4" t="e">
        <f>VLOOKUP(A1640,المعطيات!$A$1:$J$3500,5,0)</f>
        <v>#N/A</v>
      </c>
      <c r="E1640" s="1" t="s">
        <v>1482</v>
      </c>
      <c r="F1640" s="5">
        <f t="shared" si="75"/>
        <v>0</v>
      </c>
      <c r="G1640" s="5" t="s">
        <v>1483</v>
      </c>
      <c r="H1640" s="4" t="e">
        <f>VLOOKUP(A1640,المعطيات!$A$1:$J$3500,3,0)</f>
        <v>#N/A</v>
      </c>
      <c r="I1640" s="1" t="s">
        <v>1484</v>
      </c>
      <c r="J1640" s="1" t="s">
        <v>1485</v>
      </c>
      <c r="K1640" s="4" t="e">
        <f>VLOOKUP(A1640,المعطيات!$A$1:$J$3500,6,0)</f>
        <v>#N/A</v>
      </c>
      <c r="L1640" s="1" t="s">
        <v>1486</v>
      </c>
      <c r="M1640" s="1" t="s">
        <v>1487</v>
      </c>
      <c r="N1640" s="4" t="e">
        <f t="shared" si="76"/>
        <v>#N/A</v>
      </c>
      <c r="O1640" s="1" t="s">
        <v>1488</v>
      </c>
      <c r="P1640" s="4" t="e">
        <f>VLOOKUP(A1640,المعطيات!$A$1:$J$3500,4,0)</f>
        <v>#N/A</v>
      </c>
      <c r="Q1640" s="1" t="s">
        <v>1489</v>
      </c>
      <c r="R1640" s="1" t="s">
        <v>1480</v>
      </c>
      <c r="S1640" s="6" t="e">
        <f t="shared" si="77"/>
        <v>#N/A</v>
      </c>
    </row>
    <row r="1641" spans="2:19" x14ac:dyDescent="0.25">
      <c r="B1641" s="1" t="s">
        <v>1479</v>
      </c>
      <c r="C1641" s="1" t="s">
        <v>1481</v>
      </c>
      <c r="D1641" s="4" t="e">
        <f>VLOOKUP(A1641,المعطيات!$A$1:$J$3500,5,0)</f>
        <v>#N/A</v>
      </c>
      <c r="E1641" s="1" t="s">
        <v>1482</v>
      </c>
      <c r="F1641" s="5">
        <f t="shared" si="75"/>
        <v>0</v>
      </c>
      <c r="G1641" s="5" t="s">
        <v>1483</v>
      </c>
      <c r="H1641" s="4" t="e">
        <f>VLOOKUP(A1641,المعطيات!$A$1:$J$3500,3,0)</f>
        <v>#N/A</v>
      </c>
      <c r="I1641" s="1" t="s">
        <v>1484</v>
      </c>
      <c r="J1641" s="1" t="s">
        <v>1485</v>
      </c>
      <c r="K1641" s="4" t="e">
        <f>VLOOKUP(A1641,المعطيات!$A$1:$J$3500,6,0)</f>
        <v>#N/A</v>
      </c>
      <c r="L1641" s="1" t="s">
        <v>1486</v>
      </c>
      <c r="M1641" s="1" t="s">
        <v>1487</v>
      </c>
      <c r="N1641" s="4" t="e">
        <f t="shared" si="76"/>
        <v>#N/A</v>
      </c>
      <c r="O1641" s="1" t="s">
        <v>1488</v>
      </c>
      <c r="P1641" s="4" t="e">
        <f>VLOOKUP(A1641,المعطيات!$A$1:$J$3500,4,0)</f>
        <v>#N/A</v>
      </c>
      <c r="Q1641" s="1" t="s">
        <v>1489</v>
      </c>
      <c r="R1641" s="1" t="s">
        <v>1480</v>
      </c>
      <c r="S1641" s="6" t="e">
        <f t="shared" si="77"/>
        <v>#N/A</v>
      </c>
    </row>
    <row r="1642" spans="2:19" x14ac:dyDescent="0.25">
      <c r="B1642" s="1" t="s">
        <v>1479</v>
      </c>
      <c r="C1642" s="1" t="s">
        <v>1481</v>
      </c>
      <c r="D1642" s="4" t="e">
        <f>VLOOKUP(A1642,المعطيات!$A$1:$J$3500,5,0)</f>
        <v>#N/A</v>
      </c>
      <c r="E1642" s="1" t="s">
        <v>1482</v>
      </c>
      <c r="F1642" s="5">
        <f t="shared" si="75"/>
        <v>0</v>
      </c>
      <c r="G1642" s="5" t="s">
        <v>1483</v>
      </c>
      <c r="H1642" s="4" t="e">
        <f>VLOOKUP(A1642,المعطيات!$A$1:$J$3500,3,0)</f>
        <v>#N/A</v>
      </c>
      <c r="I1642" s="1" t="s">
        <v>1484</v>
      </c>
      <c r="J1642" s="1" t="s">
        <v>1485</v>
      </c>
      <c r="K1642" s="4" t="e">
        <f>VLOOKUP(A1642,المعطيات!$A$1:$J$3500,6,0)</f>
        <v>#N/A</v>
      </c>
      <c r="L1642" s="1" t="s">
        <v>1486</v>
      </c>
      <c r="M1642" s="1" t="s">
        <v>1487</v>
      </c>
      <c r="N1642" s="4" t="e">
        <f t="shared" si="76"/>
        <v>#N/A</v>
      </c>
      <c r="O1642" s="1" t="s">
        <v>1488</v>
      </c>
      <c r="P1642" s="4" t="e">
        <f>VLOOKUP(A1642,المعطيات!$A$1:$J$3500,4,0)</f>
        <v>#N/A</v>
      </c>
      <c r="Q1642" s="1" t="s">
        <v>1489</v>
      </c>
      <c r="R1642" s="1" t="s">
        <v>1480</v>
      </c>
      <c r="S1642" s="6" t="e">
        <f t="shared" si="77"/>
        <v>#N/A</v>
      </c>
    </row>
    <row r="1643" spans="2:19" x14ac:dyDescent="0.25">
      <c r="B1643" s="1" t="s">
        <v>1479</v>
      </c>
      <c r="C1643" s="1" t="s">
        <v>1481</v>
      </c>
      <c r="D1643" s="4" t="e">
        <f>VLOOKUP(A1643,المعطيات!$A$1:$J$3500,5,0)</f>
        <v>#N/A</v>
      </c>
      <c r="E1643" s="1" t="s">
        <v>1482</v>
      </c>
      <c r="F1643" s="5">
        <f t="shared" si="75"/>
        <v>0</v>
      </c>
      <c r="G1643" s="5" t="s">
        <v>1483</v>
      </c>
      <c r="H1643" s="4" t="e">
        <f>VLOOKUP(A1643,المعطيات!$A$1:$J$3500,3,0)</f>
        <v>#N/A</v>
      </c>
      <c r="I1643" s="1" t="s">
        <v>1484</v>
      </c>
      <c r="J1643" s="1" t="s">
        <v>1485</v>
      </c>
      <c r="K1643" s="4" t="e">
        <f>VLOOKUP(A1643,المعطيات!$A$1:$J$3500,6,0)</f>
        <v>#N/A</v>
      </c>
      <c r="L1643" s="1" t="s">
        <v>1486</v>
      </c>
      <c r="M1643" s="1" t="s">
        <v>1487</v>
      </c>
      <c r="N1643" s="4" t="e">
        <f t="shared" si="76"/>
        <v>#N/A</v>
      </c>
      <c r="O1643" s="1" t="s">
        <v>1488</v>
      </c>
      <c r="P1643" s="4" t="e">
        <f>VLOOKUP(A1643,المعطيات!$A$1:$J$3500,4,0)</f>
        <v>#N/A</v>
      </c>
      <c r="Q1643" s="1" t="s">
        <v>1489</v>
      </c>
      <c r="R1643" s="1" t="s">
        <v>1480</v>
      </c>
      <c r="S1643" s="6" t="e">
        <f t="shared" si="77"/>
        <v>#N/A</v>
      </c>
    </row>
    <row r="1644" spans="2:19" x14ac:dyDescent="0.25">
      <c r="B1644" s="1" t="s">
        <v>1479</v>
      </c>
      <c r="C1644" s="1" t="s">
        <v>1481</v>
      </c>
      <c r="D1644" s="4" t="e">
        <f>VLOOKUP(A1644,المعطيات!$A$1:$J$3500,5,0)</f>
        <v>#N/A</v>
      </c>
      <c r="E1644" s="1" t="s">
        <v>1482</v>
      </c>
      <c r="F1644" s="5">
        <f t="shared" si="75"/>
        <v>0</v>
      </c>
      <c r="G1644" s="5" t="s">
        <v>1483</v>
      </c>
      <c r="H1644" s="4" t="e">
        <f>VLOOKUP(A1644,المعطيات!$A$1:$J$3500,3,0)</f>
        <v>#N/A</v>
      </c>
      <c r="I1644" s="1" t="s">
        <v>1484</v>
      </c>
      <c r="J1644" s="1" t="s">
        <v>1485</v>
      </c>
      <c r="K1644" s="4" t="e">
        <f>VLOOKUP(A1644,المعطيات!$A$1:$J$3500,6,0)</f>
        <v>#N/A</v>
      </c>
      <c r="L1644" s="1" t="s">
        <v>1486</v>
      </c>
      <c r="M1644" s="1" t="s">
        <v>1487</v>
      </c>
      <c r="N1644" s="4" t="e">
        <f t="shared" si="76"/>
        <v>#N/A</v>
      </c>
      <c r="O1644" s="1" t="s">
        <v>1488</v>
      </c>
      <c r="P1644" s="4" t="e">
        <f>VLOOKUP(A1644,المعطيات!$A$1:$J$3500,4,0)</f>
        <v>#N/A</v>
      </c>
      <c r="Q1644" s="1" t="s">
        <v>1489</v>
      </c>
      <c r="R1644" s="1" t="s">
        <v>1480</v>
      </c>
      <c r="S1644" s="6" t="e">
        <f t="shared" si="77"/>
        <v>#N/A</v>
      </c>
    </row>
    <row r="1645" spans="2:19" x14ac:dyDescent="0.25">
      <c r="B1645" s="1" t="s">
        <v>1479</v>
      </c>
      <c r="C1645" s="1" t="s">
        <v>1481</v>
      </c>
      <c r="D1645" s="4" t="e">
        <f>VLOOKUP(A1645,المعطيات!$A$1:$J$3500,5,0)</f>
        <v>#N/A</v>
      </c>
      <c r="E1645" s="1" t="s">
        <v>1482</v>
      </c>
      <c r="F1645" s="5">
        <f t="shared" si="75"/>
        <v>0</v>
      </c>
      <c r="G1645" s="5" t="s">
        <v>1483</v>
      </c>
      <c r="H1645" s="4" t="e">
        <f>VLOOKUP(A1645,المعطيات!$A$1:$J$3500,3,0)</f>
        <v>#N/A</v>
      </c>
      <c r="I1645" s="1" t="s">
        <v>1484</v>
      </c>
      <c r="J1645" s="1" t="s">
        <v>1485</v>
      </c>
      <c r="K1645" s="4" t="e">
        <f>VLOOKUP(A1645,المعطيات!$A$1:$J$3500,6,0)</f>
        <v>#N/A</v>
      </c>
      <c r="L1645" s="1" t="s">
        <v>1486</v>
      </c>
      <c r="M1645" s="1" t="s">
        <v>1487</v>
      </c>
      <c r="N1645" s="4" t="e">
        <f t="shared" si="76"/>
        <v>#N/A</v>
      </c>
      <c r="O1645" s="1" t="s">
        <v>1488</v>
      </c>
      <c r="P1645" s="4" t="e">
        <f>VLOOKUP(A1645,المعطيات!$A$1:$J$3500,4,0)</f>
        <v>#N/A</v>
      </c>
      <c r="Q1645" s="1" t="s">
        <v>1489</v>
      </c>
      <c r="R1645" s="1" t="s">
        <v>1480</v>
      </c>
      <c r="S1645" s="6" t="e">
        <f t="shared" si="77"/>
        <v>#N/A</v>
      </c>
    </row>
    <row r="1646" spans="2:19" x14ac:dyDescent="0.25">
      <c r="B1646" s="1" t="s">
        <v>1479</v>
      </c>
      <c r="C1646" s="1" t="s">
        <v>1481</v>
      </c>
      <c r="D1646" s="4" t="e">
        <f>VLOOKUP(A1646,المعطيات!$A$1:$J$3500,5,0)</f>
        <v>#N/A</v>
      </c>
      <c r="E1646" s="1" t="s">
        <v>1482</v>
      </c>
      <c r="F1646" s="5">
        <f t="shared" si="75"/>
        <v>0</v>
      </c>
      <c r="G1646" s="5" t="s">
        <v>1483</v>
      </c>
      <c r="H1646" s="4" t="e">
        <f>VLOOKUP(A1646,المعطيات!$A$1:$J$3500,3,0)</f>
        <v>#N/A</v>
      </c>
      <c r="I1646" s="1" t="s">
        <v>1484</v>
      </c>
      <c r="J1646" s="1" t="s">
        <v>1485</v>
      </c>
      <c r="K1646" s="4" t="e">
        <f>VLOOKUP(A1646,المعطيات!$A$1:$J$3500,6,0)</f>
        <v>#N/A</v>
      </c>
      <c r="L1646" s="1" t="s">
        <v>1486</v>
      </c>
      <c r="M1646" s="1" t="s">
        <v>1487</v>
      </c>
      <c r="N1646" s="4" t="e">
        <f t="shared" si="76"/>
        <v>#N/A</v>
      </c>
      <c r="O1646" s="1" t="s">
        <v>1488</v>
      </c>
      <c r="P1646" s="4" t="e">
        <f>VLOOKUP(A1646,المعطيات!$A$1:$J$3500,4,0)</f>
        <v>#N/A</v>
      </c>
      <c r="Q1646" s="1" t="s">
        <v>1489</v>
      </c>
      <c r="R1646" s="1" t="s">
        <v>1480</v>
      </c>
      <c r="S1646" s="6" t="e">
        <f t="shared" si="77"/>
        <v>#N/A</v>
      </c>
    </row>
    <row r="1647" spans="2:19" x14ac:dyDescent="0.25">
      <c r="B1647" s="1" t="s">
        <v>1479</v>
      </c>
      <c r="C1647" s="1" t="s">
        <v>1481</v>
      </c>
      <c r="D1647" s="4" t="e">
        <f>VLOOKUP(A1647,المعطيات!$A$1:$J$3500,5,0)</f>
        <v>#N/A</v>
      </c>
      <c r="E1647" s="1" t="s">
        <v>1482</v>
      </c>
      <c r="F1647" s="5">
        <f t="shared" si="75"/>
        <v>0</v>
      </c>
      <c r="G1647" s="5" t="s">
        <v>1483</v>
      </c>
      <c r="H1647" s="4" t="e">
        <f>VLOOKUP(A1647,المعطيات!$A$1:$J$3500,3,0)</f>
        <v>#N/A</v>
      </c>
      <c r="I1647" s="1" t="s">
        <v>1484</v>
      </c>
      <c r="J1647" s="1" t="s">
        <v>1485</v>
      </c>
      <c r="K1647" s="4" t="e">
        <f>VLOOKUP(A1647,المعطيات!$A$1:$J$3500,6,0)</f>
        <v>#N/A</v>
      </c>
      <c r="L1647" s="1" t="s">
        <v>1486</v>
      </c>
      <c r="M1647" s="1" t="s">
        <v>1487</v>
      </c>
      <c r="N1647" s="4" t="e">
        <f t="shared" si="76"/>
        <v>#N/A</v>
      </c>
      <c r="O1647" s="1" t="s">
        <v>1488</v>
      </c>
      <c r="P1647" s="4" t="e">
        <f>VLOOKUP(A1647,المعطيات!$A$1:$J$3500,4,0)</f>
        <v>#N/A</v>
      </c>
      <c r="Q1647" s="1" t="s">
        <v>1489</v>
      </c>
      <c r="R1647" s="1" t="s">
        <v>1480</v>
      </c>
      <c r="S1647" s="6" t="e">
        <f t="shared" si="77"/>
        <v>#N/A</v>
      </c>
    </row>
    <row r="1648" spans="2:19" x14ac:dyDescent="0.25">
      <c r="B1648" s="1" t="s">
        <v>1479</v>
      </c>
      <c r="C1648" s="1" t="s">
        <v>1481</v>
      </c>
      <c r="D1648" s="4" t="e">
        <f>VLOOKUP(A1648,المعطيات!$A$1:$J$3500,5,0)</f>
        <v>#N/A</v>
      </c>
      <c r="E1648" s="1" t="s">
        <v>1482</v>
      </c>
      <c r="F1648" s="5">
        <f t="shared" si="75"/>
        <v>0</v>
      </c>
      <c r="G1648" s="5" t="s">
        <v>1483</v>
      </c>
      <c r="H1648" s="4" t="e">
        <f>VLOOKUP(A1648,المعطيات!$A$1:$J$3500,3,0)</f>
        <v>#N/A</v>
      </c>
      <c r="I1648" s="1" t="s">
        <v>1484</v>
      </c>
      <c r="J1648" s="1" t="s">
        <v>1485</v>
      </c>
      <c r="K1648" s="4" t="e">
        <f>VLOOKUP(A1648,المعطيات!$A$1:$J$3500,6,0)</f>
        <v>#N/A</v>
      </c>
      <c r="L1648" s="1" t="s">
        <v>1486</v>
      </c>
      <c r="M1648" s="1" t="s">
        <v>1487</v>
      </c>
      <c r="N1648" s="4" t="e">
        <f t="shared" si="76"/>
        <v>#N/A</v>
      </c>
      <c r="O1648" s="1" t="s">
        <v>1488</v>
      </c>
      <c r="P1648" s="4" t="e">
        <f>VLOOKUP(A1648,المعطيات!$A$1:$J$3500,4,0)</f>
        <v>#N/A</v>
      </c>
      <c r="Q1648" s="1" t="s">
        <v>1489</v>
      </c>
      <c r="R1648" s="1" t="s">
        <v>1480</v>
      </c>
      <c r="S1648" s="6" t="e">
        <f t="shared" si="77"/>
        <v>#N/A</v>
      </c>
    </row>
    <row r="1649" spans="2:19" x14ac:dyDescent="0.25">
      <c r="B1649" s="1" t="s">
        <v>1479</v>
      </c>
      <c r="C1649" s="1" t="s">
        <v>1481</v>
      </c>
      <c r="D1649" s="4" t="e">
        <f>VLOOKUP(A1649,المعطيات!$A$1:$J$3500,5,0)</f>
        <v>#N/A</v>
      </c>
      <c r="E1649" s="1" t="s">
        <v>1482</v>
      </c>
      <c r="F1649" s="5">
        <f t="shared" si="75"/>
        <v>0</v>
      </c>
      <c r="G1649" s="5" t="s">
        <v>1483</v>
      </c>
      <c r="H1649" s="4" t="e">
        <f>VLOOKUP(A1649,المعطيات!$A$1:$J$3500,3,0)</f>
        <v>#N/A</v>
      </c>
      <c r="I1649" s="1" t="s">
        <v>1484</v>
      </c>
      <c r="J1649" s="1" t="s">
        <v>1485</v>
      </c>
      <c r="K1649" s="4" t="e">
        <f>VLOOKUP(A1649,المعطيات!$A$1:$J$3500,6,0)</f>
        <v>#N/A</v>
      </c>
      <c r="L1649" s="1" t="s">
        <v>1486</v>
      </c>
      <c r="M1649" s="1" t="s">
        <v>1487</v>
      </c>
      <c r="N1649" s="4" t="e">
        <f t="shared" si="76"/>
        <v>#N/A</v>
      </c>
      <c r="O1649" s="1" t="s">
        <v>1488</v>
      </c>
      <c r="P1649" s="4" t="e">
        <f>VLOOKUP(A1649,المعطيات!$A$1:$J$3500,4,0)</f>
        <v>#N/A</v>
      </c>
      <c r="Q1649" s="1" t="s">
        <v>1489</v>
      </c>
      <c r="R1649" s="1" t="s">
        <v>1480</v>
      </c>
      <c r="S1649" s="6" t="e">
        <f t="shared" si="77"/>
        <v>#N/A</v>
      </c>
    </row>
    <row r="1650" spans="2:19" x14ac:dyDescent="0.25">
      <c r="B1650" s="1" t="s">
        <v>1479</v>
      </c>
      <c r="C1650" s="1" t="s">
        <v>1481</v>
      </c>
      <c r="D1650" s="4" t="e">
        <f>VLOOKUP(A1650,المعطيات!$A$1:$J$3500,5,0)</f>
        <v>#N/A</v>
      </c>
      <c r="E1650" s="1" t="s">
        <v>1482</v>
      </c>
      <c r="F1650" s="5">
        <f t="shared" si="75"/>
        <v>0</v>
      </c>
      <c r="G1650" s="5" t="s">
        <v>1483</v>
      </c>
      <c r="H1650" s="4" t="e">
        <f>VLOOKUP(A1650,المعطيات!$A$1:$J$3500,3,0)</f>
        <v>#N/A</v>
      </c>
      <c r="I1650" s="1" t="s">
        <v>1484</v>
      </c>
      <c r="J1650" s="1" t="s">
        <v>1485</v>
      </c>
      <c r="K1650" s="4" t="e">
        <f>VLOOKUP(A1650,المعطيات!$A$1:$J$3500,6,0)</f>
        <v>#N/A</v>
      </c>
      <c r="L1650" s="1" t="s">
        <v>1486</v>
      </c>
      <c r="M1650" s="1" t="s">
        <v>1487</v>
      </c>
      <c r="N1650" s="4" t="e">
        <f t="shared" si="76"/>
        <v>#N/A</v>
      </c>
      <c r="O1650" s="1" t="s">
        <v>1488</v>
      </c>
      <c r="P1650" s="4" t="e">
        <f>VLOOKUP(A1650,المعطيات!$A$1:$J$3500,4,0)</f>
        <v>#N/A</v>
      </c>
      <c r="Q1650" s="1" t="s">
        <v>1489</v>
      </c>
      <c r="R1650" s="1" t="s">
        <v>1480</v>
      </c>
      <c r="S1650" s="6" t="e">
        <f t="shared" si="77"/>
        <v>#N/A</v>
      </c>
    </row>
    <row r="1651" spans="2:19" x14ac:dyDescent="0.25">
      <c r="B1651" s="1" t="s">
        <v>1479</v>
      </c>
      <c r="C1651" s="1" t="s">
        <v>1481</v>
      </c>
      <c r="D1651" s="4" t="e">
        <f>VLOOKUP(A1651,المعطيات!$A$1:$J$3500,5,0)</f>
        <v>#N/A</v>
      </c>
      <c r="E1651" s="1" t="s">
        <v>1482</v>
      </c>
      <c r="F1651" s="5">
        <f t="shared" si="75"/>
        <v>0</v>
      </c>
      <c r="G1651" s="5" t="s">
        <v>1483</v>
      </c>
      <c r="H1651" s="4" t="e">
        <f>VLOOKUP(A1651,المعطيات!$A$1:$J$3500,3,0)</f>
        <v>#N/A</v>
      </c>
      <c r="I1651" s="1" t="s">
        <v>1484</v>
      </c>
      <c r="J1651" s="1" t="s">
        <v>1485</v>
      </c>
      <c r="K1651" s="4" t="e">
        <f>VLOOKUP(A1651,المعطيات!$A$1:$J$3500,6,0)</f>
        <v>#N/A</v>
      </c>
      <c r="L1651" s="1" t="s">
        <v>1486</v>
      </c>
      <c r="M1651" s="1" t="s">
        <v>1487</v>
      </c>
      <c r="N1651" s="4" t="e">
        <f t="shared" si="76"/>
        <v>#N/A</v>
      </c>
      <c r="O1651" s="1" t="s">
        <v>1488</v>
      </c>
      <c r="P1651" s="4" t="e">
        <f>VLOOKUP(A1651,المعطيات!$A$1:$J$3500,4,0)</f>
        <v>#N/A</v>
      </c>
      <c r="Q1651" s="1" t="s">
        <v>1489</v>
      </c>
      <c r="R1651" s="1" t="s">
        <v>1480</v>
      </c>
      <c r="S1651" s="6" t="e">
        <f t="shared" si="77"/>
        <v>#N/A</v>
      </c>
    </row>
    <row r="1652" spans="2:19" x14ac:dyDescent="0.25">
      <c r="B1652" s="1" t="s">
        <v>1479</v>
      </c>
      <c r="C1652" s="1" t="s">
        <v>1481</v>
      </c>
      <c r="D1652" s="4" t="e">
        <f>VLOOKUP(A1652,المعطيات!$A$1:$J$3500,5,0)</f>
        <v>#N/A</v>
      </c>
      <c r="E1652" s="1" t="s">
        <v>1482</v>
      </c>
      <c r="F1652" s="5">
        <f t="shared" si="75"/>
        <v>0</v>
      </c>
      <c r="G1652" s="5" t="s">
        <v>1483</v>
      </c>
      <c r="H1652" s="4" t="e">
        <f>VLOOKUP(A1652,المعطيات!$A$1:$J$3500,3,0)</f>
        <v>#N/A</v>
      </c>
      <c r="I1652" s="1" t="s">
        <v>1484</v>
      </c>
      <c r="J1652" s="1" t="s">
        <v>1485</v>
      </c>
      <c r="K1652" s="4" t="e">
        <f>VLOOKUP(A1652,المعطيات!$A$1:$J$3500,6,0)</f>
        <v>#N/A</v>
      </c>
      <c r="L1652" s="1" t="s">
        <v>1486</v>
      </c>
      <c r="M1652" s="1" t="s">
        <v>1487</v>
      </c>
      <c r="N1652" s="4" t="e">
        <f t="shared" si="76"/>
        <v>#N/A</v>
      </c>
      <c r="O1652" s="1" t="s">
        <v>1488</v>
      </c>
      <c r="P1652" s="4" t="e">
        <f>VLOOKUP(A1652,المعطيات!$A$1:$J$3500,4,0)</f>
        <v>#N/A</v>
      </c>
      <c r="Q1652" s="1" t="s">
        <v>1489</v>
      </c>
      <c r="R1652" s="1" t="s">
        <v>1480</v>
      </c>
      <c r="S1652" s="6" t="e">
        <f t="shared" si="77"/>
        <v>#N/A</v>
      </c>
    </row>
    <row r="1653" spans="2:19" x14ac:dyDescent="0.25">
      <c r="B1653" s="1" t="s">
        <v>1479</v>
      </c>
      <c r="C1653" s="1" t="s">
        <v>1481</v>
      </c>
      <c r="D1653" s="4" t="e">
        <f>VLOOKUP(A1653,المعطيات!$A$1:$J$3500,5,0)</f>
        <v>#N/A</v>
      </c>
      <c r="E1653" s="1" t="s">
        <v>1482</v>
      </c>
      <c r="F1653" s="5">
        <f t="shared" si="75"/>
        <v>0</v>
      </c>
      <c r="G1653" s="5" t="s">
        <v>1483</v>
      </c>
      <c r="H1653" s="4" t="e">
        <f>VLOOKUP(A1653,المعطيات!$A$1:$J$3500,3,0)</f>
        <v>#N/A</v>
      </c>
      <c r="I1653" s="1" t="s">
        <v>1484</v>
      </c>
      <c r="J1653" s="1" t="s">
        <v>1485</v>
      </c>
      <c r="K1653" s="4" t="e">
        <f>VLOOKUP(A1653,المعطيات!$A$1:$J$3500,6,0)</f>
        <v>#N/A</v>
      </c>
      <c r="L1653" s="1" t="s">
        <v>1486</v>
      </c>
      <c r="M1653" s="1" t="s">
        <v>1487</v>
      </c>
      <c r="N1653" s="4" t="e">
        <f t="shared" si="76"/>
        <v>#N/A</v>
      </c>
      <c r="O1653" s="1" t="s">
        <v>1488</v>
      </c>
      <c r="P1653" s="4" t="e">
        <f>VLOOKUP(A1653,المعطيات!$A$1:$J$3500,4,0)</f>
        <v>#N/A</v>
      </c>
      <c r="Q1653" s="1" t="s">
        <v>1489</v>
      </c>
      <c r="R1653" s="1" t="s">
        <v>1480</v>
      </c>
      <c r="S1653" s="6" t="e">
        <f t="shared" si="77"/>
        <v>#N/A</v>
      </c>
    </row>
    <row r="1654" spans="2:19" x14ac:dyDescent="0.25">
      <c r="B1654" s="1" t="s">
        <v>1479</v>
      </c>
      <c r="C1654" s="1" t="s">
        <v>1481</v>
      </c>
      <c r="D1654" s="4" t="e">
        <f>VLOOKUP(A1654,المعطيات!$A$1:$J$3500,5,0)</f>
        <v>#N/A</v>
      </c>
      <c r="E1654" s="1" t="s">
        <v>1482</v>
      </c>
      <c r="F1654" s="5">
        <f t="shared" si="75"/>
        <v>0</v>
      </c>
      <c r="G1654" s="5" t="s">
        <v>1483</v>
      </c>
      <c r="H1654" s="4" t="e">
        <f>VLOOKUP(A1654,المعطيات!$A$1:$J$3500,3,0)</f>
        <v>#N/A</v>
      </c>
      <c r="I1654" s="1" t="s">
        <v>1484</v>
      </c>
      <c r="J1654" s="1" t="s">
        <v>1485</v>
      </c>
      <c r="K1654" s="4" t="e">
        <f>VLOOKUP(A1654,المعطيات!$A$1:$J$3500,6,0)</f>
        <v>#N/A</v>
      </c>
      <c r="L1654" s="1" t="s">
        <v>1486</v>
      </c>
      <c r="M1654" s="1" t="s">
        <v>1487</v>
      </c>
      <c r="N1654" s="4" t="e">
        <f t="shared" si="76"/>
        <v>#N/A</v>
      </c>
      <c r="O1654" s="1" t="s">
        <v>1488</v>
      </c>
      <c r="P1654" s="4" t="e">
        <f>VLOOKUP(A1654,المعطيات!$A$1:$J$3500,4,0)</f>
        <v>#N/A</v>
      </c>
      <c r="Q1654" s="1" t="s">
        <v>1489</v>
      </c>
      <c r="R1654" s="1" t="s">
        <v>1480</v>
      </c>
      <c r="S1654" s="6" t="e">
        <f t="shared" si="77"/>
        <v>#N/A</v>
      </c>
    </row>
    <row r="1655" spans="2:19" x14ac:dyDescent="0.25">
      <c r="B1655" s="1" t="s">
        <v>1479</v>
      </c>
      <c r="C1655" s="1" t="s">
        <v>1481</v>
      </c>
      <c r="D1655" s="4" t="e">
        <f>VLOOKUP(A1655,المعطيات!$A$1:$J$3500,5,0)</f>
        <v>#N/A</v>
      </c>
      <c r="E1655" s="1" t="s">
        <v>1482</v>
      </c>
      <c r="F1655" s="5">
        <f t="shared" si="75"/>
        <v>0</v>
      </c>
      <c r="G1655" s="5" t="s">
        <v>1483</v>
      </c>
      <c r="H1655" s="4" t="e">
        <f>VLOOKUP(A1655,المعطيات!$A$1:$J$3500,3,0)</f>
        <v>#N/A</v>
      </c>
      <c r="I1655" s="1" t="s">
        <v>1484</v>
      </c>
      <c r="J1655" s="1" t="s">
        <v>1485</v>
      </c>
      <c r="K1655" s="4" t="e">
        <f>VLOOKUP(A1655,المعطيات!$A$1:$J$3500,6,0)</f>
        <v>#N/A</v>
      </c>
      <c r="L1655" s="1" t="s">
        <v>1486</v>
      </c>
      <c r="M1655" s="1" t="s">
        <v>1487</v>
      </c>
      <c r="N1655" s="4" t="e">
        <f t="shared" si="76"/>
        <v>#N/A</v>
      </c>
      <c r="O1655" s="1" t="s">
        <v>1488</v>
      </c>
      <c r="P1655" s="4" t="e">
        <f>VLOOKUP(A1655,المعطيات!$A$1:$J$3500,4,0)</f>
        <v>#N/A</v>
      </c>
      <c r="Q1655" s="1" t="s">
        <v>1489</v>
      </c>
      <c r="R1655" s="1" t="s">
        <v>1480</v>
      </c>
      <c r="S1655" s="6" t="e">
        <f t="shared" si="77"/>
        <v>#N/A</v>
      </c>
    </row>
    <row r="1656" spans="2:19" x14ac:dyDescent="0.25">
      <c r="B1656" s="1" t="s">
        <v>1479</v>
      </c>
      <c r="C1656" s="1" t="s">
        <v>1481</v>
      </c>
      <c r="D1656" s="4" t="e">
        <f>VLOOKUP(A1656,المعطيات!$A$1:$J$3500,5,0)</f>
        <v>#N/A</v>
      </c>
      <c r="E1656" s="1" t="s">
        <v>1482</v>
      </c>
      <c r="F1656" s="5">
        <f t="shared" si="75"/>
        <v>0</v>
      </c>
      <c r="G1656" s="5" t="s">
        <v>1483</v>
      </c>
      <c r="H1656" s="4" t="e">
        <f>VLOOKUP(A1656,المعطيات!$A$1:$J$3500,3,0)</f>
        <v>#N/A</v>
      </c>
      <c r="I1656" s="1" t="s">
        <v>1484</v>
      </c>
      <c r="J1656" s="1" t="s">
        <v>1485</v>
      </c>
      <c r="K1656" s="4" t="e">
        <f>VLOOKUP(A1656,المعطيات!$A$1:$J$3500,6,0)</f>
        <v>#N/A</v>
      </c>
      <c r="L1656" s="1" t="s">
        <v>1486</v>
      </c>
      <c r="M1656" s="1" t="s">
        <v>1487</v>
      </c>
      <c r="N1656" s="4" t="e">
        <f t="shared" si="76"/>
        <v>#N/A</v>
      </c>
      <c r="O1656" s="1" t="s">
        <v>1488</v>
      </c>
      <c r="P1656" s="4" t="e">
        <f>VLOOKUP(A1656,المعطيات!$A$1:$J$3500,4,0)</f>
        <v>#N/A</v>
      </c>
      <c r="Q1656" s="1" t="s">
        <v>1489</v>
      </c>
      <c r="R1656" s="1" t="s">
        <v>1480</v>
      </c>
      <c r="S1656" s="6" t="e">
        <f t="shared" si="77"/>
        <v>#N/A</v>
      </c>
    </row>
    <row r="1657" spans="2:19" x14ac:dyDescent="0.25">
      <c r="B1657" s="1" t="s">
        <v>1479</v>
      </c>
      <c r="C1657" s="1" t="s">
        <v>1481</v>
      </c>
      <c r="D1657" s="4" t="e">
        <f>VLOOKUP(A1657,المعطيات!$A$1:$J$3500,5,0)</f>
        <v>#N/A</v>
      </c>
      <c r="E1657" s="1" t="s">
        <v>1482</v>
      </c>
      <c r="F1657" s="5">
        <f t="shared" si="75"/>
        <v>0</v>
      </c>
      <c r="G1657" s="5" t="s">
        <v>1483</v>
      </c>
      <c r="H1657" s="4" t="e">
        <f>VLOOKUP(A1657,المعطيات!$A$1:$J$3500,3,0)</f>
        <v>#N/A</v>
      </c>
      <c r="I1657" s="1" t="s">
        <v>1484</v>
      </c>
      <c r="J1657" s="1" t="s">
        <v>1485</v>
      </c>
      <c r="K1657" s="4" t="e">
        <f>VLOOKUP(A1657,المعطيات!$A$1:$J$3500,6,0)</f>
        <v>#N/A</v>
      </c>
      <c r="L1657" s="1" t="s">
        <v>1486</v>
      </c>
      <c r="M1657" s="1" t="s">
        <v>1487</v>
      </c>
      <c r="N1657" s="4" t="e">
        <f t="shared" si="76"/>
        <v>#N/A</v>
      </c>
      <c r="O1657" s="1" t="s">
        <v>1488</v>
      </c>
      <c r="P1657" s="4" t="e">
        <f>VLOOKUP(A1657,المعطيات!$A$1:$J$3500,4,0)</f>
        <v>#N/A</v>
      </c>
      <c r="Q1657" s="1" t="s">
        <v>1489</v>
      </c>
      <c r="R1657" s="1" t="s">
        <v>1480</v>
      </c>
      <c r="S1657" s="6" t="e">
        <f t="shared" si="77"/>
        <v>#N/A</v>
      </c>
    </row>
    <row r="1658" spans="2:19" x14ac:dyDescent="0.25">
      <c r="B1658" s="1" t="s">
        <v>1479</v>
      </c>
      <c r="C1658" s="1" t="s">
        <v>1481</v>
      </c>
      <c r="D1658" s="4" t="e">
        <f>VLOOKUP(A1658,المعطيات!$A$1:$J$3500,5,0)</f>
        <v>#N/A</v>
      </c>
      <c r="E1658" s="1" t="s">
        <v>1482</v>
      </c>
      <c r="F1658" s="5">
        <f t="shared" si="75"/>
        <v>0</v>
      </c>
      <c r="G1658" s="5" t="s">
        <v>1483</v>
      </c>
      <c r="H1658" s="4" t="e">
        <f>VLOOKUP(A1658,المعطيات!$A$1:$J$3500,3,0)</f>
        <v>#N/A</v>
      </c>
      <c r="I1658" s="1" t="s">
        <v>1484</v>
      </c>
      <c r="J1658" s="1" t="s">
        <v>1485</v>
      </c>
      <c r="K1658" s="4" t="e">
        <f>VLOOKUP(A1658,المعطيات!$A$1:$J$3500,6,0)</f>
        <v>#N/A</v>
      </c>
      <c r="L1658" s="1" t="s">
        <v>1486</v>
      </c>
      <c r="M1658" s="1" t="s">
        <v>1487</v>
      </c>
      <c r="N1658" s="4" t="e">
        <f t="shared" si="76"/>
        <v>#N/A</v>
      </c>
      <c r="O1658" s="1" t="s">
        <v>1488</v>
      </c>
      <c r="P1658" s="4" t="e">
        <f>VLOOKUP(A1658,المعطيات!$A$1:$J$3500,4,0)</f>
        <v>#N/A</v>
      </c>
      <c r="Q1658" s="1" t="s">
        <v>1489</v>
      </c>
      <c r="R1658" s="1" t="s">
        <v>1480</v>
      </c>
      <c r="S1658" s="6" t="e">
        <f t="shared" si="77"/>
        <v>#N/A</v>
      </c>
    </row>
    <row r="1659" spans="2:19" x14ac:dyDescent="0.25">
      <c r="B1659" s="1" t="s">
        <v>1479</v>
      </c>
      <c r="C1659" s="1" t="s">
        <v>1481</v>
      </c>
      <c r="D1659" s="4" t="e">
        <f>VLOOKUP(A1659,المعطيات!$A$1:$J$3500,5,0)</f>
        <v>#N/A</v>
      </c>
      <c r="E1659" s="1" t="s">
        <v>1482</v>
      </c>
      <c r="F1659" s="5">
        <f t="shared" si="75"/>
        <v>0</v>
      </c>
      <c r="G1659" s="5" t="s">
        <v>1483</v>
      </c>
      <c r="H1659" s="4" t="e">
        <f>VLOOKUP(A1659,المعطيات!$A$1:$J$3500,3,0)</f>
        <v>#N/A</v>
      </c>
      <c r="I1659" s="1" t="s">
        <v>1484</v>
      </c>
      <c r="J1659" s="1" t="s">
        <v>1485</v>
      </c>
      <c r="K1659" s="4" t="e">
        <f>VLOOKUP(A1659,المعطيات!$A$1:$J$3500,6,0)</f>
        <v>#N/A</v>
      </c>
      <c r="L1659" s="1" t="s">
        <v>1486</v>
      </c>
      <c r="M1659" s="1" t="s">
        <v>1487</v>
      </c>
      <c r="N1659" s="4" t="e">
        <f t="shared" si="76"/>
        <v>#N/A</v>
      </c>
      <c r="O1659" s="1" t="s">
        <v>1488</v>
      </c>
      <c r="P1659" s="4" t="e">
        <f>VLOOKUP(A1659,المعطيات!$A$1:$J$3500,4,0)</f>
        <v>#N/A</v>
      </c>
      <c r="Q1659" s="1" t="s">
        <v>1489</v>
      </c>
      <c r="R1659" s="1" t="s">
        <v>1480</v>
      </c>
      <c r="S1659" s="6" t="e">
        <f t="shared" si="77"/>
        <v>#N/A</v>
      </c>
    </row>
    <row r="1660" spans="2:19" x14ac:dyDescent="0.25">
      <c r="B1660" s="1" t="s">
        <v>1479</v>
      </c>
      <c r="C1660" s="1" t="s">
        <v>1481</v>
      </c>
      <c r="D1660" s="4" t="e">
        <f>VLOOKUP(A1660,المعطيات!$A$1:$J$3500,5,0)</f>
        <v>#N/A</v>
      </c>
      <c r="E1660" s="1" t="s">
        <v>1482</v>
      </c>
      <c r="F1660" s="5">
        <f t="shared" si="75"/>
        <v>0</v>
      </c>
      <c r="G1660" s="5" t="s">
        <v>1483</v>
      </c>
      <c r="H1660" s="4" t="e">
        <f>VLOOKUP(A1660,المعطيات!$A$1:$J$3500,3,0)</f>
        <v>#N/A</v>
      </c>
      <c r="I1660" s="1" t="s">
        <v>1484</v>
      </c>
      <c r="J1660" s="1" t="s">
        <v>1485</v>
      </c>
      <c r="K1660" s="4" t="e">
        <f>VLOOKUP(A1660,المعطيات!$A$1:$J$3500,6,0)</f>
        <v>#N/A</v>
      </c>
      <c r="L1660" s="1" t="s">
        <v>1486</v>
      </c>
      <c r="M1660" s="1" t="s">
        <v>1487</v>
      </c>
      <c r="N1660" s="4" t="e">
        <f t="shared" si="76"/>
        <v>#N/A</v>
      </c>
      <c r="O1660" s="1" t="s">
        <v>1488</v>
      </c>
      <c r="P1660" s="4" t="e">
        <f>VLOOKUP(A1660,المعطيات!$A$1:$J$3500,4,0)</f>
        <v>#N/A</v>
      </c>
      <c r="Q1660" s="1" t="s">
        <v>1489</v>
      </c>
      <c r="R1660" s="1" t="s">
        <v>1480</v>
      </c>
      <c r="S1660" s="6" t="e">
        <f t="shared" si="77"/>
        <v>#N/A</v>
      </c>
    </row>
    <row r="1661" spans="2:19" x14ac:dyDescent="0.25">
      <c r="B1661" s="1" t="s">
        <v>1479</v>
      </c>
      <c r="C1661" s="1" t="s">
        <v>1481</v>
      </c>
      <c r="D1661" s="4" t="e">
        <f>VLOOKUP(A1661,المعطيات!$A$1:$J$3500,5,0)</f>
        <v>#N/A</v>
      </c>
      <c r="E1661" s="1" t="s">
        <v>1482</v>
      </c>
      <c r="F1661" s="5">
        <f t="shared" si="75"/>
        <v>0</v>
      </c>
      <c r="G1661" s="5" t="s">
        <v>1483</v>
      </c>
      <c r="H1661" s="4" t="e">
        <f>VLOOKUP(A1661,المعطيات!$A$1:$J$3500,3,0)</f>
        <v>#N/A</v>
      </c>
      <c r="I1661" s="1" t="s">
        <v>1484</v>
      </c>
      <c r="J1661" s="1" t="s">
        <v>1485</v>
      </c>
      <c r="K1661" s="4" t="e">
        <f>VLOOKUP(A1661,المعطيات!$A$1:$J$3500,6,0)</f>
        <v>#N/A</v>
      </c>
      <c r="L1661" s="1" t="s">
        <v>1486</v>
      </c>
      <c r="M1661" s="1" t="s">
        <v>1487</v>
      </c>
      <c r="N1661" s="4" t="e">
        <f t="shared" si="76"/>
        <v>#N/A</v>
      </c>
      <c r="O1661" s="1" t="s">
        <v>1488</v>
      </c>
      <c r="P1661" s="4" t="e">
        <f>VLOOKUP(A1661,المعطيات!$A$1:$J$3500,4,0)</f>
        <v>#N/A</v>
      </c>
      <c r="Q1661" s="1" t="s">
        <v>1489</v>
      </c>
      <c r="R1661" s="1" t="s">
        <v>1480</v>
      </c>
      <c r="S1661" s="6" t="e">
        <f t="shared" si="77"/>
        <v>#N/A</v>
      </c>
    </row>
    <row r="1662" spans="2:19" x14ac:dyDescent="0.25">
      <c r="B1662" s="1" t="s">
        <v>1479</v>
      </c>
      <c r="C1662" s="1" t="s">
        <v>1481</v>
      </c>
      <c r="D1662" s="4" t="e">
        <f>VLOOKUP(A1662,المعطيات!$A$1:$J$3500,5,0)</f>
        <v>#N/A</v>
      </c>
      <c r="E1662" s="1" t="s">
        <v>1482</v>
      </c>
      <c r="F1662" s="5">
        <f t="shared" si="75"/>
        <v>0</v>
      </c>
      <c r="G1662" s="5" t="s">
        <v>1483</v>
      </c>
      <c r="H1662" s="4" t="e">
        <f>VLOOKUP(A1662,المعطيات!$A$1:$J$3500,3,0)</f>
        <v>#N/A</v>
      </c>
      <c r="I1662" s="1" t="s">
        <v>1484</v>
      </c>
      <c r="J1662" s="1" t="s">
        <v>1485</v>
      </c>
      <c r="K1662" s="4" t="e">
        <f>VLOOKUP(A1662,المعطيات!$A$1:$J$3500,6,0)</f>
        <v>#N/A</v>
      </c>
      <c r="L1662" s="1" t="s">
        <v>1486</v>
      </c>
      <c r="M1662" s="1" t="s">
        <v>1487</v>
      </c>
      <c r="N1662" s="4" t="e">
        <f t="shared" si="76"/>
        <v>#N/A</v>
      </c>
      <c r="O1662" s="1" t="s">
        <v>1488</v>
      </c>
      <c r="P1662" s="4" t="e">
        <f>VLOOKUP(A1662,المعطيات!$A$1:$J$3500,4,0)</f>
        <v>#N/A</v>
      </c>
      <c r="Q1662" s="1" t="s">
        <v>1489</v>
      </c>
      <c r="R1662" s="1" t="s">
        <v>1480</v>
      </c>
      <c r="S1662" s="6" t="e">
        <f t="shared" si="77"/>
        <v>#N/A</v>
      </c>
    </row>
    <row r="1663" spans="2:19" x14ac:dyDescent="0.25">
      <c r="B1663" s="1" t="s">
        <v>1479</v>
      </c>
      <c r="C1663" s="1" t="s">
        <v>1481</v>
      </c>
      <c r="D1663" s="4" t="e">
        <f>VLOOKUP(A1663,المعطيات!$A$1:$J$3500,5,0)</f>
        <v>#N/A</v>
      </c>
      <c r="E1663" s="1" t="s">
        <v>1482</v>
      </c>
      <c r="F1663" s="5">
        <f t="shared" si="75"/>
        <v>0</v>
      </c>
      <c r="G1663" s="5" t="s">
        <v>1483</v>
      </c>
      <c r="H1663" s="4" t="e">
        <f>VLOOKUP(A1663,المعطيات!$A$1:$J$3500,3,0)</f>
        <v>#N/A</v>
      </c>
      <c r="I1663" s="1" t="s">
        <v>1484</v>
      </c>
      <c r="J1663" s="1" t="s">
        <v>1485</v>
      </c>
      <c r="K1663" s="4" t="e">
        <f>VLOOKUP(A1663,المعطيات!$A$1:$J$3500,6,0)</f>
        <v>#N/A</v>
      </c>
      <c r="L1663" s="1" t="s">
        <v>1486</v>
      </c>
      <c r="M1663" s="1" t="s">
        <v>1487</v>
      </c>
      <c r="N1663" s="4" t="e">
        <f t="shared" si="76"/>
        <v>#N/A</v>
      </c>
      <c r="O1663" s="1" t="s">
        <v>1488</v>
      </c>
      <c r="P1663" s="4" t="e">
        <f>VLOOKUP(A1663,المعطيات!$A$1:$J$3500,4,0)</f>
        <v>#N/A</v>
      </c>
      <c r="Q1663" s="1" t="s">
        <v>1489</v>
      </c>
      <c r="R1663" s="1" t="s">
        <v>1480</v>
      </c>
      <c r="S1663" s="6" t="e">
        <f t="shared" si="77"/>
        <v>#N/A</v>
      </c>
    </row>
    <row r="1664" spans="2:19" x14ac:dyDescent="0.25">
      <c r="B1664" s="1" t="s">
        <v>1479</v>
      </c>
      <c r="C1664" s="1" t="s">
        <v>1481</v>
      </c>
      <c r="D1664" s="4" t="e">
        <f>VLOOKUP(A1664,المعطيات!$A$1:$J$3500,5,0)</f>
        <v>#N/A</v>
      </c>
      <c r="E1664" s="1" t="s">
        <v>1482</v>
      </c>
      <c r="F1664" s="5">
        <f t="shared" si="75"/>
        <v>0</v>
      </c>
      <c r="G1664" s="5" t="s">
        <v>1483</v>
      </c>
      <c r="H1664" s="4" t="e">
        <f>VLOOKUP(A1664,المعطيات!$A$1:$J$3500,3,0)</f>
        <v>#N/A</v>
      </c>
      <c r="I1664" s="1" t="s">
        <v>1484</v>
      </c>
      <c r="J1664" s="1" t="s">
        <v>1485</v>
      </c>
      <c r="K1664" s="4" t="e">
        <f>VLOOKUP(A1664,المعطيات!$A$1:$J$3500,6,0)</f>
        <v>#N/A</v>
      </c>
      <c r="L1664" s="1" t="s">
        <v>1486</v>
      </c>
      <c r="M1664" s="1" t="s">
        <v>1487</v>
      </c>
      <c r="N1664" s="4" t="e">
        <f t="shared" si="76"/>
        <v>#N/A</v>
      </c>
      <c r="O1664" s="1" t="s">
        <v>1488</v>
      </c>
      <c r="P1664" s="4" t="e">
        <f>VLOOKUP(A1664,المعطيات!$A$1:$J$3500,4,0)</f>
        <v>#N/A</v>
      </c>
      <c r="Q1664" s="1" t="s">
        <v>1489</v>
      </c>
      <c r="R1664" s="1" t="s">
        <v>1480</v>
      </c>
      <c r="S1664" s="6" t="e">
        <f t="shared" si="77"/>
        <v>#N/A</v>
      </c>
    </row>
    <row r="1665" spans="2:19" x14ac:dyDescent="0.25">
      <c r="B1665" s="1" t="s">
        <v>1479</v>
      </c>
      <c r="C1665" s="1" t="s">
        <v>1481</v>
      </c>
      <c r="D1665" s="4" t="e">
        <f>VLOOKUP(A1665,المعطيات!$A$1:$J$3500,5,0)</f>
        <v>#N/A</v>
      </c>
      <c r="E1665" s="1" t="s">
        <v>1482</v>
      </c>
      <c r="F1665" s="5">
        <f t="shared" si="75"/>
        <v>0</v>
      </c>
      <c r="G1665" s="5" t="s">
        <v>1483</v>
      </c>
      <c r="H1665" s="4" t="e">
        <f>VLOOKUP(A1665,المعطيات!$A$1:$J$3500,3,0)</f>
        <v>#N/A</v>
      </c>
      <c r="I1665" s="1" t="s">
        <v>1484</v>
      </c>
      <c r="J1665" s="1" t="s">
        <v>1485</v>
      </c>
      <c r="K1665" s="4" t="e">
        <f>VLOOKUP(A1665,المعطيات!$A$1:$J$3500,6,0)</f>
        <v>#N/A</v>
      </c>
      <c r="L1665" s="1" t="s">
        <v>1486</v>
      </c>
      <c r="M1665" s="1" t="s">
        <v>1487</v>
      </c>
      <c r="N1665" s="4" t="e">
        <f t="shared" si="76"/>
        <v>#N/A</v>
      </c>
      <c r="O1665" s="1" t="s">
        <v>1488</v>
      </c>
      <c r="P1665" s="4" t="e">
        <f>VLOOKUP(A1665,المعطيات!$A$1:$J$3500,4,0)</f>
        <v>#N/A</v>
      </c>
      <c r="Q1665" s="1" t="s">
        <v>1489</v>
      </c>
      <c r="R1665" s="1" t="s">
        <v>1480</v>
      </c>
      <c r="S1665" s="6" t="e">
        <f t="shared" si="77"/>
        <v>#N/A</v>
      </c>
    </row>
    <row r="1666" spans="2:19" x14ac:dyDescent="0.25">
      <c r="B1666" s="1" t="s">
        <v>1479</v>
      </c>
      <c r="C1666" s="1" t="s">
        <v>1481</v>
      </c>
      <c r="D1666" s="4" t="e">
        <f>VLOOKUP(A1666,المعطيات!$A$1:$J$3500,5,0)</f>
        <v>#N/A</v>
      </c>
      <c r="E1666" s="1" t="s">
        <v>1482</v>
      </c>
      <c r="F1666" s="5">
        <f t="shared" ref="F1666:F1729" si="78">A1666</f>
        <v>0</v>
      </c>
      <c r="G1666" s="5" t="s">
        <v>1483</v>
      </c>
      <c r="H1666" s="4" t="e">
        <f>VLOOKUP(A1666,المعطيات!$A$1:$J$3500,3,0)</f>
        <v>#N/A</v>
      </c>
      <c r="I1666" s="1" t="s">
        <v>1484</v>
      </c>
      <c r="J1666" s="1" t="s">
        <v>1485</v>
      </c>
      <c r="K1666" s="4" t="e">
        <f>VLOOKUP(A1666,المعطيات!$A$1:$J$3500,6,0)</f>
        <v>#N/A</v>
      </c>
      <c r="L1666" s="1" t="s">
        <v>1486</v>
      </c>
      <c r="M1666" s="1" t="s">
        <v>1487</v>
      </c>
      <c r="N1666" s="4" t="e">
        <f t="shared" ref="N1666:N1729" si="79">D1666</f>
        <v>#N/A</v>
      </c>
      <c r="O1666" s="1" t="s">
        <v>1488</v>
      </c>
      <c r="P1666" s="4" t="e">
        <f>VLOOKUP(A1666,المعطيات!$A$1:$J$3500,4,0)</f>
        <v>#N/A</v>
      </c>
      <c r="Q1666" s="1" t="s">
        <v>1489</v>
      </c>
      <c r="R1666" s="1" t="s">
        <v>1480</v>
      </c>
      <c r="S1666" s="6" t="e">
        <f t="shared" ref="S1666:S1729" si="80">B1666&amp;""&amp;C1666&amp;""&amp;D1666&amp;""&amp;E1666&amp;""&amp;F1666&amp;""&amp;G1666&amp;""&amp;H1666&amp;""&amp;I1666&amp;""&amp;J1666&amp;""&amp;K1666&amp;""&amp;L1666&amp;""&amp;M1666&amp;""&amp;N1666&amp;""&amp;O1666&amp;""&amp;P1666&amp;""&amp;Q1666&amp;""&amp;R1666</f>
        <v>#N/A</v>
      </c>
    </row>
    <row r="1667" spans="2:19" x14ac:dyDescent="0.25">
      <c r="B1667" s="1" t="s">
        <v>1479</v>
      </c>
      <c r="C1667" s="1" t="s">
        <v>1481</v>
      </c>
      <c r="D1667" s="4" t="e">
        <f>VLOOKUP(A1667,المعطيات!$A$1:$J$3500,5,0)</f>
        <v>#N/A</v>
      </c>
      <c r="E1667" s="1" t="s">
        <v>1482</v>
      </c>
      <c r="F1667" s="5">
        <f t="shared" si="78"/>
        <v>0</v>
      </c>
      <c r="G1667" s="5" t="s">
        <v>1483</v>
      </c>
      <c r="H1667" s="4" t="e">
        <f>VLOOKUP(A1667,المعطيات!$A$1:$J$3500,3,0)</f>
        <v>#N/A</v>
      </c>
      <c r="I1667" s="1" t="s">
        <v>1484</v>
      </c>
      <c r="J1667" s="1" t="s">
        <v>1485</v>
      </c>
      <c r="K1667" s="4" t="e">
        <f>VLOOKUP(A1667,المعطيات!$A$1:$J$3500,6,0)</f>
        <v>#N/A</v>
      </c>
      <c r="L1667" s="1" t="s">
        <v>1486</v>
      </c>
      <c r="M1667" s="1" t="s">
        <v>1487</v>
      </c>
      <c r="N1667" s="4" t="e">
        <f t="shared" si="79"/>
        <v>#N/A</v>
      </c>
      <c r="O1667" s="1" t="s">
        <v>1488</v>
      </c>
      <c r="P1667" s="4" t="e">
        <f>VLOOKUP(A1667,المعطيات!$A$1:$J$3500,4,0)</f>
        <v>#N/A</v>
      </c>
      <c r="Q1667" s="1" t="s">
        <v>1489</v>
      </c>
      <c r="R1667" s="1" t="s">
        <v>1480</v>
      </c>
      <c r="S1667" s="6" t="e">
        <f t="shared" si="80"/>
        <v>#N/A</v>
      </c>
    </row>
    <row r="1668" spans="2:19" x14ac:dyDescent="0.25">
      <c r="B1668" s="1" t="s">
        <v>1479</v>
      </c>
      <c r="C1668" s="1" t="s">
        <v>1481</v>
      </c>
      <c r="D1668" s="4" t="e">
        <f>VLOOKUP(A1668,المعطيات!$A$1:$J$3500,5,0)</f>
        <v>#N/A</v>
      </c>
      <c r="E1668" s="1" t="s">
        <v>1482</v>
      </c>
      <c r="F1668" s="5">
        <f t="shared" si="78"/>
        <v>0</v>
      </c>
      <c r="G1668" s="5" t="s">
        <v>1483</v>
      </c>
      <c r="H1668" s="4" t="e">
        <f>VLOOKUP(A1668,المعطيات!$A$1:$J$3500,3,0)</f>
        <v>#N/A</v>
      </c>
      <c r="I1668" s="1" t="s">
        <v>1484</v>
      </c>
      <c r="J1668" s="1" t="s">
        <v>1485</v>
      </c>
      <c r="K1668" s="4" t="e">
        <f>VLOOKUP(A1668,المعطيات!$A$1:$J$3500,6,0)</f>
        <v>#N/A</v>
      </c>
      <c r="L1668" s="1" t="s">
        <v>1486</v>
      </c>
      <c r="M1668" s="1" t="s">
        <v>1487</v>
      </c>
      <c r="N1668" s="4" t="e">
        <f t="shared" si="79"/>
        <v>#N/A</v>
      </c>
      <c r="O1668" s="1" t="s">
        <v>1488</v>
      </c>
      <c r="P1668" s="4" t="e">
        <f>VLOOKUP(A1668,المعطيات!$A$1:$J$3500,4,0)</f>
        <v>#N/A</v>
      </c>
      <c r="Q1668" s="1" t="s">
        <v>1489</v>
      </c>
      <c r="R1668" s="1" t="s">
        <v>1480</v>
      </c>
      <c r="S1668" s="6" t="e">
        <f t="shared" si="80"/>
        <v>#N/A</v>
      </c>
    </row>
    <row r="1669" spans="2:19" x14ac:dyDescent="0.25">
      <c r="B1669" s="1" t="s">
        <v>1479</v>
      </c>
      <c r="C1669" s="1" t="s">
        <v>1481</v>
      </c>
      <c r="D1669" s="4" t="e">
        <f>VLOOKUP(A1669,المعطيات!$A$1:$J$3500,5,0)</f>
        <v>#N/A</v>
      </c>
      <c r="E1669" s="1" t="s">
        <v>1482</v>
      </c>
      <c r="F1669" s="5">
        <f t="shared" si="78"/>
        <v>0</v>
      </c>
      <c r="G1669" s="5" t="s">
        <v>1483</v>
      </c>
      <c r="H1669" s="4" t="e">
        <f>VLOOKUP(A1669,المعطيات!$A$1:$J$3500,3,0)</f>
        <v>#N/A</v>
      </c>
      <c r="I1669" s="1" t="s">
        <v>1484</v>
      </c>
      <c r="J1669" s="1" t="s">
        <v>1485</v>
      </c>
      <c r="K1669" s="4" t="e">
        <f>VLOOKUP(A1669,المعطيات!$A$1:$J$3500,6,0)</f>
        <v>#N/A</v>
      </c>
      <c r="L1669" s="1" t="s">
        <v>1486</v>
      </c>
      <c r="M1669" s="1" t="s">
        <v>1487</v>
      </c>
      <c r="N1669" s="4" t="e">
        <f t="shared" si="79"/>
        <v>#N/A</v>
      </c>
      <c r="O1669" s="1" t="s">
        <v>1488</v>
      </c>
      <c r="P1669" s="4" t="e">
        <f>VLOOKUP(A1669,المعطيات!$A$1:$J$3500,4,0)</f>
        <v>#N/A</v>
      </c>
      <c r="Q1669" s="1" t="s">
        <v>1489</v>
      </c>
      <c r="R1669" s="1" t="s">
        <v>1480</v>
      </c>
      <c r="S1669" s="6" t="e">
        <f t="shared" si="80"/>
        <v>#N/A</v>
      </c>
    </row>
    <row r="1670" spans="2:19" x14ac:dyDescent="0.25">
      <c r="B1670" s="1" t="s">
        <v>1479</v>
      </c>
      <c r="C1670" s="1" t="s">
        <v>1481</v>
      </c>
      <c r="D1670" s="4" t="e">
        <f>VLOOKUP(A1670,المعطيات!$A$1:$J$3500,5,0)</f>
        <v>#N/A</v>
      </c>
      <c r="E1670" s="1" t="s">
        <v>1482</v>
      </c>
      <c r="F1670" s="5">
        <f t="shared" si="78"/>
        <v>0</v>
      </c>
      <c r="G1670" s="5" t="s">
        <v>1483</v>
      </c>
      <c r="H1670" s="4" t="e">
        <f>VLOOKUP(A1670,المعطيات!$A$1:$J$3500,3,0)</f>
        <v>#N/A</v>
      </c>
      <c r="I1670" s="1" t="s">
        <v>1484</v>
      </c>
      <c r="J1670" s="1" t="s">
        <v>1485</v>
      </c>
      <c r="K1670" s="4" t="e">
        <f>VLOOKUP(A1670,المعطيات!$A$1:$J$3500,6,0)</f>
        <v>#N/A</v>
      </c>
      <c r="L1670" s="1" t="s">
        <v>1486</v>
      </c>
      <c r="M1670" s="1" t="s">
        <v>1487</v>
      </c>
      <c r="N1670" s="4" t="e">
        <f t="shared" si="79"/>
        <v>#N/A</v>
      </c>
      <c r="O1670" s="1" t="s">
        <v>1488</v>
      </c>
      <c r="P1670" s="4" t="e">
        <f>VLOOKUP(A1670,المعطيات!$A$1:$J$3500,4,0)</f>
        <v>#N/A</v>
      </c>
      <c r="Q1670" s="1" t="s">
        <v>1489</v>
      </c>
      <c r="R1670" s="1" t="s">
        <v>1480</v>
      </c>
      <c r="S1670" s="6" t="e">
        <f t="shared" si="80"/>
        <v>#N/A</v>
      </c>
    </row>
    <row r="1671" spans="2:19" x14ac:dyDescent="0.25">
      <c r="B1671" s="1" t="s">
        <v>1479</v>
      </c>
      <c r="C1671" s="1" t="s">
        <v>1481</v>
      </c>
      <c r="D1671" s="4" t="e">
        <f>VLOOKUP(A1671,المعطيات!$A$1:$J$3500,5,0)</f>
        <v>#N/A</v>
      </c>
      <c r="E1671" s="1" t="s">
        <v>1482</v>
      </c>
      <c r="F1671" s="5">
        <f t="shared" si="78"/>
        <v>0</v>
      </c>
      <c r="G1671" s="5" t="s">
        <v>1483</v>
      </c>
      <c r="H1671" s="4" t="e">
        <f>VLOOKUP(A1671,المعطيات!$A$1:$J$3500,3,0)</f>
        <v>#N/A</v>
      </c>
      <c r="I1671" s="1" t="s">
        <v>1484</v>
      </c>
      <c r="J1671" s="1" t="s">
        <v>1485</v>
      </c>
      <c r="K1671" s="4" t="e">
        <f>VLOOKUP(A1671,المعطيات!$A$1:$J$3500,6,0)</f>
        <v>#N/A</v>
      </c>
      <c r="L1671" s="1" t="s">
        <v>1486</v>
      </c>
      <c r="M1671" s="1" t="s">
        <v>1487</v>
      </c>
      <c r="N1671" s="4" t="e">
        <f t="shared" si="79"/>
        <v>#N/A</v>
      </c>
      <c r="O1671" s="1" t="s">
        <v>1488</v>
      </c>
      <c r="P1671" s="4" t="e">
        <f>VLOOKUP(A1671,المعطيات!$A$1:$J$3500,4,0)</f>
        <v>#N/A</v>
      </c>
      <c r="Q1671" s="1" t="s">
        <v>1489</v>
      </c>
      <c r="R1671" s="1" t="s">
        <v>1480</v>
      </c>
      <c r="S1671" s="6" t="e">
        <f t="shared" si="80"/>
        <v>#N/A</v>
      </c>
    </row>
    <row r="1672" spans="2:19" x14ac:dyDescent="0.25">
      <c r="B1672" s="1" t="s">
        <v>1479</v>
      </c>
      <c r="C1672" s="1" t="s">
        <v>1481</v>
      </c>
      <c r="D1672" s="4" t="e">
        <f>VLOOKUP(A1672,المعطيات!$A$1:$J$3500,5,0)</f>
        <v>#N/A</v>
      </c>
      <c r="E1672" s="1" t="s">
        <v>1482</v>
      </c>
      <c r="F1672" s="5">
        <f t="shared" si="78"/>
        <v>0</v>
      </c>
      <c r="G1672" s="5" t="s">
        <v>1483</v>
      </c>
      <c r="H1672" s="4" t="e">
        <f>VLOOKUP(A1672,المعطيات!$A$1:$J$3500,3,0)</f>
        <v>#N/A</v>
      </c>
      <c r="I1672" s="1" t="s">
        <v>1484</v>
      </c>
      <c r="J1672" s="1" t="s">
        <v>1485</v>
      </c>
      <c r="K1672" s="4" t="e">
        <f>VLOOKUP(A1672,المعطيات!$A$1:$J$3500,6,0)</f>
        <v>#N/A</v>
      </c>
      <c r="L1672" s="1" t="s">
        <v>1486</v>
      </c>
      <c r="M1672" s="1" t="s">
        <v>1487</v>
      </c>
      <c r="N1672" s="4" t="e">
        <f t="shared" si="79"/>
        <v>#N/A</v>
      </c>
      <c r="O1672" s="1" t="s">
        <v>1488</v>
      </c>
      <c r="P1672" s="4" t="e">
        <f>VLOOKUP(A1672,المعطيات!$A$1:$J$3500,4,0)</f>
        <v>#N/A</v>
      </c>
      <c r="Q1672" s="1" t="s">
        <v>1489</v>
      </c>
      <c r="R1672" s="1" t="s">
        <v>1480</v>
      </c>
      <c r="S1672" s="6" t="e">
        <f t="shared" si="80"/>
        <v>#N/A</v>
      </c>
    </row>
    <row r="1673" spans="2:19" x14ac:dyDescent="0.25">
      <c r="B1673" s="1" t="s">
        <v>1479</v>
      </c>
      <c r="C1673" s="1" t="s">
        <v>1481</v>
      </c>
      <c r="D1673" s="4" t="e">
        <f>VLOOKUP(A1673,المعطيات!$A$1:$J$3500,5,0)</f>
        <v>#N/A</v>
      </c>
      <c r="E1673" s="1" t="s">
        <v>1482</v>
      </c>
      <c r="F1673" s="5">
        <f t="shared" si="78"/>
        <v>0</v>
      </c>
      <c r="G1673" s="5" t="s">
        <v>1483</v>
      </c>
      <c r="H1673" s="4" t="e">
        <f>VLOOKUP(A1673,المعطيات!$A$1:$J$3500,3,0)</f>
        <v>#N/A</v>
      </c>
      <c r="I1673" s="1" t="s">
        <v>1484</v>
      </c>
      <c r="J1673" s="1" t="s">
        <v>1485</v>
      </c>
      <c r="K1673" s="4" t="e">
        <f>VLOOKUP(A1673,المعطيات!$A$1:$J$3500,6,0)</f>
        <v>#N/A</v>
      </c>
      <c r="L1673" s="1" t="s">
        <v>1486</v>
      </c>
      <c r="M1673" s="1" t="s">
        <v>1487</v>
      </c>
      <c r="N1673" s="4" t="e">
        <f t="shared" si="79"/>
        <v>#N/A</v>
      </c>
      <c r="O1673" s="1" t="s">
        <v>1488</v>
      </c>
      <c r="P1673" s="4" t="e">
        <f>VLOOKUP(A1673,المعطيات!$A$1:$J$3500,4,0)</f>
        <v>#N/A</v>
      </c>
      <c r="Q1673" s="1" t="s">
        <v>1489</v>
      </c>
      <c r="R1673" s="1" t="s">
        <v>1480</v>
      </c>
      <c r="S1673" s="6" t="e">
        <f t="shared" si="80"/>
        <v>#N/A</v>
      </c>
    </row>
    <row r="1674" spans="2:19" x14ac:dyDescent="0.25">
      <c r="B1674" s="1" t="s">
        <v>1479</v>
      </c>
      <c r="C1674" s="1" t="s">
        <v>1481</v>
      </c>
      <c r="D1674" s="4" t="e">
        <f>VLOOKUP(A1674,المعطيات!$A$1:$J$3500,5,0)</f>
        <v>#N/A</v>
      </c>
      <c r="E1674" s="1" t="s">
        <v>1482</v>
      </c>
      <c r="F1674" s="5">
        <f t="shared" si="78"/>
        <v>0</v>
      </c>
      <c r="G1674" s="5" t="s">
        <v>1483</v>
      </c>
      <c r="H1674" s="4" t="e">
        <f>VLOOKUP(A1674,المعطيات!$A$1:$J$3500,3,0)</f>
        <v>#N/A</v>
      </c>
      <c r="I1674" s="1" t="s">
        <v>1484</v>
      </c>
      <c r="J1674" s="1" t="s">
        <v>1485</v>
      </c>
      <c r="K1674" s="4" t="e">
        <f>VLOOKUP(A1674,المعطيات!$A$1:$J$3500,6,0)</f>
        <v>#N/A</v>
      </c>
      <c r="L1674" s="1" t="s">
        <v>1486</v>
      </c>
      <c r="M1674" s="1" t="s">
        <v>1487</v>
      </c>
      <c r="N1674" s="4" t="e">
        <f t="shared" si="79"/>
        <v>#N/A</v>
      </c>
      <c r="O1674" s="1" t="s">
        <v>1488</v>
      </c>
      <c r="P1674" s="4" t="e">
        <f>VLOOKUP(A1674,المعطيات!$A$1:$J$3500,4,0)</f>
        <v>#N/A</v>
      </c>
      <c r="Q1674" s="1" t="s">
        <v>1489</v>
      </c>
      <c r="R1674" s="1" t="s">
        <v>1480</v>
      </c>
      <c r="S1674" s="6" t="e">
        <f t="shared" si="80"/>
        <v>#N/A</v>
      </c>
    </row>
    <row r="1675" spans="2:19" x14ac:dyDescent="0.25">
      <c r="B1675" s="1" t="s">
        <v>1479</v>
      </c>
      <c r="C1675" s="1" t="s">
        <v>1481</v>
      </c>
      <c r="D1675" s="4" t="e">
        <f>VLOOKUP(A1675,المعطيات!$A$1:$J$3500,5,0)</f>
        <v>#N/A</v>
      </c>
      <c r="E1675" s="1" t="s">
        <v>1482</v>
      </c>
      <c r="F1675" s="5">
        <f t="shared" si="78"/>
        <v>0</v>
      </c>
      <c r="G1675" s="5" t="s">
        <v>1483</v>
      </c>
      <c r="H1675" s="4" t="e">
        <f>VLOOKUP(A1675,المعطيات!$A$1:$J$3500,3,0)</f>
        <v>#N/A</v>
      </c>
      <c r="I1675" s="1" t="s">
        <v>1484</v>
      </c>
      <c r="J1675" s="1" t="s">
        <v>1485</v>
      </c>
      <c r="K1675" s="4" t="e">
        <f>VLOOKUP(A1675,المعطيات!$A$1:$J$3500,6,0)</f>
        <v>#N/A</v>
      </c>
      <c r="L1675" s="1" t="s">
        <v>1486</v>
      </c>
      <c r="M1675" s="1" t="s">
        <v>1487</v>
      </c>
      <c r="N1675" s="4" t="e">
        <f t="shared" si="79"/>
        <v>#N/A</v>
      </c>
      <c r="O1675" s="1" t="s">
        <v>1488</v>
      </c>
      <c r="P1675" s="4" t="e">
        <f>VLOOKUP(A1675,المعطيات!$A$1:$J$3500,4,0)</f>
        <v>#N/A</v>
      </c>
      <c r="Q1675" s="1" t="s">
        <v>1489</v>
      </c>
      <c r="R1675" s="1" t="s">
        <v>1480</v>
      </c>
      <c r="S1675" s="6" t="e">
        <f t="shared" si="80"/>
        <v>#N/A</v>
      </c>
    </row>
    <row r="1676" spans="2:19" x14ac:dyDescent="0.25">
      <c r="B1676" s="1" t="s">
        <v>1479</v>
      </c>
      <c r="C1676" s="1" t="s">
        <v>1481</v>
      </c>
      <c r="D1676" s="4" t="e">
        <f>VLOOKUP(A1676,المعطيات!$A$1:$J$3500,5,0)</f>
        <v>#N/A</v>
      </c>
      <c r="E1676" s="1" t="s">
        <v>1482</v>
      </c>
      <c r="F1676" s="5">
        <f t="shared" si="78"/>
        <v>0</v>
      </c>
      <c r="G1676" s="5" t="s">
        <v>1483</v>
      </c>
      <c r="H1676" s="4" t="e">
        <f>VLOOKUP(A1676,المعطيات!$A$1:$J$3500,3,0)</f>
        <v>#N/A</v>
      </c>
      <c r="I1676" s="1" t="s">
        <v>1484</v>
      </c>
      <c r="J1676" s="1" t="s">
        <v>1485</v>
      </c>
      <c r="K1676" s="4" t="e">
        <f>VLOOKUP(A1676,المعطيات!$A$1:$J$3500,6,0)</f>
        <v>#N/A</v>
      </c>
      <c r="L1676" s="1" t="s">
        <v>1486</v>
      </c>
      <c r="M1676" s="1" t="s">
        <v>1487</v>
      </c>
      <c r="N1676" s="4" t="e">
        <f t="shared" si="79"/>
        <v>#N/A</v>
      </c>
      <c r="O1676" s="1" t="s">
        <v>1488</v>
      </c>
      <c r="P1676" s="4" t="e">
        <f>VLOOKUP(A1676,المعطيات!$A$1:$J$3500,4,0)</f>
        <v>#N/A</v>
      </c>
      <c r="Q1676" s="1" t="s">
        <v>1489</v>
      </c>
      <c r="R1676" s="1" t="s">
        <v>1480</v>
      </c>
      <c r="S1676" s="6" t="e">
        <f t="shared" si="80"/>
        <v>#N/A</v>
      </c>
    </row>
    <row r="1677" spans="2:19" x14ac:dyDescent="0.25">
      <c r="B1677" s="1" t="s">
        <v>1479</v>
      </c>
      <c r="C1677" s="1" t="s">
        <v>1481</v>
      </c>
      <c r="D1677" s="4" t="e">
        <f>VLOOKUP(A1677,المعطيات!$A$1:$J$3500,5,0)</f>
        <v>#N/A</v>
      </c>
      <c r="E1677" s="1" t="s">
        <v>1482</v>
      </c>
      <c r="F1677" s="5">
        <f t="shared" si="78"/>
        <v>0</v>
      </c>
      <c r="G1677" s="5" t="s">
        <v>1483</v>
      </c>
      <c r="H1677" s="4" t="e">
        <f>VLOOKUP(A1677,المعطيات!$A$1:$J$3500,3,0)</f>
        <v>#N/A</v>
      </c>
      <c r="I1677" s="1" t="s">
        <v>1484</v>
      </c>
      <c r="J1677" s="1" t="s">
        <v>1485</v>
      </c>
      <c r="K1677" s="4" t="e">
        <f>VLOOKUP(A1677,المعطيات!$A$1:$J$3500,6,0)</f>
        <v>#N/A</v>
      </c>
      <c r="L1677" s="1" t="s">
        <v>1486</v>
      </c>
      <c r="M1677" s="1" t="s">
        <v>1487</v>
      </c>
      <c r="N1677" s="4" t="e">
        <f t="shared" si="79"/>
        <v>#N/A</v>
      </c>
      <c r="O1677" s="1" t="s">
        <v>1488</v>
      </c>
      <c r="P1677" s="4" t="e">
        <f>VLOOKUP(A1677,المعطيات!$A$1:$J$3500,4,0)</f>
        <v>#N/A</v>
      </c>
      <c r="Q1677" s="1" t="s">
        <v>1489</v>
      </c>
      <c r="R1677" s="1" t="s">
        <v>1480</v>
      </c>
      <c r="S1677" s="6" t="e">
        <f t="shared" si="80"/>
        <v>#N/A</v>
      </c>
    </row>
    <row r="1678" spans="2:19" x14ac:dyDescent="0.25">
      <c r="B1678" s="1" t="s">
        <v>1479</v>
      </c>
      <c r="C1678" s="1" t="s">
        <v>1481</v>
      </c>
      <c r="D1678" s="4" t="e">
        <f>VLOOKUP(A1678,المعطيات!$A$1:$J$3500,5,0)</f>
        <v>#N/A</v>
      </c>
      <c r="E1678" s="1" t="s">
        <v>1482</v>
      </c>
      <c r="F1678" s="5">
        <f t="shared" si="78"/>
        <v>0</v>
      </c>
      <c r="G1678" s="5" t="s">
        <v>1483</v>
      </c>
      <c r="H1678" s="4" t="e">
        <f>VLOOKUP(A1678,المعطيات!$A$1:$J$3500,3,0)</f>
        <v>#N/A</v>
      </c>
      <c r="I1678" s="1" t="s">
        <v>1484</v>
      </c>
      <c r="J1678" s="1" t="s">
        <v>1485</v>
      </c>
      <c r="K1678" s="4" t="e">
        <f>VLOOKUP(A1678,المعطيات!$A$1:$J$3500,6,0)</f>
        <v>#N/A</v>
      </c>
      <c r="L1678" s="1" t="s">
        <v>1486</v>
      </c>
      <c r="M1678" s="1" t="s">
        <v>1487</v>
      </c>
      <c r="N1678" s="4" t="e">
        <f t="shared" si="79"/>
        <v>#N/A</v>
      </c>
      <c r="O1678" s="1" t="s">
        <v>1488</v>
      </c>
      <c r="P1678" s="4" t="e">
        <f>VLOOKUP(A1678,المعطيات!$A$1:$J$3500,4,0)</f>
        <v>#N/A</v>
      </c>
      <c r="Q1678" s="1" t="s">
        <v>1489</v>
      </c>
      <c r="R1678" s="1" t="s">
        <v>1480</v>
      </c>
      <c r="S1678" s="6" t="e">
        <f t="shared" si="80"/>
        <v>#N/A</v>
      </c>
    </row>
    <row r="1679" spans="2:19" x14ac:dyDescent="0.25">
      <c r="B1679" s="1" t="s">
        <v>1479</v>
      </c>
      <c r="C1679" s="1" t="s">
        <v>1481</v>
      </c>
      <c r="D1679" s="4" t="e">
        <f>VLOOKUP(A1679,المعطيات!$A$1:$J$3500,5,0)</f>
        <v>#N/A</v>
      </c>
      <c r="E1679" s="1" t="s">
        <v>1482</v>
      </c>
      <c r="F1679" s="5">
        <f t="shared" si="78"/>
        <v>0</v>
      </c>
      <c r="G1679" s="5" t="s">
        <v>1483</v>
      </c>
      <c r="H1679" s="4" t="e">
        <f>VLOOKUP(A1679,المعطيات!$A$1:$J$3500,3,0)</f>
        <v>#N/A</v>
      </c>
      <c r="I1679" s="1" t="s">
        <v>1484</v>
      </c>
      <c r="J1679" s="1" t="s">
        <v>1485</v>
      </c>
      <c r="K1679" s="4" t="e">
        <f>VLOOKUP(A1679,المعطيات!$A$1:$J$3500,6,0)</f>
        <v>#N/A</v>
      </c>
      <c r="L1679" s="1" t="s">
        <v>1486</v>
      </c>
      <c r="M1679" s="1" t="s">
        <v>1487</v>
      </c>
      <c r="N1679" s="4" t="e">
        <f t="shared" si="79"/>
        <v>#N/A</v>
      </c>
      <c r="O1679" s="1" t="s">
        <v>1488</v>
      </c>
      <c r="P1679" s="4" t="e">
        <f>VLOOKUP(A1679,المعطيات!$A$1:$J$3500,4,0)</f>
        <v>#N/A</v>
      </c>
      <c r="Q1679" s="1" t="s">
        <v>1489</v>
      </c>
      <c r="R1679" s="1" t="s">
        <v>1480</v>
      </c>
      <c r="S1679" s="6" t="e">
        <f t="shared" si="80"/>
        <v>#N/A</v>
      </c>
    </row>
    <row r="1680" spans="2:19" x14ac:dyDescent="0.25">
      <c r="B1680" s="1" t="s">
        <v>1479</v>
      </c>
      <c r="C1680" s="1" t="s">
        <v>1481</v>
      </c>
      <c r="D1680" s="4" t="e">
        <f>VLOOKUP(A1680,المعطيات!$A$1:$J$3500,5,0)</f>
        <v>#N/A</v>
      </c>
      <c r="E1680" s="1" t="s">
        <v>1482</v>
      </c>
      <c r="F1680" s="5">
        <f t="shared" si="78"/>
        <v>0</v>
      </c>
      <c r="G1680" s="5" t="s">
        <v>1483</v>
      </c>
      <c r="H1680" s="4" t="e">
        <f>VLOOKUP(A1680,المعطيات!$A$1:$J$3500,3,0)</f>
        <v>#N/A</v>
      </c>
      <c r="I1680" s="1" t="s">
        <v>1484</v>
      </c>
      <c r="J1680" s="1" t="s">
        <v>1485</v>
      </c>
      <c r="K1680" s="4" t="e">
        <f>VLOOKUP(A1680,المعطيات!$A$1:$J$3500,6,0)</f>
        <v>#N/A</v>
      </c>
      <c r="L1680" s="1" t="s">
        <v>1486</v>
      </c>
      <c r="M1680" s="1" t="s">
        <v>1487</v>
      </c>
      <c r="N1680" s="4" t="e">
        <f t="shared" si="79"/>
        <v>#N/A</v>
      </c>
      <c r="O1680" s="1" t="s">
        <v>1488</v>
      </c>
      <c r="P1680" s="4" t="e">
        <f>VLOOKUP(A1680,المعطيات!$A$1:$J$3500,4,0)</f>
        <v>#N/A</v>
      </c>
      <c r="Q1680" s="1" t="s">
        <v>1489</v>
      </c>
      <c r="R1680" s="1" t="s">
        <v>1480</v>
      </c>
      <c r="S1680" s="6" t="e">
        <f t="shared" si="80"/>
        <v>#N/A</v>
      </c>
    </row>
    <row r="1681" spans="2:19" x14ac:dyDescent="0.25">
      <c r="B1681" s="1" t="s">
        <v>1479</v>
      </c>
      <c r="C1681" s="1" t="s">
        <v>1481</v>
      </c>
      <c r="D1681" s="4" t="e">
        <f>VLOOKUP(A1681,المعطيات!$A$1:$J$3500,5,0)</f>
        <v>#N/A</v>
      </c>
      <c r="E1681" s="1" t="s">
        <v>1482</v>
      </c>
      <c r="F1681" s="5">
        <f t="shared" si="78"/>
        <v>0</v>
      </c>
      <c r="G1681" s="5" t="s">
        <v>1483</v>
      </c>
      <c r="H1681" s="4" t="e">
        <f>VLOOKUP(A1681,المعطيات!$A$1:$J$3500,3,0)</f>
        <v>#N/A</v>
      </c>
      <c r="I1681" s="1" t="s">
        <v>1484</v>
      </c>
      <c r="J1681" s="1" t="s">
        <v>1485</v>
      </c>
      <c r="K1681" s="4" t="e">
        <f>VLOOKUP(A1681,المعطيات!$A$1:$J$3500,6,0)</f>
        <v>#N/A</v>
      </c>
      <c r="L1681" s="1" t="s">
        <v>1486</v>
      </c>
      <c r="M1681" s="1" t="s">
        <v>1487</v>
      </c>
      <c r="N1681" s="4" t="e">
        <f t="shared" si="79"/>
        <v>#N/A</v>
      </c>
      <c r="O1681" s="1" t="s">
        <v>1488</v>
      </c>
      <c r="P1681" s="4" t="e">
        <f>VLOOKUP(A1681,المعطيات!$A$1:$J$3500,4,0)</f>
        <v>#N/A</v>
      </c>
      <c r="Q1681" s="1" t="s">
        <v>1489</v>
      </c>
      <c r="R1681" s="1" t="s">
        <v>1480</v>
      </c>
      <c r="S1681" s="6" t="e">
        <f t="shared" si="80"/>
        <v>#N/A</v>
      </c>
    </row>
    <row r="1682" spans="2:19" x14ac:dyDescent="0.25">
      <c r="B1682" s="1" t="s">
        <v>1479</v>
      </c>
      <c r="C1682" s="1" t="s">
        <v>1481</v>
      </c>
      <c r="D1682" s="4" t="e">
        <f>VLOOKUP(A1682,المعطيات!$A$1:$J$3500,5,0)</f>
        <v>#N/A</v>
      </c>
      <c r="E1682" s="1" t="s">
        <v>1482</v>
      </c>
      <c r="F1682" s="5">
        <f t="shared" si="78"/>
        <v>0</v>
      </c>
      <c r="G1682" s="5" t="s">
        <v>1483</v>
      </c>
      <c r="H1682" s="4" t="e">
        <f>VLOOKUP(A1682,المعطيات!$A$1:$J$3500,3,0)</f>
        <v>#N/A</v>
      </c>
      <c r="I1682" s="1" t="s">
        <v>1484</v>
      </c>
      <c r="J1682" s="1" t="s">
        <v>1485</v>
      </c>
      <c r="K1682" s="4" t="e">
        <f>VLOOKUP(A1682,المعطيات!$A$1:$J$3500,6,0)</f>
        <v>#N/A</v>
      </c>
      <c r="L1682" s="1" t="s">
        <v>1486</v>
      </c>
      <c r="M1682" s="1" t="s">
        <v>1487</v>
      </c>
      <c r="N1682" s="4" t="e">
        <f t="shared" si="79"/>
        <v>#N/A</v>
      </c>
      <c r="O1682" s="1" t="s">
        <v>1488</v>
      </c>
      <c r="P1682" s="4" t="e">
        <f>VLOOKUP(A1682,المعطيات!$A$1:$J$3500,4,0)</f>
        <v>#N/A</v>
      </c>
      <c r="Q1682" s="1" t="s">
        <v>1489</v>
      </c>
      <c r="R1682" s="1" t="s">
        <v>1480</v>
      </c>
      <c r="S1682" s="6" t="e">
        <f t="shared" si="80"/>
        <v>#N/A</v>
      </c>
    </row>
    <row r="1683" spans="2:19" x14ac:dyDescent="0.25">
      <c r="B1683" s="1" t="s">
        <v>1479</v>
      </c>
      <c r="C1683" s="1" t="s">
        <v>1481</v>
      </c>
      <c r="D1683" s="4" t="e">
        <f>VLOOKUP(A1683,المعطيات!$A$1:$J$3500,5,0)</f>
        <v>#N/A</v>
      </c>
      <c r="E1683" s="1" t="s">
        <v>1482</v>
      </c>
      <c r="F1683" s="5">
        <f t="shared" si="78"/>
        <v>0</v>
      </c>
      <c r="G1683" s="5" t="s">
        <v>1483</v>
      </c>
      <c r="H1683" s="4" t="e">
        <f>VLOOKUP(A1683,المعطيات!$A$1:$J$3500,3,0)</f>
        <v>#N/A</v>
      </c>
      <c r="I1683" s="1" t="s">
        <v>1484</v>
      </c>
      <c r="J1683" s="1" t="s">
        <v>1485</v>
      </c>
      <c r="K1683" s="4" t="e">
        <f>VLOOKUP(A1683,المعطيات!$A$1:$J$3500,6,0)</f>
        <v>#N/A</v>
      </c>
      <c r="L1683" s="1" t="s">
        <v>1486</v>
      </c>
      <c r="M1683" s="1" t="s">
        <v>1487</v>
      </c>
      <c r="N1683" s="4" t="e">
        <f t="shared" si="79"/>
        <v>#N/A</v>
      </c>
      <c r="O1683" s="1" t="s">
        <v>1488</v>
      </c>
      <c r="P1683" s="4" t="e">
        <f>VLOOKUP(A1683,المعطيات!$A$1:$J$3500,4,0)</f>
        <v>#N/A</v>
      </c>
      <c r="Q1683" s="1" t="s">
        <v>1489</v>
      </c>
      <c r="R1683" s="1" t="s">
        <v>1480</v>
      </c>
      <c r="S1683" s="6" t="e">
        <f t="shared" si="80"/>
        <v>#N/A</v>
      </c>
    </row>
    <row r="1684" spans="2:19" x14ac:dyDescent="0.25">
      <c r="B1684" s="1" t="s">
        <v>1479</v>
      </c>
      <c r="C1684" s="1" t="s">
        <v>1481</v>
      </c>
      <c r="D1684" s="4" t="e">
        <f>VLOOKUP(A1684,المعطيات!$A$1:$J$3500,5,0)</f>
        <v>#N/A</v>
      </c>
      <c r="E1684" s="1" t="s">
        <v>1482</v>
      </c>
      <c r="F1684" s="5">
        <f t="shared" si="78"/>
        <v>0</v>
      </c>
      <c r="G1684" s="5" t="s">
        <v>1483</v>
      </c>
      <c r="H1684" s="4" t="e">
        <f>VLOOKUP(A1684,المعطيات!$A$1:$J$3500,3,0)</f>
        <v>#N/A</v>
      </c>
      <c r="I1684" s="1" t="s">
        <v>1484</v>
      </c>
      <c r="J1684" s="1" t="s">
        <v>1485</v>
      </c>
      <c r="K1684" s="4" t="e">
        <f>VLOOKUP(A1684,المعطيات!$A$1:$J$3500,6,0)</f>
        <v>#N/A</v>
      </c>
      <c r="L1684" s="1" t="s">
        <v>1486</v>
      </c>
      <c r="M1684" s="1" t="s">
        <v>1487</v>
      </c>
      <c r="N1684" s="4" t="e">
        <f t="shared" si="79"/>
        <v>#N/A</v>
      </c>
      <c r="O1684" s="1" t="s">
        <v>1488</v>
      </c>
      <c r="P1684" s="4" t="e">
        <f>VLOOKUP(A1684,المعطيات!$A$1:$J$3500,4,0)</f>
        <v>#N/A</v>
      </c>
      <c r="Q1684" s="1" t="s">
        <v>1489</v>
      </c>
      <c r="R1684" s="1" t="s">
        <v>1480</v>
      </c>
      <c r="S1684" s="6" t="e">
        <f t="shared" si="80"/>
        <v>#N/A</v>
      </c>
    </row>
    <row r="1685" spans="2:19" x14ac:dyDescent="0.25">
      <c r="B1685" s="1" t="s">
        <v>1479</v>
      </c>
      <c r="C1685" s="1" t="s">
        <v>1481</v>
      </c>
      <c r="D1685" s="4" t="e">
        <f>VLOOKUP(A1685,المعطيات!$A$1:$J$3500,5,0)</f>
        <v>#N/A</v>
      </c>
      <c r="E1685" s="1" t="s">
        <v>1482</v>
      </c>
      <c r="F1685" s="5">
        <f t="shared" si="78"/>
        <v>0</v>
      </c>
      <c r="G1685" s="5" t="s">
        <v>1483</v>
      </c>
      <c r="H1685" s="4" t="e">
        <f>VLOOKUP(A1685,المعطيات!$A$1:$J$3500,3,0)</f>
        <v>#N/A</v>
      </c>
      <c r="I1685" s="1" t="s">
        <v>1484</v>
      </c>
      <c r="J1685" s="1" t="s">
        <v>1485</v>
      </c>
      <c r="K1685" s="4" t="e">
        <f>VLOOKUP(A1685,المعطيات!$A$1:$J$3500,6,0)</f>
        <v>#N/A</v>
      </c>
      <c r="L1685" s="1" t="s">
        <v>1486</v>
      </c>
      <c r="M1685" s="1" t="s">
        <v>1487</v>
      </c>
      <c r="N1685" s="4" t="e">
        <f t="shared" si="79"/>
        <v>#N/A</v>
      </c>
      <c r="O1685" s="1" t="s">
        <v>1488</v>
      </c>
      <c r="P1685" s="4" t="e">
        <f>VLOOKUP(A1685,المعطيات!$A$1:$J$3500,4,0)</f>
        <v>#N/A</v>
      </c>
      <c r="Q1685" s="1" t="s">
        <v>1489</v>
      </c>
      <c r="R1685" s="1" t="s">
        <v>1480</v>
      </c>
      <c r="S1685" s="6" t="e">
        <f t="shared" si="80"/>
        <v>#N/A</v>
      </c>
    </row>
    <row r="1686" spans="2:19" x14ac:dyDescent="0.25">
      <c r="B1686" s="1" t="s">
        <v>1479</v>
      </c>
      <c r="C1686" s="1" t="s">
        <v>1481</v>
      </c>
      <c r="D1686" s="4" t="e">
        <f>VLOOKUP(A1686,المعطيات!$A$1:$J$3500,5,0)</f>
        <v>#N/A</v>
      </c>
      <c r="E1686" s="1" t="s">
        <v>1482</v>
      </c>
      <c r="F1686" s="5">
        <f t="shared" si="78"/>
        <v>0</v>
      </c>
      <c r="G1686" s="5" t="s">
        <v>1483</v>
      </c>
      <c r="H1686" s="4" t="e">
        <f>VLOOKUP(A1686,المعطيات!$A$1:$J$3500,3,0)</f>
        <v>#N/A</v>
      </c>
      <c r="I1686" s="1" t="s">
        <v>1484</v>
      </c>
      <c r="J1686" s="1" t="s">
        <v>1485</v>
      </c>
      <c r="K1686" s="4" t="e">
        <f>VLOOKUP(A1686,المعطيات!$A$1:$J$3500,6,0)</f>
        <v>#N/A</v>
      </c>
      <c r="L1686" s="1" t="s">
        <v>1486</v>
      </c>
      <c r="M1686" s="1" t="s">
        <v>1487</v>
      </c>
      <c r="N1686" s="4" t="e">
        <f t="shared" si="79"/>
        <v>#N/A</v>
      </c>
      <c r="O1686" s="1" t="s">
        <v>1488</v>
      </c>
      <c r="P1686" s="4" t="e">
        <f>VLOOKUP(A1686,المعطيات!$A$1:$J$3500,4,0)</f>
        <v>#N/A</v>
      </c>
      <c r="Q1686" s="1" t="s">
        <v>1489</v>
      </c>
      <c r="R1686" s="1" t="s">
        <v>1480</v>
      </c>
      <c r="S1686" s="6" t="e">
        <f t="shared" si="80"/>
        <v>#N/A</v>
      </c>
    </row>
    <row r="1687" spans="2:19" x14ac:dyDescent="0.25">
      <c r="B1687" s="1" t="s">
        <v>1479</v>
      </c>
      <c r="C1687" s="1" t="s">
        <v>1481</v>
      </c>
      <c r="D1687" s="4" t="e">
        <f>VLOOKUP(A1687,المعطيات!$A$1:$J$3500,5,0)</f>
        <v>#N/A</v>
      </c>
      <c r="E1687" s="1" t="s">
        <v>1482</v>
      </c>
      <c r="F1687" s="5">
        <f t="shared" si="78"/>
        <v>0</v>
      </c>
      <c r="G1687" s="5" t="s">
        <v>1483</v>
      </c>
      <c r="H1687" s="4" t="e">
        <f>VLOOKUP(A1687,المعطيات!$A$1:$J$3500,3,0)</f>
        <v>#N/A</v>
      </c>
      <c r="I1687" s="1" t="s">
        <v>1484</v>
      </c>
      <c r="J1687" s="1" t="s">
        <v>1485</v>
      </c>
      <c r="K1687" s="4" t="e">
        <f>VLOOKUP(A1687,المعطيات!$A$1:$J$3500,6,0)</f>
        <v>#N/A</v>
      </c>
      <c r="L1687" s="1" t="s">
        <v>1486</v>
      </c>
      <c r="M1687" s="1" t="s">
        <v>1487</v>
      </c>
      <c r="N1687" s="4" t="e">
        <f t="shared" si="79"/>
        <v>#N/A</v>
      </c>
      <c r="O1687" s="1" t="s">
        <v>1488</v>
      </c>
      <c r="P1687" s="4" t="e">
        <f>VLOOKUP(A1687,المعطيات!$A$1:$J$3500,4,0)</f>
        <v>#N/A</v>
      </c>
      <c r="Q1687" s="1" t="s">
        <v>1489</v>
      </c>
      <c r="R1687" s="1" t="s">
        <v>1480</v>
      </c>
      <c r="S1687" s="6" t="e">
        <f t="shared" si="80"/>
        <v>#N/A</v>
      </c>
    </row>
    <row r="1688" spans="2:19" x14ac:dyDescent="0.25">
      <c r="B1688" s="1" t="s">
        <v>1479</v>
      </c>
      <c r="C1688" s="1" t="s">
        <v>1481</v>
      </c>
      <c r="D1688" s="4" t="e">
        <f>VLOOKUP(A1688,المعطيات!$A$1:$J$3500,5,0)</f>
        <v>#N/A</v>
      </c>
      <c r="E1688" s="1" t="s">
        <v>1482</v>
      </c>
      <c r="F1688" s="5">
        <f t="shared" si="78"/>
        <v>0</v>
      </c>
      <c r="G1688" s="5" t="s">
        <v>1483</v>
      </c>
      <c r="H1688" s="4" t="e">
        <f>VLOOKUP(A1688,المعطيات!$A$1:$J$3500,3,0)</f>
        <v>#N/A</v>
      </c>
      <c r="I1688" s="1" t="s">
        <v>1484</v>
      </c>
      <c r="J1688" s="1" t="s">
        <v>1485</v>
      </c>
      <c r="K1688" s="4" t="e">
        <f>VLOOKUP(A1688,المعطيات!$A$1:$J$3500,6,0)</f>
        <v>#N/A</v>
      </c>
      <c r="L1688" s="1" t="s">
        <v>1486</v>
      </c>
      <c r="M1688" s="1" t="s">
        <v>1487</v>
      </c>
      <c r="N1688" s="4" t="e">
        <f t="shared" si="79"/>
        <v>#N/A</v>
      </c>
      <c r="O1688" s="1" t="s">
        <v>1488</v>
      </c>
      <c r="P1688" s="4" t="e">
        <f>VLOOKUP(A1688,المعطيات!$A$1:$J$3500,4,0)</f>
        <v>#N/A</v>
      </c>
      <c r="Q1688" s="1" t="s">
        <v>1489</v>
      </c>
      <c r="R1688" s="1" t="s">
        <v>1480</v>
      </c>
      <c r="S1688" s="6" t="e">
        <f t="shared" si="80"/>
        <v>#N/A</v>
      </c>
    </row>
    <row r="1689" spans="2:19" x14ac:dyDescent="0.25">
      <c r="B1689" s="1" t="s">
        <v>1479</v>
      </c>
      <c r="C1689" s="1" t="s">
        <v>1481</v>
      </c>
      <c r="D1689" s="4" t="e">
        <f>VLOOKUP(A1689,المعطيات!$A$1:$J$3500,5,0)</f>
        <v>#N/A</v>
      </c>
      <c r="E1689" s="1" t="s">
        <v>1482</v>
      </c>
      <c r="F1689" s="5">
        <f t="shared" si="78"/>
        <v>0</v>
      </c>
      <c r="G1689" s="5" t="s">
        <v>1483</v>
      </c>
      <c r="H1689" s="4" t="e">
        <f>VLOOKUP(A1689,المعطيات!$A$1:$J$3500,3,0)</f>
        <v>#N/A</v>
      </c>
      <c r="I1689" s="1" t="s">
        <v>1484</v>
      </c>
      <c r="J1689" s="1" t="s">
        <v>1485</v>
      </c>
      <c r="K1689" s="4" t="e">
        <f>VLOOKUP(A1689,المعطيات!$A$1:$J$3500,6,0)</f>
        <v>#N/A</v>
      </c>
      <c r="L1689" s="1" t="s">
        <v>1486</v>
      </c>
      <c r="M1689" s="1" t="s">
        <v>1487</v>
      </c>
      <c r="N1689" s="4" t="e">
        <f t="shared" si="79"/>
        <v>#N/A</v>
      </c>
      <c r="O1689" s="1" t="s">
        <v>1488</v>
      </c>
      <c r="P1689" s="4" t="e">
        <f>VLOOKUP(A1689,المعطيات!$A$1:$J$3500,4,0)</f>
        <v>#N/A</v>
      </c>
      <c r="Q1689" s="1" t="s">
        <v>1489</v>
      </c>
      <c r="R1689" s="1" t="s">
        <v>1480</v>
      </c>
      <c r="S1689" s="6" t="e">
        <f t="shared" si="80"/>
        <v>#N/A</v>
      </c>
    </row>
    <row r="1690" spans="2:19" x14ac:dyDescent="0.25">
      <c r="B1690" s="1" t="s">
        <v>1479</v>
      </c>
      <c r="C1690" s="1" t="s">
        <v>1481</v>
      </c>
      <c r="D1690" s="4" t="e">
        <f>VLOOKUP(A1690,المعطيات!$A$1:$J$3500,5,0)</f>
        <v>#N/A</v>
      </c>
      <c r="E1690" s="1" t="s">
        <v>1482</v>
      </c>
      <c r="F1690" s="5">
        <f t="shared" si="78"/>
        <v>0</v>
      </c>
      <c r="G1690" s="5" t="s">
        <v>1483</v>
      </c>
      <c r="H1690" s="4" t="e">
        <f>VLOOKUP(A1690,المعطيات!$A$1:$J$3500,3,0)</f>
        <v>#N/A</v>
      </c>
      <c r="I1690" s="1" t="s">
        <v>1484</v>
      </c>
      <c r="J1690" s="1" t="s">
        <v>1485</v>
      </c>
      <c r="K1690" s="4" t="e">
        <f>VLOOKUP(A1690,المعطيات!$A$1:$J$3500,6,0)</f>
        <v>#N/A</v>
      </c>
      <c r="L1690" s="1" t="s">
        <v>1486</v>
      </c>
      <c r="M1690" s="1" t="s">
        <v>1487</v>
      </c>
      <c r="N1690" s="4" t="e">
        <f t="shared" si="79"/>
        <v>#N/A</v>
      </c>
      <c r="O1690" s="1" t="s">
        <v>1488</v>
      </c>
      <c r="P1690" s="4" t="e">
        <f>VLOOKUP(A1690,المعطيات!$A$1:$J$3500,4,0)</f>
        <v>#N/A</v>
      </c>
      <c r="Q1690" s="1" t="s">
        <v>1489</v>
      </c>
      <c r="R1690" s="1" t="s">
        <v>1480</v>
      </c>
      <c r="S1690" s="6" t="e">
        <f t="shared" si="80"/>
        <v>#N/A</v>
      </c>
    </row>
    <row r="1691" spans="2:19" x14ac:dyDescent="0.25">
      <c r="B1691" s="1" t="s">
        <v>1479</v>
      </c>
      <c r="C1691" s="1" t="s">
        <v>1481</v>
      </c>
      <c r="D1691" s="4" t="e">
        <f>VLOOKUP(A1691,المعطيات!$A$1:$J$3500,5,0)</f>
        <v>#N/A</v>
      </c>
      <c r="E1691" s="1" t="s">
        <v>1482</v>
      </c>
      <c r="F1691" s="5">
        <f t="shared" si="78"/>
        <v>0</v>
      </c>
      <c r="G1691" s="5" t="s">
        <v>1483</v>
      </c>
      <c r="H1691" s="4" t="e">
        <f>VLOOKUP(A1691,المعطيات!$A$1:$J$3500,3,0)</f>
        <v>#N/A</v>
      </c>
      <c r="I1691" s="1" t="s">
        <v>1484</v>
      </c>
      <c r="J1691" s="1" t="s">
        <v>1485</v>
      </c>
      <c r="K1691" s="4" t="e">
        <f>VLOOKUP(A1691,المعطيات!$A$1:$J$3500,6,0)</f>
        <v>#N/A</v>
      </c>
      <c r="L1691" s="1" t="s">
        <v>1486</v>
      </c>
      <c r="M1691" s="1" t="s">
        <v>1487</v>
      </c>
      <c r="N1691" s="4" t="e">
        <f t="shared" si="79"/>
        <v>#N/A</v>
      </c>
      <c r="O1691" s="1" t="s">
        <v>1488</v>
      </c>
      <c r="P1691" s="4" t="e">
        <f>VLOOKUP(A1691,المعطيات!$A$1:$J$3500,4,0)</f>
        <v>#N/A</v>
      </c>
      <c r="Q1691" s="1" t="s">
        <v>1489</v>
      </c>
      <c r="R1691" s="1" t="s">
        <v>1480</v>
      </c>
      <c r="S1691" s="6" t="e">
        <f t="shared" si="80"/>
        <v>#N/A</v>
      </c>
    </row>
    <row r="1692" spans="2:19" x14ac:dyDescent="0.25">
      <c r="B1692" s="1" t="s">
        <v>1479</v>
      </c>
      <c r="C1692" s="1" t="s">
        <v>1481</v>
      </c>
      <c r="D1692" s="4" t="e">
        <f>VLOOKUP(A1692,المعطيات!$A$1:$J$3500,5,0)</f>
        <v>#N/A</v>
      </c>
      <c r="E1692" s="1" t="s">
        <v>1482</v>
      </c>
      <c r="F1692" s="5">
        <f t="shared" si="78"/>
        <v>0</v>
      </c>
      <c r="G1692" s="5" t="s">
        <v>1483</v>
      </c>
      <c r="H1692" s="4" t="e">
        <f>VLOOKUP(A1692,المعطيات!$A$1:$J$3500,3,0)</f>
        <v>#N/A</v>
      </c>
      <c r="I1692" s="1" t="s">
        <v>1484</v>
      </c>
      <c r="J1692" s="1" t="s">
        <v>1485</v>
      </c>
      <c r="K1692" s="4" t="e">
        <f>VLOOKUP(A1692,المعطيات!$A$1:$J$3500,6,0)</f>
        <v>#N/A</v>
      </c>
      <c r="L1692" s="1" t="s">
        <v>1486</v>
      </c>
      <c r="M1692" s="1" t="s">
        <v>1487</v>
      </c>
      <c r="N1692" s="4" t="e">
        <f t="shared" si="79"/>
        <v>#N/A</v>
      </c>
      <c r="O1692" s="1" t="s">
        <v>1488</v>
      </c>
      <c r="P1692" s="4" t="e">
        <f>VLOOKUP(A1692,المعطيات!$A$1:$J$3500,4,0)</f>
        <v>#N/A</v>
      </c>
      <c r="Q1692" s="1" t="s">
        <v>1489</v>
      </c>
      <c r="R1692" s="1" t="s">
        <v>1480</v>
      </c>
      <c r="S1692" s="6" t="e">
        <f t="shared" si="80"/>
        <v>#N/A</v>
      </c>
    </row>
    <row r="1693" spans="2:19" x14ac:dyDescent="0.25">
      <c r="B1693" s="1" t="s">
        <v>1479</v>
      </c>
      <c r="C1693" s="1" t="s">
        <v>1481</v>
      </c>
      <c r="D1693" s="4" t="e">
        <f>VLOOKUP(A1693,المعطيات!$A$1:$J$3500,5,0)</f>
        <v>#N/A</v>
      </c>
      <c r="E1693" s="1" t="s">
        <v>1482</v>
      </c>
      <c r="F1693" s="5">
        <f t="shared" si="78"/>
        <v>0</v>
      </c>
      <c r="G1693" s="5" t="s">
        <v>1483</v>
      </c>
      <c r="H1693" s="4" t="e">
        <f>VLOOKUP(A1693,المعطيات!$A$1:$J$3500,3,0)</f>
        <v>#N/A</v>
      </c>
      <c r="I1693" s="1" t="s">
        <v>1484</v>
      </c>
      <c r="J1693" s="1" t="s">
        <v>1485</v>
      </c>
      <c r="K1693" s="4" t="e">
        <f>VLOOKUP(A1693,المعطيات!$A$1:$J$3500,6,0)</f>
        <v>#N/A</v>
      </c>
      <c r="L1693" s="1" t="s">
        <v>1486</v>
      </c>
      <c r="M1693" s="1" t="s">
        <v>1487</v>
      </c>
      <c r="N1693" s="4" t="e">
        <f t="shared" si="79"/>
        <v>#N/A</v>
      </c>
      <c r="O1693" s="1" t="s">
        <v>1488</v>
      </c>
      <c r="P1693" s="4" t="e">
        <f>VLOOKUP(A1693,المعطيات!$A$1:$J$3500,4,0)</f>
        <v>#N/A</v>
      </c>
      <c r="Q1693" s="1" t="s">
        <v>1489</v>
      </c>
      <c r="R1693" s="1" t="s">
        <v>1480</v>
      </c>
      <c r="S1693" s="6" t="e">
        <f t="shared" si="80"/>
        <v>#N/A</v>
      </c>
    </row>
    <row r="1694" spans="2:19" x14ac:dyDescent="0.25">
      <c r="B1694" s="1" t="s">
        <v>1479</v>
      </c>
      <c r="C1694" s="1" t="s">
        <v>1481</v>
      </c>
      <c r="D1694" s="4" t="e">
        <f>VLOOKUP(A1694,المعطيات!$A$1:$J$3500,5,0)</f>
        <v>#N/A</v>
      </c>
      <c r="E1694" s="1" t="s">
        <v>1482</v>
      </c>
      <c r="F1694" s="5">
        <f t="shared" si="78"/>
        <v>0</v>
      </c>
      <c r="G1694" s="5" t="s">
        <v>1483</v>
      </c>
      <c r="H1694" s="4" t="e">
        <f>VLOOKUP(A1694,المعطيات!$A$1:$J$3500,3,0)</f>
        <v>#N/A</v>
      </c>
      <c r="I1694" s="1" t="s">
        <v>1484</v>
      </c>
      <c r="J1694" s="1" t="s">
        <v>1485</v>
      </c>
      <c r="K1694" s="4" t="e">
        <f>VLOOKUP(A1694,المعطيات!$A$1:$J$3500,6,0)</f>
        <v>#N/A</v>
      </c>
      <c r="L1694" s="1" t="s">
        <v>1486</v>
      </c>
      <c r="M1694" s="1" t="s">
        <v>1487</v>
      </c>
      <c r="N1694" s="4" t="e">
        <f t="shared" si="79"/>
        <v>#N/A</v>
      </c>
      <c r="O1694" s="1" t="s">
        <v>1488</v>
      </c>
      <c r="P1694" s="4" t="e">
        <f>VLOOKUP(A1694,المعطيات!$A$1:$J$3500,4,0)</f>
        <v>#N/A</v>
      </c>
      <c r="Q1694" s="1" t="s">
        <v>1489</v>
      </c>
      <c r="R1694" s="1" t="s">
        <v>1480</v>
      </c>
      <c r="S1694" s="6" t="e">
        <f t="shared" si="80"/>
        <v>#N/A</v>
      </c>
    </row>
    <row r="1695" spans="2:19" x14ac:dyDescent="0.25">
      <c r="B1695" s="1" t="s">
        <v>1479</v>
      </c>
      <c r="C1695" s="1" t="s">
        <v>1481</v>
      </c>
      <c r="D1695" s="4" t="e">
        <f>VLOOKUP(A1695,المعطيات!$A$1:$J$3500,5,0)</f>
        <v>#N/A</v>
      </c>
      <c r="E1695" s="1" t="s">
        <v>1482</v>
      </c>
      <c r="F1695" s="5">
        <f t="shared" si="78"/>
        <v>0</v>
      </c>
      <c r="G1695" s="5" t="s">
        <v>1483</v>
      </c>
      <c r="H1695" s="4" t="e">
        <f>VLOOKUP(A1695,المعطيات!$A$1:$J$3500,3,0)</f>
        <v>#N/A</v>
      </c>
      <c r="I1695" s="1" t="s">
        <v>1484</v>
      </c>
      <c r="J1695" s="1" t="s">
        <v>1485</v>
      </c>
      <c r="K1695" s="4" t="e">
        <f>VLOOKUP(A1695,المعطيات!$A$1:$J$3500,6,0)</f>
        <v>#N/A</v>
      </c>
      <c r="L1695" s="1" t="s">
        <v>1486</v>
      </c>
      <c r="M1695" s="1" t="s">
        <v>1487</v>
      </c>
      <c r="N1695" s="4" t="e">
        <f t="shared" si="79"/>
        <v>#N/A</v>
      </c>
      <c r="O1695" s="1" t="s">
        <v>1488</v>
      </c>
      <c r="P1695" s="4" t="e">
        <f>VLOOKUP(A1695,المعطيات!$A$1:$J$3500,4,0)</f>
        <v>#N/A</v>
      </c>
      <c r="Q1695" s="1" t="s">
        <v>1489</v>
      </c>
      <c r="R1695" s="1" t="s">
        <v>1480</v>
      </c>
      <c r="S1695" s="6" t="e">
        <f t="shared" si="80"/>
        <v>#N/A</v>
      </c>
    </row>
    <row r="1696" spans="2:19" x14ac:dyDescent="0.25">
      <c r="B1696" s="1" t="s">
        <v>1479</v>
      </c>
      <c r="C1696" s="1" t="s">
        <v>1481</v>
      </c>
      <c r="D1696" s="4" t="e">
        <f>VLOOKUP(A1696,المعطيات!$A$1:$J$3500,5,0)</f>
        <v>#N/A</v>
      </c>
      <c r="E1696" s="1" t="s">
        <v>1482</v>
      </c>
      <c r="F1696" s="5">
        <f t="shared" si="78"/>
        <v>0</v>
      </c>
      <c r="G1696" s="5" t="s">
        <v>1483</v>
      </c>
      <c r="H1696" s="4" t="e">
        <f>VLOOKUP(A1696,المعطيات!$A$1:$J$3500,3,0)</f>
        <v>#N/A</v>
      </c>
      <c r="I1696" s="1" t="s">
        <v>1484</v>
      </c>
      <c r="J1696" s="1" t="s">
        <v>1485</v>
      </c>
      <c r="K1696" s="4" t="e">
        <f>VLOOKUP(A1696,المعطيات!$A$1:$J$3500,6,0)</f>
        <v>#N/A</v>
      </c>
      <c r="L1696" s="1" t="s">
        <v>1486</v>
      </c>
      <c r="M1696" s="1" t="s">
        <v>1487</v>
      </c>
      <c r="N1696" s="4" t="e">
        <f t="shared" si="79"/>
        <v>#N/A</v>
      </c>
      <c r="O1696" s="1" t="s">
        <v>1488</v>
      </c>
      <c r="P1696" s="4" t="e">
        <f>VLOOKUP(A1696,المعطيات!$A$1:$J$3500,4,0)</f>
        <v>#N/A</v>
      </c>
      <c r="Q1696" s="1" t="s">
        <v>1489</v>
      </c>
      <c r="R1696" s="1" t="s">
        <v>1480</v>
      </c>
      <c r="S1696" s="6" t="e">
        <f t="shared" si="80"/>
        <v>#N/A</v>
      </c>
    </row>
    <row r="1697" spans="2:19" x14ac:dyDescent="0.25">
      <c r="B1697" s="1" t="s">
        <v>1479</v>
      </c>
      <c r="C1697" s="1" t="s">
        <v>1481</v>
      </c>
      <c r="D1697" s="4" t="e">
        <f>VLOOKUP(A1697,المعطيات!$A$1:$J$3500,5,0)</f>
        <v>#N/A</v>
      </c>
      <c r="E1697" s="1" t="s">
        <v>1482</v>
      </c>
      <c r="F1697" s="5">
        <f t="shared" si="78"/>
        <v>0</v>
      </c>
      <c r="G1697" s="5" t="s">
        <v>1483</v>
      </c>
      <c r="H1697" s="4" t="e">
        <f>VLOOKUP(A1697,المعطيات!$A$1:$J$3500,3,0)</f>
        <v>#N/A</v>
      </c>
      <c r="I1697" s="1" t="s">
        <v>1484</v>
      </c>
      <c r="J1697" s="1" t="s">
        <v>1485</v>
      </c>
      <c r="K1697" s="4" t="e">
        <f>VLOOKUP(A1697,المعطيات!$A$1:$J$3500,6,0)</f>
        <v>#N/A</v>
      </c>
      <c r="L1697" s="1" t="s">
        <v>1486</v>
      </c>
      <c r="M1697" s="1" t="s">
        <v>1487</v>
      </c>
      <c r="N1697" s="4" t="e">
        <f t="shared" si="79"/>
        <v>#N/A</v>
      </c>
      <c r="O1697" s="1" t="s">
        <v>1488</v>
      </c>
      <c r="P1697" s="4" t="e">
        <f>VLOOKUP(A1697,المعطيات!$A$1:$J$3500,4,0)</f>
        <v>#N/A</v>
      </c>
      <c r="Q1697" s="1" t="s">
        <v>1489</v>
      </c>
      <c r="R1697" s="1" t="s">
        <v>1480</v>
      </c>
      <c r="S1697" s="6" t="e">
        <f t="shared" si="80"/>
        <v>#N/A</v>
      </c>
    </row>
    <row r="1698" spans="2:19" x14ac:dyDescent="0.25">
      <c r="B1698" s="1" t="s">
        <v>1479</v>
      </c>
      <c r="C1698" s="1" t="s">
        <v>1481</v>
      </c>
      <c r="D1698" s="4" t="e">
        <f>VLOOKUP(A1698,المعطيات!$A$1:$J$3500,5,0)</f>
        <v>#N/A</v>
      </c>
      <c r="E1698" s="1" t="s">
        <v>1482</v>
      </c>
      <c r="F1698" s="5">
        <f t="shared" si="78"/>
        <v>0</v>
      </c>
      <c r="G1698" s="5" t="s">
        <v>1483</v>
      </c>
      <c r="H1698" s="4" t="e">
        <f>VLOOKUP(A1698,المعطيات!$A$1:$J$3500,3,0)</f>
        <v>#N/A</v>
      </c>
      <c r="I1698" s="1" t="s">
        <v>1484</v>
      </c>
      <c r="J1698" s="1" t="s">
        <v>1485</v>
      </c>
      <c r="K1698" s="4" t="e">
        <f>VLOOKUP(A1698,المعطيات!$A$1:$J$3500,6,0)</f>
        <v>#N/A</v>
      </c>
      <c r="L1698" s="1" t="s">
        <v>1486</v>
      </c>
      <c r="M1698" s="1" t="s">
        <v>1487</v>
      </c>
      <c r="N1698" s="4" t="e">
        <f t="shared" si="79"/>
        <v>#N/A</v>
      </c>
      <c r="O1698" s="1" t="s">
        <v>1488</v>
      </c>
      <c r="P1698" s="4" t="e">
        <f>VLOOKUP(A1698,المعطيات!$A$1:$J$3500,4,0)</f>
        <v>#N/A</v>
      </c>
      <c r="Q1698" s="1" t="s">
        <v>1489</v>
      </c>
      <c r="R1698" s="1" t="s">
        <v>1480</v>
      </c>
      <c r="S1698" s="6" t="e">
        <f t="shared" si="80"/>
        <v>#N/A</v>
      </c>
    </row>
    <row r="1699" spans="2:19" x14ac:dyDescent="0.25">
      <c r="B1699" s="1" t="s">
        <v>1479</v>
      </c>
      <c r="C1699" s="1" t="s">
        <v>1481</v>
      </c>
      <c r="D1699" s="4" t="e">
        <f>VLOOKUP(A1699,المعطيات!$A$1:$J$3500,5,0)</f>
        <v>#N/A</v>
      </c>
      <c r="E1699" s="1" t="s">
        <v>1482</v>
      </c>
      <c r="F1699" s="5">
        <f t="shared" si="78"/>
        <v>0</v>
      </c>
      <c r="G1699" s="5" t="s">
        <v>1483</v>
      </c>
      <c r="H1699" s="4" t="e">
        <f>VLOOKUP(A1699,المعطيات!$A$1:$J$3500,3,0)</f>
        <v>#N/A</v>
      </c>
      <c r="I1699" s="1" t="s">
        <v>1484</v>
      </c>
      <c r="J1699" s="1" t="s">
        <v>1485</v>
      </c>
      <c r="K1699" s="4" t="e">
        <f>VLOOKUP(A1699,المعطيات!$A$1:$J$3500,6,0)</f>
        <v>#N/A</v>
      </c>
      <c r="L1699" s="1" t="s">
        <v>1486</v>
      </c>
      <c r="M1699" s="1" t="s">
        <v>1487</v>
      </c>
      <c r="N1699" s="4" t="e">
        <f t="shared" si="79"/>
        <v>#N/A</v>
      </c>
      <c r="O1699" s="1" t="s">
        <v>1488</v>
      </c>
      <c r="P1699" s="4" t="e">
        <f>VLOOKUP(A1699,المعطيات!$A$1:$J$3500,4,0)</f>
        <v>#N/A</v>
      </c>
      <c r="Q1699" s="1" t="s">
        <v>1489</v>
      </c>
      <c r="R1699" s="1" t="s">
        <v>1480</v>
      </c>
      <c r="S1699" s="6" t="e">
        <f t="shared" si="80"/>
        <v>#N/A</v>
      </c>
    </row>
    <row r="1700" spans="2:19" x14ac:dyDescent="0.25">
      <c r="B1700" s="1" t="s">
        <v>1479</v>
      </c>
      <c r="C1700" s="1" t="s">
        <v>1481</v>
      </c>
      <c r="D1700" s="4" t="e">
        <f>VLOOKUP(A1700,المعطيات!$A$1:$J$3500,5,0)</f>
        <v>#N/A</v>
      </c>
      <c r="E1700" s="1" t="s">
        <v>1482</v>
      </c>
      <c r="F1700" s="5">
        <f t="shared" si="78"/>
        <v>0</v>
      </c>
      <c r="G1700" s="5" t="s">
        <v>1483</v>
      </c>
      <c r="H1700" s="4" t="e">
        <f>VLOOKUP(A1700,المعطيات!$A$1:$J$3500,3,0)</f>
        <v>#N/A</v>
      </c>
      <c r="I1700" s="1" t="s">
        <v>1484</v>
      </c>
      <c r="J1700" s="1" t="s">
        <v>1485</v>
      </c>
      <c r="K1700" s="4" t="e">
        <f>VLOOKUP(A1700,المعطيات!$A$1:$J$3500,6,0)</f>
        <v>#N/A</v>
      </c>
      <c r="L1700" s="1" t="s">
        <v>1486</v>
      </c>
      <c r="M1700" s="1" t="s">
        <v>1487</v>
      </c>
      <c r="N1700" s="4" t="e">
        <f t="shared" si="79"/>
        <v>#N/A</v>
      </c>
      <c r="O1700" s="1" t="s">
        <v>1488</v>
      </c>
      <c r="P1700" s="4" t="e">
        <f>VLOOKUP(A1700,المعطيات!$A$1:$J$3500,4,0)</f>
        <v>#N/A</v>
      </c>
      <c r="Q1700" s="1" t="s">
        <v>1489</v>
      </c>
      <c r="R1700" s="1" t="s">
        <v>1480</v>
      </c>
      <c r="S1700" s="6" t="e">
        <f t="shared" si="80"/>
        <v>#N/A</v>
      </c>
    </row>
    <row r="1701" spans="2:19" x14ac:dyDescent="0.25">
      <c r="B1701" s="1" t="s">
        <v>1479</v>
      </c>
      <c r="C1701" s="1" t="s">
        <v>1481</v>
      </c>
      <c r="D1701" s="4" t="e">
        <f>VLOOKUP(A1701,المعطيات!$A$1:$J$3500,5,0)</f>
        <v>#N/A</v>
      </c>
      <c r="E1701" s="1" t="s">
        <v>1482</v>
      </c>
      <c r="F1701" s="5">
        <f t="shared" si="78"/>
        <v>0</v>
      </c>
      <c r="G1701" s="5" t="s">
        <v>1483</v>
      </c>
      <c r="H1701" s="4" t="e">
        <f>VLOOKUP(A1701,المعطيات!$A$1:$J$3500,3,0)</f>
        <v>#N/A</v>
      </c>
      <c r="I1701" s="1" t="s">
        <v>1484</v>
      </c>
      <c r="J1701" s="1" t="s">
        <v>1485</v>
      </c>
      <c r="K1701" s="4" t="e">
        <f>VLOOKUP(A1701,المعطيات!$A$1:$J$3500,6,0)</f>
        <v>#N/A</v>
      </c>
      <c r="L1701" s="1" t="s">
        <v>1486</v>
      </c>
      <c r="M1701" s="1" t="s">
        <v>1487</v>
      </c>
      <c r="N1701" s="4" t="e">
        <f t="shared" si="79"/>
        <v>#N/A</v>
      </c>
      <c r="O1701" s="1" t="s">
        <v>1488</v>
      </c>
      <c r="P1701" s="4" t="e">
        <f>VLOOKUP(A1701,المعطيات!$A$1:$J$3500,4,0)</f>
        <v>#N/A</v>
      </c>
      <c r="Q1701" s="1" t="s">
        <v>1489</v>
      </c>
      <c r="R1701" s="1" t="s">
        <v>1480</v>
      </c>
      <c r="S1701" s="6" t="e">
        <f t="shared" si="80"/>
        <v>#N/A</v>
      </c>
    </row>
    <row r="1702" spans="2:19" x14ac:dyDescent="0.25">
      <c r="B1702" s="1" t="s">
        <v>1479</v>
      </c>
      <c r="C1702" s="1" t="s">
        <v>1481</v>
      </c>
      <c r="D1702" s="4" t="e">
        <f>VLOOKUP(A1702,المعطيات!$A$1:$J$3500,5,0)</f>
        <v>#N/A</v>
      </c>
      <c r="E1702" s="1" t="s">
        <v>1482</v>
      </c>
      <c r="F1702" s="5">
        <f t="shared" si="78"/>
        <v>0</v>
      </c>
      <c r="G1702" s="5" t="s">
        <v>1483</v>
      </c>
      <c r="H1702" s="4" t="e">
        <f>VLOOKUP(A1702,المعطيات!$A$1:$J$3500,3,0)</f>
        <v>#N/A</v>
      </c>
      <c r="I1702" s="1" t="s">
        <v>1484</v>
      </c>
      <c r="J1702" s="1" t="s">
        <v>1485</v>
      </c>
      <c r="K1702" s="4" t="e">
        <f>VLOOKUP(A1702,المعطيات!$A$1:$J$3500,6,0)</f>
        <v>#N/A</v>
      </c>
      <c r="L1702" s="1" t="s">
        <v>1486</v>
      </c>
      <c r="M1702" s="1" t="s">
        <v>1487</v>
      </c>
      <c r="N1702" s="4" t="e">
        <f t="shared" si="79"/>
        <v>#N/A</v>
      </c>
      <c r="O1702" s="1" t="s">
        <v>1488</v>
      </c>
      <c r="P1702" s="4" t="e">
        <f>VLOOKUP(A1702,المعطيات!$A$1:$J$3500,4,0)</f>
        <v>#N/A</v>
      </c>
      <c r="Q1702" s="1" t="s">
        <v>1489</v>
      </c>
      <c r="R1702" s="1" t="s">
        <v>1480</v>
      </c>
      <c r="S1702" s="6" t="e">
        <f t="shared" si="80"/>
        <v>#N/A</v>
      </c>
    </row>
    <row r="1703" spans="2:19" x14ac:dyDescent="0.25">
      <c r="B1703" s="1" t="s">
        <v>1479</v>
      </c>
      <c r="C1703" s="1" t="s">
        <v>1481</v>
      </c>
      <c r="D1703" s="4" t="e">
        <f>VLOOKUP(A1703,المعطيات!$A$1:$J$3500,5,0)</f>
        <v>#N/A</v>
      </c>
      <c r="E1703" s="1" t="s">
        <v>1482</v>
      </c>
      <c r="F1703" s="5">
        <f t="shared" si="78"/>
        <v>0</v>
      </c>
      <c r="G1703" s="5" t="s">
        <v>1483</v>
      </c>
      <c r="H1703" s="4" t="e">
        <f>VLOOKUP(A1703,المعطيات!$A$1:$J$3500,3,0)</f>
        <v>#N/A</v>
      </c>
      <c r="I1703" s="1" t="s">
        <v>1484</v>
      </c>
      <c r="J1703" s="1" t="s">
        <v>1485</v>
      </c>
      <c r="K1703" s="4" t="e">
        <f>VLOOKUP(A1703,المعطيات!$A$1:$J$3500,6,0)</f>
        <v>#N/A</v>
      </c>
      <c r="L1703" s="1" t="s">
        <v>1486</v>
      </c>
      <c r="M1703" s="1" t="s">
        <v>1487</v>
      </c>
      <c r="N1703" s="4" t="e">
        <f t="shared" si="79"/>
        <v>#N/A</v>
      </c>
      <c r="O1703" s="1" t="s">
        <v>1488</v>
      </c>
      <c r="P1703" s="4" t="e">
        <f>VLOOKUP(A1703,المعطيات!$A$1:$J$3500,4,0)</f>
        <v>#N/A</v>
      </c>
      <c r="Q1703" s="1" t="s">
        <v>1489</v>
      </c>
      <c r="R1703" s="1" t="s">
        <v>1480</v>
      </c>
      <c r="S1703" s="6" t="e">
        <f t="shared" si="80"/>
        <v>#N/A</v>
      </c>
    </row>
    <row r="1704" spans="2:19" x14ac:dyDescent="0.25">
      <c r="B1704" s="1" t="s">
        <v>1479</v>
      </c>
      <c r="C1704" s="1" t="s">
        <v>1481</v>
      </c>
      <c r="D1704" s="4" t="e">
        <f>VLOOKUP(A1704,المعطيات!$A$1:$J$3500,5,0)</f>
        <v>#N/A</v>
      </c>
      <c r="E1704" s="1" t="s">
        <v>1482</v>
      </c>
      <c r="F1704" s="5">
        <f t="shared" si="78"/>
        <v>0</v>
      </c>
      <c r="G1704" s="5" t="s">
        <v>1483</v>
      </c>
      <c r="H1704" s="4" t="e">
        <f>VLOOKUP(A1704,المعطيات!$A$1:$J$3500,3,0)</f>
        <v>#N/A</v>
      </c>
      <c r="I1704" s="1" t="s">
        <v>1484</v>
      </c>
      <c r="J1704" s="1" t="s">
        <v>1485</v>
      </c>
      <c r="K1704" s="4" t="e">
        <f>VLOOKUP(A1704,المعطيات!$A$1:$J$3500,6,0)</f>
        <v>#N/A</v>
      </c>
      <c r="L1704" s="1" t="s">
        <v>1486</v>
      </c>
      <c r="M1704" s="1" t="s">
        <v>1487</v>
      </c>
      <c r="N1704" s="4" t="e">
        <f t="shared" si="79"/>
        <v>#N/A</v>
      </c>
      <c r="O1704" s="1" t="s">
        <v>1488</v>
      </c>
      <c r="P1704" s="4" t="e">
        <f>VLOOKUP(A1704,المعطيات!$A$1:$J$3500,4,0)</f>
        <v>#N/A</v>
      </c>
      <c r="Q1704" s="1" t="s">
        <v>1489</v>
      </c>
      <c r="R1704" s="1" t="s">
        <v>1480</v>
      </c>
      <c r="S1704" s="6" t="e">
        <f t="shared" si="80"/>
        <v>#N/A</v>
      </c>
    </row>
    <row r="1705" spans="2:19" x14ac:dyDescent="0.25">
      <c r="B1705" s="1" t="s">
        <v>1479</v>
      </c>
      <c r="C1705" s="1" t="s">
        <v>1481</v>
      </c>
      <c r="D1705" s="4" t="e">
        <f>VLOOKUP(A1705,المعطيات!$A$1:$J$3500,5,0)</f>
        <v>#N/A</v>
      </c>
      <c r="E1705" s="1" t="s">
        <v>1482</v>
      </c>
      <c r="F1705" s="5">
        <f t="shared" si="78"/>
        <v>0</v>
      </c>
      <c r="G1705" s="5" t="s">
        <v>1483</v>
      </c>
      <c r="H1705" s="4" t="e">
        <f>VLOOKUP(A1705,المعطيات!$A$1:$J$3500,3,0)</f>
        <v>#N/A</v>
      </c>
      <c r="I1705" s="1" t="s">
        <v>1484</v>
      </c>
      <c r="J1705" s="1" t="s">
        <v>1485</v>
      </c>
      <c r="K1705" s="4" t="e">
        <f>VLOOKUP(A1705,المعطيات!$A$1:$J$3500,6,0)</f>
        <v>#N/A</v>
      </c>
      <c r="L1705" s="1" t="s">
        <v>1486</v>
      </c>
      <c r="M1705" s="1" t="s">
        <v>1487</v>
      </c>
      <c r="N1705" s="4" t="e">
        <f t="shared" si="79"/>
        <v>#N/A</v>
      </c>
      <c r="O1705" s="1" t="s">
        <v>1488</v>
      </c>
      <c r="P1705" s="4" t="e">
        <f>VLOOKUP(A1705,المعطيات!$A$1:$J$3500,4,0)</f>
        <v>#N/A</v>
      </c>
      <c r="Q1705" s="1" t="s">
        <v>1489</v>
      </c>
      <c r="R1705" s="1" t="s">
        <v>1480</v>
      </c>
      <c r="S1705" s="6" t="e">
        <f t="shared" si="80"/>
        <v>#N/A</v>
      </c>
    </row>
    <row r="1706" spans="2:19" x14ac:dyDescent="0.25">
      <c r="B1706" s="1" t="s">
        <v>1479</v>
      </c>
      <c r="C1706" s="1" t="s">
        <v>1481</v>
      </c>
      <c r="D1706" s="4" t="e">
        <f>VLOOKUP(A1706,المعطيات!$A$1:$J$3500,5,0)</f>
        <v>#N/A</v>
      </c>
      <c r="E1706" s="1" t="s">
        <v>1482</v>
      </c>
      <c r="F1706" s="5">
        <f t="shared" si="78"/>
        <v>0</v>
      </c>
      <c r="G1706" s="5" t="s">
        <v>1483</v>
      </c>
      <c r="H1706" s="4" t="e">
        <f>VLOOKUP(A1706,المعطيات!$A$1:$J$3500,3,0)</f>
        <v>#N/A</v>
      </c>
      <c r="I1706" s="1" t="s">
        <v>1484</v>
      </c>
      <c r="J1706" s="1" t="s">
        <v>1485</v>
      </c>
      <c r="K1706" s="4" t="e">
        <f>VLOOKUP(A1706,المعطيات!$A$1:$J$3500,6,0)</f>
        <v>#N/A</v>
      </c>
      <c r="L1706" s="1" t="s">
        <v>1486</v>
      </c>
      <c r="M1706" s="1" t="s">
        <v>1487</v>
      </c>
      <c r="N1706" s="4" t="e">
        <f t="shared" si="79"/>
        <v>#N/A</v>
      </c>
      <c r="O1706" s="1" t="s">
        <v>1488</v>
      </c>
      <c r="P1706" s="4" t="e">
        <f>VLOOKUP(A1706,المعطيات!$A$1:$J$3500,4,0)</f>
        <v>#N/A</v>
      </c>
      <c r="Q1706" s="1" t="s">
        <v>1489</v>
      </c>
      <c r="R1706" s="1" t="s">
        <v>1480</v>
      </c>
      <c r="S1706" s="6" t="e">
        <f t="shared" si="80"/>
        <v>#N/A</v>
      </c>
    </row>
    <row r="1707" spans="2:19" x14ac:dyDescent="0.25">
      <c r="B1707" s="1" t="s">
        <v>1479</v>
      </c>
      <c r="C1707" s="1" t="s">
        <v>1481</v>
      </c>
      <c r="D1707" s="4" t="e">
        <f>VLOOKUP(A1707,المعطيات!$A$1:$J$3500,5,0)</f>
        <v>#N/A</v>
      </c>
      <c r="E1707" s="1" t="s">
        <v>1482</v>
      </c>
      <c r="F1707" s="5">
        <f t="shared" si="78"/>
        <v>0</v>
      </c>
      <c r="G1707" s="5" t="s">
        <v>1483</v>
      </c>
      <c r="H1707" s="4" t="e">
        <f>VLOOKUP(A1707,المعطيات!$A$1:$J$3500,3,0)</f>
        <v>#N/A</v>
      </c>
      <c r="I1707" s="1" t="s">
        <v>1484</v>
      </c>
      <c r="J1707" s="1" t="s">
        <v>1485</v>
      </c>
      <c r="K1707" s="4" t="e">
        <f>VLOOKUP(A1707,المعطيات!$A$1:$J$3500,6,0)</f>
        <v>#N/A</v>
      </c>
      <c r="L1707" s="1" t="s">
        <v>1486</v>
      </c>
      <c r="M1707" s="1" t="s">
        <v>1487</v>
      </c>
      <c r="N1707" s="4" t="e">
        <f t="shared" si="79"/>
        <v>#N/A</v>
      </c>
      <c r="O1707" s="1" t="s">
        <v>1488</v>
      </c>
      <c r="P1707" s="4" t="e">
        <f>VLOOKUP(A1707,المعطيات!$A$1:$J$3500,4,0)</f>
        <v>#N/A</v>
      </c>
      <c r="Q1707" s="1" t="s">
        <v>1489</v>
      </c>
      <c r="R1707" s="1" t="s">
        <v>1480</v>
      </c>
      <c r="S1707" s="6" t="e">
        <f t="shared" si="80"/>
        <v>#N/A</v>
      </c>
    </row>
    <row r="1708" spans="2:19" x14ac:dyDescent="0.25">
      <c r="B1708" s="1" t="s">
        <v>1479</v>
      </c>
      <c r="C1708" s="1" t="s">
        <v>1481</v>
      </c>
      <c r="D1708" s="4" t="e">
        <f>VLOOKUP(A1708,المعطيات!$A$1:$J$3500,5,0)</f>
        <v>#N/A</v>
      </c>
      <c r="E1708" s="1" t="s">
        <v>1482</v>
      </c>
      <c r="F1708" s="5">
        <f t="shared" si="78"/>
        <v>0</v>
      </c>
      <c r="G1708" s="5" t="s">
        <v>1483</v>
      </c>
      <c r="H1708" s="4" t="e">
        <f>VLOOKUP(A1708,المعطيات!$A$1:$J$3500,3,0)</f>
        <v>#N/A</v>
      </c>
      <c r="I1708" s="1" t="s">
        <v>1484</v>
      </c>
      <c r="J1708" s="1" t="s">
        <v>1485</v>
      </c>
      <c r="K1708" s="4" t="e">
        <f>VLOOKUP(A1708,المعطيات!$A$1:$J$3500,6,0)</f>
        <v>#N/A</v>
      </c>
      <c r="L1708" s="1" t="s">
        <v>1486</v>
      </c>
      <c r="M1708" s="1" t="s">
        <v>1487</v>
      </c>
      <c r="N1708" s="4" t="e">
        <f t="shared" si="79"/>
        <v>#N/A</v>
      </c>
      <c r="O1708" s="1" t="s">
        <v>1488</v>
      </c>
      <c r="P1708" s="4" t="e">
        <f>VLOOKUP(A1708,المعطيات!$A$1:$J$3500,4,0)</f>
        <v>#N/A</v>
      </c>
      <c r="Q1708" s="1" t="s">
        <v>1489</v>
      </c>
      <c r="R1708" s="1" t="s">
        <v>1480</v>
      </c>
      <c r="S1708" s="6" t="e">
        <f t="shared" si="80"/>
        <v>#N/A</v>
      </c>
    </row>
    <row r="1709" spans="2:19" x14ac:dyDescent="0.25">
      <c r="B1709" s="1" t="s">
        <v>1479</v>
      </c>
      <c r="C1709" s="1" t="s">
        <v>1481</v>
      </c>
      <c r="D1709" s="4" t="e">
        <f>VLOOKUP(A1709,المعطيات!$A$1:$J$3500,5,0)</f>
        <v>#N/A</v>
      </c>
      <c r="E1709" s="1" t="s">
        <v>1482</v>
      </c>
      <c r="F1709" s="5">
        <f t="shared" si="78"/>
        <v>0</v>
      </c>
      <c r="G1709" s="5" t="s">
        <v>1483</v>
      </c>
      <c r="H1709" s="4" t="e">
        <f>VLOOKUP(A1709,المعطيات!$A$1:$J$3500,3,0)</f>
        <v>#N/A</v>
      </c>
      <c r="I1709" s="1" t="s">
        <v>1484</v>
      </c>
      <c r="J1709" s="1" t="s">
        <v>1485</v>
      </c>
      <c r="K1709" s="4" t="e">
        <f>VLOOKUP(A1709,المعطيات!$A$1:$J$3500,6,0)</f>
        <v>#N/A</v>
      </c>
      <c r="L1709" s="1" t="s">
        <v>1486</v>
      </c>
      <c r="M1709" s="1" t="s">
        <v>1487</v>
      </c>
      <c r="N1709" s="4" t="e">
        <f t="shared" si="79"/>
        <v>#N/A</v>
      </c>
      <c r="O1709" s="1" t="s">
        <v>1488</v>
      </c>
      <c r="P1709" s="4" t="e">
        <f>VLOOKUP(A1709,المعطيات!$A$1:$J$3500,4,0)</f>
        <v>#N/A</v>
      </c>
      <c r="Q1709" s="1" t="s">
        <v>1489</v>
      </c>
      <c r="R1709" s="1" t="s">
        <v>1480</v>
      </c>
      <c r="S1709" s="6" t="e">
        <f t="shared" si="80"/>
        <v>#N/A</v>
      </c>
    </row>
    <row r="1710" spans="2:19" x14ac:dyDescent="0.25">
      <c r="B1710" s="1" t="s">
        <v>1479</v>
      </c>
      <c r="C1710" s="1" t="s">
        <v>1481</v>
      </c>
      <c r="D1710" s="4" t="e">
        <f>VLOOKUP(A1710,المعطيات!$A$1:$J$3500,5,0)</f>
        <v>#N/A</v>
      </c>
      <c r="E1710" s="1" t="s">
        <v>1482</v>
      </c>
      <c r="F1710" s="5">
        <f t="shared" si="78"/>
        <v>0</v>
      </c>
      <c r="G1710" s="5" t="s">
        <v>1483</v>
      </c>
      <c r="H1710" s="4" t="e">
        <f>VLOOKUP(A1710,المعطيات!$A$1:$J$3500,3,0)</f>
        <v>#N/A</v>
      </c>
      <c r="I1710" s="1" t="s">
        <v>1484</v>
      </c>
      <c r="J1710" s="1" t="s">
        <v>1485</v>
      </c>
      <c r="K1710" s="4" t="e">
        <f>VLOOKUP(A1710,المعطيات!$A$1:$J$3500,6,0)</f>
        <v>#N/A</v>
      </c>
      <c r="L1710" s="1" t="s">
        <v>1486</v>
      </c>
      <c r="M1710" s="1" t="s">
        <v>1487</v>
      </c>
      <c r="N1710" s="4" t="e">
        <f t="shared" si="79"/>
        <v>#N/A</v>
      </c>
      <c r="O1710" s="1" t="s">
        <v>1488</v>
      </c>
      <c r="P1710" s="4" t="e">
        <f>VLOOKUP(A1710,المعطيات!$A$1:$J$3500,4,0)</f>
        <v>#N/A</v>
      </c>
      <c r="Q1710" s="1" t="s">
        <v>1489</v>
      </c>
      <c r="R1710" s="1" t="s">
        <v>1480</v>
      </c>
      <c r="S1710" s="6" t="e">
        <f t="shared" si="80"/>
        <v>#N/A</v>
      </c>
    </row>
    <row r="1711" spans="2:19" x14ac:dyDescent="0.25">
      <c r="B1711" s="1" t="s">
        <v>1479</v>
      </c>
      <c r="C1711" s="1" t="s">
        <v>1481</v>
      </c>
      <c r="D1711" s="4" t="e">
        <f>VLOOKUP(A1711,المعطيات!$A$1:$J$3500,5,0)</f>
        <v>#N/A</v>
      </c>
      <c r="E1711" s="1" t="s">
        <v>1482</v>
      </c>
      <c r="F1711" s="5">
        <f t="shared" si="78"/>
        <v>0</v>
      </c>
      <c r="G1711" s="5" t="s">
        <v>1483</v>
      </c>
      <c r="H1711" s="4" t="e">
        <f>VLOOKUP(A1711,المعطيات!$A$1:$J$3500,3,0)</f>
        <v>#N/A</v>
      </c>
      <c r="I1711" s="1" t="s">
        <v>1484</v>
      </c>
      <c r="J1711" s="1" t="s">
        <v>1485</v>
      </c>
      <c r="K1711" s="4" t="e">
        <f>VLOOKUP(A1711,المعطيات!$A$1:$J$3500,6,0)</f>
        <v>#N/A</v>
      </c>
      <c r="L1711" s="1" t="s">
        <v>1486</v>
      </c>
      <c r="M1711" s="1" t="s">
        <v>1487</v>
      </c>
      <c r="N1711" s="4" t="e">
        <f t="shared" si="79"/>
        <v>#N/A</v>
      </c>
      <c r="O1711" s="1" t="s">
        <v>1488</v>
      </c>
      <c r="P1711" s="4" t="e">
        <f>VLOOKUP(A1711,المعطيات!$A$1:$J$3500,4,0)</f>
        <v>#N/A</v>
      </c>
      <c r="Q1711" s="1" t="s">
        <v>1489</v>
      </c>
      <c r="R1711" s="1" t="s">
        <v>1480</v>
      </c>
      <c r="S1711" s="6" t="e">
        <f t="shared" si="80"/>
        <v>#N/A</v>
      </c>
    </row>
    <row r="1712" spans="2:19" x14ac:dyDescent="0.25">
      <c r="B1712" s="1" t="s">
        <v>1479</v>
      </c>
      <c r="C1712" s="1" t="s">
        <v>1481</v>
      </c>
      <c r="D1712" s="4" t="e">
        <f>VLOOKUP(A1712,المعطيات!$A$1:$J$3500,5,0)</f>
        <v>#N/A</v>
      </c>
      <c r="E1712" s="1" t="s">
        <v>1482</v>
      </c>
      <c r="F1712" s="5">
        <f t="shared" si="78"/>
        <v>0</v>
      </c>
      <c r="G1712" s="5" t="s">
        <v>1483</v>
      </c>
      <c r="H1712" s="4" t="e">
        <f>VLOOKUP(A1712,المعطيات!$A$1:$J$3500,3,0)</f>
        <v>#N/A</v>
      </c>
      <c r="I1712" s="1" t="s">
        <v>1484</v>
      </c>
      <c r="J1712" s="1" t="s">
        <v>1485</v>
      </c>
      <c r="K1712" s="4" t="e">
        <f>VLOOKUP(A1712,المعطيات!$A$1:$J$3500,6,0)</f>
        <v>#N/A</v>
      </c>
      <c r="L1712" s="1" t="s">
        <v>1486</v>
      </c>
      <c r="M1712" s="1" t="s">
        <v>1487</v>
      </c>
      <c r="N1712" s="4" t="e">
        <f t="shared" si="79"/>
        <v>#N/A</v>
      </c>
      <c r="O1712" s="1" t="s">
        <v>1488</v>
      </c>
      <c r="P1712" s="4" t="e">
        <f>VLOOKUP(A1712,المعطيات!$A$1:$J$3500,4,0)</f>
        <v>#N/A</v>
      </c>
      <c r="Q1712" s="1" t="s">
        <v>1489</v>
      </c>
      <c r="R1712" s="1" t="s">
        <v>1480</v>
      </c>
      <c r="S1712" s="6" t="e">
        <f t="shared" si="80"/>
        <v>#N/A</v>
      </c>
    </row>
    <row r="1713" spans="2:19" x14ac:dyDescent="0.25">
      <c r="B1713" s="1" t="s">
        <v>1479</v>
      </c>
      <c r="C1713" s="1" t="s">
        <v>1481</v>
      </c>
      <c r="D1713" s="4" t="e">
        <f>VLOOKUP(A1713,المعطيات!$A$1:$J$3500,5,0)</f>
        <v>#N/A</v>
      </c>
      <c r="E1713" s="1" t="s">
        <v>1482</v>
      </c>
      <c r="F1713" s="5">
        <f t="shared" si="78"/>
        <v>0</v>
      </c>
      <c r="G1713" s="5" t="s">
        <v>1483</v>
      </c>
      <c r="H1713" s="4" t="e">
        <f>VLOOKUP(A1713,المعطيات!$A$1:$J$3500,3,0)</f>
        <v>#N/A</v>
      </c>
      <c r="I1713" s="1" t="s">
        <v>1484</v>
      </c>
      <c r="J1713" s="1" t="s">
        <v>1485</v>
      </c>
      <c r="K1713" s="4" t="e">
        <f>VLOOKUP(A1713,المعطيات!$A$1:$J$3500,6,0)</f>
        <v>#N/A</v>
      </c>
      <c r="L1713" s="1" t="s">
        <v>1486</v>
      </c>
      <c r="M1713" s="1" t="s">
        <v>1487</v>
      </c>
      <c r="N1713" s="4" t="e">
        <f t="shared" si="79"/>
        <v>#N/A</v>
      </c>
      <c r="O1713" s="1" t="s">
        <v>1488</v>
      </c>
      <c r="P1713" s="4" t="e">
        <f>VLOOKUP(A1713,المعطيات!$A$1:$J$3500,4,0)</f>
        <v>#N/A</v>
      </c>
      <c r="Q1713" s="1" t="s">
        <v>1489</v>
      </c>
      <c r="R1713" s="1" t="s">
        <v>1480</v>
      </c>
      <c r="S1713" s="6" t="e">
        <f t="shared" si="80"/>
        <v>#N/A</v>
      </c>
    </row>
    <row r="1714" spans="2:19" x14ac:dyDescent="0.25">
      <c r="B1714" s="1" t="s">
        <v>1479</v>
      </c>
      <c r="C1714" s="1" t="s">
        <v>1481</v>
      </c>
      <c r="D1714" s="4" t="e">
        <f>VLOOKUP(A1714,المعطيات!$A$1:$J$3500,5,0)</f>
        <v>#N/A</v>
      </c>
      <c r="E1714" s="1" t="s">
        <v>1482</v>
      </c>
      <c r="F1714" s="5">
        <f t="shared" si="78"/>
        <v>0</v>
      </c>
      <c r="G1714" s="5" t="s">
        <v>1483</v>
      </c>
      <c r="H1714" s="4" t="e">
        <f>VLOOKUP(A1714,المعطيات!$A$1:$J$3500,3,0)</f>
        <v>#N/A</v>
      </c>
      <c r="I1714" s="1" t="s">
        <v>1484</v>
      </c>
      <c r="J1714" s="1" t="s">
        <v>1485</v>
      </c>
      <c r="K1714" s="4" t="e">
        <f>VLOOKUP(A1714,المعطيات!$A$1:$J$3500,6,0)</f>
        <v>#N/A</v>
      </c>
      <c r="L1714" s="1" t="s">
        <v>1486</v>
      </c>
      <c r="M1714" s="1" t="s">
        <v>1487</v>
      </c>
      <c r="N1714" s="4" t="e">
        <f t="shared" si="79"/>
        <v>#N/A</v>
      </c>
      <c r="O1714" s="1" t="s">
        <v>1488</v>
      </c>
      <c r="P1714" s="4" t="e">
        <f>VLOOKUP(A1714,المعطيات!$A$1:$J$3500,4,0)</f>
        <v>#N/A</v>
      </c>
      <c r="Q1714" s="1" t="s">
        <v>1489</v>
      </c>
      <c r="R1714" s="1" t="s">
        <v>1480</v>
      </c>
      <c r="S1714" s="6" t="e">
        <f t="shared" si="80"/>
        <v>#N/A</v>
      </c>
    </row>
    <row r="1715" spans="2:19" x14ac:dyDescent="0.25">
      <c r="B1715" s="1" t="s">
        <v>1479</v>
      </c>
      <c r="C1715" s="1" t="s">
        <v>1481</v>
      </c>
      <c r="D1715" s="4" t="e">
        <f>VLOOKUP(A1715,المعطيات!$A$1:$J$3500,5,0)</f>
        <v>#N/A</v>
      </c>
      <c r="E1715" s="1" t="s">
        <v>1482</v>
      </c>
      <c r="F1715" s="5">
        <f t="shared" si="78"/>
        <v>0</v>
      </c>
      <c r="G1715" s="5" t="s">
        <v>1483</v>
      </c>
      <c r="H1715" s="4" t="e">
        <f>VLOOKUP(A1715,المعطيات!$A$1:$J$3500,3,0)</f>
        <v>#N/A</v>
      </c>
      <c r="I1715" s="1" t="s">
        <v>1484</v>
      </c>
      <c r="J1715" s="1" t="s">
        <v>1485</v>
      </c>
      <c r="K1715" s="4" t="e">
        <f>VLOOKUP(A1715,المعطيات!$A$1:$J$3500,6,0)</f>
        <v>#N/A</v>
      </c>
      <c r="L1715" s="1" t="s">
        <v>1486</v>
      </c>
      <c r="M1715" s="1" t="s">
        <v>1487</v>
      </c>
      <c r="N1715" s="4" t="e">
        <f t="shared" si="79"/>
        <v>#N/A</v>
      </c>
      <c r="O1715" s="1" t="s">
        <v>1488</v>
      </c>
      <c r="P1715" s="4" t="e">
        <f>VLOOKUP(A1715,المعطيات!$A$1:$J$3500,4,0)</f>
        <v>#N/A</v>
      </c>
      <c r="Q1715" s="1" t="s">
        <v>1489</v>
      </c>
      <c r="R1715" s="1" t="s">
        <v>1480</v>
      </c>
      <c r="S1715" s="6" t="e">
        <f t="shared" si="80"/>
        <v>#N/A</v>
      </c>
    </row>
    <row r="1716" spans="2:19" x14ac:dyDescent="0.25">
      <c r="B1716" s="1" t="s">
        <v>1479</v>
      </c>
      <c r="C1716" s="1" t="s">
        <v>1481</v>
      </c>
      <c r="D1716" s="4" t="e">
        <f>VLOOKUP(A1716,المعطيات!$A$1:$J$3500,5,0)</f>
        <v>#N/A</v>
      </c>
      <c r="E1716" s="1" t="s">
        <v>1482</v>
      </c>
      <c r="F1716" s="5">
        <f t="shared" si="78"/>
        <v>0</v>
      </c>
      <c r="G1716" s="5" t="s">
        <v>1483</v>
      </c>
      <c r="H1716" s="4" t="e">
        <f>VLOOKUP(A1716,المعطيات!$A$1:$J$3500,3,0)</f>
        <v>#N/A</v>
      </c>
      <c r="I1716" s="1" t="s">
        <v>1484</v>
      </c>
      <c r="J1716" s="1" t="s">
        <v>1485</v>
      </c>
      <c r="K1716" s="4" t="e">
        <f>VLOOKUP(A1716,المعطيات!$A$1:$J$3500,6,0)</f>
        <v>#N/A</v>
      </c>
      <c r="L1716" s="1" t="s">
        <v>1486</v>
      </c>
      <c r="M1716" s="1" t="s">
        <v>1487</v>
      </c>
      <c r="N1716" s="4" t="e">
        <f t="shared" si="79"/>
        <v>#N/A</v>
      </c>
      <c r="O1716" s="1" t="s">
        <v>1488</v>
      </c>
      <c r="P1716" s="4" t="e">
        <f>VLOOKUP(A1716,المعطيات!$A$1:$J$3500,4,0)</f>
        <v>#N/A</v>
      </c>
      <c r="Q1716" s="1" t="s">
        <v>1489</v>
      </c>
      <c r="R1716" s="1" t="s">
        <v>1480</v>
      </c>
      <c r="S1716" s="6" t="e">
        <f t="shared" si="80"/>
        <v>#N/A</v>
      </c>
    </row>
    <row r="1717" spans="2:19" x14ac:dyDescent="0.25">
      <c r="B1717" s="1" t="s">
        <v>1479</v>
      </c>
      <c r="C1717" s="1" t="s">
        <v>1481</v>
      </c>
      <c r="D1717" s="4" t="e">
        <f>VLOOKUP(A1717,المعطيات!$A$1:$J$3500,5,0)</f>
        <v>#N/A</v>
      </c>
      <c r="E1717" s="1" t="s">
        <v>1482</v>
      </c>
      <c r="F1717" s="5">
        <f t="shared" si="78"/>
        <v>0</v>
      </c>
      <c r="G1717" s="5" t="s">
        <v>1483</v>
      </c>
      <c r="H1717" s="4" t="e">
        <f>VLOOKUP(A1717,المعطيات!$A$1:$J$3500,3,0)</f>
        <v>#N/A</v>
      </c>
      <c r="I1717" s="1" t="s">
        <v>1484</v>
      </c>
      <c r="J1717" s="1" t="s">
        <v>1485</v>
      </c>
      <c r="K1717" s="4" t="e">
        <f>VLOOKUP(A1717,المعطيات!$A$1:$J$3500,6,0)</f>
        <v>#N/A</v>
      </c>
      <c r="L1717" s="1" t="s">
        <v>1486</v>
      </c>
      <c r="M1717" s="1" t="s">
        <v>1487</v>
      </c>
      <c r="N1717" s="4" t="e">
        <f t="shared" si="79"/>
        <v>#N/A</v>
      </c>
      <c r="O1717" s="1" t="s">
        <v>1488</v>
      </c>
      <c r="P1717" s="4" t="e">
        <f>VLOOKUP(A1717,المعطيات!$A$1:$J$3500,4,0)</f>
        <v>#N/A</v>
      </c>
      <c r="Q1717" s="1" t="s">
        <v>1489</v>
      </c>
      <c r="R1717" s="1" t="s">
        <v>1480</v>
      </c>
      <c r="S1717" s="6" t="e">
        <f t="shared" si="80"/>
        <v>#N/A</v>
      </c>
    </row>
    <row r="1718" spans="2:19" x14ac:dyDescent="0.25">
      <c r="B1718" s="1" t="s">
        <v>1479</v>
      </c>
      <c r="C1718" s="1" t="s">
        <v>1481</v>
      </c>
      <c r="D1718" s="4" t="e">
        <f>VLOOKUP(A1718,المعطيات!$A$1:$J$3500,5,0)</f>
        <v>#N/A</v>
      </c>
      <c r="E1718" s="1" t="s">
        <v>1482</v>
      </c>
      <c r="F1718" s="5">
        <f t="shared" si="78"/>
        <v>0</v>
      </c>
      <c r="G1718" s="5" t="s">
        <v>1483</v>
      </c>
      <c r="H1718" s="4" t="e">
        <f>VLOOKUP(A1718,المعطيات!$A$1:$J$3500,3,0)</f>
        <v>#N/A</v>
      </c>
      <c r="I1718" s="1" t="s">
        <v>1484</v>
      </c>
      <c r="J1718" s="1" t="s">
        <v>1485</v>
      </c>
      <c r="K1718" s="4" t="e">
        <f>VLOOKUP(A1718,المعطيات!$A$1:$J$3500,6,0)</f>
        <v>#N/A</v>
      </c>
      <c r="L1718" s="1" t="s">
        <v>1486</v>
      </c>
      <c r="M1718" s="1" t="s">
        <v>1487</v>
      </c>
      <c r="N1718" s="4" t="e">
        <f t="shared" si="79"/>
        <v>#N/A</v>
      </c>
      <c r="O1718" s="1" t="s">
        <v>1488</v>
      </c>
      <c r="P1718" s="4" t="e">
        <f>VLOOKUP(A1718,المعطيات!$A$1:$J$3500,4,0)</f>
        <v>#N/A</v>
      </c>
      <c r="Q1718" s="1" t="s">
        <v>1489</v>
      </c>
      <c r="R1718" s="1" t="s">
        <v>1480</v>
      </c>
      <c r="S1718" s="6" t="e">
        <f t="shared" si="80"/>
        <v>#N/A</v>
      </c>
    </row>
    <row r="1719" spans="2:19" x14ac:dyDescent="0.25">
      <c r="B1719" s="1" t="s">
        <v>1479</v>
      </c>
      <c r="C1719" s="1" t="s">
        <v>1481</v>
      </c>
      <c r="D1719" s="4" t="e">
        <f>VLOOKUP(A1719,المعطيات!$A$1:$J$3500,5,0)</f>
        <v>#N/A</v>
      </c>
      <c r="E1719" s="1" t="s">
        <v>1482</v>
      </c>
      <c r="F1719" s="5">
        <f t="shared" si="78"/>
        <v>0</v>
      </c>
      <c r="G1719" s="5" t="s">
        <v>1483</v>
      </c>
      <c r="H1719" s="4" t="e">
        <f>VLOOKUP(A1719,المعطيات!$A$1:$J$3500,3,0)</f>
        <v>#N/A</v>
      </c>
      <c r="I1719" s="1" t="s">
        <v>1484</v>
      </c>
      <c r="J1719" s="1" t="s">
        <v>1485</v>
      </c>
      <c r="K1719" s="4" t="e">
        <f>VLOOKUP(A1719,المعطيات!$A$1:$J$3500,6,0)</f>
        <v>#N/A</v>
      </c>
      <c r="L1719" s="1" t="s">
        <v>1486</v>
      </c>
      <c r="M1719" s="1" t="s">
        <v>1487</v>
      </c>
      <c r="N1719" s="4" t="e">
        <f t="shared" si="79"/>
        <v>#N/A</v>
      </c>
      <c r="O1719" s="1" t="s">
        <v>1488</v>
      </c>
      <c r="P1719" s="4" t="e">
        <f>VLOOKUP(A1719,المعطيات!$A$1:$J$3500,4,0)</f>
        <v>#N/A</v>
      </c>
      <c r="Q1719" s="1" t="s">
        <v>1489</v>
      </c>
      <c r="R1719" s="1" t="s">
        <v>1480</v>
      </c>
      <c r="S1719" s="6" t="e">
        <f t="shared" si="80"/>
        <v>#N/A</v>
      </c>
    </row>
    <row r="1720" spans="2:19" x14ac:dyDescent="0.25">
      <c r="B1720" s="1" t="s">
        <v>1479</v>
      </c>
      <c r="C1720" s="1" t="s">
        <v>1481</v>
      </c>
      <c r="D1720" s="4" t="e">
        <f>VLOOKUP(A1720,المعطيات!$A$1:$J$3500,5,0)</f>
        <v>#N/A</v>
      </c>
      <c r="E1720" s="1" t="s">
        <v>1482</v>
      </c>
      <c r="F1720" s="5">
        <f t="shared" si="78"/>
        <v>0</v>
      </c>
      <c r="G1720" s="5" t="s">
        <v>1483</v>
      </c>
      <c r="H1720" s="4" t="e">
        <f>VLOOKUP(A1720,المعطيات!$A$1:$J$3500,3,0)</f>
        <v>#N/A</v>
      </c>
      <c r="I1720" s="1" t="s">
        <v>1484</v>
      </c>
      <c r="J1720" s="1" t="s">
        <v>1485</v>
      </c>
      <c r="K1720" s="4" t="e">
        <f>VLOOKUP(A1720,المعطيات!$A$1:$J$3500,6,0)</f>
        <v>#N/A</v>
      </c>
      <c r="L1720" s="1" t="s">
        <v>1486</v>
      </c>
      <c r="M1720" s="1" t="s">
        <v>1487</v>
      </c>
      <c r="N1720" s="4" t="e">
        <f t="shared" si="79"/>
        <v>#N/A</v>
      </c>
      <c r="O1720" s="1" t="s">
        <v>1488</v>
      </c>
      <c r="P1720" s="4" t="e">
        <f>VLOOKUP(A1720,المعطيات!$A$1:$J$3500,4,0)</f>
        <v>#N/A</v>
      </c>
      <c r="Q1720" s="1" t="s">
        <v>1489</v>
      </c>
      <c r="R1720" s="1" t="s">
        <v>1480</v>
      </c>
      <c r="S1720" s="6" t="e">
        <f t="shared" si="80"/>
        <v>#N/A</v>
      </c>
    </row>
    <row r="1721" spans="2:19" x14ac:dyDescent="0.25">
      <c r="B1721" s="1" t="s">
        <v>1479</v>
      </c>
      <c r="C1721" s="1" t="s">
        <v>1481</v>
      </c>
      <c r="D1721" s="4" t="e">
        <f>VLOOKUP(A1721,المعطيات!$A$1:$J$3500,5,0)</f>
        <v>#N/A</v>
      </c>
      <c r="E1721" s="1" t="s">
        <v>1482</v>
      </c>
      <c r="F1721" s="5">
        <f t="shared" si="78"/>
        <v>0</v>
      </c>
      <c r="G1721" s="5" t="s">
        <v>1483</v>
      </c>
      <c r="H1721" s="4" t="e">
        <f>VLOOKUP(A1721,المعطيات!$A$1:$J$3500,3,0)</f>
        <v>#N/A</v>
      </c>
      <c r="I1721" s="1" t="s">
        <v>1484</v>
      </c>
      <c r="J1721" s="1" t="s">
        <v>1485</v>
      </c>
      <c r="K1721" s="4" t="e">
        <f>VLOOKUP(A1721,المعطيات!$A$1:$J$3500,6,0)</f>
        <v>#N/A</v>
      </c>
      <c r="L1721" s="1" t="s">
        <v>1486</v>
      </c>
      <c r="M1721" s="1" t="s">
        <v>1487</v>
      </c>
      <c r="N1721" s="4" t="e">
        <f t="shared" si="79"/>
        <v>#N/A</v>
      </c>
      <c r="O1721" s="1" t="s">
        <v>1488</v>
      </c>
      <c r="P1721" s="4" t="e">
        <f>VLOOKUP(A1721,المعطيات!$A$1:$J$3500,4,0)</f>
        <v>#N/A</v>
      </c>
      <c r="Q1721" s="1" t="s">
        <v>1489</v>
      </c>
      <c r="R1721" s="1" t="s">
        <v>1480</v>
      </c>
      <c r="S1721" s="6" t="e">
        <f t="shared" si="80"/>
        <v>#N/A</v>
      </c>
    </row>
    <row r="1722" spans="2:19" x14ac:dyDescent="0.25">
      <c r="B1722" s="1" t="s">
        <v>1479</v>
      </c>
      <c r="C1722" s="1" t="s">
        <v>1481</v>
      </c>
      <c r="D1722" s="4" t="e">
        <f>VLOOKUP(A1722,المعطيات!$A$1:$J$3500,5,0)</f>
        <v>#N/A</v>
      </c>
      <c r="E1722" s="1" t="s">
        <v>1482</v>
      </c>
      <c r="F1722" s="5">
        <f t="shared" si="78"/>
        <v>0</v>
      </c>
      <c r="G1722" s="5" t="s">
        <v>1483</v>
      </c>
      <c r="H1722" s="4" t="e">
        <f>VLOOKUP(A1722,المعطيات!$A$1:$J$3500,3,0)</f>
        <v>#N/A</v>
      </c>
      <c r="I1722" s="1" t="s">
        <v>1484</v>
      </c>
      <c r="J1722" s="1" t="s">
        <v>1485</v>
      </c>
      <c r="K1722" s="4" t="e">
        <f>VLOOKUP(A1722,المعطيات!$A$1:$J$3500,6,0)</f>
        <v>#N/A</v>
      </c>
      <c r="L1722" s="1" t="s">
        <v>1486</v>
      </c>
      <c r="M1722" s="1" t="s">
        <v>1487</v>
      </c>
      <c r="N1722" s="4" t="e">
        <f t="shared" si="79"/>
        <v>#N/A</v>
      </c>
      <c r="O1722" s="1" t="s">
        <v>1488</v>
      </c>
      <c r="P1722" s="4" t="e">
        <f>VLOOKUP(A1722,المعطيات!$A$1:$J$3500,4,0)</f>
        <v>#N/A</v>
      </c>
      <c r="Q1722" s="1" t="s">
        <v>1489</v>
      </c>
      <c r="R1722" s="1" t="s">
        <v>1480</v>
      </c>
      <c r="S1722" s="6" t="e">
        <f t="shared" si="80"/>
        <v>#N/A</v>
      </c>
    </row>
    <row r="1723" spans="2:19" x14ac:dyDescent="0.25">
      <c r="B1723" s="1" t="s">
        <v>1479</v>
      </c>
      <c r="C1723" s="1" t="s">
        <v>1481</v>
      </c>
      <c r="D1723" s="4" t="e">
        <f>VLOOKUP(A1723,المعطيات!$A$1:$J$3500,5,0)</f>
        <v>#N/A</v>
      </c>
      <c r="E1723" s="1" t="s">
        <v>1482</v>
      </c>
      <c r="F1723" s="5">
        <f t="shared" si="78"/>
        <v>0</v>
      </c>
      <c r="G1723" s="5" t="s">
        <v>1483</v>
      </c>
      <c r="H1723" s="4" t="e">
        <f>VLOOKUP(A1723,المعطيات!$A$1:$J$3500,3,0)</f>
        <v>#N/A</v>
      </c>
      <c r="I1723" s="1" t="s">
        <v>1484</v>
      </c>
      <c r="J1723" s="1" t="s">
        <v>1485</v>
      </c>
      <c r="K1723" s="4" t="e">
        <f>VLOOKUP(A1723,المعطيات!$A$1:$J$3500,6,0)</f>
        <v>#N/A</v>
      </c>
      <c r="L1723" s="1" t="s">
        <v>1486</v>
      </c>
      <c r="M1723" s="1" t="s">
        <v>1487</v>
      </c>
      <c r="N1723" s="4" t="e">
        <f t="shared" si="79"/>
        <v>#N/A</v>
      </c>
      <c r="O1723" s="1" t="s">
        <v>1488</v>
      </c>
      <c r="P1723" s="4" t="e">
        <f>VLOOKUP(A1723,المعطيات!$A$1:$J$3500,4,0)</f>
        <v>#N/A</v>
      </c>
      <c r="Q1723" s="1" t="s">
        <v>1489</v>
      </c>
      <c r="R1723" s="1" t="s">
        <v>1480</v>
      </c>
      <c r="S1723" s="6" t="e">
        <f t="shared" si="80"/>
        <v>#N/A</v>
      </c>
    </row>
    <row r="1724" spans="2:19" x14ac:dyDescent="0.25">
      <c r="B1724" s="1" t="s">
        <v>1479</v>
      </c>
      <c r="C1724" s="1" t="s">
        <v>1481</v>
      </c>
      <c r="D1724" s="4" t="e">
        <f>VLOOKUP(A1724,المعطيات!$A$1:$J$3500,5,0)</f>
        <v>#N/A</v>
      </c>
      <c r="E1724" s="1" t="s">
        <v>1482</v>
      </c>
      <c r="F1724" s="5">
        <f t="shared" si="78"/>
        <v>0</v>
      </c>
      <c r="G1724" s="5" t="s">
        <v>1483</v>
      </c>
      <c r="H1724" s="4" t="e">
        <f>VLOOKUP(A1724,المعطيات!$A$1:$J$3500,3,0)</f>
        <v>#N/A</v>
      </c>
      <c r="I1724" s="1" t="s">
        <v>1484</v>
      </c>
      <c r="J1724" s="1" t="s">
        <v>1485</v>
      </c>
      <c r="K1724" s="4" t="e">
        <f>VLOOKUP(A1724,المعطيات!$A$1:$J$3500,6,0)</f>
        <v>#N/A</v>
      </c>
      <c r="L1724" s="1" t="s">
        <v>1486</v>
      </c>
      <c r="M1724" s="1" t="s">
        <v>1487</v>
      </c>
      <c r="N1724" s="4" t="e">
        <f t="shared" si="79"/>
        <v>#N/A</v>
      </c>
      <c r="O1724" s="1" t="s">
        <v>1488</v>
      </c>
      <c r="P1724" s="4" t="e">
        <f>VLOOKUP(A1724,المعطيات!$A$1:$J$3500,4,0)</f>
        <v>#N/A</v>
      </c>
      <c r="Q1724" s="1" t="s">
        <v>1489</v>
      </c>
      <c r="R1724" s="1" t="s">
        <v>1480</v>
      </c>
      <c r="S1724" s="6" t="e">
        <f t="shared" si="80"/>
        <v>#N/A</v>
      </c>
    </row>
    <row r="1725" spans="2:19" x14ac:dyDescent="0.25">
      <c r="B1725" s="1" t="s">
        <v>1479</v>
      </c>
      <c r="C1725" s="1" t="s">
        <v>1481</v>
      </c>
      <c r="D1725" s="4" t="e">
        <f>VLOOKUP(A1725,المعطيات!$A$1:$J$3500,5,0)</f>
        <v>#N/A</v>
      </c>
      <c r="E1725" s="1" t="s">
        <v>1482</v>
      </c>
      <c r="F1725" s="5">
        <f t="shared" si="78"/>
        <v>0</v>
      </c>
      <c r="G1725" s="5" t="s">
        <v>1483</v>
      </c>
      <c r="H1725" s="4" t="e">
        <f>VLOOKUP(A1725,المعطيات!$A$1:$J$3500,3,0)</f>
        <v>#N/A</v>
      </c>
      <c r="I1725" s="1" t="s">
        <v>1484</v>
      </c>
      <c r="J1725" s="1" t="s">
        <v>1485</v>
      </c>
      <c r="K1725" s="4" t="e">
        <f>VLOOKUP(A1725,المعطيات!$A$1:$J$3500,6,0)</f>
        <v>#N/A</v>
      </c>
      <c r="L1725" s="1" t="s">
        <v>1486</v>
      </c>
      <c r="M1725" s="1" t="s">
        <v>1487</v>
      </c>
      <c r="N1725" s="4" t="e">
        <f t="shared" si="79"/>
        <v>#N/A</v>
      </c>
      <c r="O1725" s="1" t="s">
        <v>1488</v>
      </c>
      <c r="P1725" s="4" t="e">
        <f>VLOOKUP(A1725,المعطيات!$A$1:$J$3500,4,0)</f>
        <v>#N/A</v>
      </c>
      <c r="Q1725" s="1" t="s">
        <v>1489</v>
      </c>
      <c r="R1725" s="1" t="s">
        <v>1480</v>
      </c>
      <c r="S1725" s="6" t="e">
        <f t="shared" si="80"/>
        <v>#N/A</v>
      </c>
    </row>
    <row r="1726" spans="2:19" x14ac:dyDescent="0.25">
      <c r="B1726" s="1" t="s">
        <v>1479</v>
      </c>
      <c r="C1726" s="1" t="s">
        <v>1481</v>
      </c>
      <c r="D1726" s="4" t="e">
        <f>VLOOKUP(A1726,المعطيات!$A$1:$J$3500,5,0)</f>
        <v>#N/A</v>
      </c>
      <c r="E1726" s="1" t="s">
        <v>1482</v>
      </c>
      <c r="F1726" s="5">
        <f t="shared" si="78"/>
        <v>0</v>
      </c>
      <c r="G1726" s="5" t="s">
        <v>1483</v>
      </c>
      <c r="H1726" s="4" t="e">
        <f>VLOOKUP(A1726,المعطيات!$A$1:$J$3500,3,0)</f>
        <v>#N/A</v>
      </c>
      <c r="I1726" s="1" t="s">
        <v>1484</v>
      </c>
      <c r="J1726" s="1" t="s">
        <v>1485</v>
      </c>
      <c r="K1726" s="4" t="e">
        <f>VLOOKUP(A1726,المعطيات!$A$1:$J$3500,6,0)</f>
        <v>#N/A</v>
      </c>
      <c r="L1726" s="1" t="s">
        <v>1486</v>
      </c>
      <c r="M1726" s="1" t="s">
        <v>1487</v>
      </c>
      <c r="N1726" s="4" t="e">
        <f t="shared" si="79"/>
        <v>#N/A</v>
      </c>
      <c r="O1726" s="1" t="s">
        <v>1488</v>
      </c>
      <c r="P1726" s="4" t="e">
        <f>VLOOKUP(A1726,المعطيات!$A$1:$J$3500,4,0)</f>
        <v>#N/A</v>
      </c>
      <c r="Q1726" s="1" t="s">
        <v>1489</v>
      </c>
      <c r="R1726" s="1" t="s">
        <v>1480</v>
      </c>
      <c r="S1726" s="6" t="e">
        <f t="shared" si="80"/>
        <v>#N/A</v>
      </c>
    </row>
    <row r="1727" spans="2:19" x14ac:dyDescent="0.25">
      <c r="B1727" s="1" t="s">
        <v>1479</v>
      </c>
      <c r="C1727" s="1" t="s">
        <v>1481</v>
      </c>
      <c r="D1727" s="4" t="e">
        <f>VLOOKUP(A1727,المعطيات!$A$1:$J$3500,5,0)</f>
        <v>#N/A</v>
      </c>
      <c r="E1727" s="1" t="s">
        <v>1482</v>
      </c>
      <c r="F1727" s="5">
        <f t="shared" si="78"/>
        <v>0</v>
      </c>
      <c r="G1727" s="5" t="s">
        <v>1483</v>
      </c>
      <c r="H1727" s="4" t="e">
        <f>VLOOKUP(A1727,المعطيات!$A$1:$J$3500,3,0)</f>
        <v>#N/A</v>
      </c>
      <c r="I1727" s="1" t="s">
        <v>1484</v>
      </c>
      <c r="J1727" s="1" t="s">
        <v>1485</v>
      </c>
      <c r="K1727" s="4" t="e">
        <f>VLOOKUP(A1727,المعطيات!$A$1:$J$3500,6,0)</f>
        <v>#N/A</v>
      </c>
      <c r="L1727" s="1" t="s">
        <v>1486</v>
      </c>
      <c r="M1727" s="1" t="s">
        <v>1487</v>
      </c>
      <c r="N1727" s="4" t="e">
        <f t="shared" si="79"/>
        <v>#N/A</v>
      </c>
      <c r="O1727" s="1" t="s">
        <v>1488</v>
      </c>
      <c r="P1727" s="4" t="e">
        <f>VLOOKUP(A1727,المعطيات!$A$1:$J$3500,4,0)</f>
        <v>#N/A</v>
      </c>
      <c r="Q1727" s="1" t="s">
        <v>1489</v>
      </c>
      <c r="R1727" s="1" t="s">
        <v>1480</v>
      </c>
      <c r="S1727" s="6" t="e">
        <f t="shared" si="80"/>
        <v>#N/A</v>
      </c>
    </row>
    <row r="1728" spans="2:19" x14ac:dyDescent="0.25">
      <c r="B1728" s="1" t="s">
        <v>1479</v>
      </c>
      <c r="C1728" s="1" t="s">
        <v>1481</v>
      </c>
      <c r="D1728" s="4" t="e">
        <f>VLOOKUP(A1728,المعطيات!$A$1:$J$3500,5,0)</f>
        <v>#N/A</v>
      </c>
      <c r="E1728" s="1" t="s">
        <v>1482</v>
      </c>
      <c r="F1728" s="5">
        <f t="shared" si="78"/>
        <v>0</v>
      </c>
      <c r="G1728" s="5" t="s">
        <v>1483</v>
      </c>
      <c r="H1728" s="4" t="e">
        <f>VLOOKUP(A1728,المعطيات!$A$1:$J$3500,3,0)</f>
        <v>#N/A</v>
      </c>
      <c r="I1728" s="1" t="s">
        <v>1484</v>
      </c>
      <c r="J1728" s="1" t="s">
        <v>1485</v>
      </c>
      <c r="K1728" s="4" t="e">
        <f>VLOOKUP(A1728,المعطيات!$A$1:$J$3500,6,0)</f>
        <v>#N/A</v>
      </c>
      <c r="L1728" s="1" t="s">
        <v>1486</v>
      </c>
      <c r="M1728" s="1" t="s">
        <v>1487</v>
      </c>
      <c r="N1728" s="4" t="e">
        <f t="shared" si="79"/>
        <v>#N/A</v>
      </c>
      <c r="O1728" s="1" t="s">
        <v>1488</v>
      </c>
      <c r="P1728" s="4" t="e">
        <f>VLOOKUP(A1728,المعطيات!$A$1:$J$3500,4,0)</f>
        <v>#N/A</v>
      </c>
      <c r="Q1728" s="1" t="s">
        <v>1489</v>
      </c>
      <c r="R1728" s="1" t="s">
        <v>1480</v>
      </c>
      <c r="S1728" s="6" t="e">
        <f t="shared" si="80"/>
        <v>#N/A</v>
      </c>
    </row>
    <row r="1729" spans="2:19" x14ac:dyDescent="0.25">
      <c r="B1729" s="1" t="s">
        <v>1479</v>
      </c>
      <c r="C1729" s="1" t="s">
        <v>1481</v>
      </c>
      <c r="D1729" s="4" t="e">
        <f>VLOOKUP(A1729,المعطيات!$A$1:$J$3500,5,0)</f>
        <v>#N/A</v>
      </c>
      <c r="E1729" s="1" t="s">
        <v>1482</v>
      </c>
      <c r="F1729" s="5">
        <f t="shared" si="78"/>
        <v>0</v>
      </c>
      <c r="G1729" s="5" t="s">
        <v>1483</v>
      </c>
      <c r="H1729" s="4" t="e">
        <f>VLOOKUP(A1729,المعطيات!$A$1:$J$3500,3,0)</f>
        <v>#N/A</v>
      </c>
      <c r="I1729" s="1" t="s">
        <v>1484</v>
      </c>
      <c r="J1729" s="1" t="s">
        <v>1485</v>
      </c>
      <c r="K1729" s="4" t="e">
        <f>VLOOKUP(A1729,المعطيات!$A$1:$J$3500,6,0)</f>
        <v>#N/A</v>
      </c>
      <c r="L1729" s="1" t="s">
        <v>1486</v>
      </c>
      <c r="M1729" s="1" t="s">
        <v>1487</v>
      </c>
      <c r="N1729" s="4" t="e">
        <f t="shared" si="79"/>
        <v>#N/A</v>
      </c>
      <c r="O1729" s="1" t="s">
        <v>1488</v>
      </c>
      <c r="P1729" s="4" t="e">
        <f>VLOOKUP(A1729,المعطيات!$A$1:$J$3500,4,0)</f>
        <v>#N/A</v>
      </c>
      <c r="Q1729" s="1" t="s">
        <v>1489</v>
      </c>
      <c r="R1729" s="1" t="s">
        <v>1480</v>
      </c>
      <c r="S1729" s="6" t="e">
        <f t="shared" si="80"/>
        <v>#N/A</v>
      </c>
    </row>
    <row r="1730" spans="2:19" x14ac:dyDescent="0.25">
      <c r="B1730" s="1" t="s">
        <v>1479</v>
      </c>
      <c r="C1730" s="1" t="s">
        <v>1481</v>
      </c>
      <c r="D1730" s="4" t="e">
        <f>VLOOKUP(A1730,المعطيات!$A$1:$J$3500,5,0)</f>
        <v>#N/A</v>
      </c>
      <c r="E1730" s="1" t="s">
        <v>1482</v>
      </c>
      <c r="F1730" s="5">
        <f t="shared" ref="F1730:F1793" si="81">A1730</f>
        <v>0</v>
      </c>
      <c r="G1730" s="5" t="s">
        <v>1483</v>
      </c>
      <c r="H1730" s="4" t="e">
        <f>VLOOKUP(A1730,المعطيات!$A$1:$J$3500,3,0)</f>
        <v>#N/A</v>
      </c>
      <c r="I1730" s="1" t="s">
        <v>1484</v>
      </c>
      <c r="J1730" s="1" t="s">
        <v>1485</v>
      </c>
      <c r="K1730" s="4" t="e">
        <f>VLOOKUP(A1730,المعطيات!$A$1:$J$3500,6,0)</f>
        <v>#N/A</v>
      </c>
      <c r="L1730" s="1" t="s">
        <v>1486</v>
      </c>
      <c r="M1730" s="1" t="s">
        <v>1487</v>
      </c>
      <c r="N1730" s="4" t="e">
        <f t="shared" ref="N1730:N1793" si="82">D1730</f>
        <v>#N/A</v>
      </c>
      <c r="O1730" s="1" t="s">
        <v>1488</v>
      </c>
      <c r="P1730" s="4" t="e">
        <f>VLOOKUP(A1730,المعطيات!$A$1:$J$3500,4,0)</f>
        <v>#N/A</v>
      </c>
      <c r="Q1730" s="1" t="s">
        <v>1489</v>
      </c>
      <c r="R1730" s="1" t="s">
        <v>1480</v>
      </c>
      <c r="S1730" s="6" t="e">
        <f t="shared" ref="S1730:S1793" si="83">B1730&amp;""&amp;C1730&amp;""&amp;D1730&amp;""&amp;E1730&amp;""&amp;F1730&amp;""&amp;G1730&amp;""&amp;H1730&amp;""&amp;I1730&amp;""&amp;J1730&amp;""&amp;K1730&amp;""&amp;L1730&amp;""&amp;M1730&amp;""&amp;N1730&amp;""&amp;O1730&amp;""&amp;P1730&amp;""&amp;Q1730&amp;""&amp;R1730</f>
        <v>#N/A</v>
      </c>
    </row>
    <row r="1731" spans="2:19" x14ac:dyDescent="0.25">
      <c r="B1731" s="1" t="s">
        <v>1479</v>
      </c>
      <c r="C1731" s="1" t="s">
        <v>1481</v>
      </c>
      <c r="D1731" s="4" t="e">
        <f>VLOOKUP(A1731,المعطيات!$A$1:$J$3500,5,0)</f>
        <v>#N/A</v>
      </c>
      <c r="E1731" s="1" t="s">
        <v>1482</v>
      </c>
      <c r="F1731" s="5">
        <f t="shared" si="81"/>
        <v>0</v>
      </c>
      <c r="G1731" s="5" t="s">
        <v>1483</v>
      </c>
      <c r="H1731" s="4" t="e">
        <f>VLOOKUP(A1731,المعطيات!$A$1:$J$3500,3,0)</f>
        <v>#N/A</v>
      </c>
      <c r="I1731" s="1" t="s">
        <v>1484</v>
      </c>
      <c r="J1731" s="1" t="s">
        <v>1485</v>
      </c>
      <c r="K1731" s="4" t="e">
        <f>VLOOKUP(A1731,المعطيات!$A$1:$J$3500,6,0)</f>
        <v>#N/A</v>
      </c>
      <c r="L1731" s="1" t="s">
        <v>1486</v>
      </c>
      <c r="M1731" s="1" t="s">
        <v>1487</v>
      </c>
      <c r="N1731" s="4" t="e">
        <f t="shared" si="82"/>
        <v>#N/A</v>
      </c>
      <c r="O1731" s="1" t="s">
        <v>1488</v>
      </c>
      <c r="P1731" s="4" t="e">
        <f>VLOOKUP(A1731,المعطيات!$A$1:$J$3500,4,0)</f>
        <v>#N/A</v>
      </c>
      <c r="Q1731" s="1" t="s">
        <v>1489</v>
      </c>
      <c r="R1731" s="1" t="s">
        <v>1480</v>
      </c>
      <c r="S1731" s="6" t="e">
        <f t="shared" si="83"/>
        <v>#N/A</v>
      </c>
    </row>
    <row r="1732" spans="2:19" x14ac:dyDescent="0.25">
      <c r="B1732" s="1" t="s">
        <v>1479</v>
      </c>
      <c r="C1732" s="1" t="s">
        <v>1481</v>
      </c>
      <c r="D1732" s="4" t="e">
        <f>VLOOKUP(A1732,المعطيات!$A$1:$J$3500,5,0)</f>
        <v>#N/A</v>
      </c>
      <c r="E1732" s="1" t="s">
        <v>1482</v>
      </c>
      <c r="F1732" s="5">
        <f t="shared" si="81"/>
        <v>0</v>
      </c>
      <c r="G1732" s="5" t="s">
        <v>1483</v>
      </c>
      <c r="H1732" s="4" t="e">
        <f>VLOOKUP(A1732,المعطيات!$A$1:$J$3500,3,0)</f>
        <v>#N/A</v>
      </c>
      <c r="I1732" s="1" t="s">
        <v>1484</v>
      </c>
      <c r="J1732" s="1" t="s">
        <v>1485</v>
      </c>
      <c r="K1732" s="4" t="e">
        <f>VLOOKUP(A1732,المعطيات!$A$1:$J$3500,6,0)</f>
        <v>#N/A</v>
      </c>
      <c r="L1732" s="1" t="s">
        <v>1486</v>
      </c>
      <c r="M1732" s="1" t="s">
        <v>1487</v>
      </c>
      <c r="N1732" s="4" t="e">
        <f t="shared" si="82"/>
        <v>#N/A</v>
      </c>
      <c r="O1732" s="1" t="s">
        <v>1488</v>
      </c>
      <c r="P1732" s="4" t="e">
        <f>VLOOKUP(A1732,المعطيات!$A$1:$J$3500,4,0)</f>
        <v>#N/A</v>
      </c>
      <c r="Q1732" s="1" t="s">
        <v>1489</v>
      </c>
      <c r="R1732" s="1" t="s">
        <v>1480</v>
      </c>
      <c r="S1732" s="6" t="e">
        <f t="shared" si="83"/>
        <v>#N/A</v>
      </c>
    </row>
    <row r="1733" spans="2:19" x14ac:dyDescent="0.25">
      <c r="B1733" s="1" t="s">
        <v>1479</v>
      </c>
      <c r="C1733" s="1" t="s">
        <v>1481</v>
      </c>
      <c r="D1733" s="4" t="e">
        <f>VLOOKUP(A1733,المعطيات!$A$1:$J$3500,5,0)</f>
        <v>#N/A</v>
      </c>
      <c r="E1733" s="1" t="s">
        <v>1482</v>
      </c>
      <c r="F1733" s="5">
        <f t="shared" si="81"/>
        <v>0</v>
      </c>
      <c r="G1733" s="5" t="s">
        <v>1483</v>
      </c>
      <c r="H1733" s="4" t="e">
        <f>VLOOKUP(A1733,المعطيات!$A$1:$J$3500,3,0)</f>
        <v>#N/A</v>
      </c>
      <c r="I1733" s="1" t="s">
        <v>1484</v>
      </c>
      <c r="J1733" s="1" t="s">
        <v>1485</v>
      </c>
      <c r="K1733" s="4" t="e">
        <f>VLOOKUP(A1733,المعطيات!$A$1:$J$3500,6,0)</f>
        <v>#N/A</v>
      </c>
      <c r="L1733" s="1" t="s">
        <v>1486</v>
      </c>
      <c r="M1733" s="1" t="s">
        <v>1487</v>
      </c>
      <c r="N1733" s="4" t="e">
        <f t="shared" si="82"/>
        <v>#N/A</v>
      </c>
      <c r="O1733" s="1" t="s">
        <v>1488</v>
      </c>
      <c r="P1733" s="4" t="e">
        <f>VLOOKUP(A1733,المعطيات!$A$1:$J$3500,4,0)</f>
        <v>#N/A</v>
      </c>
      <c r="Q1733" s="1" t="s">
        <v>1489</v>
      </c>
      <c r="R1733" s="1" t="s">
        <v>1480</v>
      </c>
      <c r="S1733" s="6" t="e">
        <f t="shared" si="83"/>
        <v>#N/A</v>
      </c>
    </row>
    <row r="1734" spans="2:19" x14ac:dyDescent="0.25">
      <c r="B1734" s="1" t="s">
        <v>1479</v>
      </c>
      <c r="C1734" s="1" t="s">
        <v>1481</v>
      </c>
      <c r="D1734" s="4" t="e">
        <f>VLOOKUP(A1734,المعطيات!$A$1:$J$3500,5,0)</f>
        <v>#N/A</v>
      </c>
      <c r="E1734" s="1" t="s">
        <v>1482</v>
      </c>
      <c r="F1734" s="5">
        <f t="shared" si="81"/>
        <v>0</v>
      </c>
      <c r="G1734" s="5" t="s">
        <v>1483</v>
      </c>
      <c r="H1734" s="4" t="e">
        <f>VLOOKUP(A1734,المعطيات!$A$1:$J$3500,3,0)</f>
        <v>#N/A</v>
      </c>
      <c r="I1734" s="1" t="s">
        <v>1484</v>
      </c>
      <c r="J1734" s="1" t="s">
        <v>1485</v>
      </c>
      <c r="K1734" s="4" t="e">
        <f>VLOOKUP(A1734,المعطيات!$A$1:$J$3500,6,0)</f>
        <v>#N/A</v>
      </c>
      <c r="L1734" s="1" t="s">
        <v>1486</v>
      </c>
      <c r="M1734" s="1" t="s">
        <v>1487</v>
      </c>
      <c r="N1734" s="4" t="e">
        <f t="shared" si="82"/>
        <v>#N/A</v>
      </c>
      <c r="O1734" s="1" t="s">
        <v>1488</v>
      </c>
      <c r="P1734" s="4" t="e">
        <f>VLOOKUP(A1734,المعطيات!$A$1:$J$3500,4,0)</f>
        <v>#N/A</v>
      </c>
      <c r="Q1734" s="1" t="s">
        <v>1489</v>
      </c>
      <c r="R1734" s="1" t="s">
        <v>1480</v>
      </c>
      <c r="S1734" s="6" t="e">
        <f t="shared" si="83"/>
        <v>#N/A</v>
      </c>
    </row>
    <row r="1735" spans="2:19" x14ac:dyDescent="0.25">
      <c r="B1735" s="1" t="s">
        <v>1479</v>
      </c>
      <c r="C1735" s="1" t="s">
        <v>1481</v>
      </c>
      <c r="D1735" s="4" t="e">
        <f>VLOOKUP(A1735,المعطيات!$A$1:$J$3500,5,0)</f>
        <v>#N/A</v>
      </c>
      <c r="E1735" s="1" t="s">
        <v>1482</v>
      </c>
      <c r="F1735" s="5">
        <f t="shared" si="81"/>
        <v>0</v>
      </c>
      <c r="G1735" s="5" t="s">
        <v>1483</v>
      </c>
      <c r="H1735" s="4" t="e">
        <f>VLOOKUP(A1735,المعطيات!$A$1:$J$3500,3,0)</f>
        <v>#N/A</v>
      </c>
      <c r="I1735" s="1" t="s">
        <v>1484</v>
      </c>
      <c r="J1735" s="1" t="s">
        <v>1485</v>
      </c>
      <c r="K1735" s="4" t="e">
        <f>VLOOKUP(A1735,المعطيات!$A$1:$J$3500,6,0)</f>
        <v>#N/A</v>
      </c>
      <c r="L1735" s="1" t="s">
        <v>1486</v>
      </c>
      <c r="M1735" s="1" t="s">
        <v>1487</v>
      </c>
      <c r="N1735" s="4" t="e">
        <f t="shared" si="82"/>
        <v>#N/A</v>
      </c>
      <c r="O1735" s="1" t="s">
        <v>1488</v>
      </c>
      <c r="P1735" s="4" t="e">
        <f>VLOOKUP(A1735,المعطيات!$A$1:$J$3500,4,0)</f>
        <v>#N/A</v>
      </c>
      <c r="Q1735" s="1" t="s">
        <v>1489</v>
      </c>
      <c r="R1735" s="1" t="s">
        <v>1480</v>
      </c>
      <c r="S1735" s="6" t="e">
        <f t="shared" si="83"/>
        <v>#N/A</v>
      </c>
    </row>
    <row r="1736" spans="2:19" x14ac:dyDescent="0.25">
      <c r="B1736" s="1" t="s">
        <v>1479</v>
      </c>
      <c r="C1736" s="1" t="s">
        <v>1481</v>
      </c>
      <c r="D1736" s="4" t="e">
        <f>VLOOKUP(A1736,المعطيات!$A$1:$J$3500,5,0)</f>
        <v>#N/A</v>
      </c>
      <c r="E1736" s="1" t="s">
        <v>1482</v>
      </c>
      <c r="F1736" s="5">
        <f t="shared" si="81"/>
        <v>0</v>
      </c>
      <c r="G1736" s="5" t="s">
        <v>1483</v>
      </c>
      <c r="H1736" s="4" t="e">
        <f>VLOOKUP(A1736,المعطيات!$A$1:$J$3500,3,0)</f>
        <v>#N/A</v>
      </c>
      <c r="I1736" s="1" t="s">
        <v>1484</v>
      </c>
      <c r="J1736" s="1" t="s">
        <v>1485</v>
      </c>
      <c r="K1736" s="4" t="e">
        <f>VLOOKUP(A1736,المعطيات!$A$1:$J$3500,6,0)</f>
        <v>#N/A</v>
      </c>
      <c r="L1736" s="1" t="s">
        <v>1486</v>
      </c>
      <c r="M1736" s="1" t="s">
        <v>1487</v>
      </c>
      <c r="N1736" s="4" t="e">
        <f t="shared" si="82"/>
        <v>#N/A</v>
      </c>
      <c r="O1736" s="1" t="s">
        <v>1488</v>
      </c>
      <c r="P1736" s="4" t="e">
        <f>VLOOKUP(A1736,المعطيات!$A$1:$J$3500,4,0)</f>
        <v>#N/A</v>
      </c>
      <c r="Q1736" s="1" t="s">
        <v>1489</v>
      </c>
      <c r="R1736" s="1" t="s">
        <v>1480</v>
      </c>
      <c r="S1736" s="6" t="e">
        <f t="shared" si="83"/>
        <v>#N/A</v>
      </c>
    </row>
    <row r="1737" spans="2:19" x14ac:dyDescent="0.25">
      <c r="B1737" s="1" t="s">
        <v>1479</v>
      </c>
      <c r="C1737" s="1" t="s">
        <v>1481</v>
      </c>
      <c r="D1737" s="4" t="e">
        <f>VLOOKUP(A1737,المعطيات!$A$1:$J$3500,5,0)</f>
        <v>#N/A</v>
      </c>
      <c r="E1737" s="1" t="s">
        <v>1482</v>
      </c>
      <c r="F1737" s="5">
        <f t="shared" si="81"/>
        <v>0</v>
      </c>
      <c r="G1737" s="5" t="s">
        <v>1483</v>
      </c>
      <c r="H1737" s="4" t="e">
        <f>VLOOKUP(A1737,المعطيات!$A$1:$J$3500,3,0)</f>
        <v>#N/A</v>
      </c>
      <c r="I1737" s="1" t="s">
        <v>1484</v>
      </c>
      <c r="J1737" s="1" t="s">
        <v>1485</v>
      </c>
      <c r="K1737" s="4" t="e">
        <f>VLOOKUP(A1737,المعطيات!$A$1:$J$3500,6,0)</f>
        <v>#N/A</v>
      </c>
      <c r="L1737" s="1" t="s">
        <v>1486</v>
      </c>
      <c r="M1737" s="1" t="s">
        <v>1487</v>
      </c>
      <c r="N1737" s="4" t="e">
        <f t="shared" si="82"/>
        <v>#N/A</v>
      </c>
      <c r="O1737" s="1" t="s">
        <v>1488</v>
      </c>
      <c r="P1737" s="4" t="e">
        <f>VLOOKUP(A1737,المعطيات!$A$1:$J$3500,4,0)</f>
        <v>#N/A</v>
      </c>
      <c r="Q1737" s="1" t="s">
        <v>1489</v>
      </c>
      <c r="R1737" s="1" t="s">
        <v>1480</v>
      </c>
      <c r="S1737" s="6" t="e">
        <f t="shared" si="83"/>
        <v>#N/A</v>
      </c>
    </row>
    <row r="1738" spans="2:19" x14ac:dyDescent="0.25">
      <c r="B1738" s="1" t="s">
        <v>1479</v>
      </c>
      <c r="C1738" s="1" t="s">
        <v>1481</v>
      </c>
      <c r="D1738" s="4" t="e">
        <f>VLOOKUP(A1738,المعطيات!$A$1:$J$3500,5,0)</f>
        <v>#N/A</v>
      </c>
      <c r="E1738" s="1" t="s">
        <v>1482</v>
      </c>
      <c r="F1738" s="5">
        <f t="shared" si="81"/>
        <v>0</v>
      </c>
      <c r="G1738" s="5" t="s">
        <v>1483</v>
      </c>
      <c r="H1738" s="4" t="e">
        <f>VLOOKUP(A1738,المعطيات!$A$1:$J$3500,3,0)</f>
        <v>#N/A</v>
      </c>
      <c r="I1738" s="1" t="s">
        <v>1484</v>
      </c>
      <c r="J1738" s="1" t="s">
        <v>1485</v>
      </c>
      <c r="K1738" s="4" t="e">
        <f>VLOOKUP(A1738,المعطيات!$A$1:$J$3500,6,0)</f>
        <v>#N/A</v>
      </c>
      <c r="L1738" s="1" t="s">
        <v>1486</v>
      </c>
      <c r="M1738" s="1" t="s">
        <v>1487</v>
      </c>
      <c r="N1738" s="4" t="e">
        <f t="shared" si="82"/>
        <v>#N/A</v>
      </c>
      <c r="O1738" s="1" t="s">
        <v>1488</v>
      </c>
      <c r="P1738" s="4" t="e">
        <f>VLOOKUP(A1738,المعطيات!$A$1:$J$3500,4,0)</f>
        <v>#N/A</v>
      </c>
      <c r="Q1738" s="1" t="s">
        <v>1489</v>
      </c>
      <c r="R1738" s="1" t="s">
        <v>1480</v>
      </c>
      <c r="S1738" s="6" t="e">
        <f t="shared" si="83"/>
        <v>#N/A</v>
      </c>
    </row>
    <row r="1739" spans="2:19" x14ac:dyDescent="0.25">
      <c r="B1739" s="1" t="s">
        <v>1479</v>
      </c>
      <c r="C1739" s="1" t="s">
        <v>1481</v>
      </c>
      <c r="D1739" s="4" t="e">
        <f>VLOOKUP(A1739,المعطيات!$A$1:$J$3500,5,0)</f>
        <v>#N/A</v>
      </c>
      <c r="E1739" s="1" t="s">
        <v>1482</v>
      </c>
      <c r="F1739" s="5">
        <f t="shared" si="81"/>
        <v>0</v>
      </c>
      <c r="G1739" s="5" t="s">
        <v>1483</v>
      </c>
      <c r="H1739" s="4" t="e">
        <f>VLOOKUP(A1739,المعطيات!$A$1:$J$3500,3,0)</f>
        <v>#N/A</v>
      </c>
      <c r="I1739" s="1" t="s">
        <v>1484</v>
      </c>
      <c r="J1739" s="1" t="s">
        <v>1485</v>
      </c>
      <c r="K1739" s="4" t="e">
        <f>VLOOKUP(A1739,المعطيات!$A$1:$J$3500,6,0)</f>
        <v>#N/A</v>
      </c>
      <c r="L1739" s="1" t="s">
        <v>1486</v>
      </c>
      <c r="M1739" s="1" t="s">
        <v>1487</v>
      </c>
      <c r="N1739" s="4" t="e">
        <f t="shared" si="82"/>
        <v>#N/A</v>
      </c>
      <c r="O1739" s="1" t="s">
        <v>1488</v>
      </c>
      <c r="P1739" s="4" t="e">
        <f>VLOOKUP(A1739,المعطيات!$A$1:$J$3500,4,0)</f>
        <v>#N/A</v>
      </c>
      <c r="Q1739" s="1" t="s">
        <v>1489</v>
      </c>
      <c r="R1739" s="1" t="s">
        <v>1480</v>
      </c>
      <c r="S1739" s="6" t="e">
        <f t="shared" si="83"/>
        <v>#N/A</v>
      </c>
    </row>
    <row r="1740" spans="2:19" x14ac:dyDescent="0.25">
      <c r="B1740" s="1" t="s">
        <v>1479</v>
      </c>
      <c r="C1740" s="1" t="s">
        <v>1481</v>
      </c>
      <c r="D1740" s="4" t="e">
        <f>VLOOKUP(A1740,المعطيات!$A$1:$J$3500,5,0)</f>
        <v>#N/A</v>
      </c>
      <c r="E1740" s="1" t="s">
        <v>1482</v>
      </c>
      <c r="F1740" s="5">
        <f t="shared" si="81"/>
        <v>0</v>
      </c>
      <c r="G1740" s="5" t="s">
        <v>1483</v>
      </c>
      <c r="H1740" s="4" t="e">
        <f>VLOOKUP(A1740,المعطيات!$A$1:$J$3500,3,0)</f>
        <v>#N/A</v>
      </c>
      <c r="I1740" s="1" t="s">
        <v>1484</v>
      </c>
      <c r="J1740" s="1" t="s">
        <v>1485</v>
      </c>
      <c r="K1740" s="4" t="e">
        <f>VLOOKUP(A1740,المعطيات!$A$1:$J$3500,6,0)</f>
        <v>#N/A</v>
      </c>
      <c r="L1740" s="1" t="s">
        <v>1486</v>
      </c>
      <c r="M1740" s="1" t="s">
        <v>1487</v>
      </c>
      <c r="N1740" s="4" t="e">
        <f t="shared" si="82"/>
        <v>#N/A</v>
      </c>
      <c r="O1740" s="1" t="s">
        <v>1488</v>
      </c>
      <c r="P1740" s="4" t="e">
        <f>VLOOKUP(A1740,المعطيات!$A$1:$J$3500,4,0)</f>
        <v>#N/A</v>
      </c>
      <c r="Q1740" s="1" t="s">
        <v>1489</v>
      </c>
      <c r="R1740" s="1" t="s">
        <v>1480</v>
      </c>
      <c r="S1740" s="6" t="e">
        <f t="shared" si="83"/>
        <v>#N/A</v>
      </c>
    </row>
    <row r="1741" spans="2:19" x14ac:dyDescent="0.25">
      <c r="B1741" s="1" t="s">
        <v>1479</v>
      </c>
      <c r="C1741" s="1" t="s">
        <v>1481</v>
      </c>
      <c r="D1741" s="4" t="e">
        <f>VLOOKUP(A1741,المعطيات!$A$1:$J$3500,5,0)</f>
        <v>#N/A</v>
      </c>
      <c r="E1741" s="1" t="s">
        <v>1482</v>
      </c>
      <c r="F1741" s="5">
        <f t="shared" si="81"/>
        <v>0</v>
      </c>
      <c r="G1741" s="5" t="s">
        <v>1483</v>
      </c>
      <c r="H1741" s="4" t="e">
        <f>VLOOKUP(A1741,المعطيات!$A$1:$J$3500,3,0)</f>
        <v>#N/A</v>
      </c>
      <c r="I1741" s="1" t="s">
        <v>1484</v>
      </c>
      <c r="J1741" s="1" t="s">
        <v>1485</v>
      </c>
      <c r="K1741" s="4" t="e">
        <f>VLOOKUP(A1741,المعطيات!$A$1:$J$3500,6,0)</f>
        <v>#N/A</v>
      </c>
      <c r="L1741" s="1" t="s">
        <v>1486</v>
      </c>
      <c r="M1741" s="1" t="s">
        <v>1487</v>
      </c>
      <c r="N1741" s="4" t="e">
        <f t="shared" si="82"/>
        <v>#N/A</v>
      </c>
      <c r="O1741" s="1" t="s">
        <v>1488</v>
      </c>
      <c r="P1741" s="4" t="e">
        <f>VLOOKUP(A1741,المعطيات!$A$1:$J$3500,4,0)</f>
        <v>#N/A</v>
      </c>
      <c r="Q1741" s="1" t="s">
        <v>1489</v>
      </c>
      <c r="R1741" s="1" t="s">
        <v>1480</v>
      </c>
      <c r="S1741" s="6" t="e">
        <f t="shared" si="83"/>
        <v>#N/A</v>
      </c>
    </row>
    <row r="1742" spans="2:19" x14ac:dyDescent="0.25">
      <c r="B1742" s="1" t="s">
        <v>1479</v>
      </c>
      <c r="C1742" s="1" t="s">
        <v>1481</v>
      </c>
      <c r="D1742" s="4" t="e">
        <f>VLOOKUP(A1742,المعطيات!$A$1:$J$3500,5,0)</f>
        <v>#N/A</v>
      </c>
      <c r="E1742" s="1" t="s">
        <v>1482</v>
      </c>
      <c r="F1742" s="5">
        <f t="shared" si="81"/>
        <v>0</v>
      </c>
      <c r="G1742" s="5" t="s">
        <v>1483</v>
      </c>
      <c r="H1742" s="4" t="e">
        <f>VLOOKUP(A1742,المعطيات!$A$1:$J$3500,3,0)</f>
        <v>#N/A</v>
      </c>
      <c r="I1742" s="1" t="s">
        <v>1484</v>
      </c>
      <c r="J1742" s="1" t="s">
        <v>1485</v>
      </c>
      <c r="K1742" s="4" t="e">
        <f>VLOOKUP(A1742,المعطيات!$A$1:$J$3500,6,0)</f>
        <v>#N/A</v>
      </c>
      <c r="L1742" s="1" t="s">
        <v>1486</v>
      </c>
      <c r="M1742" s="1" t="s">
        <v>1487</v>
      </c>
      <c r="N1742" s="4" t="e">
        <f t="shared" si="82"/>
        <v>#N/A</v>
      </c>
      <c r="O1742" s="1" t="s">
        <v>1488</v>
      </c>
      <c r="P1742" s="4" t="e">
        <f>VLOOKUP(A1742,المعطيات!$A$1:$J$3500,4,0)</f>
        <v>#N/A</v>
      </c>
      <c r="Q1742" s="1" t="s">
        <v>1489</v>
      </c>
      <c r="R1742" s="1" t="s">
        <v>1480</v>
      </c>
      <c r="S1742" s="6" t="e">
        <f t="shared" si="83"/>
        <v>#N/A</v>
      </c>
    </row>
    <row r="1743" spans="2:19" x14ac:dyDescent="0.25">
      <c r="B1743" s="1" t="s">
        <v>1479</v>
      </c>
      <c r="C1743" s="1" t="s">
        <v>1481</v>
      </c>
      <c r="D1743" s="4" t="e">
        <f>VLOOKUP(A1743,المعطيات!$A$1:$J$3500,5,0)</f>
        <v>#N/A</v>
      </c>
      <c r="E1743" s="1" t="s">
        <v>1482</v>
      </c>
      <c r="F1743" s="5">
        <f t="shared" si="81"/>
        <v>0</v>
      </c>
      <c r="G1743" s="5" t="s">
        <v>1483</v>
      </c>
      <c r="H1743" s="4" t="e">
        <f>VLOOKUP(A1743,المعطيات!$A$1:$J$3500,3,0)</f>
        <v>#N/A</v>
      </c>
      <c r="I1743" s="1" t="s">
        <v>1484</v>
      </c>
      <c r="J1743" s="1" t="s">
        <v>1485</v>
      </c>
      <c r="K1743" s="4" t="e">
        <f>VLOOKUP(A1743,المعطيات!$A$1:$J$3500,6,0)</f>
        <v>#N/A</v>
      </c>
      <c r="L1743" s="1" t="s">
        <v>1486</v>
      </c>
      <c r="M1743" s="1" t="s">
        <v>1487</v>
      </c>
      <c r="N1743" s="4" t="e">
        <f t="shared" si="82"/>
        <v>#N/A</v>
      </c>
      <c r="O1743" s="1" t="s">
        <v>1488</v>
      </c>
      <c r="P1743" s="4" t="e">
        <f>VLOOKUP(A1743,المعطيات!$A$1:$J$3500,4,0)</f>
        <v>#N/A</v>
      </c>
      <c r="Q1743" s="1" t="s">
        <v>1489</v>
      </c>
      <c r="R1743" s="1" t="s">
        <v>1480</v>
      </c>
      <c r="S1743" s="6" t="e">
        <f t="shared" si="83"/>
        <v>#N/A</v>
      </c>
    </row>
    <row r="1744" spans="2:19" x14ac:dyDescent="0.25">
      <c r="B1744" s="1" t="s">
        <v>1479</v>
      </c>
      <c r="C1744" s="1" t="s">
        <v>1481</v>
      </c>
      <c r="D1744" s="4" t="e">
        <f>VLOOKUP(A1744,المعطيات!$A$1:$J$3500,5,0)</f>
        <v>#N/A</v>
      </c>
      <c r="E1744" s="1" t="s">
        <v>1482</v>
      </c>
      <c r="F1744" s="5">
        <f t="shared" si="81"/>
        <v>0</v>
      </c>
      <c r="G1744" s="5" t="s">
        <v>1483</v>
      </c>
      <c r="H1744" s="4" t="e">
        <f>VLOOKUP(A1744,المعطيات!$A$1:$J$3500,3,0)</f>
        <v>#N/A</v>
      </c>
      <c r="I1744" s="1" t="s">
        <v>1484</v>
      </c>
      <c r="J1744" s="1" t="s">
        <v>1485</v>
      </c>
      <c r="K1744" s="4" t="e">
        <f>VLOOKUP(A1744,المعطيات!$A$1:$J$3500,6,0)</f>
        <v>#N/A</v>
      </c>
      <c r="L1744" s="1" t="s">
        <v>1486</v>
      </c>
      <c r="M1744" s="1" t="s">
        <v>1487</v>
      </c>
      <c r="N1744" s="4" t="e">
        <f t="shared" si="82"/>
        <v>#N/A</v>
      </c>
      <c r="O1744" s="1" t="s">
        <v>1488</v>
      </c>
      <c r="P1744" s="4" t="e">
        <f>VLOOKUP(A1744,المعطيات!$A$1:$J$3500,4,0)</f>
        <v>#N/A</v>
      </c>
      <c r="Q1744" s="1" t="s">
        <v>1489</v>
      </c>
      <c r="R1744" s="1" t="s">
        <v>1480</v>
      </c>
      <c r="S1744" s="6" t="e">
        <f t="shared" si="83"/>
        <v>#N/A</v>
      </c>
    </row>
    <row r="1745" spans="2:19" x14ac:dyDescent="0.25">
      <c r="B1745" s="1" t="s">
        <v>1479</v>
      </c>
      <c r="C1745" s="1" t="s">
        <v>1481</v>
      </c>
      <c r="D1745" s="4" t="e">
        <f>VLOOKUP(A1745,المعطيات!$A$1:$J$3500,5,0)</f>
        <v>#N/A</v>
      </c>
      <c r="E1745" s="1" t="s">
        <v>1482</v>
      </c>
      <c r="F1745" s="5">
        <f t="shared" si="81"/>
        <v>0</v>
      </c>
      <c r="G1745" s="5" t="s">
        <v>1483</v>
      </c>
      <c r="H1745" s="4" t="e">
        <f>VLOOKUP(A1745,المعطيات!$A$1:$J$3500,3,0)</f>
        <v>#N/A</v>
      </c>
      <c r="I1745" s="1" t="s">
        <v>1484</v>
      </c>
      <c r="J1745" s="1" t="s">
        <v>1485</v>
      </c>
      <c r="K1745" s="4" t="e">
        <f>VLOOKUP(A1745,المعطيات!$A$1:$J$3500,6,0)</f>
        <v>#N/A</v>
      </c>
      <c r="L1745" s="1" t="s">
        <v>1486</v>
      </c>
      <c r="M1745" s="1" t="s">
        <v>1487</v>
      </c>
      <c r="N1745" s="4" t="e">
        <f t="shared" si="82"/>
        <v>#N/A</v>
      </c>
      <c r="O1745" s="1" t="s">
        <v>1488</v>
      </c>
      <c r="P1745" s="4" t="e">
        <f>VLOOKUP(A1745,المعطيات!$A$1:$J$3500,4,0)</f>
        <v>#N/A</v>
      </c>
      <c r="Q1745" s="1" t="s">
        <v>1489</v>
      </c>
      <c r="R1745" s="1" t="s">
        <v>1480</v>
      </c>
      <c r="S1745" s="6" t="e">
        <f t="shared" si="83"/>
        <v>#N/A</v>
      </c>
    </row>
    <row r="1746" spans="2:19" x14ac:dyDescent="0.25">
      <c r="B1746" s="1" t="s">
        <v>1479</v>
      </c>
      <c r="C1746" s="1" t="s">
        <v>1481</v>
      </c>
      <c r="D1746" s="4" t="e">
        <f>VLOOKUP(A1746,المعطيات!$A$1:$J$3500,5,0)</f>
        <v>#N/A</v>
      </c>
      <c r="E1746" s="1" t="s">
        <v>1482</v>
      </c>
      <c r="F1746" s="5">
        <f t="shared" si="81"/>
        <v>0</v>
      </c>
      <c r="G1746" s="5" t="s">
        <v>1483</v>
      </c>
      <c r="H1746" s="4" t="e">
        <f>VLOOKUP(A1746,المعطيات!$A$1:$J$3500,3,0)</f>
        <v>#N/A</v>
      </c>
      <c r="I1746" s="1" t="s">
        <v>1484</v>
      </c>
      <c r="J1746" s="1" t="s">
        <v>1485</v>
      </c>
      <c r="K1746" s="4" t="e">
        <f>VLOOKUP(A1746,المعطيات!$A$1:$J$3500,6,0)</f>
        <v>#N/A</v>
      </c>
      <c r="L1746" s="1" t="s">
        <v>1486</v>
      </c>
      <c r="M1746" s="1" t="s">
        <v>1487</v>
      </c>
      <c r="N1746" s="4" t="e">
        <f t="shared" si="82"/>
        <v>#N/A</v>
      </c>
      <c r="O1746" s="1" t="s">
        <v>1488</v>
      </c>
      <c r="P1746" s="4" t="e">
        <f>VLOOKUP(A1746,المعطيات!$A$1:$J$3500,4,0)</f>
        <v>#N/A</v>
      </c>
      <c r="Q1746" s="1" t="s">
        <v>1489</v>
      </c>
      <c r="R1746" s="1" t="s">
        <v>1480</v>
      </c>
      <c r="S1746" s="6" t="e">
        <f t="shared" si="83"/>
        <v>#N/A</v>
      </c>
    </row>
    <row r="1747" spans="2:19" x14ac:dyDescent="0.25">
      <c r="B1747" s="1" t="s">
        <v>1479</v>
      </c>
      <c r="C1747" s="1" t="s">
        <v>1481</v>
      </c>
      <c r="D1747" s="4" t="e">
        <f>VLOOKUP(A1747,المعطيات!$A$1:$J$3500,5,0)</f>
        <v>#N/A</v>
      </c>
      <c r="E1747" s="1" t="s">
        <v>1482</v>
      </c>
      <c r="F1747" s="5">
        <f t="shared" si="81"/>
        <v>0</v>
      </c>
      <c r="G1747" s="5" t="s">
        <v>1483</v>
      </c>
      <c r="H1747" s="4" t="e">
        <f>VLOOKUP(A1747,المعطيات!$A$1:$J$3500,3,0)</f>
        <v>#N/A</v>
      </c>
      <c r="I1747" s="1" t="s">
        <v>1484</v>
      </c>
      <c r="J1747" s="1" t="s">
        <v>1485</v>
      </c>
      <c r="K1747" s="4" t="e">
        <f>VLOOKUP(A1747,المعطيات!$A$1:$J$3500,6,0)</f>
        <v>#N/A</v>
      </c>
      <c r="L1747" s="1" t="s">
        <v>1486</v>
      </c>
      <c r="M1747" s="1" t="s">
        <v>1487</v>
      </c>
      <c r="N1747" s="4" t="e">
        <f t="shared" si="82"/>
        <v>#N/A</v>
      </c>
      <c r="O1747" s="1" t="s">
        <v>1488</v>
      </c>
      <c r="P1747" s="4" t="e">
        <f>VLOOKUP(A1747,المعطيات!$A$1:$J$3500,4,0)</f>
        <v>#N/A</v>
      </c>
      <c r="Q1747" s="1" t="s">
        <v>1489</v>
      </c>
      <c r="R1747" s="1" t="s">
        <v>1480</v>
      </c>
      <c r="S1747" s="6" t="e">
        <f t="shared" si="83"/>
        <v>#N/A</v>
      </c>
    </row>
    <row r="1748" spans="2:19" x14ac:dyDescent="0.25">
      <c r="B1748" s="1" t="s">
        <v>1479</v>
      </c>
      <c r="C1748" s="1" t="s">
        <v>1481</v>
      </c>
      <c r="D1748" s="4" t="e">
        <f>VLOOKUP(A1748,المعطيات!$A$1:$J$3500,5,0)</f>
        <v>#N/A</v>
      </c>
      <c r="E1748" s="1" t="s">
        <v>1482</v>
      </c>
      <c r="F1748" s="5">
        <f t="shared" si="81"/>
        <v>0</v>
      </c>
      <c r="G1748" s="5" t="s">
        <v>1483</v>
      </c>
      <c r="H1748" s="4" t="e">
        <f>VLOOKUP(A1748,المعطيات!$A$1:$J$3500,3,0)</f>
        <v>#N/A</v>
      </c>
      <c r="I1748" s="1" t="s">
        <v>1484</v>
      </c>
      <c r="J1748" s="1" t="s">
        <v>1485</v>
      </c>
      <c r="K1748" s="4" t="e">
        <f>VLOOKUP(A1748,المعطيات!$A$1:$J$3500,6,0)</f>
        <v>#N/A</v>
      </c>
      <c r="L1748" s="1" t="s">
        <v>1486</v>
      </c>
      <c r="M1748" s="1" t="s">
        <v>1487</v>
      </c>
      <c r="N1748" s="4" t="e">
        <f t="shared" si="82"/>
        <v>#N/A</v>
      </c>
      <c r="O1748" s="1" t="s">
        <v>1488</v>
      </c>
      <c r="P1748" s="4" t="e">
        <f>VLOOKUP(A1748,المعطيات!$A$1:$J$3500,4,0)</f>
        <v>#N/A</v>
      </c>
      <c r="Q1748" s="1" t="s">
        <v>1489</v>
      </c>
      <c r="R1748" s="1" t="s">
        <v>1480</v>
      </c>
      <c r="S1748" s="6" t="e">
        <f t="shared" si="83"/>
        <v>#N/A</v>
      </c>
    </row>
    <row r="1749" spans="2:19" x14ac:dyDescent="0.25">
      <c r="B1749" s="1" t="s">
        <v>1479</v>
      </c>
      <c r="C1749" s="1" t="s">
        <v>1481</v>
      </c>
      <c r="D1749" s="4" t="e">
        <f>VLOOKUP(A1749,المعطيات!$A$1:$J$3500,5,0)</f>
        <v>#N/A</v>
      </c>
      <c r="E1749" s="1" t="s">
        <v>1482</v>
      </c>
      <c r="F1749" s="5">
        <f t="shared" si="81"/>
        <v>0</v>
      </c>
      <c r="G1749" s="5" t="s">
        <v>1483</v>
      </c>
      <c r="H1749" s="4" t="e">
        <f>VLOOKUP(A1749,المعطيات!$A$1:$J$3500,3,0)</f>
        <v>#N/A</v>
      </c>
      <c r="I1749" s="1" t="s">
        <v>1484</v>
      </c>
      <c r="J1749" s="1" t="s">
        <v>1485</v>
      </c>
      <c r="K1749" s="4" t="e">
        <f>VLOOKUP(A1749,المعطيات!$A$1:$J$3500,6,0)</f>
        <v>#N/A</v>
      </c>
      <c r="L1749" s="1" t="s">
        <v>1486</v>
      </c>
      <c r="M1749" s="1" t="s">
        <v>1487</v>
      </c>
      <c r="N1749" s="4" t="e">
        <f t="shared" si="82"/>
        <v>#N/A</v>
      </c>
      <c r="O1749" s="1" t="s">
        <v>1488</v>
      </c>
      <c r="P1749" s="4" t="e">
        <f>VLOOKUP(A1749,المعطيات!$A$1:$J$3500,4,0)</f>
        <v>#N/A</v>
      </c>
      <c r="Q1749" s="1" t="s">
        <v>1489</v>
      </c>
      <c r="R1749" s="1" t="s">
        <v>1480</v>
      </c>
      <c r="S1749" s="6" t="e">
        <f t="shared" si="83"/>
        <v>#N/A</v>
      </c>
    </row>
    <row r="1750" spans="2:19" x14ac:dyDescent="0.25">
      <c r="B1750" s="1" t="s">
        <v>1479</v>
      </c>
      <c r="C1750" s="1" t="s">
        <v>1481</v>
      </c>
      <c r="D1750" s="4" t="e">
        <f>VLOOKUP(A1750,المعطيات!$A$1:$J$3500,5,0)</f>
        <v>#N/A</v>
      </c>
      <c r="E1750" s="1" t="s">
        <v>1482</v>
      </c>
      <c r="F1750" s="5">
        <f t="shared" si="81"/>
        <v>0</v>
      </c>
      <c r="G1750" s="5" t="s">
        <v>1483</v>
      </c>
      <c r="H1750" s="4" t="e">
        <f>VLOOKUP(A1750,المعطيات!$A$1:$J$3500,3,0)</f>
        <v>#N/A</v>
      </c>
      <c r="I1750" s="1" t="s">
        <v>1484</v>
      </c>
      <c r="J1750" s="1" t="s">
        <v>1485</v>
      </c>
      <c r="K1750" s="4" t="e">
        <f>VLOOKUP(A1750,المعطيات!$A$1:$J$3500,6,0)</f>
        <v>#N/A</v>
      </c>
      <c r="L1750" s="1" t="s">
        <v>1486</v>
      </c>
      <c r="M1750" s="1" t="s">
        <v>1487</v>
      </c>
      <c r="N1750" s="4" t="e">
        <f t="shared" si="82"/>
        <v>#N/A</v>
      </c>
      <c r="O1750" s="1" t="s">
        <v>1488</v>
      </c>
      <c r="P1750" s="4" t="e">
        <f>VLOOKUP(A1750,المعطيات!$A$1:$J$3500,4,0)</f>
        <v>#N/A</v>
      </c>
      <c r="Q1750" s="1" t="s">
        <v>1489</v>
      </c>
      <c r="R1750" s="1" t="s">
        <v>1480</v>
      </c>
      <c r="S1750" s="6" t="e">
        <f t="shared" si="83"/>
        <v>#N/A</v>
      </c>
    </row>
    <row r="1751" spans="2:19" x14ac:dyDescent="0.25">
      <c r="B1751" s="1" t="s">
        <v>1479</v>
      </c>
      <c r="C1751" s="1" t="s">
        <v>1481</v>
      </c>
      <c r="D1751" s="4" t="e">
        <f>VLOOKUP(A1751,المعطيات!$A$1:$J$3500,5,0)</f>
        <v>#N/A</v>
      </c>
      <c r="E1751" s="1" t="s">
        <v>1482</v>
      </c>
      <c r="F1751" s="5">
        <f t="shared" si="81"/>
        <v>0</v>
      </c>
      <c r="G1751" s="5" t="s">
        <v>1483</v>
      </c>
      <c r="H1751" s="4" t="e">
        <f>VLOOKUP(A1751,المعطيات!$A$1:$J$3500,3,0)</f>
        <v>#N/A</v>
      </c>
      <c r="I1751" s="1" t="s">
        <v>1484</v>
      </c>
      <c r="J1751" s="1" t="s">
        <v>1485</v>
      </c>
      <c r="K1751" s="4" t="e">
        <f>VLOOKUP(A1751,المعطيات!$A$1:$J$3500,6,0)</f>
        <v>#N/A</v>
      </c>
      <c r="L1751" s="1" t="s">
        <v>1486</v>
      </c>
      <c r="M1751" s="1" t="s">
        <v>1487</v>
      </c>
      <c r="N1751" s="4" t="e">
        <f t="shared" si="82"/>
        <v>#N/A</v>
      </c>
      <c r="O1751" s="1" t="s">
        <v>1488</v>
      </c>
      <c r="P1751" s="4" t="e">
        <f>VLOOKUP(A1751,المعطيات!$A$1:$J$3500,4,0)</f>
        <v>#N/A</v>
      </c>
      <c r="Q1751" s="1" t="s">
        <v>1489</v>
      </c>
      <c r="R1751" s="1" t="s">
        <v>1480</v>
      </c>
      <c r="S1751" s="6" t="e">
        <f t="shared" si="83"/>
        <v>#N/A</v>
      </c>
    </row>
    <row r="1752" spans="2:19" x14ac:dyDescent="0.25">
      <c r="B1752" s="1" t="s">
        <v>1479</v>
      </c>
      <c r="C1752" s="1" t="s">
        <v>1481</v>
      </c>
      <c r="D1752" s="4" t="e">
        <f>VLOOKUP(A1752,المعطيات!$A$1:$J$3500,5,0)</f>
        <v>#N/A</v>
      </c>
      <c r="E1752" s="1" t="s">
        <v>1482</v>
      </c>
      <c r="F1752" s="5">
        <f t="shared" si="81"/>
        <v>0</v>
      </c>
      <c r="G1752" s="5" t="s">
        <v>1483</v>
      </c>
      <c r="H1752" s="4" t="e">
        <f>VLOOKUP(A1752,المعطيات!$A$1:$J$3500,3,0)</f>
        <v>#N/A</v>
      </c>
      <c r="I1752" s="1" t="s">
        <v>1484</v>
      </c>
      <c r="J1752" s="1" t="s">
        <v>1485</v>
      </c>
      <c r="K1752" s="4" t="e">
        <f>VLOOKUP(A1752,المعطيات!$A$1:$J$3500,6,0)</f>
        <v>#N/A</v>
      </c>
      <c r="L1752" s="1" t="s">
        <v>1486</v>
      </c>
      <c r="M1752" s="1" t="s">
        <v>1487</v>
      </c>
      <c r="N1752" s="4" t="e">
        <f t="shared" si="82"/>
        <v>#N/A</v>
      </c>
      <c r="O1752" s="1" t="s">
        <v>1488</v>
      </c>
      <c r="P1752" s="4" t="e">
        <f>VLOOKUP(A1752,المعطيات!$A$1:$J$3500,4,0)</f>
        <v>#N/A</v>
      </c>
      <c r="Q1752" s="1" t="s">
        <v>1489</v>
      </c>
      <c r="R1752" s="1" t="s">
        <v>1480</v>
      </c>
      <c r="S1752" s="6" t="e">
        <f t="shared" si="83"/>
        <v>#N/A</v>
      </c>
    </row>
    <row r="1753" spans="2:19" x14ac:dyDescent="0.25">
      <c r="B1753" s="1" t="s">
        <v>1479</v>
      </c>
      <c r="C1753" s="1" t="s">
        <v>1481</v>
      </c>
      <c r="D1753" s="4" t="e">
        <f>VLOOKUP(A1753,المعطيات!$A$1:$J$3500,5,0)</f>
        <v>#N/A</v>
      </c>
      <c r="E1753" s="1" t="s">
        <v>1482</v>
      </c>
      <c r="F1753" s="5">
        <f t="shared" si="81"/>
        <v>0</v>
      </c>
      <c r="G1753" s="5" t="s">
        <v>1483</v>
      </c>
      <c r="H1753" s="4" t="e">
        <f>VLOOKUP(A1753,المعطيات!$A$1:$J$3500,3,0)</f>
        <v>#N/A</v>
      </c>
      <c r="I1753" s="1" t="s">
        <v>1484</v>
      </c>
      <c r="J1753" s="1" t="s">
        <v>1485</v>
      </c>
      <c r="K1753" s="4" t="e">
        <f>VLOOKUP(A1753,المعطيات!$A$1:$J$3500,6,0)</f>
        <v>#N/A</v>
      </c>
      <c r="L1753" s="1" t="s">
        <v>1486</v>
      </c>
      <c r="M1753" s="1" t="s">
        <v>1487</v>
      </c>
      <c r="N1753" s="4" t="e">
        <f t="shared" si="82"/>
        <v>#N/A</v>
      </c>
      <c r="O1753" s="1" t="s">
        <v>1488</v>
      </c>
      <c r="P1753" s="4" t="e">
        <f>VLOOKUP(A1753,المعطيات!$A$1:$J$3500,4,0)</f>
        <v>#N/A</v>
      </c>
      <c r="Q1753" s="1" t="s">
        <v>1489</v>
      </c>
      <c r="R1753" s="1" t="s">
        <v>1480</v>
      </c>
      <c r="S1753" s="6" t="e">
        <f t="shared" si="83"/>
        <v>#N/A</v>
      </c>
    </row>
    <row r="1754" spans="2:19" x14ac:dyDescent="0.25">
      <c r="B1754" s="1" t="s">
        <v>1479</v>
      </c>
      <c r="C1754" s="1" t="s">
        <v>1481</v>
      </c>
      <c r="D1754" s="4" t="e">
        <f>VLOOKUP(A1754,المعطيات!$A$1:$J$3500,5,0)</f>
        <v>#N/A</v>
      </c>
      <c r="E1754" s="1" t="s">
        <v>1482</v>
      </c>
      <c r="F1754" s="5">
        <f t="shared" si="81"/>
        <v>0</v>
      </c>
      <c r="G1754" s="5" t="s">
        <v>1483</v>
      </c>
      <c r="H1754" s="4" t="e">
        <f>VLOOKUP(A1754,المعطيات!$A$1:$J$3500,3,0)</f>
        <v>#N/A</v>
      </c>
      <c r="I1754" s="1" t="s">
        <v>1484</v>
      </c>
      <c r="J1754" s="1" t="s">
        <v>1485</v>
      </c>
      <c r="K1754" s="4" t="e">
        <f>VLOOKUP(A1754,المعطيات!$A$1:$J$3500,6,0)</f>
        <v>#N/A</v>
      </c>
      <c r="L1754" s="1" t="s">
        <v>1486</v>
      </c>
      <c r="M1754" s="1" t="s">
        <v>1487</v>
      </c>
      <c r="N1754" s="4" t="e">
        <f t="shared" si="82"/>
        <v>#N/A</v>
      </c>
      <c r="O1754" s="1" t="s">
        <v>1488</v>
      </c>
      <c r="P1754" s="4" t="e">
        <f>VLOOKUP(A1754,المعطيات!$A$1:$J$3500,4,0)</f>
        <v>#N/A</v>
      </c>
      <c r="Q1754" s="1" t="s">
        <v>1489</v>
      </c>
      <c r="R1754" s="1" t="s">
        <v>1480</v>
      </c>
      <c r="S1754" s="6" t="e">
        <f t="shared" si="83"/>
        <v>#N/A</v>
      </c>
    </row>
    <row r="1755" spans="2:19" x14ac:dyDescent="0.25">
      <c r="B1755" s="1" t="s">
        <v>1479</v>
      </c>
      <c r="C1755" s="1" t="s">
        <v>1481</v>
      </c>
      <c r="D1755" s="4" t="e">
        <f>VLOOKUP(A1755,المعطيات!$A$1:$J$3500,5,0)</f>
        <v>#N/A</v>
      </c>
      <c r="E1755" s="1" t="s">
        <v>1482</v>
      </c>
      <c r="F1755" s="5">
        <f t="shared" si="81"/>
        <v>0</v>
      </c>
      <c r="G1755" s="5" t="s">
        <v>1483</v>
      </c>
      <c r="H1755" s="4" t="e">
        <f>VLOOKUP(A1755,المعطيات!$A$1:$J$3500,3,0)</f>
        <v>#N/A</v>
      </c>
      <c r="I1755" s="1" t="s">
        <v>1484</v>
      </c>
      <c r="J1755" s="1" t="s">
        <v>1485</v>
      </c>
      <c r="K1755" s="4" t="e">
        <f>VLOOKUP(A1755,المعطيات!$A$1:$J$3500,6,0)</f>
        <v>#N/A</v>
      </c>
      <c r="L1755" s="1" t="s">
        <v>1486</v>
      </c>
      <c r="M1755" s="1" t="s">
        <v>1487</v>
      </c>
      <c r="N1755" s="4" t="e">
        <f t="shared" si="82"/>
        <v>#N/A</v>
      </c>
      <c r="O1755" s="1" t="s">
        <v>1488</v>
      </c>
      <c r="P1755" s="4" t="e">
        <f>VLOOKUP(A1755,المعطيات!$A$1:$J$3500,4,0)</f>
        <v>#N/A</v>
      </c>
      <c r="Q1755" s="1" t="s">
        <v>1489</v>
      </c>
      <c r="R1755" s="1" t="s">
        <v>1480</v>
      </c>
      <c r="S1755" s="6" t="e">
        <f t="shared" si="83"/>
        <v>#N/A</v>
      </c>
    </row>
    <row r="1756" spans="2:19" x14ac:dyDescent="0.25">
      <c r="B1756" s="1" t="s">
        <v>1479</v>
      </c>
      <c r="C1756" s="1" t="s">
        <v>1481</v>
      </c>
      <c r="D1756" s="4" t="e">
        <f>VLOOKUP(A1756,المعطيات!$A$1:$J$3500,5,0)</f>
        <v>#N/A</v>
      </c>
      <c r="E1756" s="1" t="s">
        <v>1482</v>
      </c>
      <c r="F1756" s="5">
        <f t="shared" si="81"/>
        <v>0</v>
      </c>
      <c r="G1756" s="5" t="s">
        <v>1483</v>
      </c>
      <c r="H1756" s="4" t="e">
        <f>VLOOKUP(A1756,المعطيات!$A$1:$J$3500,3,0)</f>
        <v>#N/A</v>
      </c>
      <c r="I1756" s="1" t="s">
        <v>1484</v>
      </c>
      <c r="J1756" s="1" t="s">
        <v>1485</v>
      </c>
      <c r="K1756" s="4" t="e">
        <f>VLOOKUP(A1756,المعطيات!$A$1:$J$3500,6,0)</f>
        <v>#N/A</v>
      </c>
      <c r="L1756" s="1" t="s">
        <v>1486</v>
      </c>
      <c r="M1756" s="1" t="s">
        <v>1487</v>
      </c>
      <c r="N1756" s="4" t="e">
        <f t="shared" si="82"/>
        <v>#N/A</v>
      </c>
      <c r="O1756" s="1" t="s">
        <v>1488</v>
      </c>
      <c r="P1756" s="4" t="e">
        <f>VLOOKUP(A1756,المعطيات!$A$1:$J$3500,4,0)</f>
        <v>#N/A</v>
      </c>
      <c r="Q1756" s="1" t="s">
        <v>1489</v>
      </c>
      <c r="R1756" s="1" t="s">
        <v>1480</v>
      </c>
      <c r="S1756" s="6" t="e">
        <f t="shared" si="83"/>
        <v>#N/A</v>
      </c>
    </row>
    <row r="1757" spans="2:19" x14ac:dyDescent="0.25">
      <c r="B1757" s="1" t="s">
        <v>1479</v>
      </c>
      <c r="C1757" s="1" t="s">
        <v>1481</v>
      </c>
      <c r="D1757" s="4" t="e">
        <f>VLOOKUP(A1757,المعطيات!$A$1:$J$3500,5,0)</f>
        <v>#N/A</v>
      </c>
      <c r="E1757" s="1" t="s">
        <v>1482</v>
      </c>
      <c r="F1757" s="5">
        <f t="shared" si="81"/>
        <v>0</v>
      </c>
      <c r="G1757" s="5" t="s">
        <v>1483</v>
      </c>
      <c r="H1757" s="4" t="e">
        <f>VLOOKUP(A1757,المعطيات!$A$1:$J$3500,3,0)</f>
        <v>#N/A</v>
      </c>
      <c r="I1757" s="1" t="s">
        <v>1484</v>
      </c>
      <c r="J1757" s="1" t="s">
        <v>1485</v>
      </c>
      <c r="K1757" s="4" t="e">
        <f>VLOOKUP(A1757,المعطيات!$A$1:$J$3500,6,0)</f>
        <v>#N/A</v>
      </c>
      <c r="L1757" s="1" t="s">
        <v>1486</v>
      </c>
      <c r="M1757" s="1" t="s">
        <v>1487</v>
      </c>
      <c r="N1757" s="4" t="e">
        <f t="shared" si="82"/>
        <v>#N/A</v>
      </c>
      <c r="O1757" s="1" t="s">
        <v>1488</v>
      </c>
      <c r="P1757" s="4" t="e">
        <f>VLOOKUP(A1757,المعطيات!$A$1:$J$3500,4,0)</f>
        <v>#N/A</v>
      </c>
      <c r="Q1757" s="1" t="s">
        <v>1489</v>
      </c>
      <c r="R1757" s="1" t="s">
        <v>1480</v>
      </c>
      <c r="S1757" s="6" t="e">
        <f t="shared" si="83"/>
        <v>#N/A</v>
      </c>
    </row>
    <row r="1758" spans="2:19" x14ac:dyDescent="0.25">
      <c r="B1758" s="1" t="s">
        <v>1479</v>
      </c>
      <c r="C1758" s="1" t="s">
        <v>1481</v>
      </c>
      <c r="D1758" s="4" t="e">
        <f>VLOOKUP(A1758,المعطيات!$A$1:$J$3500,5,0)</f>
        <v>#N/A</v>
      </c>
      <c r="E1758" s="1" t="s">
        <v>1482</v>
      </c>
      <c r="F1758" s="5">
        <f t="shared" si="81"/>
        <v>0</v>
      </c>
      <c r="G1758" s="5" t="s">
        <v>1483</v>
      </c>
      <c r="H1758" s="4" t="e">
        <f>VLOOKUP(A1758,المعطيات!$A$1:$J$3500,3,0)</f>
        <v>#N/A</v>
      </c>
      <c r="I1758" s="1" t="s">
        <v>1484</v>
      </c>
      <c r="J1758" s="1" t="s">
        <v>1485</v>
      </c>
      <c r="K1758" s="4" t="e">
        <f>VLOOKUP(A1758,المعطيات!$A$1:$J$3500,6,0)</f>
        <v>#N/A</v>
      </c>
      <c r="L1758" s="1" t="s">
        <v>1486</v>
      </c>
      <c r="M1758" s="1" t="s">
        <v>1487</v>
      </c>
      <c r="N1758" s="4" t="e">
        <f t="shared" si="82"/>
        <v>#N/A</v>
      </c>
      <c r="O1758" s="1" t="s">
        <v>1488</v>
      </c>
      <c r="P1758" s="4" t="e">
        <f>VLOOKUP(A1758,المعطيات!$A$1:$J$3500,4,0)</f>
        <v>#N/A</v>
      </c>
      <c r="Q1758" s="1" t="s">
        <v>1489</v>
      </c>
      <c r="R1758" s="1" t="s">
        <v>1480</v>
      </c>
      <c r="S1758" s="6" t="e">
        <f t="shared" si="83"/>
        <v>#N/A</v>
      </c>
    </row>
    <row r="1759" spans="2:19" x14ac:dyDescent="0.25">
      <c r="B1759" s="1" t="s">
        <v>1479</v>
      </c>
      <c r="C1759" s="1" t="s">
        <v>1481</v>
      </c>
      <c r="D1759" s="4" t="e">
        <f>VLOOKUP(A1759,المعطيات!$A$1:$J$3500,5,0)</f>
        <v>#N/A</v>
      </c>
      <c r="E1759" s="1" t="s">
        <v>1482</v>
      </c>
      <c r="F1759" s="5">
        <f t="shared" si="81"/>
        <v>0</v>
      </c>
      <c r="G1759" s="5" t="s">
        <v>1483</v>
      </c>
      <c r="H1759" s="4" t="e">
        <f>VLOOKUP(A1759,المعطيات!$A$1:$J$3500,3,0)</f>
        <v>#N/A</v>
      </c>
      <c r="I1759" s="1" t="s">
        <v>1484</v>
      </c>
      <c r="J1759" s="1" t="s">
        <v>1485</v>
      </c>
      <c r="K1759" s="4" t="e">
        <f>VLOOKUP(A1759,المعطيات!$A$1:$J$3500,6,0)</f>
        <v>#N/A</v>
      </c>
      <c r="L1759" s="1" t="s">
        <v>1486</v>
      </c>
      <c r="M1759" s="1" t="s">
        <v>1487</v>
      </c>
      <c r="N1759" s="4" t="e">
        <f t="shared" si="82"/>
        <v>#N/A</v>
      </c>
      <c r="O1759" s="1" t="s">
        <v>1488</v>
      </c>
      <c r="P1759" s="4" t="e">
        <f>VLOOKUP(A1759,المعطيات!$A$1:$J$3500,4,0)</f>
        <v>#N/A</v>
      </c>
      <c r="Q1759" s="1" t="s">
        <v>1489</v>
      </c>
      <c r="R1759" s="1" t="s">
        <v>1480</v>
      </c>
      <c r="S1759" s="6" t="e">
        <f t="shared" si="83"/>
        <v>#N/A</v>
      </c>
    </row>
    <row r="1760" spans="2:19" x14ac:dyDescent="0.25">
      <c r="B1760" s="1" t="s">
        <v>1479</v>
      </c>
      <c r="C1760" s="1" t="s">
        <v>1481</v>
      </c>
      <c r="D1760" s="4" t="e">
        <f>VLOOKUP(A1760,المعطيات!$A$1:$J$3500,5,0)</f>
        <v>#N/A</v>
      </c>
      <c r="E1760" s="1" t="s">
        <v>1482</v>
      </c>
      <c r="F1760" s="5">
        <f t="shared" si="81"/>
        <v>0</v>
      </c>
      <c r="G1760" s="5" t="s">
        <v>1483</v>
      </c>
      <c r="H1760" s="4" t="e">
        <f>VLOOKUP(A1760,المعطيات!$A$1:$J$3500,3,0)</f>
        <v>#N/A</v>
      </c>
      <c r="I1760" s="1" t="s">
        <v>1484</v>
      </c>
      <c r="J1760" s="1" t="s">
        <v>1485</v>
      </c>
      <c r="K1760" s="4" t="e">
        <f>VLOOKUP(A1760,المعطيات!$A$1:$J$3500,6,0)</f>
        <v>#N/A</v>
      </c>
      <c r="L1760" s="1" t="s">
        <v>1486</v>
      </c>
      <c r="M1760" s="1" t="s">
        <v>1487</v>
      </c>
      <c r="N1760" s="4" t="e">
        <f t="shared" si="82"/>
        <v>#N/A</v>
      </c>
      <c r="O1760" s="1" t="s">
        <v>1488</v>
      </c>
      <c r="P1760" s="4" t="e">
        <f>VLOOKUP(A1760,المعطيات!$A$1:$J$3500,4,0)</f>
        <v>#N/A</v>
      </c>
      <c r="Q1760" s="1" t="s">
        <v>1489</v>
      </c>
      <c r="R1760" s="1" t="s">
        <v>1480</v>
      </c>
      <c r="S1760" s="6" t="e">
        <f t="shared" si="83"/>
        <v>#N/A</v>
      </c>
    </row>
    <row r="1761" spans="2:19" x14ac:dyDescent="0.25">
      <c r="B1761" s="1" t="s">
        <v>1479</v>
      </c>
      <c r="C1761" s="1" t="s">
        <v>1481</v>
      </c>
      <c r="D1761" s="4" t="e">
        <f>VLOOKUP(A1761,المعطيات!$A$1:$J$3500,5,0)</f>
        <v>#N/A</v>
      </c>
      <c r="E1761" s="1" t="s">
        <v>1482</v>
      </c>
      <c r="F1761" s="5">
        <f t="shared" si="81"/>
        <v>0</v>
      </c>
      <c r="G1761" s="5" t="s">
        <v>1483</v>
      </c>
      <c r="H1761" s="4" t="e">
        <f>VLOOKUP(A1761,المعطيات!$A$1:$J$3500,3,0)</f>
        <v>#N/A</v>
      </c>
      <c r="I1761" s="1" t="s">
        <v>1484</v>
      </c>
      <c r="J1761" s="1" t="s">
        <v>1485</v>
      </c>
      <c r="K1761" s="4" t="e">
        <f>VLOOKUP(A1761,المعطيات!$A$1:$J$3500,6,0)</f>
        <v>#N/A</v>
      </c>
      <c r="L1761" s="1" t="s">
        <v>1486</v>
      </c>
      <c r="M1761" s="1" t="s">
        <v>1487</v>
      </c>
      <c r="N1761" s="4" t="e">
        <f t="shared" si="82"/>
        <v>#N/A</v>
      </c>
      <c r="O1761" s="1" t="s">
        <v>1488</v>
      </c>
      <c r="P1761" s="4" t="e">
        <f>VLOOKUP(A1761,المعطيات!$A$1:$J$3500,4,0)</f>
        <v>#N/A</v>
      </c>
      <c r="Q1761" s="1" t="s">
        <v>1489</v>
      </c>
      <c r="R1761" s="1" t="s">
        <v>1480</v>
      </c>
      <c r="S1761" s="6" t="e">
        <f t="shared" si="83"/>
        <v>#N/A</v>
      </c>
    </row>
    <row r="1762" spans="2:19" x14ac:dyDescent="0.25">
      <c r="B1762" s="1" t="s">
        <v>1479</v>
      </c>
      <c r="C1762" s="1" t="s">
        <v>1481</v>
      </c>
      <c r="D1762" s="4" t="e">
        <f>VLOOKUP(A1762,المعطيات!$A$1:$J$3500,5,0)</f>
        <v>#N/A</v>
      </c>
      <c r="E1762" s="1" t="s">
        <v>1482</v>
      </c>
      <c r="F1762" s="5">
        <f t="shared" si="81"/>
        <v>0</v>
      </c>
      <c r="G1762" s="5" t="s">
        <v>1483</v>
      </c>
      <c r="H1762" s="4" t="e">
        <f>VLOOKUP(A1762,المعطيات!$A$1:$J$3500,3,0)</f>
        <v>#N/A</v>
      </c>
      <c r="I1762" s="1" t="s">
        <v>1484</v>
      </c>
      <c r="J1762" s="1" t="s">
        <v>1485</v>
      </c>
      <c r="K1762" s="4" t="e">
        <f>VLOOKUP(A1762,المعطيات!$A$1:$J$3500,6,0)</f>
        <v>#N/A</v>
      </c>
      <c r="L1762" s="1" t="s">
        <v>1486</v>
      </c>
      <c r="M1762" s="1" t="s">
        <v>1487</v>
      </c>
      <c r="N1762" s="4" t="e">
        <f t="shared" si="82"/>
        <v>#N/A</v>
      </c>
      <c r="O1762" s="1" t="s">
        <v>1488</v>
      </c>
      <c r="P1762" s="4" t="e">
        <f>VLOOKUP(A1762,المعطيات!$A$1:$J$3500,4,0)</f>
        <v>#N/A</v>
      </c>
      <c r="Q1762" s="1" t="s">
        <v>1489</v>
      </c>
      <c r="R1762" s="1" t="s">
        <v>1480</v>
      </c>
      <c r="S1762" s="6" t="e">
        <f t="shared" si="83"/>
        <v>#N/A</v>
      </c>
    </row>
    <row r="1763" spans="2:19" x14ac:dyDescent="0.25">
      <c r="B1763" s="1" t="s">
        <v>1479</v>
      </c>
      <c r="C1763" s="1" t="s">
        <v>1481</v>
      </c>
      <c r="D1763" s="4" t="e">
        <f>VLOOKUP(A1763,المعطيات!$A$1:$J$3500,5,0)</f>
        <v>#N/A</v>
      </c>
      <c r="E1763" s="1" t="s">
        <v>1482</v>
      </c>
      <c r="F1763" s="5">
        <f t="shared" si="81"/>
        <v>0</v>
      </c>
      <c r="G1763" s="5" t="s">
        <v>1483</v>
      </c>
      <c r="H1763" s="4" t="e">
        <f>VLOOKUP(A1763,المعطيات!$A$1:$J$3500,3,0)</f>
        <v>#N/A</v>
      </c>
      <c r="I1763" s="1" t="s">
        <v>1484</v>
      </c>
      <c r="J1763" s="1" t="s">
        <v>1485</v>
      </c>
      <c r="K1763" s="4" t="e">
        <f>VLOOKUP(A1763,المعطيات!$A$1:$J$3500,6,0)</f>
        <v>#N/A</v>
      </c>
      <c r="L1763" s="1" t="s">
        <v>1486</v>
      </c>
      <c r="M1763" s="1" t="s">
        <v>1487</v>
      </c>
      <c r="N1763" s="4" t="e">
        <f t="shared" si="82"/>
        <v>#N/A</v>
      </c>
      <c r="O1763" s="1" t="s">
        <v>1488</v>
      </c>
      <c r="P1763" s="4" t="e">
        <f>VLOOKUP(A1763,المعطيات!$A$1:$J$3500,4,0)</f>
        <v>#N/A</v>
      </c>
      <c r="Q1763" s="1" t="s">
        <v>1489</v>
      </c>
      <c r="R1763" s="1" t="s">
        <v>1480</v>
      </c>
      <c r="S1763" s="6" t="e">
        <f t="shared" si="83"/>
        <v>#N/A</v>
      </c>
    </row>
    <row r="1764" spans="2:19" x14ac:dyDescent="0.25">
      <c r="B1764" s="1" t="s">
        <v>1479</v>
      </c>
      <c r="C1764" s="1" t="s">
        <v>1481</v>
      </c>
      <c r="D1764" s="4" t="e">
        <f>VLOOKUP(A1764,المعطيات!$A$1:$J$3500,5,0)</f>
        <v>#N/A</v>
      </c>
      <c r="E1764" s="1" t="s">
        <v>1482</v>
      </c>
      <c r="F1764" s="5">
        <f t="shared" si="81"/>
        <v>0</v>
      </c>
      <c r="G1764" s="5" t="s">
        <v>1483</v>
      </c>
      <c r="H1764" s="4" t="e">
        <f>VLOOKUP(A1764,المعطيات!$A$1:$J$3500,3,0)</f>
        <v>#N/A</v>
      </c>
      <c r="I1764" s="1" t="s">
        <v>1484</v>
      </c>
      <c r="J1764" s="1" t="s">
        <v>1485</v>
      </c>
      <c r="K1764" s="4" t="e">
        <f>VLOOKUP(A1764,المعطيات!$A$1:$J$3500,6,0)</f>
        <v>#N/A</v>
      </c>
      <c r="L1764" s="1" t="s">
        <v>1486</v>
      </c>
      <c r="M1764" s="1" t="s">
        <v>1487</v>
      </c>
      <c r="N1764" s="4" t="e">
        <f t="shared" si="82"/>
        <v>#N/A</v>
      </c>
      <c r="O1764" s="1" t="s">
        <v>1488</v>
      </c>
      <c r="P1764" s="4" t="e">
        <f>VLOOKUP(A1764,المعطيات!$A$1:$J$3500,4,0)</f>
        <v>#N/A</v>
      </c>
      <c r="Q1764" s="1" t="s">
        <v>1489</v>
      </c>
      <c r="R1764" s="1" t="s">
        <v>1480</v>
      </c>
      <c r="S1764" s="6" t="e">
        <f t="shared" si="83"/>
        <v>#N/A</v>
      </c>
    </row>
    <row r="1765" spans="2:19" x14ac:dyDescent="0.25">
      <c r="B1765" s="1" t="s">
        <v>1479</v>
      </c>
      <c r="C1765" s="1" t="s">
        <v>1481</v>
      </c>
      <c r="D1765" s="4" t="e">
        <f>VLOOKUP(A1765,المعطيات!$A$1:$J$3500,5,0)</f>
        <v>#N/A</v>
      </c>
      <c r="E1765" s="1" t="s">
        <v>1482</v>
      </c>
      <c r="F1765" s="5">
        <f t="shared" si="81"/>
        <v>0</v>
      </c>
      <c r="G1765" s="5" t="s">
        <v>1483</v>
      </c>
      <c r="H1765" s="4" t="e">
        <f>VLOOKUP(A1765,المعطيات!$A$1:$J$3500,3,0)</f>
        <v>#N/A</v>
      </c>
      <c r="I1765" s="1" t="s">
        <v>1484</v>
      </c>
      <c r="J1765" s="1" t="s">
        <v>1485</v>
      </c>
      <c r="K1765" s="4" t="e">
        <f>VLOOKUP(A1765,المعطيات!$A$1:$J$3500,6,0)</f>
        <v>#N/A</v>
      </c>
      <c r="L1765" s="1" t="s">
        <v>1486</v>
      </c>
      <c r="M1765" s="1" t="s">
        <v>1487</v>
      </c>
      <c r="N1765" s="4" t="e">
        <f t="shared" si="82"/>
        <v>#N/A</v>
      </c>
      <c r="O1765" s="1" t="s">
        <v>1488</v>
      </c>
      <c r="P1765" s="4" t="e">
        <f>VLOOKUP(A1765,المعطيات!$A$1:$J$3500,4,0)</f>
        <v>#N/A</v>
      </c>
      <c r="Q1765" s="1" t="s">
        <v>1489</v>
      </c>
      <c r="R1765" s="1" t="s">
        <v>1480</v>
      </c>
      <c r="S1765" s="6" t="e">
        <f t="shared" si="83"/>
        <v>#N/A</v>
      </c>
    </row>
    <row r="1766" spans="2:19" x14ac:dyDescent="0.25">
      <c r="B1766" s="1" t="s">
        <v>1479</v>
      </c>
      <c r="C1766" s="1" t="s">
        <v>1481</v>
      </c>
      <c r="D1766" s="4" t="e">
        <f>VLOOKUP(A1766,المعطيات!$A$1:$J$3500,5,0)</f>
        <v>#N/A</v>
      </c>
      <c r="E1766" s="1" t="s">
        <v>1482</v>
      </c>
      <c r="F1766" s="5">
        <f t="shared" si="81"/>
        <v>0</v>
      </c>
      <c r="G1766" s="5" t="s">
        <v>1483</v>
      </c>
      <c r="H1766" s="4" t="e">
        <f>VLOOKUP(A1766,المعطيات!$A$1:$J$3500,3,0)</f>
        <v>#N/A</v>
      </c>
      <c r="I1766" s="1" t="s">
        <v>1484</v>
      </c>
      <c r="J1766" s="1" t="s">
        <v>1485</v>
      </c>
      <c r="K1766" s="4" t="e">
        <f>VLOOKUP(A1766,المعطيات!$A$1:$J$3500,6,0)</f>
        <v>#N/A</v>
      </c>
      <c r="L1766" s="1" t="s">
        <v>1486</v>
      </c>
      <c r="M1766" s="1" t="s">
        <v>1487</v>
      </c>
      <c r="N1766" s="4" t="e">
        <f t="shared" si="82"/>
        <v>#N/A</v>
      </c>
      <c r="O1766" s="1" t="s">
        <v>1488</v>
      </c>
      <c r="P1766" s="4" t="e">
        <f>VLOOKUP(A1766,المعطيات!$A$1:$J$3500,4,0)</f>
        <v>#N/A</v>
      </c>
      <c r="Q1766" s="1" t="s">
        <v>1489</v>
      </c>
      <c r="R1766" s="1" t="s">
        <v>1480</v>
      </c>
      <c r="S1766" s="6" t="e">
        <f t="shared" si="83"/>
        <v>#N/A</v>
      </c>
    </row>
    <row r="1767" spans="2:19" x14ac:dyDescent="0.25">
      <c r="B1767" s="1" t="s">
        <v>1479</v>
      </c>
      <c r="C1767" s="1" t="s">
        <v>1481</v>
      </c>
      <c r="D1767" s="4" t="e">
        <f>VLOOKUP(A1767,المعطيات!$A$1:$J$3500,5,0)</f>
        <v>#N/A</v>
      </c>
      <c r="E1767" s="1" t="s">
        <v>1482</v>
      </c>
      <c r="F1767" s="5">
        <f t="shared" si="81"/>
        <v>0</v>
      </c>
      <c r="G1767" s="5" t="s">
        <v>1483</v>
      </c>
      <c r="H1767" s="4" t="e">
        <f>VLOOKUP(A1767,المعطيات!$A$1:$J$3500,3,0)</f>
        <v>#N/A</v>
      </c>
      <c r="I1767" s="1" t="s">
        <v>1484</v>
      </c>
      <c r="J1767" s="1" t="s">
        <v>1485</v>
      </c>
      <c r="K1767" s="4" t="e">
        <f>VLOOKUP(A1767,المعطيات!$A$1:$J$3500,6,0)</f>
        <v>#N/A</v>
      </c>
      <c r="L1767" s="1" t="s">
        <v>1486</v>
      </c>
      <c r="M1767" s="1" t="s">
        <v>1487</v>
      </c>
      <c r="N1767" s="4" t="e">
        <f t="shared" si="82"/>
        <v>#N/A</v>
      </c>
      <c r="O1767" s="1" t="s">
        <v>1488</v>
      </c>
      <c r="P1767" s="4" t="e">
        <f>VLOOKUP(A1767,المعطيات!$A$1:$J$3500,4,0)</f>
        <v>#N/A</v>
      </c>
      <c r="Q1767" s="1" t="s">
        <v>1489</v>
      </c>
      <c r="R1767" s="1" t="s">
        <v>1480</v>
      </c>
      <c r="S1767" s="6" t="e">
        <f t="shared" si="83"/>
        <v>#N/A</v>
      </c>
    </row>
    <row r="1768" spans="2:19" x14ac:dyDescent="0.25">
      <c r="B1768" s="1" t="s">
        <v>1479</v>
      </c>
      <c r="C1768" s="1" t="s">
        <v>1481</v>
      </c>
      <c r="D1768" s="4" t="e">
        <f>VLOOKUP(A1768,المعطيات!$A$1:$J$3500,5,0)</f>
        <v>#N/A</v>
      </c>
      <c r="E1768" s="1" t="s">
        <v>1482</v>
      </c>
      <c r="F1768" s="5">
        <f t="shared" si="81"/>
        <v>0</v>
      </c>
      <c r="G1768" s="5" t="s">
        <v>1483</v>
      </c>
      <c r="H1768" s="4" t="e">
        <f>VLOOKUP(A1768,المعطيات!$A$1:$J$3500,3,0)</f>
        <v>#N/A</v>
      </c>
      <c r="I1768" s="1" t="s">
        <v>1484</v>
      </c>
      <c r="J1768" s="1" t="s">
        <v>1485</v>
      </c>
      <c r="K1768" s="4" t="e">
        <f>VLOOKUP(A1768,المعطيات!$A$1:$J$3500,6,0)</f>
        <v>#N/A</v>
      </c>
      <c r="L1768" s="1" t="s">
        <v>1486</v>
      </c>
      <c r="M1768" s="1" t="s">
        <v>1487</v>
      </c>
      <c r="N1768" s="4" t="e">
        <f t="shared" si="82"/>
        <v>#N/A</v>
      </c>
      <c r="O1768" s="1" t="s">
        <v>1488</v>
      </c>
      <c r="P1768" s="4" t="e">
        <f>VLOOKUP(A1768,المعطيات!$A$1:$J$3500,4,0)</f>
        <v>#N/A</v>
      </c>
      <c r="Q1768" s="1" t="s">
        <v>1489</v>
      </c>
      <c r="R1768" s="1" t="s">
        <v>1480</v>
      </c>
      <c r="S1768" s="6" t="e">
        <f t="shared" si="83"/>
        <v>#N/A</v>
      </c>
    </row>
    <row r="1769" spans="2:19" x14ac:dyDescent="0.25">
      <c r="B1769" s="1" t="s">
        <v>1479</v>
      </c>
      <c r="C1769" s="1" t="s">
        <v>1481</v>
      </c>
      <c r="D1769" s="4" t="e">
        <f>VLOOKUP(A1769,المعطيات!$A$1:$J$3500,5,0)</f>
        <v>#N/A</v>
      </c>
      <c r="E1769" s="1" t="s">
        <v>1482</v>
      </c>
      <c r="F1769" s="5">
        <f t="shared" si="81"/>
        <v>0</v>
      </c>
      <c r="G1769" s="5" t="s">
        <v>1483</v>
      </c>
      <c r="H1769" s="4" t="e">
        <f>VLOOKUP(A1769,المعطيات!$A$1:$J$3500,3,0)</f>
        <v>#N/A</v>
      </c>
      <c r="I1769" s="1" t="s">
        <v>1484</v>
      </c>
      <c r="J1769" s="1" t="s">
        <v>1485</v>
      </c>
      <c r="K1769" s="4" t="e">
        <f>VLOOKUP(A1769,المعطيات!$A$1:$J$3500,6,0)</f>
        <v>#N/A</v>
      </c>
      <c r="L1769" s="1" t="s">
        <v>1486</v>
      </c>
      <c r="M1769" s="1" t="s">
        <v>1487</v>
      </c>
      <c r="N1769" s="4" t="e">
        <f t="shared" si="82"/>
        <v>#N/A</v>
      </c>
      <c r="O1769" s="1" t="s">
        <v>1488</v>
      </c>
      <c r="P1769" s="4" t="e">
        <f>VLOOKUP(A1769,المعطيات!$A$1:$J$3500,4,0)</f>
        <v>#N/A</v>
      </c>
      <c r="Q1769" s="1" t="s">
        <v>1489</v>
      </c>
      <c r="R1769" s="1" t="s">
        <v>1480</v>
      </c>
      <c r="S1769" s="6" t="e">
        <f t="shared" si="83"/>
        <v>#N/A</v>
      </c>
    </row>
    <row r="1770" spans="2:19" x14ac:dyDescent="0.25">
      <c r="B1770" s="1" t="s">
        <v>1479</v>
      </c>
      <c r="C1770" s="1" t="s">
        <v>1481</v>
      </c>
      <c r="D1770" s="4" t="e">
        <f>VLOOKUP(A1770,المعطيات!$A$1:$J$3500,5,0)</f>
        <v>#N/A</v>
      </c>
      <c r="E1770" s="1" t="s">
        <v>1482</v>
      </c>
      <c r="F1770" s="5">
        <f t="shared" si="81"/>
        <v>0</v>
      </c>
      <c r="G1770" s="5" t="s">
        <v>1483</v>
      </c>
      <c r="H1770" s="4" t="e">
        <f>VLOOKUP(A1770,المعطيات!$A$1:$J$3500,3,0)</f>
        <v>#N/A</v>
      </c>
      <c r="I1770" s="1" t="s">
        <v>1484</v>
      </c>
      <c r="J1770" s="1" t="s">
        <v>1485</v>
      </c>
      <c r="K1770" s="4" t="e">
        <f>VLOOKUP(A1770,المعطيات!$A$1:$J$3500,6,0)</f>
        <v>#N/A</v>
      </c>
      <c r="L1770" s="1" t="s">
        <v>1486</v>
      </c>
      <c r="M1770" s="1" t="s">
        <v>1487</v>
      </c>
      <c r="N1770" s="4" t="e">
        <f t="shared" si="82"/>
        <v>#N/A</v>
      </c>
      <c r="O1770" s="1" t="s">
        <v>1488</v>
      </c>
      <c r="P1770" s="4" t="e">
        <f>VLOOKUP(A1770,المعطيات!$A$1:$J$3500,4,0)</f>
        <v>#N/A</v>
      </c>
      <c r="Q1770" s="1" t="s">
        <v>1489</v>
      </c>
      <c r="R1770" s="1" t="s">
        <v>1480</v>
      </c>
      <c r="S1770" s="6" t="e">
        <f t="shared" si="83"/>
        <v>#N/A</v>
      </c>
    </row>
    <row r="1771" spans="2:19" x14ac:dyDescent="0.25">
      <c r="B1771" s="1" t="s">
        <v>1479</v>
      </c>
      <c r="C1771" s="1" t="s">
        <v>1481</v>
      </c>
      <c r="D1771" s="4" t="e">
        <f>VLOOKUP(A1771,المعطيات!$A$1:$J$3500,5,0)</f>
        <v>#N/A</v>
      </c>
      <c r="E1771" s="1" t="s">
        <v>1482</v>
      </c>
      <c r="F1771" s="5">
        <f t="shared" si="81"/>
        <v>0</v>
      </c>
      <c r="G1771" s="5" t="s">
        <v>1483</v>
      </c>
      <c r="H1771" s="4" t="e">
        <f>VLOOKUP(A1771,المعطيات!$A$1:$J$3500,3,0)</f>
        <v>#N/A</v>
      </c>
      <c r="I1771" s="1" t="s">
        <v>1484</v>
      </c>
      <c r="J1771" s="1" t="s">
        <v>1485</v>
      </c>
      <c r="K1771" s="4" t="e">
        <f>VLOOKUP(A1771,المعطيات!$A$1:$J$3500,6,0)</f>
        <v>#N/A</v>
      </c>
      <c r="L1771" s="1" t="s">
        <v>1486</v>
      </c>
      <c r="M1771" s="1" t="s">
        <v>1487</v>
      </c>
      <c r="N1771" s="4" t="e">
        <f t="shared" si="82"/>
        <v>#N/A</v>
      </c>
      <c r="O1771" s="1" t="s">
        <v>1488</v>
      </c>
      <c r="P1771" s="4" t="e">
        <f>VLOOKUP(A1771,المعطيات!$A$1:$J$3500,4,0)</f>
        <v>#N/A</v>
      </c>
      <c r="Q1771" s="1" t="s">
        <v>1489</v>
      </c>
      <c r="R1771" s="1" t="s">
        <v>1480</v>
      </c>
      <c r="S1771" s="6" t="e">
        <f t="shared" si="83"/>
        <v>#N/A</v>
      </c>
    </row>
    <row r="1772" spans="2:19" x14ac:dyDescent="0.25">
      <c r="B1772" s="1" t="s">
        <v>1479</v>
      </c>
      <c r="C1772" s="1" t="s">
        <v>1481</v>
      </c>
      <c r="D1772" s="4" t="e">
        <f>VLOOKUP(A1772,المعطيات!$A$1:$J$3500,5,0)</f>
        <v>#N/A</v>
      </c>
      <c r="E1772" s="1" t="s">
        <v>1482</v>
      </c>
      <c r="F1772" s="5">
        <f t="shared" si="81"/>
        <v>0</v>
      </c>
      <c r="G1772" s="5" t="s">
        <v>1483</v>
      </c>
      <c r="H1772" s="4" t="e">
        <f>VLOOKUP(A1772,المعطيات!$A$1:$J$3500,3,0)</f>
        <v>#N/A</v>
      </c>
      <c r="I1772" s="1" t="s">
        <v>1484</v>
      </c>
      <c r="J1772" s="1" t="s">
        <v>1485</v>
      </c>
      <c r="K1772" s="4" t="e">
        <f>VLOOKUP(A1772,المعطيات!$A$1:$J$3500,6,0)</f>
        <v>#N/A</v>
      </c>
      <c r="L1772" s="1" t="s">
        <v>1486</v>
      </c>
      <c r="M1772" s="1" t="s">
        <v>1487</v>
      </c>
      <c r="N1772" s="4" t="e">
        <f t="shared" si="82"/>
        <v>#N/A</v>
      </c>
      <c r="O1772" s="1" t="s">
        <v>1488</v>
      </c>
      <c r="P1772" s="4" t="e">
        <f>VLOOKUP(A1772,المعطيات!$A$1:$J$3500,4,0)</f>
        <v>#N/A</v>
      </c>
      <c r="Q1772" s="1" t="s">
        <v>1489</v>
      </c>
      <c r="R1772" s="1" t="s">
        <v>1480</v>
      </c>
      <c r="S1772" s="6" t="e">
        <f t="shared" si="83"/>
        <v>#N/A</v>
      </c>
    </row>
    <row r="1773" spans="2:19" x14ac:dyDescent="0.25">
      <c r="B1773" s="1" t="s">
        <v>1479</v>
      </c>
      <c r="C1773" s="1" t="s">
        <v>1481</v>
      </c>
      <c r="D1773" s="4" t="e">
        <f>VLOOKUP(A1773,المعطيات!$A$1:$J$3500,5,0)</f>
        <v>#N/A</v>
      </c>
      <c r="E1773" s="1" t="s">
        <v>1482</v>
      </c>
      <c r="F1773" s="5">
        <f t="shared" si="81"/>
        <v>0</v>
      </c>
      <c r="G1773" s="5" t="s">
        <v>1483</v>
      </c>
      <c r="H1773" s="4" t="e">
        <f>VLOOKUP(A1773,المعطيات!$A$1:$J$3500,3,0)</f>
        <v>#N/A</v>
      </c>
      <c r="I1773" s="1" t="s">
        <v>1484</v>
      </c>
      <c r="J1773" s="1" t="s">
        <v>1485</v>
      </c>
      <c r="K1773" s="4" t="e">
        <f>VLOOKUP(A1773,المعطيات!$A$1:$J$3500,6,0)</f>
        <v>#N/A</v>
      </c>
      <c r="L1773" s="1" t="s">
        <v>1486</v>
      </c>
      <c r="M1773" s="1" t="s">
        <v>1487</v>
      </c>
      <c r="N1773" s="4" t="e">
        <f t="shared" si="82"/>
        <v>#N/A</v>
      </c>
      <c r="O1773" s="1" t="s">
        <v>1488</v>
      </c>
      <c r="P1773" s="4" t="e">
        <f>VLOOKUP(A1773,المعطيات!$A$1:$J$3500,4,0)</f>
        <v>#N/A</v>
      </c>
      <c r="Q1773" s="1" t="s">
        <v>1489</v>
      </c>
      <c r="R1773" s="1" t="s">
        <v>1480</v>
      </c>
      <c r="S1773" s="6" t="e">
        <f t="shared" si="83"/>
        <v>#N/A</v>
      </c>
    </row>
    <row r="1774" spans="2:19" x14ac:dyDescent="0.25">
      <c r="B1774" s="1" t="s">
        <v>1479</v>
      </c>
      <c r="C1774" s="1" t="s">
        <v>1481</v>
      </c>
      <c r="D1774" s="4" t="e">
        <f>VLOOKUP(A1774,المعطيات!$A$1:$J$3500,5,0)</f>
        <v>#N/A</v>
      </c>
      <c r="E1774" s="1" t="s">
        <v>1482</v>
      </c>
      <c r="F1774" s="5">
        <f t="shared" si="81"/>
        <v>0</v>
      </c>
      <c r="G1774" s="5" t="s">
        <v>1483</v>
      </c>
      <c r="H1774" s="4" t="e">
        <f>VLOOKUP(A1774,المعطيات!$A$1:$J$3500,3,0)</f>
        <v>#N/A</v>
      </c>
      <c r="I1774" s="1" t="s">
        <v>1484</v>
      </c>
      <c r="J1774" s="1" t="s">
        <v>1485</v>
      </c>
      <c r="K1774" s="4" t="e">
        <f>VLOOKUP(A1774,المعطيات!$A$1:$J$3500,6,0)</f>
        <v>#N/A</v>
      </c>
      <c r="L1774" s="1" t="s">
        <v>1486</v>
      </c>
      <c r="M1774" s="1" t="s">
        <v>1487</v>
      </c>
      <c r="N1774" s="4" t="e">
        <f t="shared" si="82"/>
        <v>#N/A</v>
      </c>
      <c r="O1774" s="1" t="s">
        <v>1488</v>
      </c>
      <c r="P1774" s="4" t="e">
        <f>VLOOKUP(A1774,المعطيات!$A$1:$J$3500,4,0)</f>
        <v>#N/A</v>
      </c>
      <c r="Q1774" s="1" t="s">
        <v>1489</v>
      </c>
      <c r="R1774" s="1" t="s">
        <v>1480</v>
      </c>
      <c r="S1774" s="6" t="e">
        <f t="shared" si="83"/>
        <v>#N/A</v>
      </c>
    </row>
    <row r="1775" spans="2:19" x14ac:dyDescent="0.25">
      <c r="B1775" s="1" t="s">
        <v>1479</v>
      </c>
      <c r="C1775" s="1" t="s">
        <v>1481</v>
      </c>
      <c r="D1775" s="4" t="e">
        <f>VLOOKUP(A1775,المعطيات!$A$1:$J$3500,5,0)</f>
        <v>#N/A</v>
      </c>
      <c r="E1775" s="1" t="s">
        <v>1482</v>
      </c>
      <c r="F1775" s="5">
        <f t="shared" si="81"/>
        <v>0</v>
      </c>
      <c r="G1775" s="5" t="s">
        <v>1483</v>
      </c>
      <c r="H1775" s="4" t="e">
        <f>VLOOKUP(A1775,المعطيات!$A$1:$J$3500,3,0)</f>
        <v>#N/A</v>
      </c>
      <c r="I1775" s="1" t="s">
        <v>1484</v>
      </c>
      <c r="J1775" s="1" t="s">
        <v>1485</v>
      </c>
      <c r="K1775" s="4" t="e">
        <f>VLOOKUP(A1775,المعطيات!$A$1:$J$3500,6,0)</f>
        <v>#N/A</v>
      </c>
      <c r="L1775" s="1" t="s">
        <v>1486</v>
      </c>
      <c r="M1775" s="1" t="s">
        <v>1487</v>
      </c>
      <c r="N1775" s="4" t="e">
        <f t="shared" si="82"/>
        <v>#N/A</v>
      </c>
      <c r="O1775" s="1" t="s">
        <v>1488</v>
      </c>
      <c r="P1775" s="4" t="e">
        <f>VLOOKUP(A1775,المعطيات!$A$1:$J$3500,4,0)</f>
        <v>#N/A</v>
      </c>
      <c r="Q1775" s="1" t="s">
        <v>1489</v>
      </c>
      <c r="R1775" s="1" t="s">
        <v>1480</v>
      </c>
      <c r="S1775" s="6" t="e">
        <f t="shared" si="83"/>
        <v>#N/A</v>
      </c>
    </row>
    <row r="1776" spans="2:19" x14ac:dyDescent="0.25">
      <c r="B1776" s="1" t="s">
        <v>1479</v>
      </c>
      <c r="C1776" s="1" t="s">
        <v>1481</v>
      </c>
      <c r="D1776" s="4" t="e">
        <f>VLOOKUP(A1776,المعطيات!$A$1:$J$3500,5,0)</f>
        <v>#N/A</v>
      </c>
      <c r="E1776" s="1" t="s">
        <v>1482</v>
      </c>
      <c r="F1776" s="5">
        <f t="shared" si="81"/>
        <v>0</v>
      </c>
      <c r="G1776" s="5" t="s">
        <v>1483</v>
      </c>
      <c r="H1776" s="4" t="e">
        <f>VLOOKUP(A1776,المعطيات!$A$1:$J$3500,3,0)</f>
        <v>#N/A</v>
      </c>
      <c r="I1776" s="1" t="s">
        <v>1484</v>
      </c>
      <c r="J1776" s="1" t="s">
        <v>1485</v>
      </c>
      <c r="K1776" s="4" t="e">
        <f>VLOOKUP(A1776,المعطيات!$A$1:$J$3500,6,0)</f>
        <v>#N/A</v>
      </c>
      <c r="L1776" s="1" t="s">
        <v>1486</v>
      </c>
      <c r="M1776" s="1" t="s">
        <v>1487</v>
      </c>
      <c r="N1776" s="4" t="e">
        <f t="shared" si="82"/>
        <v>#N/A</v>
      </c>
      <c r="O1776" s="1" t="s">
        <v>1488</v>
      </c>
      <c r="P1776" s="4" t="e">
        <f>VLOOKUP(A1776,المعطيات!$A$1:$J$3500,4,0)</f>
        <v>#N/A</v>
      </c>
      <c r="Q1776" s="1" t="s">
        <v>1489</v>
      </c>
      <c r="R1776" s="1" t="s">
        <v>1480</v>
      </c>
      <c r="S1776" s="6" t="e">
        <f t="shared" si="83"/>
        <v>#N/A</v>
      </c>
    </row>
    <row r="1777" spans="2:19" x14ac:dyDescent="0.25">
      <c r="B1777" s="1" t="s">
        <v>1479</v>
      </c>
      <c r="C1777" s="1" t="s">
        <v>1481</v>
      </c>
      <c r="D1777" s="4" t="e">
        <f>VLOOKUP(A1777,المعطيات!$A$1:$J$3500,5,0)</f>
        <v>#N/A</v>
      </c>
      <c r="E1777" s="1" t="s">
        <v>1482</v>
      </c>
      <c r="F1777" s="5">
        <f t="shared" si="81"/>
        <v>0</v>
      </c>
      <c r="G1777" s="5" t="s">
        <v>1483</v>
      </c>
      <c r="H1777" s="4" t="e">
        <f>VLOOKUP(A1777,المعطيات!$A$1:$J$3500,3,0)</f>
        <v>#N/A</v>
      </c>
      <c r="I1777" s="1" t="s">
        <v>1484</v>
      </c>
      <c r="J1777" s="1" t="s">
        <v>1485</v>
      </c>
      <c r="K1777" s="4" t="e">
        <f>VLOOKUP(A1777,المعطيات!$A$1:$J$3500,6,0)</f>
        <v>#N/A</v>
      </c>
      <c r="L1777" s="1" t="s">
        <v>1486</v>
      </c>
      <c r="M1777" s="1" t="s">
        <v>1487</v>
      </c>
      <c r="N1777" s="4" t="e">
        <f t="shared" si="82"/>
        <v>#N/A</v>
      </c>
      <c r="O1777" s="1" t="s">
        <v>1488</v>
      </c>
      <c r="P1777" s="4" t="e">
        <f>VLOOKUP(A1777,المعطيات!$A$1:$J$3500,4,0)</f>
        <v>#N/A</v>
      </c>
      <c r="Q1777" s="1" t="s">
        <v>1489</v>
      </c>
      <c r="R1777" s="1" t="s">
        <v>1480</v>
      </c>
      <c r="S1777" s="6" t="e">
        <f t="shared" si="83"/>
        <v>#N/A</v>
      </c>
    </row>
    <row r="1778" spans="2:19" x14ac:dyDescent="0.25">
      <c r="B1778" s="1" t="s">
        <v>1479</v>
      </c>
      <c r="C1778" s="1" t="s">
        <v>1481</v>
      </c>
      <c r="D1778" s="4" t="e">
        <f>VLOOKUP(A1778,المعطيات!$A$1:$J$3500,5,0)</f>
        <v>#N/A</v>
      </c>
      <c r="E1778" s="1" t="s">
        <v>1482</v>
      </c>
      <c r="F1778" s="5">
        <f t="shared" si="81"/>
        <v>0</v>
      </c>
      <c r="G1778" s="5" t="s">
        <v>1483</v>
      </c>
      <c r="H1778" s="4" t="e">
        <f>VLOOKUP(A1778,المعطيات!$A$1:$J$3500,3,0)</f>
        <v>#N/A</v>
      </c>
      <c r="I1778" s="1" t="s">
        <v>1484</v>
      </c>
      <c r="J1778" s="1" t="s">
        <v>1485</v>
      </c>
      <c r="K1778" s="4" t="e">
        <f>VLOOKUP(A1778,المعطيات!$A$1:$J$3500,6,0)</f>
        <v>#N/A</v>
      </c>
      <c r="L1778" s="1" t="s">
        <v>1486</v>
      </c>
      <c r="M1778" s="1" t="s">
        <v>1487</v>
      </c>
      <c r="N1778" s="4" t="e">
        <f t="shared" si="82"/>
        <v>#N/A</v>
      </c>
      <c r="O1778" s="1" t="s">
        <v>1488</v>
      </c>
      <c r="P1778" s="4" t="e">
        <f>VLOOKUP(A1778,المعطيات!$A$1:$J$3500,4,0)</f>
        <v>#N/A</v>
      </c>
      <c r="Q1778" s="1" t="s">
        <v>1489</v>
      </c>
      <c r="R1778" s="1" t="s">
        <v>1480</v>
      </c>
      <c r="S1778" s="6" t="e">
        <f t="shared" si="83"/>
        <v>#N/A</v>
      </c>
    </row>
    <row r="1779" spans="2:19" x14ac:dyDescent="0.25">
      <c r="B1779" s="1" t="s">
        <v>1479</v>
      </c>
      <c r="C1779" s="1" t="s">
        <v>1481</v>
      </c>
      <c r="D1779" s="4" t="e">
        <f>VLOOKUP(A1779,المعطيات!$A$1:$J$3500,5,0)</f>
        <v>#N/A</v>
      </c>
      <c r="E1779" s="1" t="s">
        <v>1482</v>
      </c>
      <c r="F1779" s="5">
        <f t="shared" si="81"/>
        <v>0</v>
      </c>
      <c r="G1779" s="5" t="s">
        <v>1483</v>
      </c>
      <c r="H1779" s="4" t="e">
        <f>VLOOKUP(A1779,المعطيات!$A$1:$J$3500,3,0)</f>
        <v>#N/A</v>
      </c>
      <c r="I1779" s="1" t="s">
        <v>1484</v>
      </c>
      <c r="J1779" s="1" t="s">
        <v>1485</v>
      </c>
      <c r="K1779" s="4" t="e">
        <f>VLOOKUP(A1779,المعطيات!$A$1:$J$3500,6,0)</f>
        <v>#N/A</v>
      </c>
      <c r="L1779" s="1" t="s">
        <v>1486</v>
      </c>
      <c r="M1779" s="1" t="s">
        <v>1487</v>
      </c>
      <c r="N1779" s="4" t="e">
        <f t="shared" si="82"/>
        <v>#N/A</v>
      </c>
      <c r="O1779" s="1" t="s">
        <v>1488</v>
      </c>
      <c r="P1779" s="4" t="e">
        <f>VLOOKUP(A1779,المعطيات!$A$1:$J$3500,4,0)</f>
        <v>#N/A</v>
      </c>
      <c r="Q1779" s="1" t="s">
        <v>1489</v>
      </c>
      <c r="R1779" s="1" t="s">
        <v>1480</v>
      </c>
      <c r="S1779" s="6" t="e">
        <f t="shared" si="83"/>
        <v>#N/A</v>
      </c>
    </row>
    <row r="1780" spans="2:19" x14ac:dyDescent="0.25">
      <c r="B1780" s="1" t="s">
        <v>1479</v>
      </c>
      <c r="C1780" s="1" t="s">
        <v>1481</v>
      </c>
      <c r="D1780" s="4" t="e">
        <f>VLOOKUP(A1780,المعطيات!$A$1:$J$3500,5,0)</f>
        <v>#N/A</v>
      </c>
      <c r="E1780" s="1" t="s">
        <v>1482</v>
      </c>
      <c r="F1780" s="5">
        <f t="shared" si="81"/>
        <v>0</v>
      </c>
      <c r="G1780" s="5" t="s">
        <v>1483</v>
      </c>
      <c r="H1780" s="4" t="e">
        <f>VLOOKUP(A1780,المعطيات!$A$1:$J$3500,3,0)</f>
        <v>#N/A</v>
      </c>
      <c r="I1780" s="1" t="s">
        <v>1484</v>
      </c>
      <c r="J1780" s="1" t="s">
        <v>1485</v>
      </c>
      <c r="K1780" s="4" t="e">
        <f>VLOOKUP(A1780,المعطيات!$A$1:$J$3500,6,0)</f>
        <v>#N/A</v>
      </c>
      <c r="L1780" s="1" t="s">
        <v>1486</v>
      </c>
      <c r="M1780" s="1" t="s">
        <v>1487</v>
      </c>
      <c r="N1780" s="4" t="e">
        <f t="shared" si="82"/>
        <v>#N/A</v>
      </c>
      <c r="O1780" s="1" t="s">
        <v>1488</v>
      </c>
      <c r="P1780" s="4" t="e">
        <f>VLOOKUP(A1780,المعطيات!$A$1:$J$3500,4,0)</f>
        <v>#N/A</v>
      </c>
      <c r="Q1780" s="1" t="s">
        <v>1489</v>
      </c>
      <c r="R1780" s="1" t="s">
        <v>1480</v>
      </c>
      <c r="S1780" s="6" t="e">
        <f t="shared" si="83"/>
        <v>#N/A</v>
      </c>
    </row>
    <row r="1781" spans="2:19" x14ac:dyDescent="0.25">
      <c r="B1781" s="1" t="s">
        <v>1479</v>
      </c>
      <c r="C1781" s="1" t="s">
        <v>1481</v>
      </c>
      <c r="D1781" s="4" t="e">
        <f>VLOOKUP(A1781,المعطيات!$A$1:$J$3500,5,0)</f>
        <v>#N/A</v>
      </c>
      <c r="E1781" s="1" t="s">
        <v>1482</v>
      </c>
      <c r="F1781" s="5">
        <f t="shared" si="81"/>
        <v>0</v>
      </c>
      <c r="G1781" s="5" t="s">
        <v>1483</v>
      </c>
      <c r="H1781" s="4" t="e">
        <f>VLOOKUP(A1781,المعطيات!$A$1:$J$3500,3,0)</f>
        <v>#N/A</v>
      </c>
      <c r="I1781" s="1" t="s">
        <v>1484</v>
      </c>
      <c r="J1781" s="1" t="s">
        <v>1485</v>
      </c>
      <c r="K1781" s="4" t="e">
        <f>VLOOKUP(A1781,المعطيات!$A$1:$J$3500,6,0)</f>
        <v>#N/A</v>
      </c>
      <c r="L1781" s="1" t="s">
        <v>1486</v>
      </c>
      <c r="M1781" s="1" t="s">
        <v>1487</v>
      </c>
      <c r="N1781" s="4" t="e">
        <f t="shared" si="82"/>
        <v>#N/A</v>
      </c>
      <c r="O1781" s="1" t="s">
        <v>1488</v>
      </c>
      <c r="P1781" s="4" t="e">
        <f>VLOOKUP(A1781,المعطيات!$A$1:$J$3500,4,0)</f>
        <v>#N/A</v>
      </c>
      <c r="Q1781" s="1" t="s">
        <v>1489</v>
      </c>
      <c r="R1781" s="1" t="s">
        <v>1480</v>
      </c>
      <c r="S1781" s="6" t="e">
        <f t="shared" si="83"/>
        <v>#N/A</v>
      </c>
    </row>
    <row r="1782" spans="2:19" x14ac:dyDescent="0.25">
      <c r="B1782" s="1" t="s">
        <v>1479</v>
      </c>
      <c r="C1782" s="1" t="s">
        <v>1481</v>
      </c>
      <c r="D1782" s="4" t="e">
        <f>VLOOKUP(A1782,المعطيات!$A$1:$J$3500,5,0)</f>
        <v>#N/A</v>
      </c>
      <c r="E1782" s="1" t="s">
        <v>1482</v>
      </c>
      <c r="F1782" s="5">
        <f t="shared" si="81"/>
        <v>0</v>
      </c>
      <c r="G1782" s="5" t="s">
        <v>1483</v>
      </c>
      <c r="H1782" s="4" t="e">
        <f>VLOOKUP(A1782,المعطيات!$A$1:$J$3500,3,0)</f>
        <v>#N/A</v>
      </c>
      <c r="I1782" s="1" t="s">
        <v>1484</v>
      </c>
      <c r="J1782" s="1" t="s">
        <v>1485</v>
      </c>
      <c r="K1782" s="4" t="e">
        <f>VLOOKUP(A1782,المعطيات!$A$1:$J$3500,6,0)</f>
        <v>#N/A</v>
      </c>
      <c r="L1782" s="1" t="s">
        <v>1486</v>
      </c>
      <c r="M1782" s="1" t="s">
        <v>1487</v>
      </c>
      <c r="N1782" s="4" t="e">
        <f t="shared" si="82"/>
        <v>#N/A</v>
      </c>
      <c r="O1782" s="1" t="s">
        <v>1488</v>
      </c>
      <c r="P1782" s="4" t="e">
        <f>VLOOKUP(A1782,المعطيات!$A$1:$J$3500,4,0)</f>
        <v>#N/A</v>
      </c>
      <c r="Q1782" s="1" t="s">
        <v>1489</v>
      </c>
      <c r="R1782" s="1" t="s">
        <v>1480</v>
      </c>
      <c r="S1782" s="6" t="e">
        <f t="shared" si="83"/>
        <v>#N/A</v>
      </c>
    </row>
    <row r="1783" spans="2:19" x14ac:dyDescent="0.25">
      <c r="B1783" s="1" t="s">
        <v>1479</v>
      </c>
      <c r="C1783" s="1" t="s">
        <v>1481</v>
      </c>
      <c r="D1783" s="4" t="e">
        <f>VLOOKUP(A1783,المعطيات!$A$1:$J$3500,5,0)</f>
        <v>#N/A</v>
      </c>
      <c r="E1783" s="1" t="s">
        <v>1482</v>
      </c>
      <c r="F1783" s="5">
        <f t="shared" si="81"/>
        <v>0</v>
      </c>
      <c r="G1783" s="5" t="s">
        <v>1483</v>
      </c>
      <c r="H1783" s="4" t="e">
        <f>VLOOKUP(A1783,المعطيات!$A$1:$J$3500,3,0)</f>
        <v>#N/A</v>
      </c>
      <c r="I1783" s="1" t="s">
        <v>1484</v>
      </c>
      <c r="J1783" s="1" t="s">
        <v>1485</v>
      </c>
      <c r="K1783" s="4" t="e">
        <f>VLOOKUP(A1783,المعطيات!$A$1:$J$3500,6,0)</f>
        <v>#N/A</v>
      </c>
      <c r="L1783" s="1" t="s">
        <v>1486</v>
      </c>
      <c r="M1783" s="1" t="s">
        <v>1487</v>
      </c>
      <c r="N1783" s="4" t="e">
        <f t="shared" si="82"/>
        <v>#N/A</v>
      </c>
      <c r="O1783" s="1" t="s">
        <v>1488</v>
      </c>
      <c r="P1783" s="4" t="e">
        <f>VLOOKUP(A1783,المعطيات!$A$1:$J$3500,4,0)</f>
        <v>#N/A</v>
      </c>
      <c r="Q1783" s="1" t="s">
        <v>1489</v>
      </c>
      <c r="R1783" s="1" t="s">
        <v>1480</v>
      </c>
      <c r="S1783" s="6" t="e">
        <f t="shared" si="83"/>
        <v>#N/A</v>
      </c>
    </row>
    <row r="1784" spans="2:19" x14ac:dyDescent="0.25">
      <c r="B1784" s="1" t="s">
        <v>1479</v>
      </c>
      <c r="C1784" s="1" t="s">
        <v>1481</v>
      </c>
      <c r="D1784" s="4" t="e">
        <f>VLOOKUP(A1784,المعطيات!$A$1:$J$3500,5,0)</f>
        <v>#N/A</v>
      </c>
      <c r="E1784" s="1" t="s">
        <v>1482</v>
      </c>
      <c r="F1784" s="5">
        <f t="shared" si="81"/>
        <v>0</v>
      </c>
      <c r="G1784" s="5" t="s">
        <v>1483</v>
      </c>
      <c r="H1784" s="4" t="e">
        <f>VLOOKUP(A1784,المعطيات!$A$1:$J$3500,3,0)</f>
        <v>#N/A</v>
      </c>
      <c r="I1784" s="1" t="s">
        <v>1484</v>
      </c>
      <c r="J1784" s="1" t="s">
        <v>1485</v>
      </c>
      <c r="K1784" s="4" t="e">
        <f>VLOOKUP(A1784,المعطيات!$A$1:$J$3500,6,0)</f>
        <v>#N/A</v>
      </c>
      <c r="L1784" s="1" t="s">
        <v>1486</v>
      </c>
      <c r="M1784" s="1" t="s">
        <v>1487</v>
      </c>
      <c r="N1784" s="4" t="e">
        <f t="shared" si="82"/>
        <v>#N/A</v>
      </c>
      <c r="O1784" s="1" t="s">
        <v>1488</v>
      </c>
      <c r="P1784" s="4" t="e">
        <f>VLOOKUP(A1784,المعطيات!$A$1:$J$3500,4,0)</f>
        <v>#N/A</v>
      </c>
      <c r="Q1784" s="1" t="s">
        <v>1489</v>
      </c>
      <c r="R1784" s="1" t="s">
        <v>1480</v>
      </c>
      <c r="S1784" s="6" t="e">
        <f t="shared" si="83"/>
        <v>#N/A</v>
      </c>
    </row>
    <row r="1785" spans="2:19" x14ac:dyDescent="0.25">
      <c r="B1785" s="1" t="s">
        <v>1479</v>
      </c>
      <c r="C1785" s="1" t="s">
        <v>1481</v>
      </c>
      <c r="D1785" s="4" t="e">
        <f>VLOOKUP(A1785,المعطيات!$A$1:$J$3500,5,0)</f>
        <v>#N/A</v>
      </c>
      <c r="E1785" s="1" t="s">
        <v>1482</v>
      </c>
      <c r="F1785" s="5">
        <f t="shared" si="81"/>
        <v>0</v>
      </c>
      <c r="G1785" s="5" t="s">
        <v>1483</v>
      </c>
      <c r="H1785" s="4" t="e">
        <f>VLOOKUP(A1785,المعطيات!$A$1:$J$3500,3,0)</f>
        <v>#N/A</v>
      </c>
      <c r="I1785" s="1" t="s">
        <v>1484</v>
      </c>
      <c r="J1785" s="1" t="s">
        <v>1485</v>
      </c>
      <c r="K1785" s="4" t="e">
        <f>VLOOKUP(A1785,المعطيات!$A$1:$J$3500,6,0)</f>
        <v>#N/A</v>
      </c>
      <c r="L1785" s="1" t="s">
        <v>1486</v>
      </c>
      <c r="M1785" s="1" t="s">
        <v>1487</v>
      </c>
      <c r="N1785" s="4" t="e">
        <f t="shared" si="82"/>
        <v>#N/A</v>
      </c>
      <c r="O1785" s="1" t="s">
        <v>1488</v>
      </c>
      <c r="P1785" s="4" t="e">
        <f>VLOOKUP(A1785,المعطيات!$A$1:$J$3500,4,0)</f>
        <v>#N/A</v>
      </c>
      <c r="Q1785" s="1" t="s">
        <v>1489</v>
      </c>
      <c r="R1785" s="1" t="s">
        <v>1480</v>
      </c>
      <c r="S1785" s="6" t="e">
        <f t="shared" si="83"/>
        <v>#N/A</v>
      </c>
    </row>
    <row r="1786" spans="2:19" x14ac:dyDescent="0.25">
      <c r="B1786" s="1" t="s">
        <v>1479</v>
      </c>
      <c r="C1786" s="1" t="s">
        <v>1481</v>
      </c>
      <c r="D1786" s="4" t="e">
        <f>VLOOKUP(A1786,المعطيات!$A$1:$J$3500,5,0)</f>
        <v>#N/A</v>
      </c>
      <c r="E1786" s="1" t="s">
        <v>1482</v>
      </c>
      <c r="F1786" s="5">
        <f t="shared" si="81"/>
        <v>0</v>
      </c>
      <c r="G1786" s="5" t="s">
        <v>1483</v>
      </c>
      <c r="H1786" s="4" t="e">
        <f>VLOOKUP(A1786,المعطيات!$A$1:$J$3500,3,0)</f>
        <v>#N/A</v>
      </c>
      <c r="I1786" s="1" t="s">
        <v>1484</v>
      </c>
      <c r="J1786" s="1" t="s">
        <v>1485</v>
      </c>
      <c r="K1786" s="4" t="e">
        <f>VLOOKUP(A1786,المعطيات!$A$1:$J$3500,6,0)</f>
        <v>#N/A</v>
      </c>
      <c r="L1786" s="1" t="s">
        <v>1486</v>
      </c>
      <c r="M1786" s="1" t="s">
        <v>1487</v>
      </c>
      <c r="N1786" s="4" t="e">
        <f t="shared" si="82"/>
        <v>#N/A</v>
      </c>
      <c r="O1786" s="1" t="s">
        <v>1488</v>
      </c>
      <c r="P1786" s="4" t="e">
        <f>VLOOKUP(A1786,المعطيات!$A$1:$J$3500,4,0)</f>
        <v>#N/A</v>
      </c>
      <c r="Q1786" s="1" t="s">
        <v>1489</v>
      </c>
      <c r="R1786" s="1" t="s">
        <v>1480</v>
      </c>
      <c r="S1786" s="6" t="e">
        <f t="shared" si="83"/>
        <v>#N/A</v>
      </c>
    </row>
    <row r="1787" spans="2:19" x14ac:dyDescent="0.25">
      <c r="B1787" s="1" t="s">
        <v>1479</v>
      </c>
      <c r="C1787" s="1" t="s">
        <v>1481</v>
      </c>
      <c r="D1787" s="4" t="e">
        <f>VLOOKUP(A1787,المعطيات!$A$1:$J$3500,5,0)</f>
        <v>#N/A</v>
      </c>
      <c r="E1787" s="1" t="s">
        <v>1482</v>
      </c>
      <c r="F1787" s="5">
        <f t="shared" si="81"/>
        <v>0</v>
      </c>
      <c r="G1787" s="5" t="s">
        <v>1483</v>
      </c>
      <c r="H1787" s="4" t="e">
        <f>VLOOKUP(A1787,المعطيات!$A$1:$J$3500,3,0)</f>
        <v>#N/A</v>
      </c>
      <c r="I1787" s="1" t="s">
        <v>1484</v>
      </c>
      <c r="J1787" s="1" t="s">
        <v>1485</v>
      </c>
      <c r="K1787" s="4" t="e">
        <f>VLOOKUP(A1787,المعطيات!$A$1:$J$3500,6,0)</f>
        <v>#N/A</v>
      </c>
      <c r="L1787" s="1" t="s">
        <v>1486</v>
      </c>
      <c r="M1787" s="1" t="s">
        <v>1487</v>
      </c>
      <c r="N1787" s="4" t="e">
        <f t="shared" si="82"/>
        <v>#N/A</v>
      </c>
      <c r="O1787" s="1" t="s">
        <v>1488</v>
      </c>
      <c r="P1787" s="4" t="e">
        <f>VLOOKUP(A1787,المعطيات!$A$1:$J$3500,4,0)</f>
        <v>#N/A</v>
      </c>
      <c r="Q1787" s="1" t="s">
        <v>1489</v>
      </c>
      <c r="R1787" s="1" t="s">
        <v>1480</v>
      </c>
      <c r="S1787" s="6" t="e">
        <f t="shared" si="83"/>
        <v>#N/A</v>
      </c>
    </row>
    <row r="1788" spans="2:19" x14ac:dyDescent="0.25">
      <c r="B1788" s="1" t="s">
        <v>1479</v>
      </c>
      <c r="C1788" s="1" t="s">
        <v>1481</v>
      </c>
      <c r="D1788" s="4" t="e">
        <f>VLOOKUP(A1788,المعطيات!$A$1:$J$3500,5,0)</f>
        <v>#N/A</v>
      </c>
      <c r="E1788" s="1" t="s">
        <v>1482</v>
      </c>
      <c r="F1788" s="5">
        <f t="shared" si="81"/>
        <v>0</v>
      </c>
      <c r="G1788" s="5" t="s">
        <v>1483</v>
      </c>
      <c r="H1788" s="4" t="e">
        <f>VLOOKUP(A1788,المعطيات!$A$1:$J$3500,3,0)</f>
        <v>#N/A</v>
      </c>
      <c r="I1788" s="1" t="s">
        <v>1484</v>
      </c>
      <c r="J1788" s="1" t="s">
        <v>1485</v>
      </c>
      <c r="K1788" s="4" t="e">
        <f>VLOOKUP(A1788,المعطيات!$A$1:$J$3500,6,0)</f>
        <v>#N/A</v>
      </c>
      <c r="L1788" s="1" t="s">
        <v>1486</v>
      </c>
      <c r="M1788" s="1" t="s">
        <v>1487</v>
      </c>
      <c r="N1788" s="4" t="e">
        <f t="shared" si="82"/>
        <v>#N/A</v>
      </c>
      <c r="O1788" s="1" t="s">
        <v>1488</v>
      </c>
      <c r="P1788" s="4" t="e">
        <f>VLOOKUP(A1788,المعطيات!$A$1:$J$3500,4,0)</f>
        <v>#N/A</v>
      </c>
      <c r="Q1788" s="1" t="s">
        <v>1489</v>
      </c>
      <c r="R1788" s="1" t="s">
        <v>1480</v>
      </c>
      <c r="S1788" s="6" t="e">
        <f t="shared" si="83"/>
        <v>#N/A</v>
      </c>
    </row>
    <row r="1789" spans="2:19" x14ac:dyDescent="0.25">
      <c r="B1789" s="1" t="s">
        <v>1479</v>
      </c>
      <c r="C1789" s="1" t="s">
        <v>1481</v>
      </c>
      <c r="D1789" s="4" t="e">
        <f>VLOOKUP(A1789,المعطيات!$A$1:$J$3500,5,0)</f>
        <v>#N/A</v>
      </c>
      <c r="E1789" s="1" t="s">
        <v>1482</v>
      </c>
      <c r="F1789" s="5">
        <f t="shared" si="81"/>
        <v>0</v>
      </c>
      <c r="G1789" s="5" t="s">
        <v>1483</v>
      </c>
      <c r="H1789" s="4" t="e">
        <f>VLOOKUP(A1789,المعطيات!$A$1:$J$3500,3,0)</f>
        <v>#N/A</v>
      </c>
      <c r="I1789" s="1" t="s">
        <v>1484</v>
      </c>
      <c r="J1789" s="1" t="s">
        <v>1485</v>
      </c>
      <c r="K1789" s="4" t="e">
        <f>VLOOKUP(A1789,المعطيات!$A$1:$J$3500,6,0)</f>
        <v>#N/A</v>
      </c>
      <c r="L1789" s="1" t="s">
        <v>1486</v>
      </c>
      <c r="M1789" s="1" t="s">
        <v>1487</v>
      </c>
      <c r="N1789" s="4" t="e">
        <f t="shared" si="82"/>
        <v>#N/A</v>
      </c>
      <c r="O1789" s="1" t="s">
        <v>1488</v>
      </c>
      <c r="P1789" s="4" t="e">
        <f>VLOOKUP(A1789,المعطيات!$A$1:$J$3500,4,0)</f>
        <v>#N/A</v>
      </c>
      <c r="Q1789" s="1" t="s">
        <v>1489</v>
      </c>
      <c r="R1789" s="1" t="s">
        <v>1480</v>
      </c>
      <c r="S1789" s="6" t="e">
        <f t="shared" si="83"/>
        <v>#N/A</v>
      </c>
    </row>
    <row r="1790" spans="2:19" x14ac:dyDescent="0.25">
      <c r="B1790" s="1" t="s">
        <v>1479</v>
      </c>
      <c r="C1790" s="1" t="s">
        <v>1481</v>
      </c>
      <c r="D1790" s="4" t="e">
        <f>VLOOKUP(A1790,المعطيات!$A$1:$J$3500,5,0)</f>
        <v>#N/A</v>
      </c>
      <c r="E1790" s="1" t="s">
        <v>1482</v>
      </c>
      <c r="F1790" s="5">
        <f t="shared" si="81"/>
        <v>0</v>
      </c>
      <c r="G1790" s="5" t="s">
        <v>1483</v>
      </c>
      <c r="H1790" s="4" t="e">
        <f>VLOOKUP(A1790,المعطيات!$A$1:$J$3500,3,0)</f>
        <v>#N/A</v>
      </c>
      <c r="I1790" s="1" t="s">
        <v>1484</v>
      </c>
      <c r="J1790" s="1" t="s">
        <v>1485</v>
      </c>
      <c r="K1790" s="4" t="e">
        <f>VLOOKUP(A1790,المعطيات!$A$1:$J$3500,6,0)</f>
        <v>#N/A</v>
      </c>
      <c r="L1790" s="1" t="s">
        <v>1486</v>
      </c>
      <c r="M1790" s="1" t="s">
        <v>1487</v>
      </c>
      <c r="N1790" s="4" t="e">
        <f t="shared" si="82"/>
        <v>#N/A</v>
      </c>
      <c r="O1790" s="1" t="s">
        <v>1488</v>
      </c>
      <c r="P1790" s="4" t="e">
        <f>VLOOKUP(A1790,المعطيات!$A$1:$J$3500,4,0)</f>
        <v>#N/A</v>
      </c>
      <c r="Q1790" s="1" t="s">
        <v>1489</v>
      </c>
      <c r="R1790" s="1" t="s">
        <v>1480</v>
      </c>
      <c r="S1790" s="6" t="e">
        <f t="shared" si="83"/>
        <v>#N/A</v>
      </c>
    </row>
    <row r="1791" spans="2:19" x14ac:dyDescent="0.25">
      <c r="B1791" s="1" t="s">
        <v>1479</v>
      </c>
      <c r="C1791" s="1" t="s">
        <v>1481</v>
      </c>
      <c r="D1791" s="4" t="e">
        <f>VLOOKUP(A1791,المعطيات!$A$1:$J$3500,5,0)</f>
        <v>#N/A</v>
      </c>
      <c r="E1791" s="1" t="s">
        <v>1482</v>
      </c>
      <c r="F1791" s="5">
        <f t="shared" si="81"/>
        <v>0</v>
      </c>
      <c r="G1791" s="5" t="s">
        <v>1483</v>
      </c>
      <c r="H1791" s="4" t="e">
        <f>VLOOKUP(A1791,المعطيات!$A$1:$J$3500,3,0)</f>
        <v>#N/A</v>
      </c>
      <c r="I1791" s="1" t="s">
        <v>1484</v>
      </c>
      <c r="J1791" s="1" t="s">
        <v>1485</v>
      </c>
      <c r="K1791" s="4" t="e">
        <f>VLOOKUP(A1791,المعطيات!$A$1:$J$3500,6,0)</f>
        <v>#N/A</v>
      </c>
      <c r="L1791" s="1" t="s">
        <v>1486</v>
      </c>
      <c r="M1791" s="1" t="s">
        <v>1487</v>
      </c>
      <c r="N1791" s="4" t="e">
        <f t="shared" si="82"/>
        <v>#N/A</v>
      </c>
      <c r="O1791" s="1" t="s">
        <v>1488</v>
      </c>
      <c r="P1791" s="4" t="e">
        <f>VLOOKUP(A1791,المعطيات!$A$1:$J$3500,4,0)</f>
        <v>#N/A</v>
      </c>
      <c r="Q1791" s="1" t="s">
        <v>1489</v>
      </c>
      <c r="R1791" s="1" t="s">
        <v>1480</v>
      </c>
      <c r="S1791" s="6" t="e">
        <f t="shared" si="83"/>
        <v>#N/A</v>
      </c>
    </row>
    <row r="1792" spans="2:19" x14ac:dyDescent="0.25">
      <c r="B1792" s="1" t="s">
        <v>1479</v>
      </c>
      <c r="C1792" s="1" t="s">
        <v>1481</v>
      </c>
      <c r="D1792" s="4" t="e">
        <f>VLOOKUP(A1792,المعطيات!$A$1:$J$3500,5,0)</f>
        <v>#N/A</v>
      </c>
      <c r="E1792" s="1" t="s">
        <v>1482</v>
      </c>
      <c r="F1792" s="5">
        <f t="shared" si="81"/>
        <v>0</v>
      </c>
      <c r="G1792" s="5" t="s">
        <v>1483</v>
      </c>
      <c r="H1792" s="4" t="e">
        <f>VLOOKUP(A1792,المعطيات!$A$1:$J$3500,3,0)</f>
        <v>#N/A</v>
      </c>
      <c r="I1792" s="1" t="s">
        <v>1484</v>
      </c>
      <c r="J1792" s="1" t="s">
        <v>1485</v>
      </c>
      <c r="K1792" s="4" t="e">
        <f>VLOOKUP(A1792,المعطيات!$A$1:$J$3500,6,0)</f>
        <v>#N/A</v>
      </c>
      <c r="L1792" s="1" t="s">
        <v>1486</v>
      </c>
      <c r="M1792" s="1" t="s">
        <v>1487</v>
      </c>
      <c r="N1792" s="4" t="e">
        <f t="shared" si="82"/>
        <v>#N/A</v>
      </c>
      <c r="O1792" s="1" t="s">
        <v>1488</v>
      </c>
      <c r="P1792" s="4" t="e">
        <f>VLOOKUP(A1792,المعطيات!$A$1:$J$3500,4,0)</f>
        <v>#N/A</v>
      </c>
      <c r="Q1792" s="1" t="s">
        <v>1489</v>
      </c>
      <c r="R1792" s="1" t="s">
        <v>1480</v>
      </c>
      <c r="S1792" s="6" t="e">
        <f t="shared" si="83"/>
        <v>#N/A</v>
      </c>
    </row>
    <row r="1793" spans="2:19" x14ac:dyDescent="0.25">
      <c r="B1793" s="1" t="s">
        <v>1479</v>
      </c>
      <c r="C1793" s="1" t="s">
        <v>1481</v>
      </c>
      <c r="D1793" s="4" t="e">
        <f>VLOOKUP(A1793,المعطيات!$A$1:$J$3500,5,0)</f>
        <v>#N/A</v>
      </c>
      <c r="E1793" s="1" t="s">
        <v>1482</v>
      </c>
      <c r="F1793" s="5">
        <f t="shared" si="81"/>
        <v>0</v>
      </c>
      <c r="G1793" s="5" t="s">
        <v>1483</v>
      </c>
      <c r="H1793" s="4" t="e">
        <f>VLOOKUP(A1793,المعطيات!$A$1:$J$3500,3,0)</f>
        <v>#N/A</v>
      </c>
      <c r="I1793" s="1" t="s">
        <v>1484</v>
      </c>
      <c r="J1793" s="1" t="s">
        <v>1485</v>
      </c>
      <c r="K1793" s="4" t="e">
        <f>VLOOKUP(A1793,المعطيات!$A$1:$J$3500,6,0)</f>
        <v>#N/A</v>
      </c>
      <c r="L1793" s="1" t="s">
        <v>1486</v>
      </c>
      <c r="M1793" s="1" t="s">
        <v>1487</v>
      </c>
      <c r="N1793" s="4" t="e">
        <f t="shared" si="82"/>
        <v>#N/A</v>
      </c>
      <c r="O1793" s="1" t="s">
        <v>1488</v>
      </c>
      <c r="P1793" s="4" t="e">
        <f>VLOOKUP(A1793,المعطيات!$A$1:$J$3500,4,0)</f>
        <v>#N/A</v>
      </c>
      <c r="Q1793" s="1" t="s">
        <v>1489</v>
      </c>
      <c r="R1793" s="1" t="s">
        <v>1480</v>
      </c>
      <c r="S1793" s="6" t="e">
        <f t="shared" si="83"/>
        <v>#N/A</v>
      </c>
    </row>
    <row r="1794" spans="2:19" x14ac:dyDescent="0.25">
      <c r="B1794" s="1" t="s">
        <v>1479</v>
      </c>
      <c r="C1794" s="1" t="s">
        <v>1481</v>
      </c>
      <c r="D1794" s="4" t="e">
        <f>VLOOKUP(A1794,المعطيات!$A$1:$J$3500,5,0)</f>
        <v>#N/A</v>
      </c>
      <c r="E1794" s="1" t="s">
        <v>1482</v>
      </c>
      <c r="F1794" s="5">
        <f t="shared" ref="F1794:F1857" si="84">A1794</f>
        <v>0</v>
      </c>
      <c r="G1794" s="5" t="s">
        <v>1483</v>
      </c>
      <c r="H1794" s="4" t="e">
        <f>VLOOKUP(A1794,المعطيات!$A$1:$J$3500,3,0)</f>
        <v>#N/A</v>
      </c>
      <c r="I1794" s="1" t="s">
        <v>1484</v>
      </c>
      <c r="J1794" s="1" t="s">
        <v>1485</v>
      </c>
      <c r="K1794" s="4" t="e">
        <f>VLOOKUP(A1794,المعطيات!$A$1:$J$3500,6,0)</f>
        <v>#N/A</v>
      </c>
      <c r="L1794" s="1" t="s">
        <v>1486</v>
      </c>
      <c r="M1794" s="1" t="s">
        <v>1487</v>
      </c>
      <c r="N1794" s="4" t="e">
        <f t="shared" ref="N1794:N1857" si="85">D1794</f>
        <v>#N/A</v>
      </c>
      <c r="O1794" s="1" t="s">
        <v>1488</v>
      </c>
      <c r="P1794" s="4" t="e">
        <f>VLOOKUP(A1794,المعطيات!$A$1:$J$3500,4,0)</f>
        <v>#N/A</v>
      </c>
      <c r="Q1794" s="1" t="s">
        <v>1489</v>
      </c>
      <c r="R1794" s="1" t="s">
        <v>1480</v>
      </c>
      <c r="S1794" s="6" t="e">
        <f t="shared" ref="S1794:S1857" si="86">B1794&amp;""&amp;C1794&amp;""&amp;D1794&amp;""&amp;E1794&amp;""&amp;F1794&amp;""&amp;G1794&amp;""&amp;H1794&amp;""&amp;I1794&amp;""&amp;J1794&amp;""&amp;K1794&amp;""&amp;L1794&amp;""&amp;M1794&amp;""&amp;N1794&amp;""&amp;O1794&amp;""&amp;P1794&amp;""&amp;Q1794&amp;""&amp;R1794</f>
        <v>#N/A</v>
      </c>
    </row>
    <row r="1795" spans="2:19" x14ac:dyDescent="0.25">
      <c r="B1795" s="1" t="s">
        <v>1479</v>
      </c>
      <c r="C1795" s="1" t="s">
        <v>1481</v>
      </c>
      <c r="D1795" s="4" t="e">
        <f>VLOOKUP(A1795,المعطيات!$A$1:$J$3500,5,0)</f>
        <v>#N/A</v>
      </c>
      <c r="E1795" s="1" t="s">
        <v>1482</v>
      </c>
      <c r="F1795" s="5">
        <f t="shared" si="84"/>
        <v>0</v>
      </c>
      <c r="G1795" s="5" t="s">
        <v>1483</v>
      </c>
      <c r="H1795" s="4" t="e">
        <f>VLOOKUP(A1795,المعطيات!$A$1:$J$3500,3,0)</f>
        <v>#N/A</v>
      </c>
      <c r="I1795" s="1" t="s">
        <v>1484</v>
      </c>
      <c r="J1795" s="1" t="s">
        <v>1485</v>
      </c>
      <c r="K1795" s="4" t="e">
        <f>VLOOKUP(A1795,المعطيات!$A$1:$J$3500,6,0)</f>
        <v>#N/A</v>
      </c>
      <c r="L1795" s="1" t="s">
        <v>1486</v>
      </c>
      <c r="M1795" s="1" t="s">
        <v>1487</v>
      </c>
      <c r="N1795" s="4" t="e">
        <f t="shared" si="85"/>
        <v>#N/A</v>
      </c>
      <c r="O1795" s="1" t="s">
        <v>1488</v>
      </c>
      <c r="P1795" s="4" t="e">
        <f>VLOOKUP(A1795,المعطيات!$A$1:$J$3500,4,0)</f>
        <v>#N/A</v>
      </c>
      <c r="Q1795" s="1" t="s">
        <v>1489</v>
      </c>
      <c r="R1795" s="1" t="s">
        <v>1480</v>
      </c>
      <c r="S1795" s="6" t="e">
        <f t="shared" si="86"/>
        <v>#N/A</v>
      </c>
    </row>
    <row r="1796" spans="2:19" x14ac:dyDescent="0.25">
      <c r="B1796" s="1" t="s">
        <v>1479</v>
      </c>
      <c r="C1796" s="1" t="s">
        <v>1481</v>
      </c>
      <c r="D1796" s="4" t="e">
        <f>VLOOKUP(A1796,المعطيات!$A$1:$J$3500,5,0)</f>
        <v>#N/A</v>
      </c>
      <c r="E1796" s="1" t="s">
        <v>1482</v>
      </c>
      <c r="F1796" s="5">
        <f t="shared" si="84"/>
        <v>0</v>
      </c>
      <c r="G1796" s="5" t="s">
        <v>1483</v>
      </c>
      <c r="H1796" s="4" t="e">
        <f>VLOOKUP(A1796,المعطيات!$A$1:$J$3500,3,0)</f>
        <v>#N/A</v>
      </c>
      <c r="I1796" s="1" t="s">
        <v>1484</v>
      </c>
      <c r="J1796" s="1" t="s">
        <v>1485</v>
      </c>
      <c r="K1796" s="4" t="e">
        <f>VLOOKUP(A1796,المعطيات!$A$1:$J$3500,6,0)</f>
        <v>#N/A</v>
      </c>
      <c r="L1796" s="1" t="s">
        <v>1486</v>
      </c>
      <c r="M1796" s="1" t="s">
        <v>1487</v>
      </c>
      <c r="N1796" s="4" t="e">
        <f t="shared" si="85"/>
        <v>#N/A</v>
      </c>
      <c r="O1796" s="1" t="s">
        <v>1488</v>
      </c>
      <c r="P1796" s="4" t="e">
        <f>VLOOKUP(A1796,المعطيات!$A$1:$J$3500,4,0)</f>
        <v>#N/A</v>
      </c>
      <c r="Q1796" s="1" t="s">
        <v>1489</v>
      </c>
      <c r="R1796" s="1" t="s">
        <v>1480</v>
      </c>
      <c r="S1796" s="6" t="e">
        <f t="shared" si="86"/>
        <v>#N/A</v>
      </c>
    </row>
    <row r="1797" spans="2:19" x14ac:dyDescent="0.25">
      <c r="B1797" s="1" t="s">
        <v>1479</v>
      </c>
      <c r="C1797" s="1" t="s">
        <v>1481</v>
      </c>
      <c r="D1797" s="4" t="e">
        <f>VLOOKUP(A1797,المعطيات!$A$1:$J$3500,5,0)</f>
        <v>#N/A</v>
      </c>
      <c r="E1797" s="1" t="s">
        <v>1482</v>
      </c>
      <c r="F1797" s="5">
        <f t="shared" si="84"/>
        <v>0</v>
      </c>
      <c r="G1797" s="5" t="s">
        <v>1483</v>
      </c>
      <c r="H1797" s="4" t="e">
        <f>VLOOKUP(A1797,المعطيات!$A$1:$J$3500,3,0)</f>
        <v>#N/A</v>
      </c>
      <c r="I1797" s="1" t="s">
        <v>1484</v>
      </c>
      <c r="J1797" s="1" t="s">
        <v>1485</v>
      </c>
      <c r="K1797" s="4" t="e">
        <f>VLOOKUP(A1797,المعطيات!$A$1:$J$3500,6,0)</f>
        <v>#N/A</v>
      </c>
      <c r="L1797" s="1" t="s">
        <v>1486</v>
      </c>
      <c r="M1797" s="1" t="s">
        <v>1487</v>
      </c>
      <c r="N1797" s="4" t="e">
        <f t="shared" si="85"/>
        <v>#N/A</v>
      </c>
      <c r="O1797" s="1" t="s">
        <v>1488</v>
      </c>
      <c r="P1797" s="4" t="e">
        <f>VLOOKUP(A1797,المعطيات!$A$1:$J$3500,4,0)</f>
        <v>#N/A</v>
      </c>
      <c r="Q1797" s="1" t="s">
        <v>1489</v>
      </c>
      <c r="R1797" s="1" t="s">
        <v>1480</v>
      </c>
      <c r="S1797" s="6" t="e">
        <f t="shared" si="86"/>
        <v>#N/A</v>
      </c>
    </row>
    <row r="1798" spans="2:19" x14ac:dyDescent="0.25">
      <c r="B1798" s="1" t="s">
        <v>1479</v>
      </c>
      <c r="C1798" s="1" t="s">
        <v>1481</v>
      </c>
      <c r="D1798" s="4" t="e">
        <f>VLOOKUP(A1798,المعطيات!$A$1:$J$3500,5,0)</f>
        <v>#N/A</v>
      </c>
      <c r="E1798" s="1" t="s">
        <v>1482</v>
      </c>
      <c r="F1798" s="5">
        <f t="shared" si="84"/>
        <v>0</v>
      </c>
      <c r="G1798" s="5" t="s">
        <v>1483</v>
      </c>
      <c r="H1798" s="4" t="e">
        <f>VLOOKUP(A1798,المعطيات!$A$1:$J$3500,3,0)</f>
        <v>#N/A</v>
      </c>
      <c r="I1798" s="1" t="s">
        <v>1484</v>
      </c>
      <c r="J1798" s="1" t="s">
        <v>1485</v>
      </c>
      <c r="K1798" s="4" t="e">
        <f>VLOOKUP(A1798,المعطيات!$A$1:$J$3500,6,0)</f>
        <v>#N/A</v>
      </c>
      <c r="L1798" s="1" t="s">
        <v>1486</v>
      </c>
      <c r="M1798" s="1" t="s">
        <v>1487</v>
      </c>
      <c r="N1798" s="4" t="e">
        <f t="shared" si="85"/>
        <v>#N/A</v>
      </c>
      <c r="O1798" s="1" t="s">
        <v>1488</v>
      </c>
      <c r="P1798" s="4" t="e">
        <f>VLOOKUP(A1798,المعطيات!$A$1:$J$3500,4,0)</f>
        <v>#N/A</v>
      </c>
      <c r="Q1798" s="1" t="s">
        <v>1489</v>
      </c>
      <c r="R1798" s="1" t="s">
        <v>1480</v>
      </c>
      <c r="S1798" s="6" t="e">
        <f t="shared" si="86"/>
        <v>#N/A</v>
      </c>
    </row>
    <row r="1799" spans="2:19" x14ac:dyDescent="0.25">
      <c r="B1799" s="1" t="s">
        <v>1479</v>
      </c>
      <c r="C1799" s="1" t="s">
        <v>1481</v>
      </c>
      <c r="D1799" s="4" t="e">
        <f>VLOOKUP(A1799,المعطيات!$A$1:$J$3500,5,0)</f>
        <v>#N/A</v>
      </c>
      <c r="E1799" s="1" t="s">
        <v>1482</v>
      </c>
      <c r="F1799" s="5">
        <f t="shared" si="84"/>
        <v>0</v>
      </c>
      <c r="G1799" s="5" t="s">
        <v>1483</v>
      </c>
      <c r="H1799" s="4" t="e">
        <f>VLOOKUP(A1799,المعطيات!$A$1:$J$3500,3,0)</f>
        <v>#N/A</v>
      </c>
      <c r="I1799" s="1" t="s">
        <v>1484</v>
      </c>
      <c r="J1799" s="1" t="s">
        <v>1485</v>
      </c>
      <c r="K1799" s="4" t="e">
        <f>VLOOKUP(A1799,المعطيات!$A$1:$J$3500,6,0)</f>
        <v>#N/A</v>
      </c>
      <c r="L1799" s="1" t="s">
        <v>1486</v>
      </c>
      <c r="M1799" s="1" t="s">
        <v>1487</v>
      </c>
      <c r="N1799" s="4" t="e">
        <f t="shared" si="85"/>
        <v>#N/A</v>
      </c>
      <c r="O1799" s="1" t="s">
        <v>1488</v>
      </c>
      <c r="P1799" s="4" t="e">
        <f>VLOOKUP(A1799,المعطيات!$A$1:$J$3500,4,0)</f>
        <v>#N/A</v>
      </c>
      <c r="Q1799" s="1" t="s">
        <v>1489</v>
      </c>
      <c r="R1799" s="1" t="s">
        <v>1480</v>
      </c>
      <c r="S1799" s="6" t="e">
        <f t="shared" si="86"/>
        <v>#N/A</v>
      </c>
    </row>
    <row r="1800" spans="2:19" x14ac:dyDescent="0.25">
      <c r="B1800" s="1" t="s">
        <v>1479</v>
      </c>
      <c r="C1800" s="1" t="s">
        <v>1481</v>
      </c>
      <c r="D1800" s="4" t="e">
        <f>VLOOKUP(A1800,المعطيات!$A$1:$J$3500,5,0)</f>
        <v>#N/A</v>
      </c>
      <c r="E1800" s="1" t="s">
        <v>1482</v>
      </c>
      <c r="F1800" s="5">
        <f t="shared" si="84"/>
        <v>0</v>
      </c>
      <c r="G1800" s="5" t="s">
        <v>1483</v>
      </c>
      <c r="H1800" s="4" t="e">
        <f>VLOOKUP(A1800,المعطيات!$A$1:$J$3500,3,0)</f>
        <v>#N/A</v>
      </c>
      <c r="I1800" s="1" t="s">
        <v>1484</v>
      </c>
      <c r="J1800" s="1" t="s">
        <v>1485</v>
      </c>
      <c r="K1800" s="4" t="e">
        <f>VLOOKUP(A1800,المعطيات!$A$1:$J$3500,6,0)</f>
        <v>#N/A</v>
      </c>
      <c r="L1800" s="1" t="s">
        <v>1486</v>
      </c>
      <c r="M1800" s="1" t="s">
        <v>1487</v>
      </c>
      <c r="N1800" s="4" t="e">
        <f t="shared" si="85"/>
        <v>#N/A</v>
      </c>
      <c r="O1800" s="1" t="s">
        <v>1488</v>
      </c>
      <c r="P1800" s="4" t="e">
        <f>VLOOKUP(A1800,المعطيات!$A$1:$J$3500,4,0)</f>
        <v>#N/A</v>
      </c>
      <c r="Q1800" s="1" t="s">
        <v>1489</v>
      </c>
      <c r="R1800" s="1" t="s">
        <v>1480</v>
      </c>
      <c r="S1800" s="6" t="e">
        <f t="shared" si="86"/>
        <v>#N/A</v>
      </c>
    </row>
    <row r="1801" spans="2:19" x14ac:dyDescent="0.25">
      <c r="B1801" s="1" t="s">
        <v>1479</v>
      </c>
      <c r="C1801" s="1" t="s">
        <v>1481</v>
      </c>
      <c r="D1801" s="4" t="e">
        <f>VLOOKUP(A1801,المعطيات!$A$1:$J$3500,5,0)</f>
        <v>#N/A</v>
      </c>
      <c r="E1801" s="1" t="s">
        <v>1482</v>
      </c>
      <c r="F1801" s="5">
        <f t="shared" si="84"/>
        <v>0</v>
      </c>
      <c r="G1801" s="5" t="s">
        <v>1483</v>
      </c>
      <c r="H1801" s="4" t="e">
        <f>VLOOKUP(A1801,المعطيات!$A$1:$J$3500,3,0)</f>
        <v>#N/A</v>
      </c>
      <c r="I1801" s="1" t="s">
        <v>1484</v>
      </c>
      <c r="J1801" s="1" t="s">
        <v>1485</v>
      </c>
      <c r="K1801" s="4" t="e">
        <f>VLOOKUP(A1801,المعطيات!$A$1:$J$3500,6,0)</f>
        <v>#N/A</v>
      </c>
      <c r="L1801" s="1" t="s">
        <v>1486</v>
      </c>
      <c r="M1801" s="1" t="s">
        <v>1487</v>
      </c>
      <c r="N1801" s="4" t="e">
        <f t="shared" si="85"/>
        <v>#N/A</v>
      </c>
      <c r="O1801" s="1" t="s">
        <v>1488</v>
      </c>
      <c r="P1801" s="4" t="e">
        <f>VLOOKUP(A1801,المعطيات!$A$1:$J$3500,4,0)</f>
        <v>#N/A</v>
      </c>
      <c r="Q1801" s="1" t="s">
        <v>1489</v>
      </c>
      <c r="R1801" s="1" t="s">
        <v>1480</v>
      </c>
      <c r="S1801" s="6" t="e">
        <f t="shared" si="86"/>
        <v>#N/A</v>
      </c>
    </row>
    <row r="1802" spans="2:19" x14ac:dyDescent="0.25">
      <c r="B1802" s="1" t="s">
        <v>1479</v>
      </c>
      <c r="C1802" s="1" t="s">
        <v>1481</v>
      </c>
      <c r="D1802" s="4" t="e">
        <f>VLOOKUP(A1802,المعطيات!$A$1:$J$3500,5,0)</f>
        <v>#N/A</v>
      </c>
      <c r="E1802" s="1" t="s">
        <v>1482</v>
      </c>
      <c r="F1802" s="5">
        <f t="shared" si="84"/>
        <v>0</v>
      </c>
      <c r="G1802" s="5" t="s">
        <v>1483</v>
      </c>
      <c r="H1802" s="4" t="e">
        <f>VLOOKUP(A1802,المعطيات!$A$1:$J$3500,3,0)</f>
        <v>#N/A</v>
      </c>
      <c r="I1802" s="1" t="s">
        <v>1484</v>
      </c>
      <c r="J1802" s="1" t="s">
        <v>1485</v>
      </c>
      <c r="K1802" s="4" t="e">
        <f>VLOOKUP(A1802,المعطيات!$A$1:$J$3500,6,0)</f>
        <v>#N/A</v>
      </c>
      <c r="L1802" s="1" t="s">
        <v>1486</v>
      </c>
      <c r="M1802" s="1" t="s">
        <v>1487</v>
      </c>
      <c r="N1802" s="4" t="e">
        <f t="shared" si="85"/>
        <v>#N/A</v>
      </c>
      <c r="O1802" s="1" t="s">
        <v>1488</v>
      </c>
      <c r="P1802" s="4" t="e">
        <f>VLOOKUP(A1802,المعطيات!$A$1:$J$3500,4,0)</f>
        <v>#N/A</v>
      </c>
      <c r="Q1802" s="1" t="s">
        <v>1489</v>
      </c>
      <c r="R1802" s="1" t="s">
        <v>1480</v>
      </c>
      <c r="S1802" s="6" t="e">
        <f t="shared" si="86"/>
        <v>#N/A</v>
      </c>
    </row>
    <row r="1803" spans="2:19" x14ac:dyDescent="0.25">
      <c r="B1803" s="1" t="s">
        <v>1479</v>
      </c>
      <c r="C1803" s="1" t="s">
        <v>1481</v>
      </c>
      <c r="D1803" s="4" t="e">
        <f>VLOOKUP(A1803,المعطيات!$A$1:$J$3500,5,0)</f>
        <v>#N/A</v>
      </c>
      <c r="E1803" s="1" t="s">
        <v>1482</v>
      </c>
      <c r="F1803" s="5">
        <f t="shared" si="84"/>
        <v>0</v>
      </c>
      <c r="G1803" s="5" t="s">
        <v>1483</v>
      </c>
      <c r="H1803" s="4" t="e">
        <f>VLOOKUP(A1803,المعطيات!$A$1:$J$3500,3,0)</f>
        <v>#N/A</v>
      </c>
      <c r="I1803" s="1" t="s">
        <v>1484</v>
      </c>
      <c r="J1803" s="1" t="s">
        <v>1485</v>
      </c>
      <c r="K1803" s="4" t="e">
        <f>VLOOKUP(A1803,المعطيات!$A$1:$J$3500,6,0)</f>
        <v>#N/A</v>
      </c>
      <c r="L1803" s="1" t="s">
        <v>1486</v>
      </c>
      <c r="M1803" s="1" t="s">
        <v>1487</v>
      </c>
      <c r="N1803" s="4" t="e">
        <f t="shared" si="85"/>
        <v>#N/A</v>
      </c>
      <c r="O1803" s="1" t="s">
        <v>1488</v>
      </c>
      <c r="P1803" s="4" t="e">
        <f>VLOOKUP(A1803,المعطيات!$A$1:$J$3500,4,0)</f>
        <v>#N/A</v>
      </c>
      <c r="Q1803" s="1" t="s">
        <v>1489</v>
      </c>
      <c r="R1803" s="1" t="s">
        <v>1480</v>
      </c>
      <c r="S1803" s="6" t="e">
        <f t="shared" si="86"/>
        <v>#N/A</v>
      </c>
    </row>
    <row r="1804" spans="2:19" x14ac:dyDescent="0.25">
      <c r="B1804" s="1" t="s">
        <v>1479</v>
      </c>
      <c r="C1804" s="1" t="s">
        <v>1481</v>
      </c>
      <c r="D1804" s="4" t="e">
        <f>VLOOKUP(A1804,المعطيات!$A$1:$J$3500,5,0)</f>
        <v>#N/A</v>
      </c>
      <c r="E1804" s="1" t="s">
        <v>1482</v>
      </c>
      <c r="F1804" s="5">
        <f t="shared" si="84"/>
        <v>0</v>
      </c>
      <c r="G1804" s="5" t="s">
        <v>1483</v>
      </c>
      <c r="H1804" s="4" t="e">
        <f>VLOOKUP(A1804,المعطيات!$A$1:$J$3500,3,0)</f>
        <v>#N/A</v>
      </c>
      <c r="I1804" s="1" t="s">
        <v>1484</v>
      </c>
      <c r="J1804" s="1" t="s">
        <v>1485</v>
      </c>
      <c r="K1804" s="4" t="e">
        <f>VLOOKUP(A1804,المعطيات!$A$1:$J$3500,6,0)</f>
        <v>#N/A</v>
      </c>
      <c r="L1804" s="1" t="s">
        <v>1486</v>
      </c>
      <c r="M1804" s="1" t="s">
        <v>1487</v>
      </c>
      <c r="N1804" s="4" t="e">
        <f t="shared" si="85"/>
        <v>#N/A</v>
      </c>
      <c r="O1804" s="1" t="s">
        <v>1488</v>
      </c>
      <c r="P1804" s="4" t="e">
        <f>VLOOKUP(A1804,المعطيات!$A$1:$J$3500,4,0)</f>
        <v>#N/A</v>
      </c>
      <c r="Q1804" s="1" t="s">
        <v>1489</v>
      </c>
      <c r="R1804" s="1" t="s">
        <v>1480</v>
      </c>
      <c r="S1804" s="6" t="e">
        <f t="shared" si="86"/>
        <v>#N/A</v>
      </c>
    </row>
    <row r="1805" spans="2:19" x14ac:dyDescent="0.25">
      <c r="B1805" s="1" t="s">
        <v>1479</v>
      </c>
      <c r="C1805" s="1" t="s">
        <v>1481</v>
      </c>
      <c r="D1805" s="4" t="e">
        <f>VLOOKUP(A1805,المعطيات!$A$1:$J$3500,5,0)</f>
        <v>#N/A</v>
      </c>
      <c r="E1805" s="1" t="s">
        <v>1482</v>
      </c>
      <c r="F1805" s="5">
        <f t="shared" si="84"/>
        <v>0</v>
      </c>
      <c r="G1805" s="5" t="s">
        <v>1483</v>
      </c>
      <c r="H1805" s="4" t="e">
        <f>VLOOKUP(A1805,المعطيات!$A$1:$J$3500,3,0)</f>
        <v>#N/A</v>
      </c>
      <c r="I1805" s="1" t="s">
        <v>1484</v>
      </c>
      <c r="J1805" s="1" t="s">
        <v>1485</v>
      </c>
      <c r="K1805" s="4" t="e">
        <f>VLOOKUP(A1805,المعطيات!$A$1:$J$3500,6,0)</f>
        <v>#N/A</v>
      </c>
      <c r="L1805" s="1" t="s">
        <v>1486</v>
      </c>
      <c r="M1805" s="1" t="s">
        <v>1487</v>
      </c>
      <c r="N1805" s="4" t="e">
        <f t="shared" si="85"/>
        <v>#N/A</v>
      </c>
      <c r="O1805" s="1" t="s">
        <v>1488</v>
      </c>
      <c r="P1805" s="4" t="e">
        <f>VLOOKUP(A1805,المعطيات!$A$1:$J$3500,4,0)</f>
        <v>#N/A</v>
      </c>
      <c r="Q1805" s="1" t="s">
        <v>1489</v>
      </c>
      <c r="R1805" s="1" t="s">
        <v>1480</v>
      </c>
      <c r="S1805" s="6" t="e">
        <f t="shared" si="86"/>
        <v>#N/A</v>
      </c>
    </row>
    <row r="1806" spans="2:19" x14ac:dyDescent="0.25">
      <c r="B1806" s="1" t="s">
        <v>1479</v>
      </c>
      <c r="C1806" s="1" t="s">
        <v>1481</v>
      </c>
      <c r="D1806" s="4" t="e">
        <f>VLOOKUP(A1806,المعطيات!$A$1:$J$3500,5,0)</f>
        <v>#N/A</v>
      </c>
      <c r="E1806" s="1" t="s">
        <v>1482</v>
      </c>
      <c r="F1806" s="5">
        <f t="shared" si="84"/>
        <v>0</v>
      </c>
      <c r="G1806" s="5" t="s">
        <v>1483</v>
      </c>
      <c r="H1806" s="4" t="e">
        <f>VLOOKUP(A1806,المعطيات!$A$1:$J$3500,3,0)</f>
        <v>#N/A</v>
      </c>
      <c r="I1806" s="1" t="s">
        <v>1484</v>
      </c>
      <c r="J1806" s="1" t="s">
        <v>1485</v>
      </c>
      <c r="K1806" s="4" t="e">
        <f>VLOOKUP(A1806,المعطيات!$A$1:$J$3500,6,0)</f>
        <v>#N/A</v>
      </c>
      <c r="L1806" s="1" t="s">
        <v>1486</v>
      </c>
      <c r="M1806" s="1" t="s">
        <v>1487</v>
      </c>
      <c r="N1806" s="4" t="e">
        <f t="shared" si="85"/>
        <v>#N/A</v>
      </c>
      <c r="O1806" s="1" t="s">
        <v>1488</v>
      </c>
      <c r="P1806" s="4" t="e">
        <f>VLOOKUP(A1806,المعطيات!$A$1:$J$3500,4,0)</f>
        <v>#N/A</v>
      </c>
      <c r="Q1806" s="1" t="s">
        <v>1489</v>
      </c>
      <c r="R1806" s="1" t="s">
        <v>1480</v>
      </c>
      <c r="S1806" s="6" t="e">
        <f t="shared" si="86"/>
        <v>#N/A</v>
      </c>
    </row>
    <row r="1807" spans="2:19" x14ac:dyDescent="0.25">
      <c r="B1807" s="1" t="s">
        <v>1479</v>
      </c>
      <c r="C1807" s="1" t="s">
        <v>1481</v>
      </c>
      <c r="D1807" s="4" t="e">
        <f>VLOOKUP(A1807,المعطيات!$A$1:$J$3500,5,0)</f>
        <v>#N/A</v>
      </c>
      <c r="E1807" s="1" t="s">
        <v>1482</v>
      </c>
      <c r="F1807" s="5">
        <f t="shared" si="84"/>
        <v>0</v>
      </c>
      <c r="G1807" s="5" t="s">
        <v>1483</v>
      </c>
      <c r="H1807" s="4" t="e">
        <f>VLOOKUP(A1807,المعطيات!$A$1:$J$3500,3,0)</f>
        <v>#N/A</v>
      </c>
      <c r="I1807" s="1" t="s">
        <v>1484</v>
      </c>
      <c r="J1807" s="1" t="s">
        <v>1485</v>
      </c>
      <c r="K1807" s="4" t="e">
        <f>VLOOKUP(A1807,المعطيات!$A$1:$J$3500,6,0)</f>
        <v>#N/A</v>
      </c>
      <c r="L1807" s="1" t="s">
        <v>1486</v>
      </c>
      <c r="M1807" s="1" t="s">
        <v>1487</v>
      </c>
      <c r="N1807" s="4" t="e">
        <f t="shared" si="85"/>
        <v>#N/A</v>
      </c>
      <c r="O1807" s="1" t="s">
        <v>1488</v>
      </c>
      <c r="P1807" s="4" t="e">
        <f>VLOOKUP(A1807,المعطيات!$A$1:$J$3500,4,0)</f>
        <v>#N/A</v>
      </c>
      <c r="Q1807" s="1" t="s">
        <v>1489</v>
      </c>
      <c r="R1807" s="1" t="s">
        <v>1480</v>
      </c>
      <c r="S1807" s="6" t="e">
        <f t="shared" si="86"/>
        <v>#N/A</v>
      </c>
    </row>
    <row r="1808" spans="2:19" x14ac:dyDescent="0.25">
      <c r="B1808" s="1" t="s">
        <v>1479</v>
      </c>
      <c r="C1808" s="1" t="s">
        <v>1481</v>
      </c>
      <c r="D1808" s="4" t="e">
        <f>VLOOKUP(A1808,المعطيات!$A$1:$J$3500,5,0)</f>
        <v>#N/A</v>
      </c>
      <c r="E1808" s="1" t="s">
        <v>1482</v>
      </c>
      <c r="F1808" s="5">
        <f t="shared" si="84"/>
        <v>0</v>
      </c>
      <c r="G1808" s="5" t="s">
        <v>1483</v>
      </c>
      <c r="H1808" s="4" t="e">
        <f>VLOOKUP(A1808,المعطيات!$A$1:$J$3500,3,0)</f>
        <v>#N/A</v>
      </c>
      <c r="I1808" s="1" t="s">
        <v>1484</v>
      </c>
      <c r="J1808" s="1" t="s">
        <v>1485</v>
      </c>
      <c r="K1808" s="4" t="e">
        <f>VLOOKUP(A1808,المعطيات!$A$1:$J$3500,6,0)</f>
        <v>#N/A</v>
      </c>
      <c r="L1808" s="1" t="s">
        <v>1486</v>
      </c>
      <c r="M1808" s="1" t="s">
        <v>1487</v>
      </c>
      <c r="N1808" s="4" t="e">
        <f t="shared" si="85"/>
        <v>#N/A</v>
      </c>
      <c r="O1808" s="1" t="s">
        <v>1488</v>
      </c>
      <c r="P1808" s="4" t="e">
        <f>VLOOKUP(A1808,المعطيات!$A$1:$J$3500,4,0)</f>
        <v>#N/A</v>
      </c>
      <c r="Q1808" s="1" t="s">
        <v>1489</v>
      </c>
      <c r="R1808" s="1" t="s">
        <v>1480</v>
      </c>
      <c r="S1808" s="6" t="e">
        <f t="shared" si="86"/>
        <v>#N/A</v>
      </c>
    </row>
    <row r="1809" spans="2:19" x14ac:dyDescent="0.25">
      <c r="B1809" s="1" t="s">
        <v>1479</v>
      </c>
      <c r="C1809" s="1" t="s">
        <v>1481</v>
      </c>
      <c r="D1809" s="4" t="e">
        <f>VLOOKUP(A1809,المعطيات!$A$1:$J$3500,5,0)</f>
        <v>#N/A</v>
      </c>
      <c r="E1809" s="1" t="s">
        <v>1482</v>
      </c>
      <c r="F1809" s="5">
        <f t="shared" si="84"/>
        <v>0</v>
      </c>
      <c r="G1809" s="5" t="s">
        <v>1483</v>
      </c>
      <c r="H1809" s="4" t="e">
        <f>VLOOKUP(A1809,المعطيات!$A$1:$J$3500,3,0)</f>
        <v>#N/A</v>
      </c>
      <c r="I1809" s="1" t="s">
        <v>1484</v>
      </c>
      <c r="J1809" s="1" t="s">
        <v>1485</v>
      </c>
      <c r="K1809" s="4" t="e">
        <f>VLOOKUP(A1809,المعطيات!$A$1:$J$3500,6,0)</f>
        <v>#N/A</v>
      </c>
      <c r="L1809" s="1" t="s">
        <v>1486</v>
      </c>
      <c r="M1809" s="1" t="s">
        <v>1487</v>
      </c>
      <c r="N1809" s="4" t="e">
        <f t="shared" si="85"/>
        <v>#N/A</v>
      </c>
      <c r="O1809" s="1" t="s">
        <v>1488</v>
      </c>
      <c r="P1809" s="4" t="e">
        <f>VLOOKUP(A1809,المعطيات!$A$1:$J$3500,4,0)</f>
        <v>#N/A</v>
      </c>
      <c r="Q1809" s="1" t="s">
        <v>1489</v>
      </c>
      <c r="R1809" s="1" t="s">
        <v>1480</v>
      </c>
      <c r="S1809" s="6" t="e">
        <f t="shared" si="86"/>
        <v>#N/A</v>
      </c>
    </row>
    <row r="1810" spans="2:19" x14ac:dyDescent="0.25">
      <c r="B1810" s="1" t="s">
        <v>1479</v>
      </c>
      <c r="C1810" s="1" t="s">
        <v>1481</v>
      </c>
      <c r="D1810" s="4" t="e">
        <f>VLOOKUP(A1810,المعطيات!$A$1:$J$3500,5,0)</f>
        <v>#N/A</v>
      </c>
      <c r="E1810" s="1" t="s">
        <v>1482</v>
      </c>
      <c r="F1810" s="5">
        <f t="shared" si="84"/>
        <v>0</v>
      </c>
      <c r="G1810" s="5" t="s">
        <v>1483</v>
      </c>
      <c r="H1810" s="4" t="e">
        <f>VLOOKUP(A1810,المعطيات!$A$1:$J$3500,3,0)</f>
        <v>#N/A</v>
      </c>
      <c r="I1810" s="1" t="s">
        <v>1484</v>
      </c>
      <c r="J1810" s="1" t="s">
        <v>1485</v>
      </c>
      <c r="K1810" s="4" t="e">
        <f>VLOOKUP(A1810,المعطيات!$A$1:$J$3500,6,0)</f>
        <v>#N/A</v>
      </c>
      <c r="L1810" s="1" t="s">
        <v>1486</v>
      </c>
      <c r="M1810" s="1" t="s">
        <v>1487</v>
      </c>
      <c r="N1810" s="4" t="e">
        <f t="shared" si="85"/>
        <v>#N/A</v>
      </c>
      <c r="O1810" s="1" t="s">
        <v>1488</v>
      </c>
      <c r="P1810" s="4" t="e">
        <f>VLOOKUP(A1810,المعطيات!$A$1:$J$3500,4,0)</f>
        <v>#N/A</v>
      </c>
      <c r="Q1810" s="1" t="s">
        <v>1489</v>
      </c>
      <c r="R1810" s="1" t="s">
        <v>1480</v>
      </c>
      <c r="S1810" s="6" t="e">
        <f t="shared" si="86"/>
        <v>#N/A</v>
      </c>
    </row>
    <row r="1811" spans="2:19" x14ac:dyDescent="0.25">
      <c r="B1811" s="1" t="s">
        <v>1479</v>
      </c>
      <c r="C1811" s="1" t="s">
        <v>1481</v>
      </c>
      <c r="D1811" s="4" t="e">
        <f>VLOOKUP(A1811,المعطيات!$A$1:$J$3500,5,0)</f>
        <v>#N/A</v>
      </c>
      <c r="E1811" s="1" t="s">
        <v>1482</v>
      </c>
      <c r="F1811" s="5">
        <f t="shared" si="84"/>
        <v>0</v>
      </c>
      <c r="G1811" s="5" t="s">
        <v>1483</v>
      </c>
      <c r="H1811" s="4" t="e">
        <f>VLOOKUP(A1811,المعطيات!$A$1:$J$3500,3,0)</f>
        <v>#N/A</v>
      </c>
      <c r="I1811" s="1" t="s">
        <v>1484</v>
      </c>
      <c r="J1811" s="1" t="s">
        <v>1485</v>
      </c>
      <c r="K1811" s="4" t="e">
        <f>VLOOKUP(A1811,المعطيات!$A$1:$J$3500,6,0)</f>
        <v>#N/A</v>
      </c>
      <c r="L1811" s="1" t="s">
        <v>1486</v>
      </c>
      <c r="M1811" s="1" t="s">
        <v>1487</v>
      </c>
      <c r="N1811" s="4" t="e">
        <f t="shared" si="85"/>
        <v>#N/A</v>
      </c>
      <c r="O1811" s="1" t="s">
        <v>1488</v>
      </c>
      <c r="P1811" s="4" t="e">
        <f>VLOOKUP(A1811,المعطيات!$A$1:$J$3500,4,0)</f>
        <v>#N/A</v>
      </c>
      <c r="Q1811" s="1" t="s">
        <v>1489</v>
      </c>
      <c r="R1811" s="1" t="s">
        <v>1480</v>
      </c>
      <c r="S1811" s="6" t="e">
        <f t="shared" si="86"/>
        <v>#N/A</v>
      </c>
    </row>
    <row r="1812" spans="2:19" x14ac:dyDescent="0.25">
      <c r="B1812" s="1" t="s">
        <v>1479</v>
      </c>
      <c r="C1812" s="1" t="s">
        <v>1481</v>
      </c>
      <c r="D1812" s="4" t="e">
        <f>VLOOKUP(A1812,المعطيات!$A$1:$J$3500,5,0)</f>
        <v>#N/A</v>
      </c>
      <c r="E1812" s="1" t="s">
        <v>1482</v>
      </c>
      <c r="F1812" s="5">
        <f t="shared" si="84"/>
        <v>0</v>
      </c>
      <c r="G1812" s="5" t="s">
        <v>1483</v>
      </c>
      <c r="H1812" s="4" t="e">
        <f>VLOOKUP(A1812,المعطيات!$A$1:$J$3500,3,0)</f>
        <v>#N/A</v>
      </c>
      <c r="I1812" s="1" t="s">
        <v>1484</v>
      </c>
      <c r="J1812" s="1" t="s">
        <v>1485</v>
      </c>
      <c r="K1812" s="4" t="e">
        <f>VLOOKUP(A1812,المعطيات!$A$1:$J$3500,6,0)</f>
        <v>#N/A</v>
      </c>
      <c r="L1812" s="1" t="s">
        <v>1486</v>
      </c>
      <c r="M1812" s="1" t="s">
        <v>1487</v>
      </c>
      <c r="N1812" s="4" t="e">
        <f t="shared" si="85"/>
        <v>#N/A</v>
      </c>
      <c r="O1812" s="1" t="s">
        <v>1488</v>
      </c>
      <c r="P1812" s="4" t="e">
        <f>VLOOKUP(A1812,المعطيات!$A$1:$J$3500,4,0)</f>
        <v>#N/A</v>
      </c>
      <c r="Q1812" s="1" t="s">
        <v>1489</v>
      </c>
      <c r="R1812" s="1" t="s">
        <v>1480</v>
      </c>
      <c r="S1812" s="6" t="e">
        <f t="shared" si="86"/>
        <v>#N/A</v>
      </c>
    </row>
    <row r="1813" spans="2:19" x14ac:dyDescent="0.25">
      <c r="B1813" s="1" t="s">
        <v>1479</v>
      </c>
      <c r="C1813" s="1" t="s">
        <v>1481</v>
      </c>
      <c r="D1813" s="4" t="e">
        <f>VLOOKUP(A1813,المعطيات!$A$1:$J$3500,5,0)</f>
        <v>#N/A</v>
      </c>
      <c r="E1813" s="1" t="s">
        <v>1482</v>
      </c>
      <c r="F1813" s="5">
        <f t="shared" si="84"/>
        <v>0</v>
      </c>
      <c r="G1813" s="5" t="s">
        <v>1483</v>
      </c>
      <c r="H1813" s="4" t="e">
        <f>VLOOKUP(A1813,المعطيات!$A$1:$J$3500,3,0)</f>
        <v>#N/A</v>
      </c>
      <c r="I1813" s="1" t="s">
        <v>1484</v>
      </c>
      <c r="J1813" s="1" t="s">
        <v>1485</v>
      </c>
      <c r="K1813" s="4" t="e">
        <f>VLOOKUP(A1813,المعطيات!$A$1:$J$3500,6,0)</f>
        <v>#N/A</v>
      </c>
      <c r="L1813" s="1" t="s">
        <v>1486</v>
      </c>
      <c r="M1813" s="1" t="s">
        <v>1487</v>
      </c>
      <c r="N1813" s="4" t="e">
        <f t="shared" si="85"/>
        <v>#N/A</v>
      </c>
      <c r="O1813" s="1" t="s">
        <v>1488</v>
      </c>
      <c r="P1813" s="4" t="e">
        <f>VLOOKUP(A1813,المعطيات!$A$1:$J$3500,4,0)</f>
        <v>#N/A</v>
      </c>
      <c r="Q1813" s="1" t="s">
        <v>1489</v>
      </c>
      <c r="R1813" s="1" t="s">
        <v>1480</v>
      </c>
      <c r="S1813" s="6" t="e">
        <f t="shared" si="86"/>
        <v>#N/A</v>
      </c>
    </row>
    <row r="1814" spans="2:19" x14ac:dyDescent="0.25">
      <c r="B1814" s="1" t="s">
        <v>1479</v>
      </c>
      <c r="C1814" s="1" t="s">
        <v>1481</v>
      </c>
      <c r="D1814" s="4" t="e">
        <f>VLOOKUP(A1814,المعطيات!$A$1:$J$3500,5,0)</f>
        <v>#N/A</v>
      </c>
      <c r="E1814" s="1" t="s">
        <v>1482</v>
      </c>
      <c r="F1814" s="5">
        <f t="shared" si="84"/>
        <v>0</v>
      </c>
      <c r="G1814" s="5" t="s">
        <v>1483</v>
      </c>
      <c r="H1814" s="4" t="e">
        <f>VLOOKUP(A1814,المعطيات!$A$1:$J$3500,3,0)</f>
        <v>#N/A</v>
      </c>
      <c r="I1814" s="1" t="s">
        <v>1484</v>
      </c>
      <c r="J1814" s="1" t="s">
        <v>1485</v>
      </c>
      <c r="K1814" s="4" t="e">
        <f>VLOOKUP(A1814,المعطيات!$A$1:$J$3500,6,0)</f>
        <v>#N/A</v>
      </c>
      <c r="L1814" s="1" t="s">
        <v>1486</v>
      </c>
      <c r="M1814" s="1" t="s">
        <v>1487</v>
      </c>
      <c r="N1814" s="4" t="e">
        <f t="shared" si="85"/>
        <v>#N/A</v>
      </c>
      <c r="O1814" s="1" t="s">
        <v>1488</v>
      </c>
      <c r="P1814" s="4" t="e">
        <f>VLOOKUP(A1814,المعطيات!$A$1:$J$3500,4,0)</f>
        <v>#N/A</v>
      </c>
      <c r="Q1814" s="1" t="s">
        <v>1489</v>
      </c>
      <c r="R1814" s="1" t="s">
        <v>1480</v>
      </c>
      <c r="S1814" s="6" t="e">
        <f t="shared" si="86"/>
        <v>#N/A</v>
      </c>
    </row>
    <row r="1815" spans="2:19" x14ac:dyDescent="0.25">
      <c r="B1815" s="1" t="s">
        <v>1479</v>
      </c>
      <c r="C1815" s="1" t="s">
        <v>1481</v>
      </c>
      <c r="D1815" s="4" t="e">
        <f>VLOOKUP(A1815,المعطيات!$A$1:$J$3500,5,0)</f>
        <v>#N/A</v>
      </c>
      <c r="E1815" s="1" t="s">
        <v>1482</v>
      </c>
      <c r="F1815" s="5">
        <f t="shared" si="84"/>
        <v>0</v>
      </c>
      <c r="G1815" s="5" t="s">
        <v>1483</v>
      </c>
      <c r="H1815" s="4" t="e">
        <f>VLOOKUP(A1815,المعطيات!$A$1:$J$3500,3,0)</f>
        <v>#N/A</v>
      </c>
      <c r="I1815" s="1" t="s">
        <v>1484</v>
      </c>
      <c r="J1815" s="1" t="s">
        <v>1485</v>
      </c>
      <c r="K1815" s="4" t="e">
        <f>VLOOKUP(A1815,المعطيات!$A$1:$J$3500,6,0)</f>
        <v>#N/A</v>
      </c>
      <c r="L1815" s="1" t="s">
        <v>1486</v>
      </c>
      <c r="M1815" s="1" t="s">
        <v>1487</v>
      </c>
      <c r="N1815" s="4" t="e">
        <f t="shared" si="85"/>
        <v>#N/A</v>
      </c>
      <c r="O1815" s="1" t="s">
        <v>1488</v>
      </c>
      <c r="P1815" s="4" t="e">
        <f>VLOOKUP(A1815,المعطيات!$A$1:$J$3500,4,0)</f>
        <v>#N/A</v>
      </c>
      <c r="Q1815" s="1" t="s">
        <v>1489</v>
      </c>
      <c r="R1815" s="1" t="s">
        <v>1480</v>
      </c>
      <c r="S1815" s="6" t="e">
        <f t="shared" si="86"/>
        <v>#N/A</v>
      </c>
    </row>
    <row r="1816" spans="2:19" x14ac:dyDescent="0.25">
      <c r="B1816" s="1" t="s">
        <v>1479</v>
      </c>
      <c r="C1816" s="1" t="s">
        <v>1481</v>
      </c>
      <c r="D1816" s="4" t="e">
        <f>VLOOKUP(A1816,المعطيات!$A$1:$J$3500,5,0)</f>
        <v>#N/A</v>
      </c>
      <c r="E1816" s="1" t="s">
        <v>1482</v>
      </c>
      <c r="F1816" s="5">
        <f t="shared" si="84"/>
        <v>0</v>
      </c>
      <c r="G1816" s="5" t="s">
        <v>1483</v>
      </c>
      <c r="H1816" s="4" t="e">
        <f>VLOOKUP(A1816,المعطيات!$A$1:$J$3500,3,0)</f>
        <v>#N/A</v>
      </c>
      <c r="I1816" s="1" t="s">
        <v>1484</v>
      </c>
      <c r="J1816" s="1" t="s">
        <v>1485</v>
      </c>
      <c r="K1816" s="4" t="e">
        <f>VLOOKUP(A1816,المعطيات!$A$1:$J$3500,6,0)</f>
        <v>#N/A</v>
      </c>
      <c r="L1816" s="1" t="s">
        <v>1486</v>
      </c>
      <c r="M1816" s="1" t="s">
        <v>1487</v>
      </c>
      <c r="N1816" s="4" t="e">
        <f t="shared" si="85"/>
        <v>#N/A</v>
      </c>
      <c r="O1816" s="1" t="s">
        <v>1488</v>
      </c>
      <c r="P1816" s="4" t="e">
        <f>VLOOKUP(A1816,المعطيات!$A$1:$J$3500,4,0)</f>
        <v>#N/A</v>
      </c>
      <c r="Q1816" s="1" t="s">
        <v>1489</v>
      </c>
      <c r="R1816" s="1" t="s">
        <v>1480</v>
      </c>
      <c r="S1816" s="6" t="e">
        <f t="shared" si="86"/>
        <v>#N/A</v>
      </c>
    </row>
    <row r="1817" spans="2:19" x14ac:dyDescent="0.25">
      <c r="B1817" s="1" t="s">
        <v>1479</v>
      </c>
      <c r="C1817" s="1" t="s">
        <v>1481</v>
      </c>
      <c r="D1817" s="4" t="e">
        <f>VLOOKUP(A1817,المعطيات!$A$1:$J$3500,5,0)</f>
        <v>#N/A</v>
      </c>
      <c r="E1817" s="1" t="s">
        <v>1482</v>
      </c>
      <c r="F1817" s="5">
        <f t="shared" si="84"/>
        <v>0</v>
      </c>
      <c r="G1817" s="5" t="s">
        <v>1483</v>
      </c>
      <c r="H1817" s="4" t="e">
        <f>VLOOKUP(A1817,المعطيات!$A$1:$J$3500,3,0)</f>
        <v>#N/A</v>
      </c>
      <c r="I1817" s="1" t="s">
        <v>1484</v>
      </c>
      <c r="J1817" s="1" t="s">
        <v>1485</v>
      </c>
      <c r="K1817" s="4" t="e">
        <f>VLOOKUP(A1817,المعطيات!$A$1:$J$3500,6,0)</f>
        <v>#N/A</v>
      </c>
      <c r="L1817" s="1" t="s">
        <v>1486</v>
      </c>
      <c r="M1817" s="1" t="s">
        <v>1487</v>
      </c>
      <c r="N1817" s="4" t="e">
        <f t="shared" si="85"/>
        <v>#N/A</v>
      </c>
      <c r="O1817" s="1" t="s">
        <v>1488</v>
      </c>
      <c r="P1817" s="4" t="e">
        <f>VLOOKUP(A1817,المعطيات!$A$1:$J$3500,4,0)</f>
        <v>#N/A</v>
      </c>
      <c r="Q1817" s="1" t="s">
        <v>1489</v>
      </c>
      <c r="R1817" s="1" t="s">
        <v>1480</v>
      </c>
      <c r="S1817" s="6" t="e">
        <f t="shared" si="86"/>
        <v>#N/A</v>
      </c>
    </row>
    <row r="1818" spans="2:19" x14ac:dyDescent="0.25">
      <c r="B1818" s="1" t="s">
        <v>1479</v>
      </c>
      <c r="C1818" s="1" t="s">
        <v>1481</v>
      </c>
      <c r="D1818" s="4" t="e">
        <f>VLOOKUP(A1818,المعطيات!$A$1:$J$3500,5,0)</f>
        <v>#N/A</v>
      </c>
      <c r="E1818" s="1" t="s">
        <v>1482</v>
      </c>
      <c r="F1818" s="5">
        <f t="shared" si="84"/>
        <v>0</v>
      </c>
      <c r="G1818" s="5" t="s">
        <v>1483</v>
      </c>
      <c r="H1818" s="4" t="e">
        <f>VLOOKUP(A1818,المعطيات!$A$1:$J$3500,3,0)</f>
        <v>#N/A</v>
      </c>
      <c r="I1818" s="1" t="s">
        <v>1484</v>
      </c>
      <c r="J1818" s="1" t="s">
        <v>1485</v>
      </c>
      <c r="K1818" s="4" t="e">
        <f>VLOOKUP(A1818,المعطيات!$A$1:$J$3500,6,0)</f>
        <v>#N/A</v>
      </c>
      <c r="L1818" s="1" t="s">
        <v>1486</v>
      </c>
      <c r="M1818" s="1" t="s">
        <v>1487</v>
      </c>
      <c r="N1818" s="4" t="e">
        <f t="shared" si="85"/>
        <v>#N/A</v>
      </c>
      <c r="O1818" s="1" t="s">
        <v>1488</v>
      </c>
      <c r="P1818" s="4" t="e">
        <f>VLOOKUP(A1818,المعطيات!$A$1:$J$3500,4,0)</f>
        <v>#N/A</v>
      </c>
      <c r="Q1818" s="1" t="s">
        <v>1489</v>
      </c>
      <c r="R1818" s="1" t="s">
        <v>1480</v>
      </c>
      <c r="S1818" s="6" t="e">
        <f t="shared" si="86"/>
        <v>#N/A</v>
      </c>
    </row>
    <row r="1819" spans="2:19" x14ac:dyDescent="0.25">
      <c r="B1819" s="1" t="s">
        <v>1479</v>
      </c>
      <c r="C1819" s="1" t="s">
        <v>1481</v>
      </c>
      <c r="D1819" s="4" t="e">
        <f>VLOOKUP(A1819,المعطيات!$A$1:$J$3500,5,0)</f>
        <v>#N/A</v>
      </c>
      <c r="E1819" s="1" t="s">
        <v>1482</v>
      </c>
      <c r="F1819" s="5">
        <f t="shared" si="84"/>
        <v>0</v>
      </c>
      <c r="G1819" s="5" t="s">
        <v>1483</v>
      </c>
      <c r="H1819" s="4" t="e">
        <f>VLOOKUP(A1819,المعطيات!$A$1:$J$3500,3,0)</f>
        <v>#N/A</v>
      </c>
      <c r="I1819" s="1" t="s">
        <v>1484</v>
      </c>
      <c r="J1819" s="1" t="s">
        <v>1485</v>
      </c>
      <c r="K1819" s="4" t="e">
        <f>VLOOKUP(A1819,المعطيات!$A$1:$J$3500,6,0)</f>
        <v>#N/A</v>
      </c>
      <c r="L1819" s="1" t="s">
        <v>1486</v>
      </c>
      <c r="M1819" s="1" t="s">
        <v>1487</v>
      </c>
      <c r="N1819" s="4" t="e">
        <f t="shared" si="85"/>
        <v>#N/A</v>
      </c>
      <c r="O1819" s="1" t="s">
        <v>1488</v>
      </c>
      <c r="P1819" s="4" t="e">
        <f>VLOOKUP(A1819,المعطيات!$A$1:$J$3500,4,0)</f>
        <v>#N/A</v>
      </c>
      <c r="Q1819" s="1" t="s">
        <v>1489</v>
      </c>
      <c r="R1819" s="1" t="s">
        <v>1480</v>
      </c>
      <c r="S1819" s="6" t="e">
        <f t="shared" si="86"/>
        <v>#N/A</v>
      </c>
    </row>
    <row r="1820" spans="2:19" x14ac:dyDescent="0.25">
      <c r="B1820" s="1" t="s">
        <v>1479</v>
      </c>
      <c r="C1820" s="1" t="s">
        <v>1481</v>
      </c>
      <c r="D1820" s="4" t="e">
        <f>VLOOKUP(A1820,المعطيات!$A$1:$J$3500,5,0)</f>
        <v>#N/A</v>
      </c>
      <c r="E1820" s="1" t="s">
        <v>1482</v>
      </c>
      <c r="F1820" s="5">
        <f t="shared" si="84"/>
        <v>0</v>
      </c>
      <c r="G1820" s="5" t="s">
        <v>1483</v>
      </c>
      <c r="H1820" s="4" t="e">
        <f>VLOOKUP(A1820,المعطيات!$A$1:$J$3500,3,0)</f>
        <v>#N/A</v>
      </c>
      <c r="I1820" s="1" t="s">
        <v>1484</v>
      </c>
      <c r="J1820" s="1" t="s">
        <v>1485</v>
      </c>
      <c r="K1820" s="4" t="e">
        <f>VLOOKUP(A1820,المعطيات!$A$1:$J$3500,6,0)</f>
        <v>#N/A</v>
      </c>
      <c r="L1820" s="1" t="s">
        <v>1486</v>
      </c>
      <c r="M1820" s="1" t="s">
        <v>1487</v>
      </c>
      <c r="N1820" s="4" t="e">
        <f t="shared" si="85"/>
        <v>#N/A</v>
      </c>
      <c r="O1820" s="1" t="s">
        <v>1488</v>
      </c>
      <c r="P1820" s="4" t="e">
        <f>VLOOKUP(A1820,المعطيات!$A$1:$J$3500,4,0)</f>
        <v>#N/A</v>
      </c>
      <c r="Q1820" s="1" t="s">
        <v>1489</v>
      </c>
      <c r="R1820" s="1" t="s">
        <v>1480</v>
      </c>
      <c r="S1820" s="6" t="e">
        <f t="shared" si="86"/>
        <v>#N/A</v>
      </c>
    </row>
    <row r="1821" spans="2:19" x14ac:dyDescent="0.25">
      <c r="B1821" s="1" t="s">
        <v>1479</v>
      </c>
      <c r="C1821" s="1" t="s">
        <v>1481</v>
      </c>
      <c r="D1821" s="4" t="e">
        <f>VLOOKUP(A1821,المعطيات!$A$1:$J$3500,5,0)</f>
        <v>#N/A</v>
      </c>
      <c r="E1821" s="1" t="s">
        <v>1482</v>
      </c>
      <c r="F1821" s="5">
        <f t="shared" si="84"/>
        <v>0</v>
      </c>
      <c r="G1821" s="5" t="s">
        <v>1483</v>
      </c>
      <c r="H1821" s="4" t="e">
        <f>VLOOKUP(A1821,المعطيات!$A$1:$J$3500,3,0)</f>
        <v>#N/A</v>
      </c>
      <c r="I1821" s="1" t="s">
        <v>1484</v>
      </c>
      <c r="J1821" s="1" t="s">
        <v>1485</v>
      </c>
      <c r="K1821" s="4" t="e">
        <f>VLOOKUP(A1821,المعطيات!$A$1:$J$3500,6,0)</f>
        <v>#N/A</v>
      </c>
      <c r="L1821" s="1" t="s">
        <v>1486</v>
      </c>
      <c r="M1821" s="1" t="s">
        <v>1487</v>
      </c>
      <c r="N1821" s="4" t="e">
        <f t="shared" si="85"/>
        <v>#N/A</v>
      </c>
      <c r="O1821" s="1" t="s">
        <v>1488</v>
      </c>
      <c r="P1821" s="4" t="e">
        <f>VLOOKUP(A1821,المعطيات!$A$1:$J$3500,4,0)</f>
        <v>#N/A</v>
      </c>
      <c r="Q1821" s="1" t="s">
        <v>1489</v>
      </c>
      <c r="R1821" s="1" t="s">
        <v>1480</v>
      </c>
      <c r="S1821" s="6" t="e">
        <f t="shared" si="86"/>
        <v>#N/A</v>
      </c>
    </row>
    <row r="1822" spans="2:19" x14ac:dyDescent="0.25">
      <c r="B1822" s="1" t="s">
        <v>1479</v>
      </c>
      <c r="C1822" s="1" t="s">
        <v>1481</v>
      </c>
      <c r="D1822" s="4" t="e">
        <f>VLOOKUP(A1822,المعطيات!$A$1:$J$3500,5,0)</f>
        <v>#N/A</v>
      </c>
      <c r="E1822" s="1" t="s">
        <v>1482</v>
      </c>
      <c r="F1822" s="5">
        <f t="shared" si="84"/>
        <v>0</v>
      </c>
      <c r="G1822" s="5" t="s">
        <v>1483</v>
      </c>
      <c r="H1822" s="4" t="e">
        <f>VLOOKUP(A1822,المعطيات!$A$1:$J$3500,3,0)</f>
        <v>#N/A</v>
      </c>
      <c r="I1822" s="1" t="s">
        <v>1484</v>
      </c>
      <c r="J1822" s="1" t="s">
        <v>1485</v>
      </c>
      <c r="K1822" s="4" t="e">
        <f>VLOOKUP(A1822,المعطيات!$A$1:$J$3500,6,0)</f>
        <v>#N/A</v>
      </c>
      <c r="L1822" s="1" t="s">
        <v>1486</v>
      </c>
      <c r="M1822" s="1" t="s">
        <v>1487</v>
      </c>
      <c r="N1822" s="4" t="e">
        <f t="shared" si="85"/>
        <v>#N/A</v>
      </c>
      <c r="O1822" s="1" t="s">
        <v>1488</v>
      </c>
      <c r="P1822" s="4" t="e">
        <f>VLOOKUP(A1822,المعطيات!$A$1:$J$3500,4,0)</f>
        <v>#N/A</v>
      </c>
      <c r="Q1822" s="1" t="s">
        <v>1489</v>
      </c>
      <c r="R1822" s="1" t="s">
        <v>1480</v>
      </c>
      <c r="S1822" s="6" t="e">
        <f t="shared" si="86"/>
        <v>#N/A</v>
      </c>
    </row>
    <row r="1823" spans="2:19" x14ac:dyDescent="0.25">
      <c r="B1823" s="1" t="s">
        <v>1479</v>
      </c>
      <c r="C1823" s="1" t="s">
        <v>1481</v>
      </c>
      <c r="D1823" s="4" t="e">
        <f>VLOOKUP(A1823,المعطيات!$A$1:$J$3500,5,0)</f>
        <v>#N/A</v>
      </c>
      <c r="E1823" s="1" t="s">
        <v>1482</v>
      </c>
      <c r="F1823" s="5">
        <f t="shared" si="84"/>
        <v>0</v>
      </c>
      <c r="G1823" s="5" t="s">
        <v>1483</v>
      </c>
      <c r="H1823" s="4" t="e">
        <f>VLOOKUP(A1823,المعطيات!$A$1:$J$3500,3,0)</f>
        <v>#N/A</v>
      </c>
      <c r="I1823" s="1" t="s">
        <v>1484</v>
      </c>
      <c r="J1823" s="1" t="s">
        <v>1485</v>
      </c>
      <c r="K1823" s="4" t="e">
        <f>VLOOKUP(A1823,المعطيات!$A$1:$J$3500,6,0)</f>
        <v>#N/A</v>
      </c>
      <c r="L1823" s="1" t="s">
        <v>1486</v>
      </c>
      <c r="M1823" s="1" t="s">
        <v>1487</v>
      </c>
      <c r="N1823" s="4" t="e">
        <f t="shared" si="85"/>
        <v>#N/A</v>
      </c>
      <c r="O1823" s="1" t="s">
        <v>1488</v>
      </c>
      <c r="P1823" s="4" t="e">
        <f>VLOOKUP(A1823,المعطيات!$A$1:$J$3500,4,0)</f>
        <v>#N/A</v>
      </c>
      <c r="Q1823" s="1" t="s">
        <v>1489</v>
      </c>
      <c r="R1823" s="1" t="s">
        <v>1480</v>
      </c>
      <c r="S1823" s="6" t="e">
        <f t="shared" si="86"/>
        <v>#N/A</v>
      </c>
    </row>
    <row r="1824" spans="2:19" x14ac:dyDescent="0.25">
      <c r="B1824" s="1" t="s">
        <v>1479</v>
      </c>
      <c r="C1824" s="1" t="s">
        <v>1481</v>
      </c>
      <c r="D1824" s="4" t="e">
        <f>VLOOKUP(A1824,المعطيات!$A$1:$J$3500,5,0)</f>
        <v>#N/A</v>
      </c>
      <c r="E1824" s="1" t="s">
        <v>1482</v>
      </c>
      <c r="F1824" s="5">
        <f t="shared" si="84"/>
        <v>0</v>
      </c>
      <c r="G1824" s="5" t="s">
        <v>1483</v>
      </c>
      <c r="H1824" s="4" t="e">
        <f>VLOOKUP(A1824,المعطيات!$A$1:$J$3500,3,0)</f>
        <v>#N/A</v>
      </c>
      <c r="I1824" s="1" t="s">
        <v>1484</v>
      </c>
      <c r="J1824" s="1" t="s">
        <v>1485</v>
      </c>
      <c r="K1824" s="4" t="e">
        <f>VLOOKUP(A1824,المعطيات!$A$1:$J$3500,6,0)</f>
        <v>#N/A</v>
      </c>
      <c r="L1824" s="1" t="s">
        <v>1486</v>
      </c>
      <c r="M1824" s="1" t="s">
        <v>1487</v>
      </c>
      <c r="N1824" s="4" t="e">
        <f t="shared" si="85"/>
        <v>#N/A</v>
      </c>
      <c r="O1824" s="1" t="s">
        <v>1488</v>
      </c>
      <c r="P1824" s="4" t="e">
        <f>VLOOKUP(A1824,المعطيات!$A$1:$J$3500,4,0)</f>
        <v>#N/A</v>
      </c>
      <c r="Q1824" s="1" t="s">
        <v>1489</v>
      </c>
      <c r="R1824" s="1" t="s">
        <v>1480</v>
      </c>
      <c r="S1824" s="6" t="e">
        <f t="shared" si="86"/>
        <v>#N/A</v>
      </c>
    </row>
    <row r="1825" spans="2:19" x14ac:dyDescent="0.25">
      <c r="B1825" s="1" t="s">
        <v>1479</v>
      </c>
      <c r="C1825" s="1" t="s">
        <v>1481</v>
      </c>
      <c r="D1825" s="4" t="e">
        <f>VLOOKUP(A1825,المعطيات!$A$1:$J$3500,5,0)</f>
        <v>#N/A</v>
      </c>
      <c r="E1825" s="1" t="s">
        <v>1482</v>
      </c>
      <c r="F1825" s="5">
        <f t="shared" si="84"/>
        <v>0</v>
      </c>
      <c r="G1825" s="5" t="s">
        <v>1483</v>
      </c>
      <c r="H1825" s="4" t="e">
        <f>VLOOKUP(A1825,المعطيات!$A$1:$J$3500,3,0)</f>
        <v>#N/A</v>
      </c>
      <c r="I1825" s="1" t="s">
        <v>1484</v>
      </c>
      <c r="J1825" s="1" t="s">
        <v>1485</v>
      </c>
      <c r="K1825" s="4" t="e">
        <f>VLOOKUP(A1825,المعطيات!$A$1:$J$3500,6,0)</f>
        <v>#N/A</v>
      </c>
      <c r="L1825" s="1" t="s">
        <v>1486</v>
      </c>
      <c r="M1825" s="1" t="s">
        <v>1487</v>
      </c>
      <c r="N1825" s="4" t="e">
        <f t="shared" si="85"/>
        <v>#N/A</v>
      </c>
      <c r="O1825" s="1" t="s">
        <v>1488</v>
      </c>
      <c r="P1825" s="4" t="e">
        <f>VLOOKUP(A1825,المعطيات!$A$1:$J$3500,4,0)</f>
        <v>#N/A</v>
      </c>
      <c r="Q1825" s="1" t="s">
        <v>1489</v>
      </c>
      <c r="R1825" s="1" t="s">
        <v>1480</v>
      </c>
      <c r="S1825" s="6" t="e">
        <f t="shared" si="86"/>
        <v>#N/A</v>
      </c>
    </row>
    <row r="1826" spans="2:19" x14ac:dyDescent="0.25">
      <c r="B1826" s="1" t="s">
        <v>1479</v>
      </c>
      <c r="C1826" s="1" t="s">
        <v>1481</v>
      </c>
      <c r="D1826" s="4" t="e">
        <f>VLOOKUP(A1826,المعطيات!$A$1:$J$3500,5,0)</f>
        <v>#N/A</v>
      </c>
      <c r="E1826" s="1" t="s">
        <v>1482</v>
      </c>
      <c r="F1826" s="5">
        <f t="shared" si="84"/>
        <v>0</v>
      </c>
      <c r="G1826" s="5" t="s">
        <v>1483</v>
      </c>
      <c r="H1826" s="4" t="e">
        <f>VLOOKUP(A1826,المعطيات!$A$1:$J$3500,3,0)</f>
        <v>#N/A</v>
      </c>
      <c r="I1826" s="1" t="s">
        <v>1484</v>
      </c>
      <c r="J1826" s="1" t="s">
        <v>1485</v>
      </c>
      <c r="K1826" s="4" t="e">
        <f>VLOOKUP(A1826,المعطيات!$A$1:$J$3500,6,0)</f>
        <v>#N/A</v>
      </c>
      <c r="L1826" s="1" t="s">
        <v>1486</v>
      </c>
      <c r="M1826" s="1" t="s">
        <v>1487</v>
      </c>
      <c r="N1826" s="4" t="e">
        <f t="shared" si="85"/>
        <v>#N/A</v>
      </c>
      <c r="O1826" s="1" t="s">
        <v>1488</v>
      </c>
      <c r="P1826" s="4" t="e">
        <f>VLOOKUP(A1826,المعطيات!$A$1:$J$3500,4,0)</f>
        <v>#N/A</v>
      </c>
      <c r="Q1826" s="1" t="s">
        <v>1489</v>
      </c>
      <c r="R1826" s="1" t="s">
        <v>1480</v>
      </c>
      <c r="S1826" s="6" t="e">
        <f t="shared" si="86"/>
        <v>#N/A</v>
      </c>
    </row>
    <row r="1827" spans="2:19" x14ac:dyDescent="0.25">
      <c r="B1827" s="1" t="s">
        <v>1479</v>
      </c>
      <c r="C1827" s="1" t="s">
        <v>1481</v>
      </c>
      <c r="D1827" s="4" t="e">
        <f>VLOOKUP(A1827,المعطيات!$A$1:$J$3500,5,0)</f>
        <v>#N/A</v>
      </c>
      <c r="E1827" s="1" t="s">
        <v>1482</v>
      </c>
      <c r="F1827" s="5">
        <f t="shared" si="84"/>
        <v>0</v>
      </c>
      <c r="G1827" s="5" t="s">
        <v>1483</v>
      </c>
      <c r="H1827" s="4" t="e">
        <f>VLOOKUP(A1827,المعطيات!$A$1:$J$3500,3,0)</f>
        <v>#N/A</v>
      </c>
      <c r="I1827" s="1" t="s">
        <v>1484</v>
      </c>
      <c r="J1827" s="1" t="s">
        <v>1485</v>
      </c>
      <c r="K1827" s="4" t="e">
        <f>VLOOKUP(A1827,المعطيات!$A$1:$J$3500,6,0)</f>
        <v>#N/A</v>
      </c>
      <c r="L1827" s="1" t="s">
        <v>1486</v>
      </c>
      <c r="M1827" s="1" t="s">
        <v>1487</v>
      </c>
      <c r="N1827" s="4" t="e">
        <f t="shared" si="85"/>
        <v>#N/A</v>
      </c>
      <c r="O1827" s="1" t="s">
        <v>1488</v>
      </c>
      <c r="P1827" s="4" t="e">
        <f>VLOOKUP(A1827,المعطيات!$A$1:$J$3500,4,0)</f>
        <v>#N/A</v>
      </c>
      <c r="Q1827" s="1" t="s">
        <v>1489</v>
      </c>
      <c r="R1827" s="1" t="s">
        <v>1480</v>
      </c>
      <c r="S1827" s="6" t="e">
        <f t="shared" si="86"/>
        <v>#N/A</v>
      </c>
    </row>
    <row r="1828" spans="2:19" x14ac:dyDescent="0.25">
      <c r="B1828" s="1" t="s">
        <v>1479</v>
      </c>
      <c r="C1828" s="1" t="s">
        <v>1481</v>
      </c>
      <c r="D1828" s="4" t="e">
        <f>VLOOKUP(A1828,المعطيات!$A$1:$J$3500,5,0)</f>
        <v>#N/A</v>
      </c>
      <c r="E1828" s="1" t="s">
        <v>1482</v>
      </c>
      <c r="F1828" s="5">
        <f t="shared" si="84"/>
        <v>0</v>
      </c>
      <c r="G1828" s="5" t="s">
        <v>1483</v>
      </c>
      <c r="H1828" s="4" t="e">
        <f>VLOOKUP(A1828,المعطيات!$A$1:$J$3500,3,0)</f>
        <v>#N/A</v>
      </c>
      <c r="I1828" s="1" t="s">
        <v>1484</v>
      </c>
      <c r="J1828" s="1" t="s">
        <v>1485</v>
      </c>
      <c r="K1828" s="4" t="e">
        <f>VLOOKUP(A1828,المعطيات!$A$1:$J$3500,6,0)</f>
        <v>#N/A</v>
      </c>
      <c r="L1828" s="1" t="s">
        <v>1486</v>
      </c>
      <c r="M1828" s="1" t="s">
        <v>1487</v>
      </c>
      <c r="N1828" s="4" t="e">
        <f t="shared" si="85"/>
        <v>#N/A</v>
      </c>
      <c r="O1828" s="1" t="s">
        <v>1488</v>
      </c>
      <c r="P1828" s="4" t="e">
        <f>VLOOKUP(A1828,المعطيات!$A$1:$J$3500,4,0)</f>
        <v>#N/A</v>
      </c>
      <c r="Q1828" s="1" t="s">
        <v>1489</v>
      </c>
      <c r="R1828" s="1" t="s">
        <v>1480</v>
      </c>
      <c r="S1828" s="6" t="e">
        <f t="shared" si="86"/>
        <v>#N/A</v>
      </c>
    </row>
    <row r="1829" spans="2:19" x14ac:dyDescent="0.25">
      <c r="B1829" s="1" t="s">
        <v>1479</v>
      </c>
      <c r="C1829" s="1" t="s">
        <v>1481</v>
      </c>
      <c r="D1829" s="4" t="e">
        <f>VLOOKUP(A1829,المعطيات!$A$1:$J$3500,5,0)</f>
        <v>#N/A</v>
      </c>
      <c r="E1829" s="1" t="s">
        <v>1482</v>
      </c>
      <c r="F1829" s="5">
        <f t="shared" si="84"/>
        <v>0</v>
      </c>
      <c r="G1829" s="5" t="s">
        <v>1483</v>
      </c>
      <c r="H1829" s="4" t="e">
        <f>VLOOKUP(A1829,المعطيات!$A$1:$J$3500,3,0)</f>
        <v>#N/A</v>
      </c>
      <c r="I1829" s="1" t="s">
        <v>1484</v>
      </c>
      <c r="J1829" s="1" t="s">
        <v>1485</v>
      </c>
      <c r="K1829" s="4" t="e">
        <f>VLOOKUP(A1829,المعطيات!$A$1:$J$3500,6,0)</f>
        <v>#N/A</v>
      </c>
      <c r="L1829" s="1" t="s">
        <v>1486</v>
      </c>
      <c r="M1829" s="1" t="s">
        <v>1487</v>
      </c>
      <c r="N1829" s="4" t="e">
        <f t="shared" si="85"/>
        <v>#N/A</v>
      </c>
      <c r="O1829" s="1" t="s">
        <v>1488</v>
      </c>
      <c r="P1829" s="4" t="e">
        <f>VLOOKUP(A1829,المعطيات!$A$1:$J$3500,4,0)</f>
        <v>#N/A</v>
      </c>
      <c r="Q1829" s="1" t="s">
        <v>1489</v>
      </c>
      <c r="R1829" s="1" t="s">
        <v>1480</v>
      </c>
      <c r="S1829" s="6" t="e">
        <f t="shared" si="86"/>
        <v>#N/A</v>
      </c>
    </row>
    <row r="1830" spans="2:19" x14ac:dyDescent="0.25">
      <c r="B1830" s="1" t="s">
        <v>1479</v>
      </c>
      <c r="C1830" s="1" t="s">
        <v>1481</v>
      </c>
      <c r="D1830" s="4" t="e">
        <f>VLOOKUP(A1830,المعطيات!$A$1:$J$3500,5,0)</f>
        <v>#N/A</v>
      </c>
      <c r="E1830" s="1" t="s">
        <v>1482</v>
      </c>
      <c r="F1830" s="5">
        <f t="shared" si="84"/>
        <v>0</v>
      </c>
      <c r="G1830" s="5" t="s">
        <v>1483</v>
      </c>
      <c r="H1830" s="4" t="e">
        <f>VLOOKUP(A1830,المعطيات!$A$1:$J$3500,3,0)</f>
        <v>#N/A</v>
      </c>
      <c r="I1830" s="1" t="s">
        <v>1484</v>
      </c>
      <c r="J1830" s="1" t="s">
        <v>1485</v>
      </c>
      <c r="K1830" s="4" t="e">
        <f>VLOOKUP(A1830,المعطيات!$A$1:$J$3500,6,0)</f>
        <v>#N/A</v>
      </c>
      <c r="L1830" s="1" t="s">
        <v>1486</v>
      </c>
      <c r="M1830" s="1" t="s">
        <v>1487</v>
      </c>
      <c r="N1830" s="4" t="e">
        <f t="shared" si="85"/>
        <v>#N/A</v>
      </c>
      <c r="O1830" s="1" t="s">
        <v>1488</v>
      </c>
      <c r="P1830" s="4" t="e">
        <f>VLOOKUP(A1830,المعطيات!$A$1:$J$3500,4,0)</f>
        <v>#N/A</v>
      </c>
      <c r="Q1830" s="1" t="s">
        <v>1489</v>
      </c>
      <c r="R1830" s="1" t="s">
        <v>1480</v>
      </c>
      <c r="S1830" s="6" t="e">
        <f t="shared" si="86"/>
        <v>#N/A</v>
      </c>
    </row>
    <row r="1831" spans="2:19" x14ac:dyDescent="0.25">
      <c r="B1831" s="1" t="s">
        <v>1479</v>
      </c>
      <c r="C1831" s="1" t="s">
        <v>1481</v>
      </c>
      <c r="D1831" s="4" t="e">
        <f>VLOOKUP(A1831,المعطيات!$A$1:$J$3500,5,0)</f>
        <v>#N/A</v>
      </c>
      <c r="E1831" s="1" t="s">
        <v>1482</v>
      </c>
      <c r="F1831" s="5">
        <f t="shared" si="84"/>
        <v>0</v>
      </c>
      <c r="G1831" s="5" t="s">
        <v>1483</v>
      </c>
      <c r="H1831" s="4" t="e">
        <f>VLOOKUP(A1831,المعطيات!$A$1:$J$3500,3,0)</f>
        <v>#N/A</v>
      </c>
      <c r="I1831" s="1" t="s">
        <v>1484</v>
      </c>
      <c r="J1831" s="1" t="s">
        <v>1485</v>
      </c>
      <c r="K1831" s="4" t="e">
        <f>VLOOKUP(A1831,المعطيات!$A$1:$J$3500,6,0)</f>
        <v>#N/A</v>
      </c>
      <c r="L1831" s="1" t="s">
        <v>1486</v>
      </c>
      <c r="M1831" s="1" t="s">
        <v>1487</v>
      </c>
      <c r="N1831" s="4" t="e">
        <f t="shared" si="85"/>
        <v>#N/A</v>
      </c>
      <c r="O1831" s="1" t="s">
        <v>1488</v>
      </c>
      <c r="P1831" s="4" t="e">
        <f>VLOOKUP(A1831,المعطيات!$A$1:$J$3500,4,0)</f>
        <v>#N/A</v>
      </c>
      <c r="Q1831" s="1" t="s">
        <v>1489</v>
      </c>
      <c r="R1831" s="1" t="s">
        <v>1480</v>
      </c>
      <c r="S1831" s="6" t="e">
        <f t="shared" si="86"/>
        <v>#N/A</v>
      </c>
    </row>
    <row r="1832" spans="2:19" x14ac:dyDescent="0.25">
      <c r="B1832" s="1" t="s">
        <v>1479</v>
      </c>
      <c r="C1832" s="1" t="s">
        <v>1481</v>
      </c>
      <c r="D1832" s="4" t="e">
        <f>VLOOKUP(A1832,المعطيات!$A$1:$J$3500,5,0)</f>
        <v>#N/A</v>
      </c>
      <c r="E1832" s="1" t="s">
        <v>1482</v>
      </c>
      <c r="F1832" s="5">
        <f t="shared" si="84"/>
        <v>0</v>
      </c>
      <c r="G1832" s="5" t="s">
        <v>1483</v>
      </c>
      <c r="H1832" s="4" t="e">
        <f>VLOOKUP(A1832,المعطيات!$A$1:$J$3500,3,0)</f>
        <v>#N/A</v>
      </c>
      <c r="I1832" s="1" t="s">
        <v>1484</v>
      </c>
      <c r="J1832" s="1" t="s">
        <v>1485</v>
      </c>
      <c r="K1832" s="4" t="e">
        <f>VLOOKUP(A1832,المعطيات!$A$1:$J$3500,6,0)</f>
        <v>#N/A</v>
      </c>
      <c r="L1832" s="1" t="s">
        <v>1486</v>
      </c>
      <c r="M1832" s="1" t="s">
        <v>1487</v>
      </c>
      <c r="N1832" s="4" t="e">
        <f t="shared" si="85"/>
        <v>#N/A</v>
      </c>
      <c r="O1832" s="1" t="s">
        <v>1488</v>
      </c>
      <c r="P1832" s="4" t="e">
        <f>VLOOKUP(A1832,المعطيات!$A$1:$J$3500,4,0)</f>
        <v>#N/A</v>
      </c>
      <c r="Q1832" s="1" t="s">
        <v>1489</v>
      </c>
      <c r="R1832" s="1" t="s">
        <v>1480</v>
      </c>
      <c r="S1832" s="6" t="e">
        <f t="shared" si="86"/>
        <v>#N/A</v>
      </c>
    </row>
    <row r="1833" spans="2:19" x14ac:dyDescent="0.25">
      <c r="B1833" s="1" t="s">
        <v>1479</v>
      </c>
      <c r="C1833" s="1" t="s">
        <v>1481</v>
      </c>
      <c r="D1833" s="4" t="e">
        <f>VLOOKUP(A1833,المعطيات!$A$1:$J$3500,5,0)</f>
        <v>#N/A</v>
      </c>
      <c r="E1833" s="1" t="s">
        <v>1482</v>
      </c>
      <c r="F1833" s="5">
        <f t="shared" si="84"/>
        <v>0</v>
      </c>
      <c r="G1833" s="5" t="s">
        <v>1483</v>
      </c>
      <c r="H1833" s="4" t="e">
        <f>VLOOKUP(A1833,المعطيات!$A$1:$J$3500,3,0)</f>
        <v>#N/A</v>
      </c>
      <c r="I1833" s="1" t="s">
        <v>1484</v>
      </c>
      <c r="J1833" s="1" t="s">
        <v>1485</v>
      </c>
      <c r="K1833" s="4" t="e">
        <f>VLOOKUP(A1833,المعطيات!$A$1:$J$3500,6,0)</f>
        <v>#N/A</v>
      </c>
      <c r="L1833" s="1" t="s">
        <v>1486</v>
      </c>
      <c r="M1833" s="1" t="s">
        <v>1487</v>
      </c>
      <c r="N1833" s="4" t="e">
        <f t="shared" si="85"/>
        <v>#N/A</v>
      </c>
      <c r="O1833" s="1" t="s">
        <v>1488</v>
      </c>
      <c r="P1833" s="4" t="e">
        <f>VLOOKUP(A1833,المعطيات!$A$1:$J$3500,4,0)</f>
        <v>#N/A</v>
      </c>
      <c r="Q1833" s="1" t="s">
        <v>1489</v>
      </c>
      <c r="R1833" s="1" t="s">
        <v>1480</v>
      </c>
      <c r="S1833" s="6" t="e">
        <f t="shared" si="86"/>
        <v>#N/A</v>
      </c>
    </row>
    <row r="1834" spans="2:19" x14ac:dyDescent="0.25">
      <c r="B1834" s="1" t="s">
        <v>1479</v>
      </c>
      <c r="C1834" s="1" t="s">
        <v>1481</v>
      </c>
      <c r="D1834" s="4" t="e">
        <f>VLOOKUP(A1834,المعطيات!$A$1:$J$3500,5,0)</f>
        <v>#N/A</v>
      </c>
      <c r="E1834" s="1" t="s">
        <v>1482</v>
      </c>
      <c r="F1834" s="5">
        <f t="shared" si="84"/>
        <v>0</v>
      </c>
      <c r="G1834" s="5" t="s">
        <v>1483</v>
      </c>
      <c r="H1834" s="4" t="e">
        <f>VLOOKUP(A1834,المعطيات!$A$1:$J$3500,3,0)</f>
        <v>#N/A</v>
      </c>
      <c r="I1834" s="1" t="s">
        <v>1484</v>
      </c>
      <c r="J1834" s="1" t="s">
        <v>1485</v>
      </c>
      <c r="K1834" s="4" t="e">
        <f>VLOOKUP(A1834,المعطيات!$A$1:$J$3500,6,0)</f>
        <v>#N/A</v>
      </c>
      <c r="L1834" s="1" t="s">
        <v>1486</v>
      </c>
      <c r="M1834" s="1" t="s">
        <v>1487</v>
      </c>
      <c r="N1834" s="4" t="e">
        <f t="shared" si="85"/>
        <v>#N/A</v>
      </c>
      <c r="O1834" s="1" t="s">
        <v>1488</v>
      </c>
      <c r="P1834" s="4" t="e">
        <f>VLOOKUP(A1834,المعطيات!$A$1:$J$3500,4,0)</f>
        <v>#N/A</v>
      </c>
      <c r="Q1834" s="1" t="s">
        <v>1489</v>
      </c>
      <c r="R1834" s="1" t="s">
        <v>1480</v>
      </c>
      <c r="S1834" s="6" t="e">
        <f t="shared" si="86"/>
        <v>#N/A</v>
      </c>
    </row>
    <row r="1835" spans="2:19" x14ac:dyDescent="0.25">
      <c r="B1835" s="1" t="s">
        <v>1479</v>
      </c>
      <c r="C1835" s="1" t="s">
        <v>1481</v>
      </c>
      <c r="D1835" s="4" t="e">
        <f>VLOOKUP(A1835,المعطيات!$A$1:$J$3500,5,0)</f>
        <v>#N/A</v>
      </c>
      <c r="E1835" s="1" t="s">
        <v>1482</v>
      </c>
      <c r="F1835" s="5">
        <f t="shared" si="84"/>
        <v>0</v>
      </c>
      <c r="G1835" s="5" t="s">
        <v>1483</v>
      </c>
      <c r="H1835" s="4" t="e">
        <f>VLOOKUP(A1835,المعطيات!$A$1:$J$3500,3,0)</f>
        <v>#N/A</v>
      </c>
      <c r="I1835" s="1" t="s">
        <v>1484</v>
      </c>
      <c r="J1835" s="1" t="s">
        <v>1485</v>
      </c>
      <c r="K1835" s="4" t="e">
        <f>VLOOKUP(A1835,المعطيات!$A$1:$J$3500,6,0)</f>
        <v>#N/A</v>
      </c>
      <c r="L1835" s="1" t="s">
        <v>1486</v>
      </c>
      <c r="M1835" s="1" t="s">
        <v>1487</v>
      </c>
      <c r="N1835" s="4" t="e">
        <f t="shared" si="85"/>
        <v>#N/A</v>
      </c>
      <c r="O1835" s="1" t="s">
        <v>1488</v>
      </c>
      <c r="P1835" s="4" t="e">
        <f>VLOOKUP(A1835,المعطيات!$A$1:$J$3500,4,0)</f>
        <v>#N/A</v>
      </c>
      <c r="Q1835" s="1" t="s">
        <v>1489</v>
      </c>
      <c r="R1835" s="1" t="s">
        <v>1480</v>
      </c>
      <c r="S1835" s="6" t="e">
        <f t="shared" si="86"/>
        <v>#N/A</v>
      </c>
    </row>
    <row r="1836" spans="2:19" x14ac:dyDescent="0.25">
      <c r="B1836" s="1" t="s">
        <v>1479</v>
      </c>
      <c r="C1836" s="1" t="s">
        <v>1481</v>
      </c>
      <c r="D1836" s="4" t="e">
        <f>VLOOKUP(A1836,المعطيات!$A$1:$J$3500,5,0)</f>
        <v>#N/A</v>
      </c>
      <c r="E1836" s="1" t="s">
        <v>1482</v>
      </c>
      <c r="F1836" s="5">
        <f t="shared" si="84"/>
        <v>0</v>
      </c>
      <c r="G1836" s="5" t="s">
        <v>1483</v>
      </c>
      <c r="H1836" s="4" t="e">
        <f>VLOOKUP(A1836,المعطيات!$A$1:$J$3500,3,0)</f>
        <v>#N/A</v>
      </c>
      <c r="I1836" s="1" t="s">
        <v>1484</v>
      </c>
      <c r="J1836" s="1" t="s">
        <v>1485</v>
      </c>
      <c r="K1836" s="4" t="e">
        <f>VLOOKUP(A1836,المعطيات!$A$1:$J$3500,6,0)</f>
        <v>#N/A</v>
      </c>
      <c r="L1836" s="1" t="s">
        <v>1486</v>
      </c>
      <c r="M1836" s="1" t="s">
        <v>1487</v>
      </c>
      <c r="N1836" s="4" t="e">
        <f t="shared" si="85"/>
        <v>#N/A</v>
      </c>
      <c r="O1836" s="1" t="s">
        <v>1488</v>
      </c>
      <c r="P1836" s="4" t="e">
        <f>VLOOKUP(A1836,المعطيات!$A$1:$J$3500,4,0)</f>
        <v>#N/A</v>
      </c>
      <c r="Q1836" s="1" t="s">
        <v>1489</v>
      </c>
      <c r="R1836" s="1" t="s">
        <v>1480</v>
      </c>
      <c r="S1836" s="6" t="e">
        <f t="shared" si="86"/>
        <v>#N/A</v>
      </c>
    </row>
    <row r="1837" spans="2:19" x14ac:dyDescent="0.25">
      <c r="B1837" s="1" t="s">
        <v>1479</v>
      </c>
      <c r="C1837" s="1" t="s">
        <v>1481</v>
      </c>
      <c r="D1837" s="4" t="e">
        <f>VLOOKUP(A1837,المعطيات!$A$1:$J$3500,5,0)</f>
        <v>#N/A</v>
      </c>
      <c r="E1837" s="1" t="s">
        <v>1482</v>
      </c>
      <c r="F1837" s="5">
        <f t="shared" si="84"/>
        <v>0</v>
      </c>
      <c r="G1837" s="5" t="s">
        <v>1483</v>
      </c>
      <c r="H1837" s="4" t="e">
        <f>VLOOKUP(A1837,المعطيات!$A$1:$J$3500,3,0)</f>
        <v>#N/A</v>
      </c>
      <c r="I1837" s="1" t="s">
        <v>1484</v>
      </c>
      <c r="J1837" s="1" t="s">
        <v>1485</v>
      </c>
      <c r="K1837" s="4" t="e">
        <f>VLOOKUP(A1837,المعطيات!$A$1:$J$3500,6,0)</f>
        <v>#N/A</v>
      </c>
      <c r="L1837" s="1" t="s">
        <v>1486</v>
      </c>
      <c r="M1837" s="1" t="s">
        <v>1487</v>
      </c>
      <c r="N1837" s="4" t="e">
        <f t="shared" si="85"/>
        <v>#N/A</v>
      </c>
      <c r="O1837" s="1" t="s">
        <v>1488</v>
      </c>
      <c r="P1837" s="4" t="e">
        <f>VLOOKUP(A1837,المعطيات!$A$1:$J$3500,4,0)</f>
        <v>#N/A</v>
      </c>
      <c r="Q1837" s="1" t="s">
        <v>1489</v>
      </c>
      <c r="R1837" s="1" t="s">
        <v>1480</v>
      </c>
      <c r="S1837" s="6" t="e">
        <f t="shared" si="86"/>
        <v>#N/A</v>
      </c>
    </row>
    <row r="1838" spans="2:19" x14ac:dyDescent="0.25">
      <c r="B1838" s="1" t="s">
        <v>1479</v>
      </c>
      <c r="C1838" s="1" t="s">
        <v>1481</v>
      </c>
      <c r="D1838" s="4" t="e">
        <f>VLOOKUP(A1838,المعطيات!$A$1:$J$3500,5,0)</f>
        <v>#N/A</v>
      </c>
      <c r="E1838" s="1" t="s">
        <v>1482</v>
      </c>
      <c r="F1838" s="5">
        <f t="shared" si="84"/>
        <v>0</v>
      </c>
      <c r="G1838" s="5" t="s">
        <v>1483</v>
      </c>
      <c r="H1838" s="4" t="e">
        <f>VLOOKUP(A1838,المعطيات!$A$1:$J$3500,3,0)</f>
        <v>#N/A</v>
      </c>
      <c r="I1838" s="1" t="s">
        <v>1484</v>
      </c>
      <c r="J1838" s="1" t="s">
        <v>1485</v>
      </c>
      <c r="K1838" s="4" t="e">
        <f>VLOOKUP(A1838,المعطيات!$A$1:$J$3500,6,0)</f>
        <v>#N/A</v>
      </c>
      <c r="L1838" s="1" t="s">
        <v>1486</v>
      </c>
      <c r="M1838" s="1" t="s">
        <v>1487</v>
      </c>
      <c r="N1838" s="4" t="e">
        <f t="shared" si="85"/>
        <v>#N/A</v>
      </c>
      <c r="O1838" s="1" t="s">
        <v>1488</v>
      </c>
      <c r="P1838" s="4" t="e">
        <f>VLOOKUP(A1838,المعطيات!$A$1:$J$3500,4,0)</f>
        <v>#N/A</v>
      </c>
      <c r="Q1838" s="1" t="s">
        <v>1489</v>
      </c>
      <c r="R1838" s="1" t="s">
        <v>1480</v>
      </c>
      <c r="S1838" s="6" t="e">
        <f t="shared" si="86"/>
        <v>#N/A</v>
      </c>
    </row>
    <row r="1839" spans="2:19" x14ac:dyDescent="0.25">
      <c r="B1839" s="1" t="s">
        <v>1479</v>
      </c>
      <c r="C1839" s="1" t="s">
        <v>1481</v>
      </c>
      <c r="D1839" s="4" t="e">
        <f>VLOOKUP(A1839,المعطيات!$A$1:$J$3500,5,0)</f>
        <v>#N/A</v>
      </c>
      <c r="E1839" s="1" t="s">
        <v>1482</v>
      </c>
      <c r="F1839" s="5">
        <f t="shared" si="84"/>
        <v>0</v>
      </c>
      <c r="G1839" s="5" t="s">
        <v>1483</v>
      </c>
      <c r="H1839" s="4" t="e">
        <f>VLOOKUP(A1839,المعطيات!$A$1:$J$3500,3,0)</f>
        <v>#N/A</v>
      </c>
      <c r="I1839" s="1" t="s">
        <v>1484</v>
      </c>
      <c r="J1839" s="1" t="s">
        <v>1485</v>
      </c>
      <c r="K1839" s="4" t="e">
        <f>VLOOKUP(A1839,المعطيات!$A$1:$J$3500,6,0)</f>
        <v>#N/A</v>
      </c>
      <c r="L1839" s="1" t="s">
        <v>1486</v>
      </c>
      <c r="M1839" s="1" t="s">
        <v>1487</v>
      </c>
      <c r="N1839" s="4" t="e">
        <f t="shared" si="85"/>
        <v>#N/A</v>
      </c>
      <c r="O1839" s="1" t="s">
        <v>1488</v>
      </c>
      <c r="P1839" s="4" t="e">
        <f>VLOOKUP(A1839,المعطيات!$A$1:$J$3500,4,0)</f>
        <v>#N/A</v>
      </c>
      <c r="Q1839" s="1" t="s">
        <v>1489</v>
      </c>
      <c r="R1839" s="1" t="s">
        <v>1480</v>
      </c>
      <c r="S1839" s="6" t="e">
        <f t="shared" si="86"/>
        <v>#N/A</v>
      </c>
    </row>
    <row r="1840" spans="2:19" x14ac:dyDescent="0.25">
      <c r="B1840" s="1" t="s">
        <v>1479</v>
      </c>
      <c r="C1840" s="1" t="s">
        <v>1481</v>
      </c>
      <c r="D1840" s="4" t="e">
        <f>VLOOKUP(A1840,المعطيات!$A$1:$J$3500,5,0)</f>
        <v>#N/A</v>
      </c>
      <c r="E1840" s="1" t="s">
        <v>1482</v>
      </c>
      <c r="F1840" s="5">
        <f t="shared" si="84"/>
        <v>0</v>
      </c>
      <c r="G1840" s="5" t="s">
        <v>1483</v>
      </c>
      <c r="H1840" s="4" t="e">
        <f>VLOOKUP(A1840,المعطيات!$A$1:$J$3500,3,0)</f>
        <v>#N/A</v>
      </c>
      <c r="I1840" s="1" t="s">
        <v>1484</v>
      </c>
      <c r="J1840" s="1" t="s">
        <v>1485</v>
      </c>
      <c r="K1840" s="4" t="e">
        <f>VLOOKUP(A1840,المعطيات!$A$1:$J$3500,6,0)</f>
        <v>#N/A</v>
      </c>
      <c r="L1840" s="1" t="s">
        <v>1486</v>
      </c>
      <c r="M1840" s="1" t="s">
        <v>1487</v>
      </c>
      <c r="N1840" s="4" t="e">
        <f t="shared" si="85"/>
        <v>#N/A</v>
      </c>
      <c r="O1840" s="1" t="s">
        <v>1488</v>
      </c>
      <c r="P1840" s="4" t="e">
        <f>VLOOKUP(A1840,المعطيات!$A$1:$J$3500,4,0)</f>
        <v>#N/A</v>
      </c>
      <c r="Q1840" s="1" t="s">
        <v>1489</v>
      </c>
      <c r="R1840" s="1" t="s">
        <v>1480</v>
      </c>
      <c r="S1840" s="6" t="e">
        <f t="shared" si="86"/>
        <v>#N/A</v>
      </c>
    </row>
    <row r="1841" spans="2:19" x14ac:dyDescent="0.25">
      <c r="B1841" s="1" t="s">
        <v>1479</v>
      </c>
      <c r="C1841" s="1" t="s">
        <v>1481</v>
      </c>
      <c r="D1841" s="4" t="e">
        <f>VLOOKUP(A1841,المعطيات!$A$1:$J$3500,5,0)</f>
        <v>#N/A</v>
      </c>
      <c r="E1841" s="1" t="s">
        <v>1482</v>
      </c>
      <c r="F1841" s="5">
        <f t="shared" si="84"/>
        <v>0</v>
      </c>
      <c r="G1841" s="5" t="s">
        <v>1483</v>
      </c>
      <c r="H1841" s="4" t="e">
        <f>VLOOKUP(A1841,المعطيات!$A$1:$J$3500,3,0)</f>
        <v>#N/A</v>
      </c>
      <c r="I1841" s="1" t="s">
        <v>1484</v>
      </c>
      <c r="J1841" s="1" t="s">
        <v>1485</v>
      </c>
      <c r="K1841" s="4" t="e">
        <f>VLOOKUP(A1841,المعطيات!$A$1:$J$3500,6,0)</f>
        <v>#N/A</v>
      </c>
      <c r="L1841" s="1" t="s">
        <v>1486</v>
      </c>
      <c r="M1841" s="1" t="s">
        <v>1487</v>
      </c>
      <c r="N1841" s="4" t="e">
        <f t="shared" si="85"/>
        <v>#N/A</v>
      </c>
      <c r="O1841" s="1" t="s">
        <v>1488</v>
      </c>
      <c r="P1841" s="4" t="e">
        <f>VLOOKUP(A1841,المعطيات!$A$1:$J$3500,4,0)</f>
        <v>#N/A</v>
      </c>
      <c r="Q1841" s="1" t="s">
        <v>1489</v>
      </c>
      <c r="R1841" s="1" t="s">
        <v>1480</v>
      </c>
      <c r="S1841" s="6" t="e">
        <f t="shared" si="86"/>
        <v>#N/A</v>
      </c>
    </row>
    <row r="1842" spans="2:19" x14ac:dyDescent="0.25">
      <c r="B1842" s="1" t="s">
        <v>1479</v>
      </c>
      <c r="C1842" s="1" t="s">
        <v>1481</v>
      </c>
      <c r="D1842" s="4" t="e">
        <f>VLOOKUP(A1842,المعطيات!$A$1:$J$3500,5,0)</f>
        <v>#N/A</v>
      </c>
      <c r="E1842" s="1" t="s">
        <v>1482</v>
      </c>
      <c r="F1842" s="5">
        <f t="shared" si="84"/>
        <v>0</v>
      </c>
      <c r="G1842" s="5" t="s">
        <v>1483</v>
      </c>
      <c r="H1842" s="4" t="e">
        <f>VLOOKUP(A1842,المعطيات!$A$1:$J$3500,3,0)</f>
        <v>#N/A</v>
      </c>
      <c r="I1842" s="1" t="s">
        <v>1484</v>
      </c>
      <c r="J1842" s="1" t="s">
        <v>1485</v>
      </c>
      <c r="K1842" s="4" t="e">
        <f>VLOOKUP(A1842,المعطيات!$A$1:$J$3500,6,0)</f>
        <v>#N/A</v>
      </c>
      <c r="L1842" s="1" t="s">
        <v>1486</v>
      </c>
      <c r="M1842" s="1" t="s">
        <v>1487</v>
      </c>
      <c r="N1842" s="4" t="e">
        <f t="shared" si="85"/>
        <v>#N/A</v>
      </c>
      <c r="O1842" s="1" t="s">
        <v>1488</v>
      </c>
      <c r="P1842" s="4" t="e">
        <f>VLOOKUP(A1842,المعطيات!$A$1:$J$3500,4,0)</f>
        <v>#N/A</v>
      </c>
      <c r="Q1842" s="1" t="s">
        <v>1489</v>
      </c>
      <c r="R1842" s="1" t="s">
        <v>1480</v>
      </c>
      <c r="S1842" s="6" t="e">
        <f t="shared" si="86"/>
        <v>#N/A</v>
      </c>
    </row>
    <row r="1843" spans="2:19" x14ac:dyDescent="0.25">
      <c r="B1843" s="1" t="s">
        <v>1479</v>
      </c>
      <c r="C1843" s="1" t="s">
        <v>1481</v>
      </c>
      <c r="D1843" s="4" t="e">
        <f>VLOOKUP(A1843,المعطيات!$A$1:$J$3500,5,0)</f>
        <v>#N/A</v>
      </c>
      <c r="E1843" s="1" t="s">
        <v>1482</v>
      </c>
      <c r="F1843" s="5">
        <f t="shared" si="84"/>
        <v>0</v>
      </c>
      <c r="G1843" s="5" t="s">
        <v>1483</v>
      </c>
      <c r="H1843" s="4" t="e">
        <f>VLOOKUP(A1843,المعطيات!$A$1:$J$3500,3,0)</f>
        <v>#N/A</v>
      </c>
      <c r="I1843" s="1" t="s">
        <v>1484</v>
      </c>
      <c r="J1843" s="1" t="s">
        <v>1485</v>
      </c>
      <c r="K1843" s="4" t="e">
        <f>VLOOKUP(A1843,المعطيات!$A$1:$J$3500,6,0)</f>
        <v>#N/A</v>
      </c>
      <c r="L1843" s="1" t="s">
        <v>1486</v>
      </c>
      <c r="M1843" s="1" t="s">
        <v>1487</v>
      </c>
      <c r="N1843" s="4" t="e">
        <f t="shared" si="85"/>
        <v>#N/A</v>
      </c>
      <c r="O1843" s="1" t="s">
        <v>1488</v>
      </c>
      <c r="P1843" s="4" t="e">
        <f>VLOOKUP(A1843,المعطيات!$A$1:$J$3500,4,0)</f>
        <v>#N/A</v>
      </c>
      <c r="Q1843" s="1" t="s">
        <v>1489</v>
      </c>
      <c r="R1843" s="1" t="s">
        <v>1480</v>
      </c>
      <c r="S1843" s="6" t="e">
        <f t="shared" si="86"/>
        <v>#N/A</v>
      </c>
    </row>
    <row r="1844" spans="2:19" x14ac:dyDescent="0.25">
      <c r="B1844" s="1" t="s">
        <v>1479</v>
      </c>
      <c r="C1844" s="1" t="s">
        <v>1481</v>
      </c>
      <c r="D1844" s="4" t="e">
        <f>VLOOKUP(A1844,المعطيات!$A$1:$J$3500,5,0)</f>
        <v>#N/A</v>
      </c>
      <c r="E1844" s="1" t="s">
        <v>1482</v>
      </c>
      <c r="F1844" s="5">
        <f t="shared" si="84"/>
        <v>0</v>
      </c>
      <c r="G1844" s="5" t="s">
        <v>1483</v>
      </c>
      <c r="H1844" s="4" t="e">
        <f>VLOOKUP(A1844,المعطيات!$A$1:$J$3500,3,0)</f>
        <v>#N/A</v>
      </c>
      <c r="I1844" s="1" t="s">
        <v>1484</v>
      </c>
      <c r="J1844" s="1" t="s">
        <v>1485</v>
      </c>
      <c r="K1844" s="4" t="e">
        <f>VLOOKUP(A1844,المعطيات!$A$1:$J$3500,6,0)</f>
        <v>#N/A</v>
      </c>
      <c r="L1844" s="1" t="s">
        <v>1486</v>
      </c>
      <c r="M1844" s="1" t="s">
        <v>1487</v>
      </c>
      <c r="N1844" s="4" t="e">
        <f t="shared" si="85"/>
        <v>#N/A</v>
      </c>
      <c r="O1844" s="1" t="s">
        <v>1488</v>
      </c>
      <c r="P1844" s="4" t="e">
        <f>VLOOKUP(A1844,المعطيات!$A$1:$J$3500,4,0)</f>
        <v>#N/A</v>
      </c>
      <c r="Q1844" s="1" t="s">
        <v>1489</v>
      </c>
      <c r="R1844" s="1" t="s">
        <v>1480</v>
      </c>
      <c r="S1844" s="6" t="e">
        <f t="shared" si="86"/>
        <v>#N/A</v>
      </c>
    </row>
    <row r="1845" spans="2:19" x14ac:dyDescent="0.25">
      <c r="B1845" s="1" t="s">
        <v>1479</v>
      </c>
      <c r="C1845" s="1" t="s">
        <v>1481</v>
      </c>
      <c r="D1845" s="4" t="e">
        <f>VLOOKUP(A1845,المعطيات!$A$1:$J$3500,5,0)</f>
        <v>#N/A</v>
      </c>
      <c r="E1845" s="1" t="s">
        <v>1482</v>
      </c>
      <c r="F1845" s="5">
        <f t="shared" si="84"/>
        <v>0</v>
      </c>
      <c r="G1845" s="5" t="s">
        <v>1483</v>
      </c>
      <c r="H1845" s="4" t="e">
        <f>VLOOKUP(A1845,المعطيات!$A$1:$J$3500,3,0)</f>
        <v>#N/A</v>
      </c>
      <c r="I1845" s="1" t="s">
        <v>1484</v>
      </c>
      <c r="J1845" s="1" t="s">
        <v>1485</v>
      </c>
      <c r="K1845" s="4" t="e">
        <f>VLOOKUP(A1845,المعطيات!$A$1:$J$3500,6,0)</f>
        <v>#N/A</v>
      </c>
      <c r="L1845" s="1" t="s">
        <v>1486</v>
      </c>
      <c r="M1845" s="1" t="s">
        <v>1487</v>
      </c>
      <c r="N1845" s="4" t="e">
        <f t="shared" si="85"/>
        <v>#N/A</v>
      </c>
      <c r="O1845" s="1" t="s">
        <v>1488</v>
      </c>
      <c r="P1845" s="4" t="e">
        <f>VLOOKUP(A1845,المعطيات!$A$1:$J$3500,4,0)</f>
        <v>#N/A</v>
      </c>
      <c r="Q1845" s="1" t="s">
        <v>1489</v>
      </c>
      <c r="R1845" s="1" t="s">
        <v>1480</v>
      </c>
      <c r="S1845" s="6" t="e">
        <f t="shared" si="86"/>
        <v>#N/A</v>
      </c>
    </row>
    <row r="1846" spans="2:19" x14ac:dyDescent="0.25">
      <c r="B1846" s="1" t="s">
        <v>1479</v>
      </c>
      <c r="C1846" s="1" t="s">
        <v>1481</v>
      </c>
      <c r="D1846" s="4" t="e">
        <f>VLOOKUP(A1846,المعطيات!$A$1:$J$3500,5,0)</f>
        <v>#N/A</v>
      </c>
      <c r="E1846" s="1" t="s">
        <v>1482</v>
      </c>
      <c r="F1846" s="5">
        <f t="shared" si="84"/>
        <v>0</v>
      </c>
      <c r="G1846" s="5" t="s">
        <v>1483</v>
      </c>
      <c r="H1846" s="4" t="e">
        <f>VLOOKUP(A1846,المعطيات!$A$1:$J$3500,3,0)</f>
        <v>#N/A</v>
      </c>
      <c r="I1846" s="1" t="s">
        <v>1484</v>
      </c>
      <c r="J1846" s="1" t="s">
        <v>1485</v>
      </c>
      <c r="K1846" s="4" t="e">
        <f>VLOOKUP(A1846,المعطيات!$A$1:$J$3500,6,0)</f>
        <v>#N/A</v>
      </c>
      <c r="L1846" s="1" t="s">
        <v>1486</v>
      </c>
      <c r="M1846" s="1" t="s">
        <v>1487</v>
      </c>
      <c r="N1846" s="4" t="e">
        <f t="shared" si="85"/>
        <v>#N/A</v>
      </c>
      <c r="O1846" s="1" t="s">
        <v>1488</v>
      </c>
      <c r="P1846" s="4" t="e">
        <f>VLOOKUP(A1846,المعطيات!$A$1:$J$3500,4,0)</f>
        <v>#N/A</v>
      </c>
      <c r="Q1846" s="1" t="s">
        <v>1489</v>
      </c>
      <c r="R1846" s="1" t="s">
        <v>1480</v>
      </c>
      <c r="S1846" s="6" t="e">
        <f t="shared" si="86"/>
        <v>#N/A</v>
      </c>
    </row>
    <row r="1847" spans="2:19" x14ac:dyDescent="0.25">
      <c r="B1847" s="1" t="s">
        <v>1479</v>
      </c>
      <c r="C1847" s="1" t="s">
        <v>1481</v>
      </c>
      <c r="D1847" s="4" t="e">
        <f>VLOOKUP(A1847,المعطيات!$A$1:$J$3500,5,0)</f>
        <v>#N/A</v>
      </c>
      <c r="E1847" s="1" t="s">
        <v>1482</v>
      </c>
      <c r="F1847" s="5">
        <f t="shared" si="84"/>
        <v>0</v>
      </c>
      <c r="G1847" s="5" t="s">
        <v>1483</v>
      </c>
      <c r="H1847" s="4" t="e">
        <f>VLOOKUP(A1847,المعطيات!$A$1:$J$3500,3,0)</f>
        <v>#N/A</v>
      </c>
      <c r="I1847" s="1" t="s">
        <v>1484</v>
      </c>
      <c r="J1847" s="1" t="s">
        <v>1485</v>
      </c>
      <c r="K1847" s="4" t="e">
        <f>VLOOKUP(A1847,المعطيات!$A$1:$J$3500,6,0)</f>
        <v>#N/A</v>
      </c>
      <c r="L1847" s="1" t="s">
        <v>1486</v>
      </c>
      <c r="M1847" s="1" t="s">
        <v>1487</v>
      </c>
      <c r="N1847" s="4" t="e">
        <f t="shared" si="85"/>
        <v>#N/A</v>
      </c>
      <c r="O1847" s="1" t="s">
        <v>1488</v>
      </c>
      <c r="P1847" s="4" t="e">
        <f>VLOOKUP(A1847,المعطيات!$A$1:$J$3500,4,0)</f>
        <v>#N/A</v>
      </c>
      <c r="Q1847" s="1" t="s">
        <v>1489</v>
      </c>
      <c r="R1847" s="1" t="s">
        <v>1480</v>
      </c>
      <c r="S1847" s="6" t="e">
        <f t="shared" si="86"/>
        <v>#N/A</v>
      </c>
    </row>
    <row r="1848" spans="2:19" x14ac:dyDescent="0.25">
      <c r="B1848" s="1" t="s">
        <v>1479</v>
      </c>
      <c r="C1848" s="1" t="s">
        <v>1481</v>
      </c>
      <c r="D1848" s="4" t="e">
        <f>VLOOKUP(A1848,المعطيات!$A$1:$J$3500,5,0)</f>
        <v>#N/A</v>
      </c>
      <c r="E1848" s="1" t="s">
        <v>1482</v>
      </c>
      <c r="F1848" s="5">
        <f t="shared" si="84"/>
        <v>0</v>
      </c>
      <c r="G1848" s="5" t="s">
        <v>1483</v>
      </c>
      <c r="H1848" s="4" t="e">
        <f>VLOOKUP(A1848,المعطيات!$A$1:$J$3500,3,0)</f>
        <v>#N/A</v>
      </c>
      <c r="I1848" s="1" t="s">
        <v>1484</v>
      </c>
      <c r="J1848" s="1" t="s">
        <v>1485</v>
      </c>
      <c r="K1848" s="4" t="e">
        <f>VLOOKUP(A1848,المعطيات!$A$1:$J$3500,6,0)</f>
        <v>#N/A</v>
      </c>
      <c r="L1848" s="1" t="s">
        <v>1486</v>
      </c>
      <c r="M1848" s="1" t="s">
        <v>1487</v>
      </c>
      <c r="N1848" s="4" t="e">
        <f t="shared" si="85"/>
        <v>#N/A</v>
      </c>
      <c r="O1848" s="1" t="s">
        <v>1488</v>
      </c>
      <c r="P1848" s="4" t="e">
        <f>VLOOKUP(A1848,المعطيات!$A$1:$J$3500,4,0)</f>
        <v>#N/A</v>
      </c>
      <c r="Q1848" s="1" t="s">
        <v>1489</v>
      </c>
      <c r="R1848" s="1" t="s">
        <v>1480</v>
      </c>
      <c r="S1848" s="6" t="e">
        <f t="shared" si="86"/>
        <v>#N/A</v>
      </c>
    </row>
    <row r="1849" spans="2:19" x14ac:dyDescent="0.25">
      <c r="B1849" s="1" t="s">
        <v>1479</v>
      </c>
      <c r="C1849" s="1" t="s">
        <v>1481</v>
      </c>
      <c r="D1849" s="4" t="e">
        <f>VLOOKUP(A1849,المعطيات!$A$1:$J$3500,5,0)</f>
        <v>#N/A</v>
      </c>
      <c r="E1849" s="1" t="s">
        <v>1482</v>
      </c>
      <c r="F1849" s="5">
        <f t="shared" si="84"/>
        <v>0</v>
      </c>
      <c r="G1849" s="5" t="s">
        <v>1483</v>
      </c>
      <c r="H1849" s="4" t="e">
        <f>VLOOKUP(A1849,المعطيات!$A$1:$J$3500,3,0)</f>
        <v>#N/A</v>
      </c>
      <c r="I1849" s="1" t="s">
        <v>1484</v>
      </c>
      <c r="J1849" s="1" t="s">
        <v>1485</v>
      </c>
      <c r="K1849" s="4" t="e">
        <f>VLOOKUP(A1849,المعطيات!$A$1:$J$3500,6,0)</f>
        <v>#N/A</v>
      </c>
      <c r="L1849" s="1" t="s">
        <v>1486</v>
      </c>
      <c r="M1849" s="1" t="s">
        <v>1487</v>
      </c>
      <c r="N1849" s="4" t="e">
        <f t="shared" si="85"/>
        <v>#N/A</v>
      </c>
      <c r="O1849" s="1" t="s">
        <v>1488</v>
      </c>
      <c r="P1849" s="4" t="e">
        <f>VLOOKUP(A1849,المعطيات!$A$1:$J$3500,4,0)</f>
        <v>#N/A</v>
      </c>
      <c r="Q1849" s="1" t="s">
        <v>1489</v>
      </c>
      <c r="R1849" s="1" t="s">
        <v>1480</v>
      </c>
      <c r="S1849" s="6" t="e">
        <f t="shared" si="86"/>
        <v>#N/A</v>
      </c>
    </row>
    <row r="1850" spans="2:19" x14ac:dyDescent="0.25">
      <c r="B1850" s="1" t="s">
        <v>1479</v>
      </c>
      <c r="C1850" s="1" t="s">
        <v>1481</v>
      </c>
      <c r="D1850" s="4" t="e">
        <f>VLOOKUP(A1850,المعطيات!$A$1:$J$3500,5,0)</f>
        <v>#N/A</v>
      </c>
      <c r="E1850" s="1" t="s">
        <v>1482</v>
      </c>
      <c r="F1850" s="5">
        <f t="shared" si="84"/>
        <v>0</v>
      </c>
      <c r="G1850" s="5" t="s">
        <v>1483</v>
      </c>
      <c r="H1850" s="4" t="e">
        <f>VLOOKUP(A1850,المعطيات!$A$1:$J$3500,3,0)</f>
        <v>#N/A</v>
      </c>
      <c r="I1850" s="1" t="s">
        <v>1484</v>
      </c>
      <c r="J1850" s="1" t="s">
        <v>1485</v>
      </c>
      <c r="K1850" s="4" t="e">
        <f>VLOOKUP(A1850,المعطيات!$A$1:$J$3500,6,0)</f>
        <v>#N/A</v>
      </c>
      <c r="L1850" s="1" t="s">
        <v>1486</v>
      </c>
      <c r="M1850" s="1" t="s">
        <v>1487</v>
      </c>
      <c r="N1850" s="4" t="e">
        <f t="shared" si="85"/>
        <v>#N/A</v>
      </c>
      <c r="O1850" s="1" t="s">
        <v>1488</v>
      </c>
      <c r="P1850" s="4" t="e">
        <f>VLOOKUP(A1850,المعطيات!$A$1:$J$3500,4,0)</f>
        <v>#N/A</v>
      </c>
      <c r="Q1850" s="1" t="s">
        <v>1489</v>
      </c>
      <c r="R1850" s="1" t="s">
        <v>1480</v>
      </c>
      <c r="S1850" s="6" t="e">
        <f t="shared" si="86"/>
        <v>#N/A</v>
      </c>
    </row>
    <row r="1851" spans="2:19" x14ac:dyDescent="0.25">
      <c r="B1851" s="1" t="s">
        <v>1479</v>
      </c>
      <c r="C1851" s="1" t="s">
        <v>1481</v>
      </c>
      <c r="D1851" s="4" t="e">
        <f>VLOOKUP(A1851,المعطيات!$A$1:$J$3500,5,0)</f>
        <v>#N/A</v>
      </c>
      <c r="E1851" s="1" t="s">
        <v>1482</v>
      </c>
      <c r="F1851" s="5">
        <f t="shared" si="84"/>
        <v>0</v>
      </c>
      <c r="G1851" s="5" t="s">
        <v>1483</v>
      </c>
      <c r="H1851" s="4" t="e">
        <f>VLOOKUP(A1851,المعطيات!$A$1:$J$3500,3,0)</f>
        <v>#N/A</v>
      </c>
      <c r="I1851" s="1" t="s">
        <v>1484</v>
      </c>
      <c r="J1851" s="1" t="s">
        <v>1485</v>
      </c>
      <c r="K1851" s="4" t="e">
        <f>VLOOKUP(A1851,المعطيات!$A$1:$J$3500,6,0)</f>
        <v>#N/A</v>
      </c>
      <c r="L1851" s="1" t="s">
        <v>1486</v>
      </c>
      <c r="M1851" s="1" t="s">
        <v>1487</v>
      </c>
      <c r="N1851" s="4" t="e">
        <f t="shared" si="85"/>
        <v>#N/A</v>
      </c>
      <c r="O1851" s="1" t="s">
        <v>1488</v>
      </c>
      <c r="P1851" s="4" t="e">
        <f>VLOOKUP(A1851,المعطيات!$A$1:$J$3500,4,0)</f>
        <v>#N/A</v>
      </c>
      <c r="Q1851" s="1" t="s">
        <v>1489</v>
      </c>
      <c r="R1851" s="1" t="s">
        <v>1480</v>
      </c>
      <c r="S1851" s="6" t="e">
        <f t="shared" si="86"/>
        <v>#N/A</v>
      </c>
    </row>
    <row r="1852" spans="2:19" x14ac:dyDescent="0.25">
      <c r="B1852" s="1" t="s">
        <v>1479</v>
      </c>
      <c r="C1852" s="1" t="s">
        <v>1481</v>
      </c>
      <c r="D1852" s="4" t="e">
        <f>VLOOKUP(A1852,المعطيات!$A$1:$J$3500,5,0)</f>
        <v>#N/A</v>
      </c>
      <c r="E1852" s="1" t="s">
        <v>1482</v>
      </c>
      <c r="F1852" s="5">
        <f t="shared" si="84"/>
        <v>0</v>
      </c>
      <c r="G1852" s="5" t="s">
        <v>1483</v>
      </c>
      <c r="H1852" s="4" t="e">
        <f>VLOOKUP(A1852,المعطيات!$A$1:$J$3500,3,0)</f>
        <v>#N/A</v>
      </c>
      <c r="I1852" s="1" t="s">
        <v>1484</v>
      </c>
      <c r="J1852" s="1" t="s">
        <v>1485</v>
      </c>
      <c r="K1852" s="4" t="e">
        <f>VLOOKUP(A1852,المعطيات!$A$1:$J$3500,6,0)</f>
        <v>#N/A</v>
      </c>
      <c r="L1852" s="1" t="s">
        <v>1486</v>
      </c>
      <c r="M1852" s="1" t="s">
        <v>1487</v>
      </c>
      <c r="N1852" s="4" t="e">
        <f t="shared" si="85"/>
        <v>#N/A</v>
      </c>
      <c r="O1852" s="1" t="s">
        <v>1488</v>
      </c>
      <c r="P1852" s="4" t="e">
        <f>VLOOKUP(A1852,المعطيات!$A$1:$J$3500,4,0)</f>
        <v>#N/A</v>
      </c>
      <c r="Q1852" s="1" t="s">
        <v>1489</v>
      </c>
      <c r="R1852" s="1" t="s">
        <v>1480</v>
      </c>
      <c r="S1852" s="6" t="e">
        <f t="shared" si="86"/>
        <v>#N/A</v>
      </c>
    </row>
    <row r="1853" spans="2:19" x14ac:dyDescent="0.25">
      <c r="B1853" s="1" t="s">
        <v>1479</v>
      </c>
      <c r="C1853" s="1" t="s">
        <v>1481</v>
      </c>
      <c r="D1853" s="4" t="e">
        <f>VLOOKUP(A1853,المعطيات!$A$1:$J$3500,5,0)</f>
        <v>#N/A</v>
      </c>
      <c r="E1853" s="1" t="s">
        <v>1482</v>
      </c>
      <c r="F1853" s="5">
        <f t="shared" si="84"/>
        <v>0</v>
      </c>
      <c r="G1853" s="5" t="s">
        <v>1483</v>
      </c>
      <c r="H1853" s="4" t="e">
        <f>VLOOKUP(A1853,المعطيات!$A$1:$J$3500,3,0)</f>
        <v>#N/A</v>
      </c>
      <c r="I1853" s="1" t="s">
        <v>1484</v>
      </c>
      <c r="J1853" s="1" t="s">
        <v>1485</v>
      </c>
      <c r="K1853" s="4" t="e">
        <f>VLOOKUP(A1853,المعطيات!$A$1:$J$3500,6,0)</f>
        <v>#N/A</v>
      </c>
      <c r="L1853" s="1" t="s">
        <v>1486</v>
      </c>
      <c r="M1853" s="1" t="s">
        <v>1487</v>
      </c>
      <c r="N1853" s="4" t="e">
        <f t="shared" si="85"/>
        <v>#N/A</v>
      </c>
      <c r="O1853" s="1" t="s">
        <v>1488</v>
      </c>
      <c r="P1853" s="4" t="e">
        <f>VLOOKUP(A1853,المعطيات!$A$1:$J$3500,4,0)</f>
        <v>#N/A</v>
      </c>
      <c r="Q1853" s="1" t="s">
        <v>1489</v>
      </c>
      <c r="R1853" s="1" t="s">
        <v>1480</v>
      </c>
      <c r="S1853" s="6" t="e">
        <f t="shared" si="86"/>
        <v>#N/A</v>
      </c>
    </row>
    <row r="1854" spans="2:19" x14ac:dyDescent="0.25">
      <c r="B1854" s="1" t="s">
        <v>1479</v>
      </c>
      <c r="C1854" s="1" t="s">
        <v>1481</v>
      </c>
      <c r="D1854" s="4" t="e">
        <f>VLOOKUP(A1854,المعطيات!$A$1:$J$3500,5,0)</f>
        <v>#N/A</v>
      </c>
      <c r="E1854" s="1" t="s">
        <v>1482</v>
      </c>
      <c r="F1854" s="5">
        <f t="shared" si="84"/>
        <v>0</v>
      </c>
      <c r="G1854" s="5" t="s">
        <v>1483</v>
      </c>
      <c r="H1854" s="4" t="e">
        <f>VLOOKUP(A1854,المعطيات!$A$1:$J$3500,3,0)</f>
        <v>#N/A</v>
      </c>
      <c r="I1854" s="1" t="s">
        <v>1484</v>
      </c>
      <c r="J1854" s="1" t="s">
        <v>1485</v>
      </c>
      <c r="K1854" s="4" t="e">
        <f>VLOOKUP(A1854,المعطيات!$A$1:$J$3500,6,0)</f>
        <v>#N/A</v>
      </c>
      <c r="L1854" s="1" t="s">
        <v>1486</v>
      </c>
      <c r="M1854" s="1" t="s">
        <v>1487</v>
      </c>
      <c r="N1854" s="4" t="e">
        <f t="shared" si="85"/>
        <v>#N/A</v>
      </c>
      <c r="O1854" s="1" t="s">
        <v>1488</v>
      </c>
      <c r="P1854" s="4" t="e">
        <f>VLOOKUP(A1854,المعطيات!$A$1:$J$3500,4,0)</f>
        <v>#N/A</v>
      </c>
      <c r="Q1854" s="1" t="s">
        <v>1489</v>
      </c>
      <c r="R1854" s="1" t="s">
        <v>1480</v>
      </c>
      <c r="S1854" s="6" t="e">
        <f t="shared" si="86"/>
        <v>#N/A</v>
      </c>
    </row>
    <row r="1855" spans="2:19" x14ac:dyDescent="0.25">
      <c r="B1855" s="1" t="s">
        <v>1479</v>
      </c>
      <c r="C1855" s="1" t="s">
        <v>1481</v>
      </c>
      <c r="D1855" s="4" t="e">
        <f>VLOOKUP(A1855,المعطيات!$A$1:$J$3500,5,0)</f>
        <v>#N/A</v>
      </c>
      <c r="E1855" s="1" t="s">
        <v>1482</v>
      </c>
      <c r="F1855" s="5">
        <f t="shared" si="84"/>
        <v>0</v>
      </c>
      <c r="G1855" s="5" t="s">
        <v>1483</v>
      </c>
      <c r="H1855" s="4" t="e">
        <f>VLOOKUP(A1855,المعطيات!$A$1:$J$3500,3,0)</f>
        <v>#N/A</v>
      </c>
      <c r="I1855" s="1" t="s">
        <v>1484</v>
      </c>
      <c r="J1855" s="1" t="s">
        <v>1485</v>
      </c>
      <c r="K1855" s="4" t="e">
        <f>VLOOKUP(A1855,المعطيات!$A$1:$J$3500,6,0)</f>
        <v>#N/A</v>
      </c>
      <c r="L1855" s="1" t="s">
        <v>1486</v>
      </c>
      <c r="M1855" s="1" t="s">
        <v>1487</v>
      </c>
      <c r="N1855" s="4" t="e">
        <f t="shared" si="85"/>
        <v>#N/A</v>
      </c>
      <c r="O1855" s="1" t="s">
        <v>1488</v>
      </c>
      <c r="P1855" s="4" t="e">
        <f>VLOOKUP(A1855,المعطيات!$A$1:$J$3500,4,0)</f>
        <v>#N/A</v>
      </c>
      <c r="Q1855" s="1" t="s">
        <v>1489</v>
      </c>
      <c r="R1855" s="1" t="s">
        <v>1480</v>
      </c>
      <c r="S1855" s="6" t="e">
        <f t="shared" si="86"/>
        <v>#N/A</v>
      </c>
    </row>
    <row r="1856" spans="2:19" x14ac:dyDescent="0.25">
      <c r="B1856" s="1" t="s">
        <v>1479</v>
      </c>
      <c r="C1856" s="1" t="s">
        <v>1481</v>
      </c>
      <c r="D1856" s="4" t="e">
        <f>VLOOKUP(A1856,المعطيات!$A$1:$J$3500,5,0)</f>
        <v>#N/A</v>
      </c>
      <c r="E1856" s="1" t="s">
        <v>1482</v>
      </c>
      <c r="F1856" s="5">
        <f t="shared" si="84"/>
        <v>0</v>
      </c>
      <c r="G1856" s="5" t="s">
        <v>1483</v>
      </c>
      <c r="H1856" s="4" t="e">
        <f>VLOOKUP(A1856,المعطيات!$A$1:$J$3500,3,0)</f>
        <v>#N/A</v>
      </c>
      <c r="I1856" s="1" t="s">
        <v>1484</v>
      </c>
      <c r="J1856" s="1" t="s">
        <v>1485</v>
      </c>
      <c r="K1856" s="4" t="e">
        <f>VLOOKUP(A1856,المعطيات!$A$1:$J$3500,6,0)</f>
        <v>#N/A</v>
      </c>
      <c r="L1856" s="1" t="s">
        <v>1486</v>
      </c>
      <c r="M1856" s="1" t="s">
        <v>1487</v>
      </c>
      <c r="N1856" s="4" t="e">
        <f t="shared" si="85"/>
        <v>#N/A</v>
      </c>
      <c r="O1856" s="1" t="s">
        <v>1488</v>
      </c>
      <c r="P1856" s="4" t="e">
        <f>VLOOKUP(A1856,المعطيات!$A$1:$J$3500,4,0)</f>
        <v>#N/A</v>
      </c>
      <c r="Q1856" s="1" t="s">
        <v>1489</v>
      </c>
      <c r="R1856" s="1" t="s">
        <v>1480</v>
      </c>
      <c r="S1856" s="6" t="e">
        <f t="shared" si="86"/>
        <v>#N/A</v>
      </c>
    </row>
    <row r="1857" spans="2:19" x14ac:dyDescent="0.25">
      <c r="B1857" s="1" t="s">
        <v>1479</v>
      </c>
      <c r="C1857" s="1" t="s">
        <v>1481</v>
      </c>
      <c r="D1857" s="4" t="e">
        <f>VLOOKUP(A1857,المعطيات!$A$1:$J$3500,5,0)</f>
        <v>#N/A</v>
      </c>
      <c r="E1857" s="1" t="s">
        <v>1482</v>
      </c>
      <c r="F1857" s="5">
        <f t="shared" si="84"/>
        <v>0</v>
      </c>
      <c r="G1857" s="5" t="s">
        <v>1483</v>
      </c>
      <c r="H1857" s="4" t="e">
        <f>VLOOKUP(A1857,المعطيات!$A$1:$J$3500,3,0)</f>
        <v>#N/A</v>
      </c>
      <c r="I1857" s="1" t="s">
        <v>1484</v>
      </c>
      <c r="J1857" s="1" t="s">
        <v>1485</v>
      </c>
      <c r="K1857" s="4" t="e">
        <f>VLOOKUP(A1857,المعطيات!$A$1:$J$3500,6,0)</f>
        <v>#N/A</v>
      </c>
      <c r="L1857" s="1" t="s">
        <v>1486</v>
      </c>
      <c r="M1857" s="1" t="s">
        <v>1487</v>
      </c>
      <c r="N1857" s="4" t="e">
        <f t="shared" si="85"/>
        <v>#N/A</v>
      </c>
      <c r="O1857" s="1" t="s">
        <v>1488</v>
      </c>
      <c r="P1857" s="4" t="e">
        <f>VLOOKUP(A1857,المعطيات!$A$1:$J$3500,4,0)</f>
        <v>#N/A</v>
      </c>
      <c r="Q1857" s="1" t="s">
        <v>1489</v>
      </c>
      <c r="R1857" s="1" t="s">
        <v>1480</v>
      </c>
      <c r="S1857" s="6" t="e">
        <f t="shared" si="86"/>
        <v>#N/A</v>
      </c>
    </row>
    <row r="1858" spans="2:19" x14ac:dyDescent="0.25">
      <c r="B1858" s="1" t="s">
        <v>1479</v>
      </c>
      <c r="C1858" s="1" t="s">
        <v>1481</v>
      </c>
      <c r="D1858" s="4" t="e">
        <f>VLOOKUP(A1858,المعطيات!$A$1:$J$3500,5,0)</f>
        <v>#N/A</v>
      </c>
      <c r="E1858" s="1" t="s">
        <v>1482</v>
      </c>
      <c r="F1858" s="5">
        <f t="shared" ref="F1858:F1921" si="87">A1858</f>
        <v>0</v>
      </c>
      <c r="G1858" s="5" t="s">
        <v>1483</v>
      </c>
      <c r="H1858" s="4" t="e">
        <f>VLOOKUP(A1858,المعطيات!$A$1:$J$3500,3,0)</f>
        <v>#N/A</v>
      </c>
      <c r="I1858" s="1" t="s">
        <v>1484</v>
      </c>
      <c r="J1858" s="1" t="s">
        <v>1485</v>
      </c>
      <c r="K1858" s="4" t="e">
        <f>VLOOKUP(A1858,المعطيات!$A$1:$J$3500,6,0)</f>
        <v>#N/A</v>
      </c>
      <c r="L1858" s="1" t="s">
        <v>1486</v>
      </c>
      <c r="M1858" s="1" t="s">
        <v>1487</v>
      </c>
      <c r="N1858" s="4" t="e">
        <f t="shared" ref="N1858:N1921" si="88">D1858</f>
        <v>#N/A</v>
      </c>
      <c r="O1858" s="1" t="s">
        <v>1488</v>
      </c>
      <c r="P1858" s="4" t="e">
        <f>VLOOKUP(A1858,المعطيات!$A$1:$J$3500,4,0)</f>
        <v>#N/A</v>
      </c>
      <c r="Q1858" s="1" t="s">
        <v>1489</v>
      </c>
      <c r="R1858" s="1" t="s">
        <v>1480</v>
      </c>
      <c r="S1858" s="6" t="e">
        <f t="shared" ref="S1858:S1921" si="89">B1858&amp;""&amp;C1858&amp;""&amp;D1858&amp;""&amp;E1858&amp;""&amp;F1858&amp;""&amp;G1858&amp;""&amp;H1858&amp;""&amp;I1858&amp;""&amp;J1858&amp;""&amp;K1858&amp;""&amp;L1858&amp;""&amp;M1858&amp;""&amp;N1858&amp;""&amp;O1858&amp;""&amp;P1858&amp;""&amp;Q1858&amp;""&amp;R1858</f>
        <v>#N/A</v>
      </c>
    </row>
    <row r="1859" spans="2:19" x14ac:dyDescent="0.25">
      <c r="B1859" s="1" t="s">
        <v>1479</v>
      </c>
      <c r="C1859" s="1" t="s">
        <v>1481</v>
      </c>
      <c r="D1859" s="4" t="e">
        <f>VLOOKUP(A1859,المعطيات!$A$1:$J$3500,5,0)</f>
        <v>#N/A</v>
      </c>
      <c r="E1859" s="1" t="s">
        <v>1482</v>
      </c>
      <c r="F1859" s="5">
        <f t="shared" si="87"/>
        <v>0</v>
      </c>
      <c r="G1859" s="5" t="s">
        <v>1483</v>
      </c>
      <c r="H1859" s="4" t="e">
        <f>VLOOKUP(A1859,المعطيات!$A$1:$J$3500,3,0)</f>
        <v>#N/A</v>
      </c>
      <c r="I1859" s="1" t="s">
        <v>1484</v>
      </c>
      <c r="J1859" s="1" t="s">
        <v>1485</v>
      </c>
      <c r="K1859" s="4" t="e">
        <f>VLOOKUP(A1859,المعطيات!$A$1:$J$3500,6,0)</f>
        <v>#N/A</v>
      </c>
      <c r="L1859" s="1" t="s">
        <v>1486</v>
      </c>
      <c r="M1859" s="1" t="s">
        <v>1487</v>
      </c>
      <c r="N1859" s="4" t="e">
        <f t="shared" si="88"/>
        <v>#N/A</v>
      </c>
      <c r="O1859" s="1" t="s">
        <v>1488</v>
      </c>
      <c r="P1859" s="4" t="e">
        <f>VLOOKUP(A1859,المعطيات!$A$1:$J$3500,4,0)</f>
        <v>#N/A</v>
      </c>
      <c r="Q1859" s="1" t="s">
        <v>1489</v>
      </c>
      <c r="R1859" s="1" t="s">
        <v>1480</v>
      </c>
      <c r="S1859" s="6" t="e">
        <f t="shared" si="89"/>
        <v>#N/A</v>
      </c>
    </row>
    <row r="1860" spans="2:19" x14ac:dyDescent="0.25">
      <c r="B1860" s="1" t="s">
        <v>1479</v>
      </c>
      <c r="C1860" s="1" t="s">
        <v>1481</v>
      </c>
      <c r="D1860" s="4" t="e">
        <f>VLOOKUP(A1860,المعطيات!$A$1:$J$3500,5,0)</f>
        <v>#N/A</v>
      </c>
      <c r="E1860" s="1" t="s">
        <v>1482</v>
      </c>
      <c r="F1860" s="5">
        <f t="shared" si="87"/>
        <v>0</v>
      </c>
      <c r="G1860" s="5" t="s">
        <v>1483</v>
      </c>
      <c r="H1860" s="4" t="e">
        <f>VLOOKUP(A1860,المعطيات!$A$1:$J$3500,3,0)</f>
        <v>#N/A</v>
      </c>
      <c r="I1860" s="1" t="s">
        <v>1484</v>
      </c>
      <c r="J1860" s="1" t="s">
        <v>1485</v>
      </c>
      <c r="K1860" s="4" t="e">
        <f>VLOOKUP(A1860,المعطيات!$A$1:$J$3500,6,0)</f>
        <v>#N/A</v>
      </c>
      <c r="L1860" s="1" t="s">
        <v>1486</v>
      </c>
      <c r="M1860" s="1" t="s">
        <v>1487</v>
      </c>
      <c r="N1860" s="4" t="e">
        <f t="shared" si="88"/>
        <v>#N/A</v>
      </c>
      <c r="O1860" s="1" t="s">
        <v>1488</v>
      </c>
      <c r="P1860" s="4" t="e">
        <f>VLOOKUP(A1860,المعطيات!$A$1:$J$3500,4,0)</f>
        <v>#N/A</v>
      </c>
      <c r="Q1860" s="1" t="s">
        <v>1489</v>
      </c>
      <c r="R1860" s="1" t="s">
        <v>1480</v>
      </c>
      <c r="S1860" s="6" t="e">
        <f t="shared" si="89"/>
        <v>#N/A</v>
      </c>
    </row>
    <row r="1861" spans="2:19" x14ac:dyDescent="0.25">
      <c r="B1861" s="1" t="s">
        <v>1479</v>
      </c>
      <c r="C1861" s="1" t="s">
        <v>1481</v>
      </c>
      <c r="D1861" s="4" t="e">
        <f>VLOOKUP(A1861,المعطيات!$A$1:$J$3500,5,0)</f>
        <v>#N/A</v>
      </c>
      <c r="E1861" s="1" t="s">
        <v>1482</v>
      </c>
      <c r="F1861" s="5">
        <f t="shared" si="87"/>
        <v>0</v>
      </c>
      <c r="G1861" s="5" t="s">
        <v>1483</v>
      </c>
      <c r="H1861" s="4" t="e">
        <f>VLOOKUP(A1861,المعطيات!$A$1:$J$3500,3,0)</f>
        <v>#N/A</v>
      </c>
      <c r="I1861" s="1" t="s">
        <v>1484</v>
      </c>
      <c r="J1861" s="1" t="s">
        <v>1485</v>
      </c>
      <c r="K1861" s="4" t="e">
        <f>VLOOKUP(A1861,المعطيات!$A$1:$J$3500,6,0)</f>
        <v>#N/A</v>
      </c>
      <c r="L1861" s="1" t="s">
        <v>1486</v>
      </c>
      <c r="M1861" s="1" t="s">
        <v>1487</v>
      </c>
      <c r="N1861" s="4" t="e">
        <f t="shared" si="88"/>
        <v>#N/A</v>
      </c>
      <c r="O1861" s="1" t="s">
        <v>1488</v>
      </c>
      <c r="P1861" s="4" t="e">
        <f>VLOOKUP(A1861,المعطيات!$A$1:$J$3500,4,0)</f>
        <v>#N/A</v>
      </c>
      <c r="Q1861" s="1" t="s">
        <v>1489</v>
      </c>
      <c r="R1861" s="1" t="s">
        <v>1480</v>
      </c>
      <c r="S1861" s="6" t="e">
        <f t="shared" si="89"/>
        <v>#N/A</v>
      </c>
    </row>
    <row r="1862" spans="2:19" x14ac:dyDescent="0.25">
      <c r="B1862" s="1" t="s">
        <v>1479</v>
      </c>
      <c r="C1862" s="1" t="s">
        <v>1481</v>
      </c>
      <c r="D1862" s="4" t="e">
        <f>VLOOKUP(A1862,المعطيات!$A$1:$J$3500,5,0)</f>
        <v>#N/A</v>
      </c>
      <c r="E1862" s="1" t="s">
        <v>1482</v>
      </c>
      <c r="F1862" s="5">
        <f t="shared" si="87"/>
        <v>0</v>
      </c>
      <c r="G1862" s="5" t="s">
        <v>1483</v>
      </c>
      <c r="H1862" s="4" t="e">
        <f>VLOOKUP(A1862,المعطيات!$A$1:$J$3500,3,0)</f>
        <v>#N/A</v>
      </c>
      <c r="I1862" s="1" t="s">
        <v>1484</v>
      </c>
      <c r="J1862" s="1" t="s">
        <v>1485</v>
      </c>
      <c r="K1862" s="4" t="e">
        <f>VLOOKUP(A1862,المعطيات!$A$1:$J$3500,6,0)</f>
        <v>#N/A</v>
      </c>
      <c r="L1862" s="1" t="s">
        <v>1486</v>
      </c>
      <c r="M1862" s="1" t="s">
        <v>1487</v>
      </c>
      <c r="N1862" s="4" t="e">
        <f t="shared" si="88"/>
        <v>#N/A</v>
      </c>
      <c r="O1862" s="1" t="s">
        <v>1488</v>
      </c>
      <c r="P1862" s="4" t="e">
        <f>VLOOKUP(A1862,المعطيات!$A$1:$J$3500,4,0)</f>
        <v>#N/A</v>
      </c>
      <c r="Q1862" s="1" t="s">
        <v>1489</v>
      </c>
      <c r="R1862" s="1" t="s">
        <v>1480</v>
      </c>
      <c r="S1862" s="6" t="e">
        <f t="shared" si="89"/>
        <v>#N/A</v>
      </c>
    </row>
    <row r="1863" spans="2:19" x14ac:dyDescent="0.25">
      <c r="B1863" s="1" t="s">
        <v>1479</v>
      </c>
      <c r="C1863" s="1" t="s">
        <v>1481</v>
      </c>
      <c r="D1863" s="4" t="e">
        <f>VLOOKUP(A1863,المعطيات!$A$1:$J$3500,5,0)</f>
        <v>#N/A</v>
      </c>
      <c r="E1863" s="1" t="s">
        <v>1482</v>
      </c>
      <c r="F1863" s="5">
        <f t="shared" si="87"/>
        <v>0</v>
      </c>
      <c r="G1863" s="5" t="s">
        <v>1483</v>
      </c>
      <c r="H1863" s="4" t="e">
        <f>VLOOKUP(A1863,المعطيات!$A$1:$J$3500,3,0)</f>
        <v>#N/A</v>
      </c>
      <c r="I1863" s="1" t="s">
        <v>1484</v>
      </c>
      <c r="J1863" s="1" t="s">
        <v>1485</v>
      </c>
      <c r="K1863" s="4" t="e">
        <f>VLOOKUP(A1863,المعطيات!$A$1:$J$3500,6,0)</f>
        <v>#N/A</v>
      </c>
      <c r="L1863" s="1" t="s">
        <v>1486</v>
      </c>
      <c r="M1863" s="1" t="s">
        <v>1487</v>
      </c>
      <c r="N1863" s="4" t="e">
        <f t="shared" si="88"/>
        <v>#N/A</v>
      </c>
      <c r="O1863" s="1" t="s">
        <v>1488</v>
      </c>
      <c r="P1863" s="4" t="e">
        <f>VLOOKUP(A1863,المعطيات!$A$1:$J$3500,4,0)</f>
        <v>#N/A</v>
      </c>
      <c r="Q1863" s="1" t="s">
        <v>1489</v>
      </c>
      <c r="R1863" s="1" t="s">
        <v>1480</v>
      </c>
      <c r="S1863" s="6" t="e">
        <f t="shared" si="89"/>
        <v>#N/A</v>
      </c>
    </row>
    <row r="1864" spans="2:19" x14ac:dyDescent="0.25">
      <c r="B1864" s="1" t="s">
        <v>1479</v>
      </c>
      <c r="C1864" s="1" t="s">
        <v>1481</v>
      </c>
      <c r="D1864" s="4" t="e">
        <f>VLOOKUP(A1864,المعطيات!$A$1:$J$3500,5,0)</f>
        <v>#N/A</v>
      </c>
      <c r="E1864" s="1" t="s">
        <v>1482</v>
      </c>
      <c r="F1864" s="5">
        <f t="shared" si="87"/>
        <v>0</v>
      </c>
      <c r="G1864" s="5" t="s">
        <v>1483</v>
      </c>
      <c r="H1864" s="4" t="e">
        <f>VLOOKUP(A1864,المعطيات!$A$1:$J$3500,3,0)</f>
        <v>#N/A</v>
      </c>
      <c r="I1864" s="1" t="s">
        <v>1484</v>
      </c>
      <c r="J1864" s="1" t="s">
        <v>1485</v>
      </c>
      <c r="K1864" s="4" t="e">
        <f>VLOOKUP(A1864,المعطيات!$A$1:$J$3500,6,0)</f>
        <v>#N/A</v>
      </c>
      <c r="L1864" s="1" t="s">
        <v>1486</v>
      </c>
      <c r="M1864" s="1" t="s">
        <v>1487</v>
      </c>
      <c r="N1864" s="4" t="e">
        <f t="shared" si="88"/>
        <v>#N/A</v>
      </c>
      <c r="O1864" s="1" t="s">
        <v>1488</v>
      </c>
      <c r="P1864" s="4" t="e">
        <f>VLOOKUP(A1864,المعطيات!$A$1:$J$3500,4,0)</f>
        <v>#N/A</v>
      </c>
      <c r="Q1864" s="1" t="s">
        <v>1489</v>
      </c>
      <c r="R1864" s="1" t="s">
        <v>1480</v>
      </c>
      <c r="S1864" s="6" t="e">
        <f t="shared" si="89"/>
        <v>#N/A</v>
      </c>
    </row>
    <row r="1865" spans="2:19" x14ac:dyDescent="0.25">
      <c r="B1865" s="1" t="s">
        <v>1479</v>
      </c>
      <c r="C1865" s="1" t="s">
        <v>1481</v>
      </c>
      <c r="D1865" s="4" t="e">
        <f>VLOOKUP(A1865,المعطيات!$A$1:$J$3500,5,0)</f>
        <v>#N/A</v>
      </c>
      <c r="E1865" s="1" t="s">
        <v>1482</v>
      </c>
      <c r="F1865" s="5">
        <f t="shared" si="87"/>
        <v>0</v>
      </c>
      <c r="G1865" s="5" t="s">
        <v>1483</v>
      </c>
      <c r="H1865" s="4" t="e">
        <f>VLOOKUP(A1865,المعطيات!$A$1:$J$3500,3,0)</f>
        <v>#N/A</v>
      </c>
      <c r="I1865" s="1" t="s">
        <v>1484</v>
      </c>
      <c r="J1865" s="1" t="s">
        <v>1485</v>
      </c>
      <c r="K1865" s="4" t="e">
        <f>VLOOKUP(A1865,المعطيات!$A$1:$J$3500,6,0)</f>
        <v>#N/A</v>
      </c>
      <c r="L1865" s="1" t="s">
        <v>1486</v>
      </c>
      <c r="M1865" s="1" t="s">
        <v>1487</v>
      </c>
      <c r="N1865" s="4" t="e">
        <f t="shared" si="88"/>
        <v>#N/A</v>
      </c>
      <c r="O1865" s="1" t="s">
        <v>1488</v>
      </c>
      <c r="P1865" s="4" t="e">
        <f>VLOOKUP(A1865,المعطيات!$A$1:$J$3500,4,0)</f>
        <v>#N/A</v>
      </c>
      <c r="Q1865" s="1" t="s">
        <v>1489</v>
      </c>
      <c r="R1865" s="1" t="s">
        <v>1480</v>
      </c>
      <c r="S1865" s="6" t="e">
        <f t="shared" si="89"/>
        <v>#N/A</v>
      </c>
    </row>
    <row r="1866" spans="2:19" x14ac:dyDescent="0.25">
      <c r="B1866" s="1" t="s">
        <v>1479</v>
      </c>
      <c r="C1866" s="1" t="s">
        <v>1481</v>
      </c>
      <c r="D1866" s="4" t="e">
        <f>VLOOKUP(A1866,المعطيات!$A$1:$J$3500,5,0)</f>
        <v>#N/A</v>
      </c>
      <c r="E1866" s="1" t="s">
        <v>1482</v>
      </c>
      <c r="F1866" s="5">
        <f t="shared" si="87"/>
        <v>0</v>
      </c>
      <c r="G1866" s="5" t="s">
        <v>1483</v>
      </c>
      <c r="H1866" s="4" t="e">
        <f>VLOOKUP(A1866,المعطيات!$A$1:$J$3500,3,0)</f>
        <v>#N/A</v>
      </c>
      <c r="I1866" s="1" t="s">
        <v>1484</v>
      </c>
      <c r="J1866" s="1" t="s">
        <v>1485</v>
      </c>
      <c r="K1866" s="4" t="e">
        <f>VLOOKUP(A1866,المعطيات!$A$1:$J$3500,6,0)</f>
        <v>#N/A</v>
      </c>
      <c r="L1866" s="1" t="s">
        <v>1486</v>
      </c>
      <c r="M1866" s="1" t="s">
        <v>1487</v>
      </c>
      <c r="N1866" s="4" t="e">
        <f t="shared" si="88"/>
        <v>#N/A</v>
      </c>
      <c r="O1866" s="1" t="s">
        <v>1488</v>
      </c>
      <c r="P1866" s="4" t="e">
        <f>VLOOKUP(A1866,المعطيات!$A$1:$J$3500,4,0)</f>
        <v>#N/A</v>
      </c>
      <c r="Q1866" s="1" t="s">
        <v>1489</v>
      </c>
      <c r="R1866" s="1" t="s">
        <v>1480</v>
      </c>
      <c r="S1866" s="6" t="e">
        <f t="shared" si="89"/>
        <v>#N/A</v>
      </c>
    </row>
    <row r="1867" spans="2:19" x14ac:dyDescent="0.25">
      <c r="B1867" s="1" t="s">
        <v>1479</v>
      </c>
      <c r="C1867" s="1" t="s">
        <v>1481</v>
      </c>
      <c r="D1867" s="4" t="e">
        <f>VLOOKUP(A1867,المعطيات!$A$1:$J$3500,5,0)</f>
        <v>#N/A</v>
      </c>
      <c r="E1867" s="1" t="s">
        <v>1482</v>
      </c>
      <c r="F1867" s="5">
        <f t="shared" si="87"/>
        <v>0</v>
      </c>
      <c r="G1867" s="5" t="s">
        <v>1483</v>
      </c>
      <c r="H1867" s="4" t="e">
        <f>VLOOKUP(A1867,المعطيات!$A$1:$J$3500,3,0)</f>
        <v>#N/A</v>
      </c>
      <c r="I1867" s="1" t="s">
        <v>1484</v>
      </c>
      <c r="J1867" s="1" t="s">
        <v>1485</v>
      </c>
      <c r="K1867" s="4" t="e">
        <f>VLOOKUP(A1867,المعطيات!$A$1:$J$3500,6,0)</f>
        <v>#N/A</v>
      </c>
      <c r="L1867" s="1" t="s">
        <v>1486</v>
      </c>
      <c r="M1867" s="1" t="s">
        <v>1487</v>
      </c>
      <c r="N1867" s="4" t="e">
        <f t="shared" si="88"/>
        <v>#N/A</v>
      </c>
      <c r="O1867" s="1" t="s">
        <v>1488</v>
      </c>
      <c r="P1867" s="4" t="e">
        <f>VLOOKUP(A1867,المعطيات!$A$1:$J$3500,4,0)</f>
        <v>#N/A</v>
      </c>
      <c r="Q1867" s="1" t="s">
        <v>1489</v>
      </c>
      <c r="R1867" s="1" t="s">
        <v>1480</v>
      </c>
      <c r="S1867" s="6" t="e">
        <f t="shared" si="89"/>
        <v>#N/A</v>
      </c>
    </row>
    <row r="1868" spans="2:19" x14ac:dyDescent="0.25">
      <c r="B1868" s="1" t="s">
        <v>1479</v>
      </c>
      <c r="C1868" s="1" t="s">
        <v>1481</v>
      </c>
      <c r="D1868" s="4" t="e">
        <f>VLOOKUP(A1868,المعطيات!$A$1:$J$3500,5,0)</f>
        <v>#N/A</v>
      </c>
      <c r="E1868" s="1" t="s">
        <v>1482</v>
      </c>
      <c r="F1868" s="5">
        <f t="shared" si="87"/>
        <v>0</v>
      </c>
      <c r="G1868" s="5" t="s">
        <v>1483</v>
      </c>
      <c r="H1868" s="4" t="e">
        <f>VLOOKUP(A1868,المعطيات!$A$1:$J$3500,3,0)</f>
        <v>#N/A</v>
      </c>
      <c r="I1868" s="1" t="s">
        <v>1484</v>
      </c>
      <c r="J1868" s="1" t="s">
        <v>1485</v>
      </c>
      <c r="K1868" s="4" t="e">
        <f>VLOOKUP(A1868,المعطيات!$A$1:$J$3500,6,0)</f>
        <v>#N/A</v>
      </c>
      <c r="L1868" s="1" t="s">
        <v>1486</v>
      </c>
      <c r="M1868" s="1" t="s">
        <v>1487</v>
      </c>
      <c r="N1868" s="4" t="e">
        <f t="shared" si="88"/>
        <v>#N/A</v>
      </c>
      <c r="O1868" s="1" t="s">
        <v>1488</v>
      </c>
      <c r="P1868" s="4" t="e">
        <f>VLOOKUP(A1868,المعطيات!$A$1:$J$3500,4,0)</f>
        <v>#N/A</v>
      </c>
      <c r="Q1868" s="1" t="s">
        <v>1489</v>
      </c>
      <c r="R1868" s="1" t="s">
        <v>1480</v>
      </c>
      <c r="S1868" s="6" t="e">
        <f t="shared" si="89"/>
        <v>#N/A</v>
      </c>
    </row>
    <row r="1869" spans="2:19" x14ac:dyDescent="0.25">
      <c r="B1869" s="1" t="s">
        <v>1479</v>
      </c>
      <c r="C1869" s="1" t="s">
        <v>1481</v>
      </c>
      <c r="D1869" s="4" t="e">
        <f>VLOOKUP(A1869,المعطيات!$A$1:$J$3500,5,0)</f>
        <v>#N/A</v>
      </c>
      <c r="E1869" s="1" t="s">
        <v>1482</v>
      </c>
      <c r="F1869" s="5">
        <f t="shared" si="87"/>
        <v>0</v>
      </c>
      <c r="G1869" s="5" t="s">
        <v>1483</v>
      </c>
      <c r="H1869" s="4" t="e">
        <f>VLOOKUP(A1869,المعطيات!$A$1:$J$3500,3,0)</f>
        <v>#N/A</v>
      </c>
      <c r="I1869" s="1" t="s">
        <v>1484</v>
      </c>
      <c r="J1869" s="1" t="s">
        <v>1485</v>
      </c>
      <c r="K1869" s="4" t="e">
        <f>VLOOKUP(A1869,المعطيات!$A$1:$J$3500,6,0)</f>
        <v>#N/A</v>
      </c>
      <c r="L1869" s="1" t="s">
        <v>1486</v>
      </c>
      <c r="M1869" s="1" t="s">
        <v>1487</v>
      </c>
      <c r="N1869" s="4" t="e">
        <f t="shared" si="88"/>
        <v>#N/A</v>
      </c>
      <c r="O1869" s="1" t="s">
        <v>1488</v>
      </c>
      <c r="P1869" s="4" t="e">
        <f>VLOOKUP(A1869,المعطيات!$A$1:$J$3500,4,0)</f>
        <v>#N/A</v>
      </c>
      <c r="Q1869" s="1" t="s">
        <v>1489</v>
      </c>
      <c r="R1869" s="1" t="s">
        <v>1480</v>
      </c>
      <c r="S1869" s="6" t="e">
        <f t="shared" si="89"/>
        <v>#N/A</v>
      </c>
    </row>
    <row r="1870" spans="2:19" x14ac:dyDescent="0.25">
      <c r="B1870" s="1" t="s">
        <v>1479</v>
      </c>
      <c r="C1870" s="1" t="s">
        <v>1481</v>
      </c>
      <c r="D1870" s="4" t="e">
        <f>VLOOKUP(A1870,المعطيات!$A$1:$J$3500,5,0)</f>
        <v>#N/A</v>
      </c>
      <c r="E1870" s="1" t="s">
        <v>1482</v>
      </c>
      <c r="F1870" s="5">
        <f t="shared" si="87"/>
        <v>0</v>
      </c>
      <c r="G1870" s="5" t="s">
        <v>1483</v>
      </c>
      <c r="H1870" s="4" t="e">
        <f>VLOOKUP(A1870,المعطيات!$A$1:$J$3500,3,0)</f>
        <v>#N/A</v>
      </c>
      <c r="I1870" s="1" t="s">
        <v>1484</v>
      </c>
      <c r="J1870" s="1" t="s">
        <v>1485</v>
      </c>
      <c r="K1870" s="4" t="e">
        <f>VLOOKUP(A1870,المعطيات!$A$1:$J$3500,6,0)</f>
        <v>#N/A</v>
      </c>
      <c r="L1870" s="1" t="s">
        <v>1486</v>
      </c>
      <c r="M1870" s="1" t="s">
        <v>1487</v>
      </c>
      <c r="N1870" s="4" t="e">
        <f t="shared" si="88"/>
        <v>#N/A</v>
      </c>
      <c r="O1870" s="1" t="s">
        <v>1488</v>
      </c>
      <c r="P1870" s="4" t="e">
        <f>VLOOKUP(A1870,المعطيات!$A$1:$J$3500,4,0)</f>
        <v>#N/A</v>
      </c>
      <c r="Q1870" s="1" t="s">
        <v>1489</v>
      </c>
      <c r="R1870" s="1" t="s">
        <v>1480</v>
      </c>
      <c r="S1870" s="6" t="e">
        <f t="shared" si="89"/>
        <v>#N/A</v>
      </c>
    </row>
    <row r="1871" spans="2:19" x14ac:dyDescent="0.25">
      <c r="B1871" s="1" t="s">
        <v>1479</v>
      </c>
      <c r="C1871" s="1" t="s">
        <v>1481</v>
      </c>
      <c r="D1871" s="4" t="e">
        <f>VLOOKUP(A1871,المعطيات!$A$1:$J$3500,5,0)</f>
        <v>#N/A</v>
      </c>
      <c r="E1871" s="1" t="s">
        <v>1482</v>
      </c>
      <c r="F1871" s="5">
        <f t="shared" si="87"/>
        <v>0</v>
      </c>
      <c r="G1871" s="5" t="s">
        <v>1483</v>
      </c>
      <c r="H1871" s="4" t="e">
        <f>VLOOKUP(A1871,المعطيات!$A$1:$J$3500,3,0)</f>
        <v>#N/A</v>
      </c>
      <c r="I1871" s="1" t="s">
        <v>1484</v>
      </c>
      <c r="J1871" s="1" t="s">
        <v>1485</v>
      </c>
      <c r="K1871" s="4" t="e">
        <f>VLOOKUP(A1871,المعطيات!$A$1:$J$3500,6,0)</f>
        <v>#N/A</v>
      </c>
      <c r="L1871" s="1" t="s">
        <v>1486</v>
      </c>
      <c r="M1871" s="1" t="s">
        <v>1487</v>
      </c>
      <c r="N1871" s="4" t="e">
        <f t="shared" si="88"/>
        <v>#N/A</v>
      </c>
      <c r="O1871" s="1" t="s">
        <v>1488</v>
      </c>
      <c r="P1871" s="4" t="e">
        <f>VLOOKUP(A1871,المعطيات!$A$1:$J$3500,4,0)</f>
        <v>#N/A</v>
      </c>
      <c r="Q1871" s="1" t="s">
        <v>1489</v>
      </c>
      <c r="R1871" s="1" t="s">
        <v>1480</v>
      </c>
      <c r="S1871" s="6" t="e">
        <f t="shared" si="89"/>
        <v>#N/A</v>
      </c>
    </row>
    <row r="1872" spans="2:19" x14ac:dyDescent="0.25">
      <c r="B1872" s="1" t="s">
        <v>1479</v>
      </c>
      <c r="C1872" s="1" t="s">
        <v>1481</v>
      </c>
      <c r="D1872" s="4" t="e">
        <f>VLOOKUP(A1872,المعطيات!$A$1:$J$3500,5,0)</f>
        <v>#N/A</v>
      </c>
      <c r="E1872" s="1" t="s">
        <v>1482</v>
      </c>
      <c r="F1872" s="5">
        <f t="shared" si="87"/>
        <v>0</v>
      </c>
      <c r="G1872" s="5" t="s">
        <v>1483</v>
      </c>
      <c r="H1872" s="4" t="e">
        <f>VLOOKUP(A1872,المعطيات!$A$1:$J$3500,3,0)</f>
        <v>#N/A</v>
      </c>
      <c r="I1872" s="1" t="s">
        <v>1484</v>
      </c>
      <c r="J1872" s="1" t="s">
        <v>1485</v>
      </c>
      <c r="K1872" s="4" t="e">
        <f>VLOOKUP(A1872,المعطيات!$A$1:$J$3500,6,0)</f>
        <v>#N/A</v>
      </c>
      <c r="L1872" s="1" t="s">
        <v>1486</v>
      </c>
      <c r="M1872" s="1" t="s">
        <v>1487</v>
      </c>
      <c r="N1872" s="4" t="e">
        <f t="shared" si="88"/>
        <v>#N/A</v>
      </c>
      <c r="O1872" s="1" t="s">
        <v>1488</v>
      </c>
      <c r="P1872" s="4" t="e">
        <f>VLOOKUP(A1872,المعطيات!$A$1:$J$3500,4,0)</f>
        <v>#N/A</v>
      </c>
      <c r="Q1872" s="1" t="s">
        <v>1489</v>
      </c>
      <c r="R1872" s="1" t="s">
        <v>1480</v>
      </c>
      <c r="S1872" s="6" t="e">
        <f t="shared" si="89"/>
        <v>#N/A</v>
      </c>
    </row>
    <row r="1873" spans="2:19" x14ac:dyDescent="0.25">
      <c r="B1873" s="1" t="s">
        <v>1479</v>
      </c>
      <c r="C1873" s="1" t="s">
        <v>1481</v>
      </c>
      <c r="D1873" s="4" t="e">
        <f>VLOOKUP(A1873,المعطيات!$A$1:$J$3500,5,0)</f>
        <v>#N/A</v>
      </c>
      <c r="E1873" s="1" t="s">
        <v>1482</v>
      </c>
      <c r="F1873" s="5">
        <f t="shared" si="87"/>
        <v>0</v>
      </c>
      <c r="G1873" s="5" t="s">
        <v>1483</v>
      </c>
      <c r="H1873" s="4" t="e">
        <f>VLOOKUP(A1873,المعطيات!$A$1:$J$3500,3,0)</f>
        <v>#N/A</v>
      </c>
      <c r="I1873" s="1" t="s">
        <v>1484</v>
      </c>
      <c r="J1873" s="1" t="s">
        <v>1485</v>
      </c>
      <c r="K1873" s="4" t="e">
        <f>VLOOKUP(A1873,المعطيات!$A$1:$J$3500,6,0)</f>
        <v>#N/A</v>
      </c>
      <c r="L1873" s="1" t="s">
        <v>1486</v>
      </c>
      <c r="M1873" s="1" t="s">
        <v>1487</v>
      </c>
      <c r="N1873" s="4" t="e">
        <f t="shared" si="88"/>
        <v>#N/A</v>
      </c>
      <c r="O1873" s="1" t="s">
        <v>1488</v>
      </c>
      <c r="P1873" s="4" t="e">
        <f>VLOOKUP(A1873,المعطيات!$A$1:$J$3500,4,0)</f>
        <v>#N/A</v>
      </c>
      <c r="Q1873" s="1" t="s">
        <v>1489</v>
      </c>
      <c r="R1873" s="1" t="s">
        <v>1480</v>
      </c>
      <c r="S1873" s="6" t="e">
        <f t="shared" si="89"/>
        <v>#N/A</v>
      </c>
    </row>
    <row r="1874" spans="2:19" x14ac:dyDescent="0.25">
      <c r="B1874" s="1" t="s">
        <v>1479</v>
      </c>
      <c r="C1874" s="1" t="s">
        <v>1481</v>
      </c>
      <c r="D1874" s="4" t="e">
        <f>VLOOKUP(A1874,المعطيات!$A$1:$J$3500,5,0)</f>
        <v>#N/A</v>
      </c>
      <c r="E1874" s="1" t="s">
        <v>1482</v>
      </c>
      <c r="F1874" s="5">
        <f t="shared" si="87"/>
        <v>0</v>
      </c>
      <c r="G1874" s="5" t="s">
        <v>1483</v>
      </c>
      <c r="H1874" s="4" t="e">
        <f>VLOOKUP(A1874,المعطيات!$A$1:$J$3500,3,0)</f>
        <v>#N/A</v>
      </c>
      <c r="I1874" s="1" t="s">
        <v>1484</v>
      </c>
      <c r="J1874" s="1" t="s">
        <v>1485</v>
      </c>
      <c r="K1874" s="4" t="e">
        <f>VLOOKUP(A1874,المعطيات!$A$1:$J$3500,6,0)</f>
        <v>#N/A</v>
      </c>
      <c r="L1874" s="1" t="s">
        <v>1486</v>
      </c>
      <c r="M1874" s="1" t="s">
        <v>1487</v>
      </c>
      <c r="N1874" s="4" t="e">
        <f t="shared" si="88"/>
        <v>#N/A</v>
      </c>
      <c r="O1874" s="1" t="s">
        <v>1488</v>
      </c>
      <c r="P1874" s="4" t="e">
        <f>VLOOKUP(A1874,المعطيات!$A$1:$J$3500,4,0)</f>
        <v>#N/A</v>
      </c>
      <c r="Q1874" s="1" t="s">
        <v>1489</v>
      </c>
      <c r="R1874" s="1" t="s">
        <v>1480</v>
      </c>
      <c r="S1874" s="6" t="e">
        <f t="shared" si="89"/>
        <v>#N/A</v>
      </c>
    </row>
    <row r="1875" spans="2:19" x14ac:dyDescent="0.25">
      <c r="B1875" s="1" t="s">
        <v>1479</v>
      </c>
      <c r="C1875" s="1" t="s">
        <v>1481</v>
      </c>
      <c r="D1875" s="4" t="e">
        <f>VLOOKUP(A1875,المعطيات!$A$1:$J$3500,5,0)</f>
        <v>#N/A</v>
      </c>
      <c r="E1875" s="1" t="s">
        <v>1482</v>
      </c>
      <c r="F1875" s="5">
        <f t="shared" si="87"/>
        <v>0</v>
      </c>
      <c r="G1875" s="5" t="s">
        <v>1483</v>
      </c>
      <c r="H1875" s="4" t="e">
        <f>VLOOKUP(A1875,المعطيات!$A$1:$J$3500,3,0)</f>
        <v>#N/A</v>
      </c>
      <c r="I1875" s="1" t="s">
        <v>1484</v>
      </c>
      <c r="J1875" s="1" t="s">
        <v>1485</v>
      </c>
      <c r="K1875" s="4" t="e">
        <f>VLOOKUP(A1875,المعطيات!$A$1:$J$3500,6,0)</f>
        <v>#N/A</v>
      </c>
      <c r="L1875" s="1" t="s">
        <v>1486</v>
      </c>
      <c r="M1875" s="1" t="s">
        <v>1487</v>
      </c>
      <c r="N1875" s="4" t="e">
        <f t="shared" si="88"/>
        <v>#N/A</v>
      </c>
      <c r="O1875" s="1" t="s">
        <v>1488</v>
      </c>
      <c r="P1875" s="4" t="e">
        <f>VLOOKUP(A1875,المعطيات!$A$1:$J$3500,4,0)</f>
        <v>#N/A</v>
      </c>
      <c r="Q1875" s="1" t="s">
        <v>1489</v>
      </c>
      <c r="R1875" s="1" t="s">
        <v>1480</v>
      </c>
      <c r="S1875" s="6" t="e">
        <f t="shared" si="89"/>
        <v>#N/A</v>
      </c>
    </row>
    <row r="1876" spans="2:19" x14ac:dyDescent="0.25">
      <c r="B1876" s="1" t="s">
        <v>1479</v>
      </c>
      <c r="C1876" s="1" t="s">
        <v>1481</v>
      </c>
      <c r="D1876" s="4" t="e">
        <f>VLOOKUP(A1876,المعطيات!$A$1:$J$3500,5,0)</f>
        <v>#N/A</v>
      </c>
      <c r="E1876" s="1" t="s">
        <v>1482</v>
      </c>
      <c r="F1876" s="5">
        <f t="shared" si="87"/>
        <v>0</v>
      </c>
      <c r="G1876" s="5" t="s">
        <v>1483</v>
      </c>
      <c r="H1876" s="4" t="e">
        <f>VLOOKUP(A1876,المعطيات!$A$1:$J$3500,3,0)</f>
        <v>#N/A</v>
      </c>
      <c r="I1876" s="1" t="s">
        <v>1484</v>
      </c>
      <c r="J1876" s="1" t="s">
        <v>1485</v>
      </c>
      <c r="K1876" s="4" t="e">
        <f>VLOOKUP(A1876,المعطيات!$A$1:$J$3500,6,0)</f>
        <v>#N/A</v>
      </c>
      <c r="L1876" s="1" t="s">
        <v>1486</v>
      </c>
      <c r="M1876" s="1" t="s">
        <v>1487</v>
      </c>
      <c r="N1876" s="4" t="e">
        <f t="shared" si="88"/>
        <v>#N/A</v>
      </c>
      <c r="O1876" s="1" t="s">
        <v>1488</v>
      </c>
      <c r="P1876" s="4" t="e">
        <f>VLOOKUP(A1876,المعطيات!$A$1:$J$3500,4,0)</f>
        <v>#N/A</v>
      </c>
      <c r="Q1876" s="1" t="s">
        <v>1489</v>
      </c>
      <c r="R1876" s="1" t="s">
        <v>1480</v>
      </c>
      <c r="S1876" s="6" t="e">
        <f t="shared" si="89"/>
        <v>#N/A</v>
      </c>
    </row>
    <row r="1877" spans="2:19" x14ac:dyDescent="0.25">
      <c r="B1877" s="1" t="s">
        <v>1479</v>
      </c>
      <c r="C1877" s="1" t="s">
        <v>1481</v>
      </c>
      <c r="D1877" s="4" t="e">
        <f>VLOOKUP(A1877,المعطيات!$A$1:$J$3500,5,0)</f>
        <v>#N/A</v>
      </c>
      <c r="E1877" s="1" t="s">
        <v>1482</v>
      </c>
      <c r="F1877" s="5">
        <f t="shared" si="87"/>
        <v>0</v>
      </c>
      <c r="G1877" s="5" t="s">
        <v>1483</v>
      </c>
      <c r="H1877" s="4" t="e">
        <f>VLOOKUP(A1877,المعطيات!$A$1:$J$3500,3,0)</f>
        <v>#N/A</v>
      </c>
      <c r="I1877" s="1" t="s">
        <v>1484</v>
      </c>
      <c r="J1877" s="1" t="s">
        <v>1485</v>
      </c>
      <c r="K1877" s="4" t="e">
        <f>VLOOKUP(A1877,المعطيات!$A$1:$J$3500,6,0)</f>
        <v>#N/A</v>
      </c>
      <c r="L1877" s="1" t="s">
        <v>1486</v>
      </c>
      <c r="M1877" s="1" t="s">
        <v>1487</v>
      </c>
      <c r="N1877" s="4" t="e">
        <f t="shared" si="88"/>
        <v>#N/A</v>
      </c>
      <c r="O1877" s="1" t="s">
        <v>1488</v>
      </c>
      <c r="P1877" s="4" t="e">
        <f>VLOOKUP(A1877,المعطيات!$A$1:$J$3500,4,0)</f>
        <v>#N/A</v>
      </c>
      <c r="Q1877" s="1" t="s">
        <v>1489</v>
      </c>
      <c r="R1877" s="1" t="s">
        <v>1480</v>
      </c>
      <c r="S1877" s="6" t="e">
        <f t="shared" si="89"/>
        <v>#N/A</v>
      </c>
    </row>
    <row r="1878" spans="2:19" x14ac:dyDescent="0.25">
      <c r="B1878" s="1" t="s">
        <v>1479</v>
      </c>
      <c r="C1878" s="1" t="s">
        <v>1481</v>
      </c>
      <c r="D1878" s="4" t="e">
        <f>VLOOKUP(A1878,المعطيات!$A$1:$J$3500,5,0)</f>
        <v>#N/A</v>
      </c>
      <c r="E1878" s="1" t="s">
        <v>1482</v>
      </c>
      <c r="F1878" s="5">
        <f t="shared" si="87"/>
        <v>0</v>
      </c>
      <c r="G1878" s="5" t="s">
        <v>1483</v>
      </c>
      <c r="H1878" s="4" t="e">
        <f>VLOOKUP(A1878,المعطيات!$A$1:$J$3500,3,0)</f>
        <v>#N/A</v>
      </c>
      <c r="I1878" s="1" t="s">
        <v>1484</v>
      </c>
      <c r="J1878" s="1" t="s">
        <v>1485</v>
      </c>
      <c r="K1878" s="4" t="e">
        <f>VLOOKUP(A1878,المعطيات!$A$1:$J$3500,6,0)</f>
        <v>#N/A</v>
      </c>
      <c r="L1878" s="1" t="s">
        <v>1486</v>
      </c>
      <c r="M1878" s="1" t="s">
        <v>1487</v>
      </c>
      <c r="N1878" s="4" t="e">
        <f t="shared" si="88"/>
        <v>#N/A</v>
      </c>
      <c r="O1878" s="1" t="s">
        <v>1488</v>
      </c>
      <c r="P1878" s="4" t="e">
        <f>VLOOKUP(A1878,المعطيات!$A$1:$J$3500,4,0)</f>
        <v>#N/A</v>
      </c>
      <c r="Q1878" s="1" t="s">
        <v>1489</v>
      </c>
      <c r="R1878" s="1" t="s">
        <v>1480</v>
      </c>
      <c r="S1878" s="6" t="e">
        <f t="shared" si="89"/>
        <v>#N/A</v>
      </c>
    </row>
    <row r="1879" spans="2:19" x14ac:dyDescent="0.25">
      <c r="B1879" s="1" t="s">
        <v>1479</v>
      </c>
      <c r="C1879" s="1" t="s">
        <v>1481</v>
      </c>
      <c r="D1879" s="4" t="e">
        <f>VLOOKUP(A1879,المعطيات!$A$1:$J$3500,5,0)</f>
        <v>#N/A</v>
      </c>
      <c r="E1879" s="1" t="s">
        <v>1482</v>
      </c>
      <c r="F1879" s="5">
        <f t="shared" si="87"/>
        <v>0</v>
      </c>
      <c r="G1879" s="5" t="s">
        <v>1483</v>
      </c>
      <c r="H1879" s="4" t="e">
        <f>VLOOKUP(A1879,المعطيات!$A$1:$J$3500,3,0)</f>
        <v>#N/A</v>
      </c>
      <c r="I1879" s="1" t="s">
        <v>1484</v>
      </c>
      <c r="J1879" s="1" t="s">
        <v>1485</v>
      </c>
      <c r="K1879" s="4" t="e">
        <f>VLOOKUP(A1879,المعطيات!$A$1:$J$3500,6,0)</f>
        <v>#N/A</v>
      </c>
      <c r="L1879" s="1" t="s">
        <v>1486</v>
      </c>
      <c r="M1879" s="1" t="s">
        <v>1487</v>
      </c>
      <c r="N1879" s="4" t="e">
        <f t="shared" si="88"/>
        <v>#N/A</v>
      </c>
      <c r="O1879" s="1" t="s">
        <v>1488</v>
      </c>
      <c r="P1879" s="4" t="e">
        <f>VLOOKUP(A1879,المعطيات!$A$1:$J$3500,4,0)</f>
        <v>#N/A</v>
      </c>
      <c r="Q1879" s="1" t="s">
        <v>1489</v>
      </c>
      <c r="R1879" s="1" t="s">
        <v>1480</v>
      </c>
      <c r="S1879" s="6" t="e">
        <f t="shared" si="89"/>
        <v>#N/A</v>
      </c>
    </row>
    <row r="1880" spans="2:19" x14ac:dyDescent="0.25">
      <c r="B1880" s="1" t="s">
        <v>1479</v>
      </c>
      <c r="C1880" s="1" t="s">
        <v>1481</v>
      </c>
      <c r="D1880" s="4" t="e">
        <f>VLOOKUP(A1880,المعطيات!$A$1:$J$3500,5,0)</f>
        <v>#N/A</v>
      </c>
      <c r="E1880" s="1" t="s">
        <v>1482</v>
      </c>
      <c r="F1880" s="5">
        <f t="shared" si="87"/>
        <v>0</v>
      </c>
      <c r="G1880" s="5" t="s">
        <v>1483</v>
      </c>
      <c r="H1880" s="4" t="e">
        <f>VLOOKUP(A1880,المعطيات!$A$1:$J$3500,3,0)</f>
        <v>#N/A</v>
      </c>
      <c r="I1880" s="1" t="s">
        <v>1484</v>
      </c>
      <c r="J1880" s="1" t="s">
        <v>1485</v>
      </c>
      <c r="K1880" s="4" t="e">
        <f>VLOOKUP(A1880,المعطيات!$A$1:$J$3500,6,0)</f>
        <v>#N/A</v>
      </c>
      <c r="L1880" s="1" t="s">
        <v>1486</v>
      </c>
      <c r="M1880" s="1" t="s">
        <v>1487</v>
      </c>
      <c r="N1880" s="4" t="e">
        <f t="shared" si="88"/>
        <v>#N/A</v>
      </c>
      <c r="O1880" s="1" t="s">
        <v>1488</v>
      </c>
      <c r="P1880" s="4" t="e">
        <f>VLOOKUP(A1880,المعطيات!$A$1:$J$3500,4,0)</f>
        <v>#N/A</v>
      </c>
      <c r="Q1880" s="1" t="s">
        <v>1489</v>
      </c>
      <c r="R1880" s="1" t="s">
        <v>1480</v>
      </c>
      <c r="S1880" s="6" t="e">
        <f t="shared" si="89"/>
        <v>#N/A</v>
      </c>
    </row>
    <row r="1881" spans="2:19" x14ac:dyDescent="0.25">
      <c r="B1881" s="1" t="s">
        <v>1479</v>
      </c>
      <c r="C1881" s="1" t="s">
        <v>1481</v>
      </c>
      <c r="D1881" s="4" t="e">
        <f>VLOOKUP(A1881,المعطيات!$A$1:$J$3500,5,0)</f>
        <v>#N/A</v>
      </c>
      <c r="E1881" s="1" t="s">
        <v>1482</v>
      </c>
      <c r="F1881" s="5">
        <f t="shared" si="87"/>
        <v>0</v>
      </c>
      <c r="G1881" s="5" t="s">
        <v>1483</v>
      </c>
      <c r="H1881" s="4" t="e">
        <f>VLOOKUP(A1881,المعطيات!$A$1:$J$3500,3,0)</f>
        <v>#N/A</v>
      </c>
      <c r="I1881" s="1" t="s">
        <v>1484</v>
      </c>
      <c r="J1881" s="1" t="s">
        <v>1485</v>
      </c>
      <c r="K1881" s="4" t="e">
        <f>VLOOKUP(A1881,المعطيات!$A$1:$J$3500,6,0)</f>
        <v>#N/A</v>
      </c>
      <c r="L1881" s="1" t="s">
        <v>1486</v>
      </c>
      <c r="M1881" s="1" t="s">
        <v>1487</v>
      </c>
      <c r="N1881" s="4" t="e">
        <f t="shared" si="88"/>
        <v>#N/A</v>
      </c>
      <c r="O1881" s="1" t="s">
        <v>1488</v>
      </c>
      <c r="P1881" s="4" t="e">
        <f>VLOOKUP(A1881,المعطيات!$A$1:$J$3500,4,0)</f>
        <v>#N/A</v>
      </c>
      <c r="Q1881" s="1" t="s">
        <v>1489</v>
      </c>
      <c r="R1881" s="1" t="s">
        <v>1480</v>
      </c>
      <c r="S1881" s="6" t="e">
        <f t="shared" si="89"/>
        <v>#N/A</v>
      </c>
    </row>
    <row r="1882" spans="2:19" x14ac:dyDescent="0.25">
      <c r="B1882" s="1" t="s">
        <v>1479</v>
      </c>
      <c r="C1882" s="1" t="s">
        <v>1481</v>
      </c>
      <c r="D1882" s="4" t="e">
        <f>VLOOKUP(A1882,المعطيات!$A$1:$J$3500,5,0)</f>
        <v>#N/A</v>
      </c>
      <c r="E1882" s="1" t="s">
        <v>1482</v>
      </c>
      <c r="F1882" s="5">
        <f t="shared" si="87"/>
        <v>0</v>
      </c>
      <c r="G1882" s="5" t="s">
        <v>1483</v>
      </c>
      <c r="H1882" s="4" t="e">
        <f>VLOOKUP(A1882,المعطيات!$A$1:$J$3500,3,0)</f>
        <v>#N/A</v>
      </c>
      <c r="I1882" s="1" t="s">
        <v>1484</v>
      </c>
      <c r="J1882" s="1" t="s">
        <v>1485</v>
      </c>
      <c r="K1882" s="4" t="e">
        <f>VLOOKUP(A1882,المعطيات!$A$1:$J$3500,6,0)</f>
        <v>#N/A</v>
      </c>
      <c r="L1882" s="1" t="s">
        <v>1486</v>
      </c>
      <c r="M1882" s="1" t="s">
        <v>1487</v>
      </c>
      <c r="N1882" s="4" t="e">
        <f t="shared" si="88"/>
        <v>#N/A</v>
      </c>
      <c r="O1882" s="1" t="s">
        <v>1488</v>
      </c>
      <c r="P1882" s="4" t="e">
        <f>VLOOKUP(A1882,المعطيات!$A$1:$J$3500,4,0)</f>
        <v>#N/A</v>
      </c>
      <c r="Q1882" s="1" t="s">
        <v>1489</v>
      </c>
      <c r="R1882" s="1" t="s">
        <v>1480</v>
      </c>
      <c r="S1882" s="6" t="e">
        <f t="shared" si="89"/>
        <v>#N/A</v>
      </c>
    </row>
    <row r="1883" spans="2:19" x14ac:dyDescent="0.25">
      <c r="B1883" s="1" t="s">
        <v>1479</v>
      </c>
      <c r="C1883" s="1" t="s">
        <v>1481</v>
      </c>
      <c r="D1883" s="4" t="e">
        <f>VLOOKUP(A1883,المعطيات!$A$1:$J$3500,5,0)</f>
        <v>#N/A</v>
      </c>
      <c r="E1883" s="1" t="s">
        <v>1482</v>
      </c>
      <c r="F1883" s="5">
        <f t="shared" si="87"/>
        <v>0</v>
      </c>
      <c r="G1883" s="5" t="s">
        <v>1483</v>
      </c>
      <c r="H1883" s="4" t="e">
        <f>VLOOKUP(A1883,المعطيات!$A$1:$J$3500,3,0)</f>
        <v>#N/A</v>
      </c>
      <c r="I1883" s="1" t="s">
        <v>1484</v>
      </c>
      <c r="J1883" s="1" t="s">
        <v>1485</v>
      </c>
      <c r="K1883" s="4" t="e">
        <f>VLOOKUP(A1883,المعطيات!$A$1:$J$3500,6,0)</f>
        <v>#N/A</v>
      </c>
      <c r="L1883" s="1" t="s">
        <v>1486</v>
      </c>
      <c r="M1883" s="1" t="s">
        <v>1487</v>
      </c>
      <c r="N1883" s="4" t="e">
        <f t="shared" si="88"/>
        <v>#N/A</v>
      </c>
      <c r="O1883" s="1" t="s">
        <v>1488</v>
      </c>
      <c r="P1883" s="4" t="e">
        <f>VLOOKUP(A1883,المعطيات!$A$1:$J$3500,4,0)</f>
        <v>#N/A</v>
      </c>
      <c r="Q1883" s="1" t="s">
        <v>1489</v>
      </c>
      <c r="R1883" s="1" t="s">
        <v>1480</v>
      </c>
      <c r="S1883" s="6" t="e">
        <f t="shared" si="89"/>
        <v>#N/A</v>
      </c>
    </row>
    <row r="1884" spans="2:19" x14ac:dyDescent="0.25">
      <c r="B1884" s="1" t="s">
        <v>1479</v>
      </c>
      <c r="C1884" s="1" t="s">
        <v>1481</v>
      </c>
      <c r="D1884" s="4" t="e">
        <f>VLOOKUP(A1884,المعطيات!$A$1:$J$3500,5,0)</f>
        <v>#N/A</v>
      </c>
      <c r="E1884" s="1" t="s">
        <v>1482</v>
      </c>
      <c r="F1884" s="5">
        <f t="shared" si="87"/>
        <v>0</v>
      </c>
      <c r="G1884" s="5" t="s">
        <v>1483</v>
      </c>
      <c r="H1884" s="4" t="e">
        <f>VLOOKUP(A1884,المعطيات!$A$1:$J$3500,3,0)</f>
        <v>#N/A</v>
      </c>
      <c r="I1884" s="1" t="s">
        <v>1484</v>
      </c>
      <c r="J1884" s="1" t="s">
        <v>1485</v>
      </c>
      <c r="K1884" s="4" t="e">
        <f>VLOOKUP(A1884,المعطيات!$A$1:$J$3500,6,0)</f>
        <v>#N/A</v>
      </c>
      <c r="L1884" s="1" t="s">
        <v>1486</v>
      </c>
      <c r="M1884" s="1" t="s">
        <v>1487</v>
      </c>
      <c r="N1884" s="4" t="e">
        <f t="shared" si="88"/>
        <v>#N/A</v>
      </c>
      <c r="O1884" s="1" t="s">
        <v>1488</v>
      </c>
      <c r="P1884" s="4" t="e">
        <f>VLOOKUP(A1884,المعطيات!$A$1:$J$3500,4,0)</f>
        <v>#N/A</v>
      </c>
      <c r="Q1884" s="1" t="s">
        <v>1489</v>
      </c>
      <c r="R1884" s="1" t="s">
        <v>1480</v>
      </c>
      <c r="S1884" s="6" t="e">
        <f t="shared" si="89"/>
        <v>#N/A</v>
      </c>
    </row>
    <row r="1885" spans="2:19" x14ac:dyDescent="0.25">
      <c r="B1885" s="1" t="s">
        <v>1479</v>
      </c>
      <c r="C1885" s="1" t="s">
        <v>1481</v>
      </c>
      <c r="D1885" s="4" t="e">
        <f>VLOOKUP(A1885,المعطيات!$A$1:$J$3500,5,0)</f>
        <v>#N/A</v>
      </c>
      <c r="E1885" s="1" t="s">
        <v>1482</v>
      </c>
      <c r="F1885" s="5">
        <f t="shared" si="87"/>
        <v>0</v>
      </c>
      <c r="G1885" s="5" t="s">
        <v>1483</v>
      </c>
      <c r="H1885" s="4" t="e">
        <f>VLOOKUP(A1885,المعطيات!$A$1:$J$3500,3,0)</f>
        <v>#N/A</v>
      </c>
      <c r="I1885" s="1" t="s">
        <v>1484</v>
      </c>
      <c r="J1885" s="1" t="s">
        <v>1485</v>
      </c>
      <c r="K1885" s="4" t="e">
        <f>VLOOKUP(A1885,المعطيات!$A$1:$J$3500,6,0)</f>
        <v>#N/A</v>
      </c>
      <c r="L1885" s="1" t="s">
        <v>1486</v>
      </c>
      <c r="M1885" s="1" t="s">
        <v>1487</v>
      </c>
      <c r="N1885" s="4" t="e">
        <f t="shared" si="88"/>
        <v>#N/A</v>
      </c>
      <c r="O1885" s="1" t="s">
        <v>1488</v>
      </c>
      <c r="P1885" s="4" t="e">
        <f>VLOOKUP(A1885,المعطيات!$A$1:$J$3500,4,0)</f>
        <v>#N/A</v>
      </c>
      <c r="Q1885" s="1" t="s">
        <v>1489</v>
      </c>
      <c r="R1885" s="1" t="s">
        <v>1480</v>
      </c>
      <c r="S1885" s="6" t="e">
        <f t="shared" si="89"/>
        <v>#N/A</v>
      </c>
    </row>
    <row r="1886" spans="2:19" x14ac:dyDescent="0.25">
      <c r="B1886" s="1" t="s">
        <v>1479</v>
      </c>
      <c r="C1886" s="1" t="s">
        <v>1481</v>
      </c>
      <c r="D1886" s="4" t="e">
        <f>VLOOKUP(A1886,المعطيات!$A$1:$J$3500,5,0)</f>
        <v>#N/A</v>
      </c>
      <c r="E1886" s="1" t="s">
        <v>1482</v>
      </c>
      <c r="F1886" s="5">
        <f t="shared" si="87"/>
        <v>0</v>
      </c>
      <c r="G1886" s="5" t="s">
        <v>1483</v>
      </c>
      <c r="H1886" s="4" t="e">
        <f>VLOOKUP(A1886,المعطيات!$A$1:$J$3500,3,0)</f>
        <v>#N/A</v>
      </c>
      <c r="I1886" s="1" t="s">
        <v>1484</v>
      </c>
      <c r="J1886" s="1" t="s">
        <v>1485</v>
      </c>
      <c r="K1886" s="4" t="e">
        <f>VLOOKUP(A1886,المعطيات!$A$1:$J$3500,6,0)</f>
        <v>#N/A</v>
      </c>
      <c r="L1886" s="1" t="s">
        <v>1486</v>
      </c>
      <c r="M1886" s="1" t="s">
        <v>1487</v>
      </c>
      <c r="N1886" s="4" t="e">
        <f t="shared" si="88"/>
        <v>#N/A</v>
      </c>
      <c r="O1886" s="1" t="s">
        <v>1488</v>
      </c>
      <c r="P1886" s="4" t="e">
        <f>VLOOKUP(A1886,المعطيات!$A$1:$J$3500,4,0)</f>
        <v>#N/A</v>
      </c>
      <c r="Q1886" s="1" t="s">
        <v>1489</v>
      </c>
      <c r="R1886" s="1" t="s">
        <v>1480</v>
      </c>
      <c r="S1886" s="6" t="e">
        <f t="shared" si="89"/>
        <v>#N/A</v>
      </c>
    </row>
    <row r="1887" spans="2:19" x14ac:dyDescent="0.25">
      <c r="B1887" s="1" t="s">
        <v>1479</v>
      </c>
      <c r="C1887" s="1" t="s">
        <v>1481</v>
      </c>
      <c r="D1887" s="4" t="e">
        <f>VLOOKUP(A1887,المعطيات!$A$1:$J$3500,5,0)</f>
        <v>#N/A</v>
      </c>
      <c r="E1887" s="1" t="s">
        <v>1482</v>
      </c>
      <c r="F1887" s="5">
        <f t="shared" si="87"/>
        <v>0</v>
      </c>
      <c r="G1887" s="5" t="s">
        <v>1483</v>
      </c>
      <c r="H1887" s="4" t="e">
        <f>VLOOKUP(A1887,المعطيات!$A$1:$J$3500,3,0)</f>
        <v>#N/A</v>
      </c>
      <c r="I1887" s="1" t="s">
        <v>1484</v>
      </c>
      <c r="J1887" s="1" t="s">
        <v>1485</v>
      </c>
      <c r="K1887" s="4" t="e">
        <f>VLOOKUP(A1887,المعطيات!$A$1:$J$3500,6,0)</f>
        <v>#N/A</v>
      </c>
      <c r="L1887" s="1" t="s">
        <v>1486</v>
      </c>
      <c r="M1887" s="1" t="s">
        <v>1487</v>
      </c>
      <c r="N1887" s="4" t="e">
        <f t="shared" si="88"/>
        <v>#N/A</v>
      </c>
      <c r="O1887" s="1" t="s">
        <v>1488</v>
      </c>
      <c r="P1887" s="4" t="e">
        <f>VLOOKUP(A1887,المعطيات!$A$1:$J$3500,4,0)</f>
        <v>#N/A</v>
      </c>
      <c r="Q1887" s="1" t="s">
        <v>1489</v>
      </c>
      <c r="R1887" s="1" t="s">
        <v>1480</v>
      </c>
      <c r="S1887" s="6" t="e">
        <f t="shared" si="89"/>
        <v>#N/A</v>
      </c>
    </row>
    <row r="1888" spans="2:19" x14ac:dyDescent="0.25">
      <c r="B1888" s="1" t="s">
        <v>1479</v>
      </c>
      <c r="C1888" s="1" t="s">
        <v>1481</v>
      </c>
      <c r="D1888" s="4" t="e">
        <f>VLOOKUP(A1888,المعطيات!$A$1:$J$3500,5,0)</f>
        <v>#N/A</v>
      </c>
      <c r="E1888" s="1" t="s">
        <v>1482</v>
      </c>
      <c r="F1888" s="5">
        <f t="shared" si="87"/>
        <v>0</v>
      </c>
      <c r="G1888" s="5" t="s">
        <v>1483</v>
      </c>
      <c r="H1888" s="4" t="e">
        <f>VLOOKUP(A1888,المعطيات!$A$1:$J$3500,3,0)</f>
        <v>#N/A</v>
      </c>
      <c r="I1888" s="1" t="s">
        <v>1484</v>
      </c>
      <c r="J1888" s="1" t="s">
        <v>1485</v>
      </c>
      <c r="K1888" s="4" t="e">
        <f>VLOOKUP(A1888,المعطيات!$A$1:$J$3500,6,0)</f>
        <v>#N/A</v>
      </c>
      <c r="L1888" s="1" t="s">
        <v>1486</v>
      </c>
      <c r="M1888" s="1" t="s">
        <v>1487</v>
      </c>
      <c r="N1888" s="4" t="e">
        <f t="shared" si="88"/>
        <v>#N/A</v>
      </c>
      <c r="O1888" s="1" t="s">
        <v>1488</v>
      </c>
      <c r="P1888" s="4" t="e">
        <f>VLOOKUP(A1888,المعطيات!$A$1:$J$3500,4,0)</f>
        <v>#N/A</v>
      </c>
      <c r="Q1888" s="1" t="s">
        <v>1489</v>
      </c>
      <c r="R1888" s="1" t="s">
        <v>1480</v>
      </c>
      <c r="S1888" s="6" t="e">
        <f t="shared" si="89"/>
        <v>#N/A</v>
      </c>
    </row>
    <row r="1889" spans="2:19" x14ac:dyDescent="0.25">
      <c r="B1889" s="1" t="s">
        <v>1479</v>
      </c>
      <c r="C1889" s="1" t="s">
        <v>1481</v>
      </c>
      <c r="D1889" s="4" t="e">
        <f>VLOOKUP(A1889,المعطيات!$A$1:$J$3500,5,0)</f>
        <v>#N/A</v>
      </c>
      <c r="E1889" s="1" t="s">
        <v>1482</v>
      </c>
      <c r="F1889" s="5">
        <f t="shared" si="87"/>
        <v>0</v>
      </c>
      <c r="G1889" s="5" t="s">
        <v>1483</v>
      </c>
      <c r="H1889" s="4" t="e">
        <f>VLOOKUP(A1889,المعطيات!$A$1:$J$3500,3,0)</f>
        <v>#N/A</v>
      </c>
      <c r="I1889" s="1" t="s">
        <v>1484</v>
      </c>
      <c r="J1889" s="1" t="s">
        <v>1485</v>
      </c>
      <c r="K1889" s="4" t="e">
        <f>VLOOKUP(A1889,المعطيات!$A$1:$J$3500,6,0)</f>
        <v>#N/A</v>
      </c>
      <c r="L1889" s="1" t="s">
        <v>1486</v>
      </c>
      <c r="M1889" s="1" t="s">
        <v>1487</v>
      </c>
      <c r="N1889" s="4" t="e">
        <f t="shared" si="88"/>
        <v>#N/A</v>
      </c>
      <c r="O1889" s="1" t="s">
        <v>1488</v>
      </c>
      <c r="P1889" s="4" t="e">
        <f>VLOOKUP(A1889,المعطيات!$A$1:$J$3500,4,0)</f>
        <v>#N/A</v>
      </c>
      <c r="Q1889" s="1" t="s">
        <v>1489</v>
      </c>
      <c r="R1889" s="1" t="s">
        <v>1480</v>
      </c>
      <c r="S1889" s="6" t="e">
        <f t="shared" si="89"/>
        <v>#N/A</v>
      </c>
    </row>
    <row r="1890" spans="2:19" x14ac:dyDescent="0.25">
      <c r="B1890" s="1" t="s">
        <v>1479</v>
      </c>
      <c r="C1890" s="1" t="s">
        <v>1481</v>
      </c>
      <c r="D1890" s="4" t="e">
        <f>VLOOKUP(A1890,المعطيات!$A$1:$J$3500,5,0)</f>
        <v>#N/A</v>
      </c>
      <c r="E1890" s="1" t="s">
        <v>1482</v>
      </c>
      <c r="F1890" s="5">
        <f t="shared" si="87"/>
        <v>0</v>
      </c>
      <c r="G1890" s="5" t="s">
        <v>1483</v>
      </c>
      <c r="H1890" s="4" t="e">
        <f>VLOOKUP(A1890,المعطيات!$A$1:$J$3500,3,0)</f>
        <v>#N/A</v>
      </c>
      <c r="I1890" s="1" t="s">
        <v>1484</v>
      </c>
      <c r="J1890" s="1" t="s">
        <v>1485</v>
      </c>
      <c r="K1890" s="4" t="e">
        <f>VLOOKUP(A1890,المعطيات!$A$1:$J$3500,6,0)</f>
        <v>#N/A</v>
      </c>
      <c r="L1890" s="1" t="s">
        <v>1486</v>
      </c>
      <c r="M1890" s="1" t="s">
        <v>1487</v>
      </c>
      <c r="N1890" s="4" t="e">
        <f t="shared" si="88"/>
        <v>#N/A</v>
      </c>
      <c r="O1890" s="1" t="s">
        <v>1488</v>
      </c>
      <c r="P1890" s="4" t="e">
        <f>VLOOKUP(A1890,المعطيات!$A$1:$J$3500,4,0)</f>
        <v>#N/A</v>
      </c>
      <c r="Q1890" s="1" t="s">
        <v>1489</v>
      </c>
      <c r="R1890" s="1" t="s">
        <v>1480</v>
      </c>
      <c r="S1890" s="6" t="e">
        <f t="shared" si="89"/>
        <v>#N/A</v>
      </c>
    </row>
    <row r="1891" spans="2:19" x14ac:dyDescent="0.25">
      <c r="B1891" s="1" t="s">
        <v>1479</v>
      </c>
      <c r="C1891" s="1" t="s">
        <v>1481</v>
      </c>
      <c r="D1891" s="4" t="e">
        <f>VLOOKUP(A1891,المعطيات!$A$1:$J$3500,5,0)</f>
        <v>#N/A</v>
      </c>
      <c r="E1891" s="1" t="s">
        <v>1482</v>
      </c>
      <c r="F1891" s="5">
        <f t="shared" si="87"/>
        <v>0</v>
      </c>
      <c r="G1891" s="5" t="s">
        <v>1483</v>
      </c>
      <c r="H1891" s="4" t="e">
        <f>VLOOKUP(A1891,المعطيات!$A$1:$J$3500,3,0)</f>
        <v>#N/A</v>
      </c>
      <c r="I1891" s="1" t="s">
        <v>1484</v>
      </c>
      <c r="J1891" s="1" t="s">
        <v>1485</v>
      </c>
      <c r="K1891" s="4" t="e">
        <f>VLOOKUP(A1891,المعطيات!$A$1:$J$3500,6,0)</f>
        <v>#N/A</v>
      </c>
      <c r="L1891" s="1" t="s">
        <v>1486</v>
      </c>
      <c r="M1891" s="1" t="s">
        <v>1487</v>
      </c>
      <c r="N1891" s="4" t="e">
        <f t="shared" si="88"/>
        <v>#N/A</v>
      </c>
      <c r="O1891" s="1" t="s">
        <v>1488</v>
      </c>
      <c r="P1891" s="4" t="e">
        <f>VLOOKUP(A1891,المعطيات!$A$1:$J$3500,4,0)</f>
        <v>#N/A</v>
      </c>
      <c r="Q1891" s="1" t="s">
        <v>1489</v>
      </c>
      <c r="R1891" s="1" t="s">
        <v>1480</v>
      </c>
      <c r="S1891" s="6" t="e">
        <f t="shared" si="89"/>
        <v>#N/A</v>
      </c>
    </row>
    <row r="1892" spans="2:19" x14ac:dyDescent="0.25">
      <c r="B1892" s="1" t="s">
        <v>1479</v>
      </c>
      <c r="C1892" s="1" t="s">
        <v>1481</v>
      </c>
      <c r="D1892" s="4" t="e">
        <f>VLOOKUP(A1892,المعطيات!$A$1:$J$3500,5,0)</f>
        <v>#N/A</v>
      </c>
      <c r="E1892" s="1" t="s">
        <v>1482</v>
      </c>
      <c r="F1892" s="5">
        <f t="shared" si="87"/>
        <v>0</v>
      </c>
      <c r="G1892" s="5" t="s">
        <v>1483</v>
      </c>
      <c r="H1892" s="4" t="e">
        <f>VLOOKUP(A1892,المعطيات!$A$1:$J$3500,3,0)</f>
        <v>#N/A</v>
      </c>
      <c r="I1892" s="1" t="s">
        <v>1484</v>
      </c>
      <c r="J1892" s="1" t="s">
        <v>1485</v>
      </c>
      <c r="K1892" s="4" t="e">
        <f>VLOOKUP(A1892,المعطيات!$A$1:$J$3500,6,0)</f>
        <v>#N/A</v>
      </c>
      <c r="L1892" s="1" t="s">
        <v>1486</v>
      </c>
      <c r="M1892" s="1" t="s">
        <v>1487</v>
      </c>
      <c r="N1892" s="4" t="e">
        <f t="shared" si="88"/>
        <v>#N/A</v>
      </c>
      <c r="O1892" s="1" t="s">
        <v>1488</v>
      </c>
      <c r="P1892" s="4" t="e">
        <f>VLOOKUP(A1892,المعطيات!$A$1:$J$3500,4,0)</f>
        <v>#N/A</v>
      </c>
      <c r="Q1892" s="1" t="s">
        <v>1489</v>
      </c>
      <c r="R1892" s="1" t="s">
        <v>1480</v>
      </c>
      <c r="S1892" s="6" t="e">
        <f t="shared" si="89"/>
        <v>#N/A</v>
      </c>
    </row>
    <row r="1893" spans="2:19" x14ac:dyDescent="0.25">
      <c r="B1893" s="1" t="s">
        <v>1479</v>
      </c>
      <c r="C1893" s="1" t="s">
        <v>1481</v>
      </c>
      <c r="D1893" s="4" t="e">
        <f>VLOOKUP(A1893,المعطيات!$A$1:$J$3500,5,0)</f>
        <v>#N/A</v>
      </c>
      <c r="E1893" s="1" t="s">
        <v>1482</v>
      </c>
      <c r="F1893" s="5">
        <f t="shared" si="87"/>
        <v>0</v>
      </c>
      <c r="G1893" s="5" t="s">
        <v>1483</v>
      </c>
      <c r="H1893" s="4" t="e">
        <f>VLOOKUP(A1893,المعطيات!$A$1:$J$3500,3,0)</f>
        <v>#N/A</v>
      </c>
      <c r="I1893" s="1" t="s">
        <v>1484</v>
      </c>
      <c r="J1893" s="1" t="s">
        <v>1485</v>
      </c>
      <c r="K1893" s="4" t="e">
        <f>VLOOKUP(A1893,المعطيات!$A$1:$J$3500,6,0)</f>
        <v>#N/A</v>
      </c>
      <c r="L1893" s="1" t="s">
        <v>1486</v>
      </c>
      <c r="M1893" s="1" t="s">
        <v>1487</v>
      </c>
      <c r="N1893" s="4" t="e">
        <f t="shared" si="88"/>
        <v>#N/A</v>
      </c>
      <c r="O1893" s="1" t="s">
        <v>1488</v>
      </c>
      <c r="P1893" s="4" t="e">
        <f>VLOOKUP(A1893,المعطيات!$A$1:$J$3500,4,0)</f>
        <v>#N/A</v>
      </c>
      <c r="Q1893" s="1" t="s">
        <v>1489</v>
      </c>
      <c r="R1893" s="1" t="s">
        <v>1480</v>
      </c>
      <c r="S1893" s="6" t="e">
        <f t="shared" si="89"/>
        <v>#N/A</v>
      </c>
    </row>
    <row r="1894" spans="2:19" x14ac:dyDescent="0.25">
      <c r="B1894" s="1" t="s">
        <v>1479</v>
      </c>
      <c r="C1894" s="1" t="s">
        <v>1481</v>
      </c>
      <c r="D1894" s="4" t="e">
        <f>VLOOKUP(A1894,المعطيات!$A$1:$J$3500,5,0)</f>
        <v>#N/A</v>
      </c>
      <c r="E1894" s="1" t="s">
        <v>1482</v>
      </c>
      <c r="F1894" s="5">
        <f t="shared" si="87"/>
        <v>0</v>
      </c>
      <c r="G1894" s="5" t="s">
        <v>1483</v>
      </c>
      <c r="H1894" s="4" t="e">
        <f>VLOOKUP(A1894,المعطيات!$A$1:$J$3500,3,0)</f>
        <v>#N/A</v>
      </c>
      <c r="I1894" s="1" t="s">
        <v>1484</v>
      </c>
      <c r="J1894" s="1" t="s">
        <v>1485</v>
      </c>
      <c r="K1894" s="4" t="e">
        <f>VLOOKUP(A1894,المعطيات!$A$1:$J$3500,6,0)</f>
        <v>#N/A</v>
      </c>
      <c r="L1894" s="1" t="s">
        <v>1486</v>
      </c>
      <c r="M1894" s="1" t="s">
        <v>1487</v>
      </c>
      <c r="N1894" s="4" t="e">
        <f t="shared" si="88"/>
        <v>#N/A</v>
      </c>
      <c r="O1894" s="1" t="s">
        <v>1488</v>
      </c>
      <c r="P1894" s="4" t="e">
        <f>VLOOKUP(A1894,المعطيات!$A$1:$J$3500,4,0)</f>
        <v>#N/A</v>
      </c>
      <c r="Q1894" s="1" t="s">
        <v>1489</v>
      </c>
      <c r="R1894" s="1" t="s">
        <v>1480</v>
      </c>
      <c r="S1894" s="6" t="e">
        <f t="shared" si="89"/>
        <v>#N/A</v>
      </c>
    </row>
    <row r="1895" spans="2:19" x14ac:dyDescent="0.25">
      <c r="B1895" s="1" t="s">
        <v>1479</v>
      </c>
      <c r="C1895" s="1" t="s">
        <v>1481</v>
      </c>
      <c r="D1895" s="4" t="e">
        <f>VLOOKUP(A1895,المعطيات!$A$1:$J$3500,5,0)</f>
        <v>#N/A</v>
      </c>
      <c r="E1895" s="1" t="s">
        <v>1482</v>
      </c>
      <c r="F1895" s="5">
        <f t="shared" si="87"/>
        <v>0</v>
      </c>
      <c r="G1895" s="5" t="s">
        <v>1483</v>
      </c>
      <c r="H1895" s="4" t="e">
        <f>VLOOKUP(A1895,المعطيات!$A$1:$J$3500,3,0)</f>
        <v>#N/A</v>
      </c>
      <c r="I1895" s="1" t="s">
        <v>1484</v>
      </c>
      <c r="J1895" s="1" t="s">
        <v>1485</v>
      </c>
      <c r="K1895" s="4" t="e">
        <f>VLOOKUP(A1895,المعطيات!$A$1:$J$3500,6,0)</f>
        <v>#N/A</v>
      </c>
      <c r="L1895" s="1" t="s">
        <v>1486</v>
      </c>
      <c r="M1895" s="1" t="s">
        <v>1487</v>
      </c>
      <c r="N1895" s="4" t="e">
        <f t="shared" si="88"/>
        <v>#N/A</v>
      </c>
      <c r="O1895" s="1" t="s">
        <v>1488</v>
      </c>
      <c r="P1895" s="4" t="e">
        <f>VLOOKUP(A1895,المعطيات!$A$1:$J$3500,4,0)</f>
        <v>#N/A</v>
      </c>
      <c r="Q1895" s="1" t="s">
        <v>1489</v>
      </c>
      <c r="R1895" s="1" t="s">
        <v>1480</v>
      </c>
      <c r="S1895" s="6" t="e">
        <f t="shared" si="89"/>
        <v>#N/A</v>
      </c>
    </row>
    <row r="1896" spans="2:19" x14ac:dyDescent="0.25">
      <c r="B1896" s="1" t="s">
        <v>1479</v>
      </c>
      <c r="C1896" s="1" t="s">
        <v>1481</v>
      </c>
      <c r="D1896" s="4" t="e">
        <f>VLOOKUP(A1896,المعطيات!$A$1:$J$3500,5,0)</f>
        <v>#N/A</v>
      </c>
      <c r="E1896" s="1" t="s">
        <v>1482</v>
      </c>
      <c r="F1896" s="5">
        <f t="shared" si="87"/>
        <v>0</v>
      </c>
      <c r="G1896" s="5" t="s">
        <v>1483</v>
      </c>
      <c r="H1896" s="4" t="e">
        <f>VLOOKUP(A1896,المعطيات!$A$1:$J$3500,3,0)</f>
        <v>#N/A</v>
      </c>
      <c r="I1896" s="1" t="s">
        <v>1484</v>
      </c>
      <c r="J1896" s="1" t="s">
        <v>1485</v>
      </c>
      <c r="K1896" s="4" t="e">
        <f>VLOOKUP(A1896,المعطيات!$A$1:$J$3500,6,0)</f>
        <v>#N/A</v>
      </c>
      <c r="L1896" s="1" t="s">
        <v>1486</v>
      </c>
      <c r="M1896" s="1" t="s">
        <v>1487</v>
      </c>
      <c r="N1896" s="4" t="e">
        <f t="shared" si="88"/>
        <v>#N/A</v>
      </c>
      <c r="O1896" s="1" t="s">
        <v>1488</v>
      </c>
      <c r="P1896" s="4" t="e">
        <f>VLOOKUP(A1896,المعطيات!$A$1:$J$3500,4,0)</f>
        <v>#N/A</v>
      </c>
      <c r="Q1896" s="1" t="s">
        <v>1489</v>
      </c>
      <c r="R1896" s="1" t="s">
        <v>1480</v>
      </c>
      <c r="S1896" s="6" t="e">
        <f t="shared" si="89"/>
        <v>#N/A</v>
      </c>
    </row>
    <row r="1897" spans="2:19" x14ac:dyDescent="0.25">
      <c r="B1897" s="1" t="s">
        <v>1479</v>
      </c>
      <c r="C1897" s="1" t="s">
        <v>1481</v>
      </c>
      <c r="D1897" s="4" t="e">
        <f>VLOOKUP(A1897,المعطيات!$A$1:$J$3500,5,0)</f>
        <v>#N/A</v>
      </c>
      <c r="E1897" s="1" t="s">
        <v>1482</v>
      </c>
      <c r="F1897" s="5">
        <f t="shared" si="87"/>
        <v>0</v>
      </c>
      <c r="G1897" s="5" t="s">
        <v>1483</v>
      </c>
      <c r="H1897" s="4" t="e">
        <f>VLOOKUP(A1897,المعطيات!$A$1:$J$3500,3,0)</f>
        <v>#N/A</v>
      </c>
      <c r="I1897" s="1" t="s">
        <v>1484</v>
      </c>
      <c r="J1897" s="1" t="s">
        <v>1485</v>
      </c>
      <c r="K1897" s="4" t="e">
        <f>VLOOKUP(A1897,المعطيات!$A$1:$J$3500,6,0)</f>
        <v>#N/A</v>
      </c>
      <c r="L1897" s="1" t="s">
        <v>1486</v>
      </c>
      <c r="M1897" s="1" t="s">
        <v>1487</v>
      </c>
      <c r="N1897" s="4" t="e">
        <f t="shared" si="88"/>
        <v>#N/A</v>
      </c>
      <c r="O1897" s="1" t="s">
        <v>1488</v>
      </c>
      <c r="P1897" s="4" t="e">
        <f>VLOOKUP(A1897,المعطيات!$A$1:$J$3500,4,0)</f>
        <v>#N/A</v>
      </c>
      <c r="Q1897" s="1" t="s">
        <v>1489</v>
      </c>
      <c r="R1897" s="1" t="s">
        <v>1480</v>
      </c>
      <c r="S1897" s="6" t="e">
        <f t="shared" si="89"/>
        <v>#N/A</v>
      </c>
    </row>
    <row r="1898" spans="2:19" x14ac:dyDescent="0.25">
      <c r="B1898" s="1" t="s">
        <v>1479</v>
      </c>
      <c r="C1898" s="1" t="s">
        <v>1481</v>
      </c>
      <c r="D1898" s="4" t="e">
        <f>VLOOKUP(A1898,المعطيات!$A$1:$J$3500,5,0)</f>
        <v>#N/A</v>
      </c>
      <c r="E1898" s="1" t="s">
        <v>1482</v>
      </c>
      <c r="F1898" s="5">
        <f t="shared" si="87"/>
        <v>0</v>
      </c>
      <c r="G1898" s="5" t="s">
        <v>1483</v>
      </c>
      <c r="H1898" s="4" t="e">
        <f>VLOOKUP(A1898,المعطيات!$A$1:$J$3500,3,0)</f>
        <v>#N/A</v>
      </c>
      <c r="I1898" s="1" t="s">
        <v>1484</v>
      </c>
      <c r="J1898" s="1" t="s">
        <v>1485</v>
      </c>
      <c r="K1898" s="4" t="e">
        <f>VLOOKUP(A1898,المعطيات!$A$1:$J$3500,6,0)</f>
        <v>#N/A</v>
      </c>
      <c r="L1898" s="1" t="s">
        <v>1486</v>
      </c>
      <c r="M1898" s="1" t="s">
        <v>1487</v>
      </c>
      <c r="N1898" s="4" t="e">
        <f t="shared" si="88"/>
        <v>#N/A</v>
      </c>
      <c r="O1898" s="1" t="s">
        <v>1488</v>
      </c>
      <c r="P1898" s="4" t="e">
        <f>VLOOKUP(A1898,المعطيات!$A$1:$J$3500,4,0)</f>
        <v>#N/A</v>
      </c>
      <c r="Q1898" s="1" t="s">
        <v>1489</v>
      </c>
      <c r="R1898" s="1" t="s">
        <v>1480</v>
      </c>
      <c r="S1898" s="6" t="e">
        <f t="shared" si="89"/>
        <v>#N/A</v>
      </c>
    </row>
    <row r="1899" spans="2:19" x14ac:dyDescent="0.25">
      <c r="B1899" s="1" t="s">
        <v>1479</v>
      </c>
      <c r="C1899" s="1" t="s">
        <v>1481</v>
      </c>
      <c r="D1899" s="4" t="e">
        <f>VLOOKUP(A1899,المعطيات!$A$1:$J$3500,5,0)</f>
        <v>#N/A</v>
      </c>
      <c r="E1899" s="1" t="s">
        <v>1482</v>
      </c>
      <c r="F1899" s="5">
        <f t="shared" si="87"/>
        <v>0</v>
      </c>
      <c r="G1899" s="5" t="s">
        <v>1483</v>
      </c>
      <c r="H1899" s="4" t="e">
        <f>VLOOKUP(A1899,المعطيات!$A$1:$J$3500,3,0)</f>
        <v>#N/A</v>
      </c>
      <c r="I1899" s="1" t="s">
        <v>1484</v>
      </c>
      <c r="J1899" s="1" t="s">
        <v>1485</v>
      </c>
      <c r="K1899" s="4" t="e">
        <f>VLOOKUP(A1899,المعطيات!$A$1:$J$3500,6,0)</f>
        <v>#N/A</v>
      </c>
      <c r="L1899" s="1" t="s">
        <v>1486</v>
      </c>
      <c r="M1899" s="1" t="s">
        <v>1487</v>
      </c>
      <c r="N1899" s="4" t="e">
        <f t="shared" si="88"/>
        <v>#N/A</v>
      </c>
      <c r="O1899" s="1" t="s">
        <v>1488</v>
      </c>
      <c r="P1899" s="4" t="e">
        <f>VLOOKUP(A1899,المعطيات!$A$1:$J$3500,4,0)</f>
        <v>#N/A</v>
      </c>
      <c r="Q1899" s="1" t="s">
        <v>1489</v>
      </c>
      <c r="R1899" s="1" t="s">
        <v>1480</v>
      </c>
      <c r="S1899" s="6" t="e">
        <f t="shared" si="89"/>
        <v>#N/A</v>
      </c>
    </row>
    <row r="1900" spans="2:19" x14ac:dyDescent="0.25">
      <c r="B1900" s="1" t="s">
        <v>1479</v>
      </c>
      <c r="C1900" s="1" t="s">
        <v>1481</v>
      </c>
      <c r="D1900" s="4" t="e">
        <f>VLOOKUP(A1900,المعطيات!$A$1:$J$3500,5,0)</f>
        <v>#N/A</v>
      </c>
      <c r="E1900" s="1" t="s">
        <v>1482</v>
      </c>
      <c r="F1900" s="5">
        <f t="shared" si="87"/>
        <v>0</v>
      </c>
      <c r="G1900" s="5" t="s">
        <v>1483</v>
      </c>
      <c r="H1900" s="4" t="e">
        <f>VLOOKUP(A1900,المعطيات!$A$1:$J$3500,3,0)</f>
        <v>#N/A</v>
      </c>
      <c r="I1900" s="1" t="s">
        <v>1484</v>
      </c>
      <c r="J1900" s="1" t="s">
        <v>1485</v>
      </c>
      <c r="K1900" s="4" t="e">
        <f>VLOOKUP(A1900,المعطيات!$A$1:$J$3500,6,0)</f>
        <v>#N/A</v>
      </c>
      <c r="L1900" s="1" t="s">
        <v>1486</v>
      </c>
      <c r="M1900" s="1" t="s">
        <v>1487</v>
      </c>
      <c r="N1900" s="4" t="e">
        <f t="shared" si="88"/>
        <v>#N/A</v>
      </c>
      <c r="O1900" s="1" t="s">
        <v>1488</v>
      </c>
      <c r="P1900" s="4" t="e">
        <f>VLOOKUP(A1900,المعطيات!$A$1:$J$3500,4,0)</f>
        <v>#N/A</v>
      </c>
      <c r="Q1900" s="1" t="s">
        <v>1489</v>
      </c>
      <c r="R1900" s="1" t="s">
        <v>1480</v>
      </c>
      <c r="S1900" s="6" t="e">
        <f t="shared" si="89"/>
        <v>#N/A</v>
      </c>
    </row>
    <row r="1901" spans="2:19" x14ac:dyDescent="0.25">
      <c r="B1901" s="1" t="s">
        <v>1479</v>
      </c>
      <c r="C1901" s="1" t="s">
        <v>1481</v>
      </c>
      <c r="D1901" s="4" t="e">
        <f>VLOOKUP(A1901,المعطيات!$A$1:$J$3500,5,0)</f>
        <v>#N/A</v>
      </c>
      <c r="E1901" s="1" t="s">
        <v>1482</v>
      </c>
      <c r="F1901" s="5">
        <f t="shared" si="87"/>
        <v>0</v>
      </c>
      <c r="G1901" s="5" t="s">
        <v>1483</v>
      </c>
      <c r="H1901" s="4" t="e">
        <f>VLOOKUP(A1901,المعطيات!$A$1:$J$3500,3,0)</f>
        <v>#N/A</v>
      </c>
      <c r="I1901" s="1" t="s">
        <v>1484</v>
      </c>
      <c r="J1901" s="1" t="s">
        <v>1485</v>
      </c>
      <c r="K1901" s="4" t="e">
        <f>VLOOKUP(A1901,المعطيات!$A$1:$J$3500,6,0)</f>
        <v>#N/A</v>
      </c>
      <c r="L1901" s="1" t="s">
        <v>1486</v>
      </c>
      <c r="M1901" s="1" t="s">
        <v>1487</v>
      </c>
      <c r="N1901" s="4" t="e">
        <f t="shared" si="88"/>
        <v>#N/A</v>
      </c>
      <c r="O1901" s="1" t="s">
        <v>1488</v>
      </c>
      <c r="P1901" s="4" t="e">
        <f>VLOOKUP(A1901,المعطيات!$A$1:$J$3500,4,0)</f>
        <v>#N/A</v>
      </c>
      <c r="Q1901" s="1" t="s">
        <v>1489</v>
      </c>
      <c r="R1901" s="1" t="s">
        <v>1480</v>
      </c>
      <c r="S1901" s="6" t="e">
        <f t="shared" si="89"/>
        <v>#N/A</v>
      </c>
    </row>
    <row r="1902" spans="2:19" x14ac:dyDescent="0.25">
      <c r="B1902" s="1" t="s">
        <v>1479</v>
      </c>
      <c r="C1902" s="1" t="s">
        <v>1481</v>
      </c>
      <c r="D1902" s="4" t="e">
        <f>VLOOKUP(A1902,المعطيات!$A$1:$J$3500,5,0)</f>
        <v>#N/A</v>
      </c>
      <c r="E1902" s="1" t="s">
        <v>1482</v>
      </c>
      <c r="F1902" s="5">
        <f t="shared" si="87"/>
        <v>0</v>
      </c>
      <c r="G1902" s="5" t="s">
        <v>1483</v>
      </c>
      <c r="H1902" s="4" t="e">
        <f>VLOOKUP(A1902,المعطيات!$A$1:$J$3500,3,0)</f>
        <v>#N/A</v>
      </c>
      <c r="I1902" s="1" t="s">
        <v>1484</v>
      </c>
      <c r="J1902" s="1" t="s">
        <v>1485</v>
      </c>
      <c r="K1902" s="4" t="e">
        <f>VLOOKUP(A1902,المعطيات!$A$1:$J$3500,6,0)</f>
        <v>#N/A</v>
      </c>
      <c r="L1902" s="1" t="s">
        <v>1486</v>
      </c>
      <c r="M1902" s="1" t="s">
        <v>1487</v>
      </c>
      <c r="N1902" s="4" t="e">
        <f t="shared" si="88"/>
        <v>#N/A</v>
      </c>
      <c r="O1902" s="1" t="s">
        <v>1488</v>
      </c>
      <c r="P1902" s="4" t="e">
        <f>VLOOKUP(A1902,المعطيات!$A$1:$J$3500,4,0)</f>
        <v>#N/A</v>
      </c>
      <c r="Q1902" s="1" t="s">
        <v>1489</v>
      </c>
      <c r="R1902" s="1" t="s">
        <v>1480</v>
      </c>
      <c r="S1902" s="6" t="e">
        <f t="shared" si="89"/>
        <v>#N/A</v>
      </c>
    </row>
    <row r="1903" spans="2:19" x14ac:dyDescent="0.25">
      <c r="B1903" s="1" t="s">
        <v>1479</v>
      </c>
      <c r="C1903" s="1" t="s">
        <v>1481</v>
      </c>
      <c r="D1903" s="4" t="e">
        <f>VLOOKUP(A1903,المعطيات!$A$1:$J$3500,5,0)</f>
        <v>#N/A</v>
      </c>
      <c r="E1903" s="1" t="s">
        <v>1482</v>
      </c>
      <c r="F1903" s="5">
        <f t="shared" si="87"/>
        <v>0</v>
      </c>
      <c r="G1903" s="5" t="s">
        <v>1483</v>
      </c>
      <c r="H1903" s="4" t="e">
        <f>VLOOKUP(A1903,المعطيات!$A$1:$J$3500,3,0)</f>
        <v>#N/A</v>
      </c>
      <c r="I1903" s="1" t="s">
        <v>1484</v>
      </c>
      <c r="J1903" s="1" t="s">
        <v>1485</v>
      </c>
      <c r="K1903" s="4" t="e">
        <f>VLOOKUP(A1903,المعطيات!$A$1:$J$3500,6,0)</f>
        <v>#N/A</v>
      </c>
      <c r="L1903" s="1" t="s">
        <v>1486</v>
      </c>
      <c r="M1903" s="1" t="s">
        <v>1487</v>
      </c>
      <c r="N1903" s="4" t="e">
        <f t="shared" si="88"/>
        <v>#N/A</v>
      </c>
      <c r="O1903" s="1" t="s">
        <v>1488</v>
      </c>
      <c r="P1903" s="4" t="e">
        <f>VLOOKUP(A1903,المعطيات!$A$1:$J$3500,4,0)</f>
        <v>#N/A</v>
      </c>
      <c r="Q1903" s="1" t="s">
        <v>1489</v>
      </c>
      <c r="R1903" s="1" t="s">
        <v>1480</v>
      </c>
      <c r="S1903" s="6" t="e">
        <f t="shared" si="89"/>
        <v>#N/A</v>
      </c>
    </row>
    <row r="1904" spans="2:19" x14ac:dyDescent="0.25">
      <c r="B1904" s="1" t="s">
        <v>1479</v>
      </c>
      <c r="C1904" s="1" t="s">
        <v>1481</v>
      </c>
      <c r="D1904" s="4" t="e">
        <f>VLOOKUP(A1904,المعطيات!$A$1:$J$3500,5,0)</f>
        <v>#N/A</v>
      </c>
      <c r="E1904" s="1" t="s">
        <v>1482</v>
      </c>
      <c r="F1904" s="5">
        <f t="shared" si="87"/>
        <v>0</v>
      </c>
      <c r="G1904" s="5" t="s">
        <v>1483</v>
      </c>
      <c r="H1904" s="4" t="e">
        <f>VLOOKUP(A1904,المعطيات!$A$1:$J$3500,3,0)</f>
        <v>#N/A</v>
      </c>
      <c r="I1904" s="1" t="s">
        <v>1484</v>
      </c>
      <c r="J1904" s="1" t="s">
        <v>1485</v>
      </c>
      <c r="K1904" s="4" t="e">
        <f>VLOOKUP(A1904,المعطيات!$A$1:$J$3500,6,0)</f>
        <v>#N/A</v>
      </c>
      <c r="L1904" s="1" t="s">
        <v>1486</v>
      </c>
      <c r="M1904" s="1" t="s">
        <v>1487</v>
      </c>
      <c r="N1904" s="4" t="e">
        <f t="shared" si="88"/>
        <v>#N/A</v>
      </c>
      <c r="O1904" s="1" t="s">
        <v>1488</v>
      </c>
      <c r="P1904" s="4" t="e">
        <f>VLOOKUP(A1904,المعطيات!$A$1:$J$3500,4,0)</f>
        <v>#N/A</v>
      </c>
      <c r="Q1904" s="1" t="s">
        <v>1489</v>
      </c>
      <c r="R1904" s="1" t="s">
        <v>1480</v>
      </c>
      <c r="S1904" s="6" t="e">
        <f t="shared" si="89"/>
        <v>#N/A</v>
      </c>
    </row>
    <row r="1905" spans="2:19" x14ac:dyDescent="0.25">
      <c r="B1905" s="1" t="s">
        <v>1479</v>
      </c>
      <c r="C1905" s="1" t="s">
        <v>1481</v>
      </c>
      <c r="D1905" s="4" t="e">
        <f>VLOOKUP(A1905,المعطيات!$A$1:$J$3500,5,0)</f>
        <v>#N/A</v>
      </c>
      <c r="E1905" s="1" t="s">
        <v>1482</v>
      </c>
      <c r="F1905" s="5">
        <f t="shared" si="87"/>
        <v>0</v>
      </c>
      <c r="G1905" s="5" t="s">
        <v>1483</v>
      </c>
      <c r="H1905" s="4" t="e">
        <f>VLOOKUP(A1905,المعطيات!$A$1:$J$3500,3,0)</f>
        <v>#N/A</v>
      </c>
      <c r="I1905" s="1" t="s">
        <v>1484</v>
      </c>
      <c r="J1905" s="1" t="s">
        <v>1485</v>
      </c>
      <c r="K1905" s="4" t="e">
        <f>VLOOKUP(A1905,المعطيات!$A$1:$J$3500,6,0)</f>
        <v>#N/A</v>
      </c>
      <c r="L1905" s="1" t="s">
        <v>1486</v>
      </c>
      <c r="M1905" s="1" t="s">
        <v>1487</v>
      </c>
      <c r="N1905" s="4" t="e">
        <f t="shared" si="88"/>
        <v>#N/A</v>
      </c>
      <c r="O1905" s="1" t="s">
        <v>1488</v>
      </c>
      <c r="P1905" s="4" t="e">
        <f>VLOOKUP(A1905,المعطيات!$A$1:$J$3500,4,0)</f>
        <v>#N/A</v>
      </c>
      <c r="Q1905" s="1" t="s">
        <v>1489</v>
      </c>
      <c r="R1905" s="1" t="s">
        <v>1480</v>
      </c>
      <c r="S1905" s="6" t="e">
        <f t="shared" si="89"/>
        <v>#N/A</v>
      </c>
    </row>
    <row r="1906" spans="2:19" x14ac:dyDescent="0.25">
      <c r="B1906" s="1" t="s">
        <v>1479</v>
      </c>
      <c r="C1906" s="1" t="s">
        <v>1481</v>
      </c>
      <c r="D1906" s="4" t="e">
        <f>VLOOKUP(A1906,المعطيات!$A$1:$J$3500,5,0)</f>
        <v>#N/A</v>
      </c>
      <c r="E1906" s="1" t="s">
        <v>1482</v>
      </c>
      <c r="F1906" s="5">
        <f t="shared" si="87"/>
        <v>0</v>
      </c>
      <c r="G1906" s="5" t="s">
        <v>1483</v>
      </c>
      <c r="H1906" s="4" t="e">
        <f>VLOOKUP(A1906,المعطيات!$A$1:$J$3500,3,0)</f>
        <v>#N/A</v>
      </c>
      <c r="I1906" s="1" t="s">
        <v>1484</v>
      </c>
      <c r="J1906" s="1" t="s">
        <v>1485</v>
      </c>
      <c r="K1906" s="4" t="e">
        <f>VLOOKUP(A1906,المعطيات!$A$1:$J$3500,6,0)</f>
        <v>#N/A</v>
      </c>
      <c r="L1906" s="1" t="s">
        <v>1486</v>
      </c>
      <c r="M1906" s="1" t="s">
        <v>1487</v>
      </c>
      <c r="N1906" s="4" t="e">
        <f t="shared" si="88"/>
        <v>#N/A</v>
      </c>
      <c r="O1906" s="1" t="s">
        <v>1488</v>
      </c>
      <c r="P1906" s="4" t="e">
        <f>VLOOKUP(A1906,المعطيات!$A$1:$J$3500,4,0)</f>
        <v>#N/A</v>
      </c>
      <c r="Q1906" s="1" t="s">
        <v>1489</v>
      </c>
      <c r="R1906" s="1" t="s">
        <v>1480</v>
      </c>
      <c r="S1906" s="6" t="e">
        <f t="shared" si="89"/>
        <v>#N/A</v>
      </c>
    </row>
    <row r="1907" spans="2:19" x14ac:dyDescent="0.25">
      <c r="B1907" s="1" t="s">
        <v>1479</v>
      </c>
      <c r="C1907" s="1" t="s">
        <v>1481</v>
      </c>
      <c r="D1907" s="4" t="e">
        <f>VLOOKUP(A1907,المعطيات!$A$1:$J$3500,5,0)</f>
        <v>#N/A</v>
      </c>
      <c r="E1907" s="1" t="s">
        <v>1482</v>
      </c>
      <c r="F1907" s="5">
        <f t="shared" si="87"/>
        <v>0</v>
      </c>
      <c r="G1907" s="5" t="s">
        <v>1483</v>
      </c>
      <c r="H1907" s="4" t="e">
        <f>VLOOKUP(A1907,المعطيات!$A$1:$J$3500,3,0)</f>
        <v>#N/A</v>
      </c>
      <c r="I1907" s="1" t="s">
        <v>1484</v>
      </c>
      <c r="J1907" s="1" t="s">
        <v>1485</v>
      </c>
      <c r="K1907" s="4" t="e">
        <f>VLOOKUP(A1907,المعطيات!$A$1:$J$3500,6,0)</f>
        <v>#N/A</v>
      </c>
      <c r="L1907" s="1" t="s">
        <v>1486</v>
      </c>
      <c r="M1907" s="1" t="s">
        <v>1487</v>
      </c>
      <c r="N1907" s="4" t="e">
        <f t="shared" si="88"/>
        <v>#N/A</v>
      </c>
      <c r="O1907" s="1" t="s">
        <v>1488</v>
      </c>
      <c r="P1907" s="4" t="e">
        <f>VLOOKUP(A1907,المعطيات!$A$1:$J$3500,4,0)</f>
        <v>#N/A</v>
      </c>
      <c r="Q1907" s="1" t="s">
        <v>1489</v>
      </c>
      <c r="R1907" s="1" t="s">
        <v>1480</v>
      </c>
      <c r="S1907" s="6" t="e">
        <f t="shared" si="89"/>
        <v>#N/A</v>
      </c>
    </row>
    <row r="1908" spans="2:19" x14ac:dyDescent="0.25">
      <c r="B1908" s="1" t="s">
        <v>1479</v>
      </c>
      <c r="C1908" s="1" t="s">
        <v>1481</v>
      </c>
      <c r="D1908" s="4" t="e">
        <f>VLOOKUP(A1908,المعطيات!$A$1:$J$3500,5,0)</f>
        <v>#N/A</v>
      </c>
      <c r="E1908" s="1" t="s">
        <v>1482</v>
      </c>
      <c r="F1908" s="5">
        <f t="shared" si="87"/>
        <v>0</v>
      </c>
      <c r="G1908" s="5" t="s">
        <v>1483</v>
      </c>
      <c r="H1908" s="4" t="e">
        <f>VLOOKUP(A1908,المعطيات!$A$1:$J$3500,3,0)</f>
        <v>#N/A</v>
      </c>
      <c r="I1908" s="1" t="s">
        <v>1484</v>
      </c>
      <c r="J1908" s="1" t="s">
        <v>1485</v>
      </c>
      <c r="K1908" s="4" t="e">
        <f>VLOOKUP(A1908,المعطيات!$A$1:$J$3500,6,0)</f>
        <v>#N/A</v>
      </c>
      <c r="L1908" s="1" t="s">
        <v>1486</v>
      </c>
      <c r="M1908" s="1" t="s">
        <v>1487</v>
      </c>
      <c r="N1908" s="4" t="e">
        <f t="shared" si="88"/>
        <v>#N/A</v>
      </c>
      <c r="O1908" s="1" t="s">
        <v>1488</v>
      </c>
      <c r="P1908" s="4" t="e">
        <f>VLOOKUP(A1908,المعطيات!$A$1:$J$3500,4,0)</f>
        <v>#N/A</v>
      </c>
      <c r="Q1908" s="1" t="s">
        <v>1489</v>
      </c>
      <c r="R1908" s="1" t="s">
        <v>1480</v>
      </c>
      <c r="S1908" s="6" t="e">
        <f t="shared" si="89"/>
        <v>#N/A</v>
      </c>
    </row>
    <row r="1909" spans="2:19" x14ac:dyDescent="0.25">
      <c r="B1909" s="1" t="s">
        <v>1479</v>
      </c>
      <c r="C1909" s="1" t="s">
        <v>1481</v>
      </c>
      <c r="D1909" s="4" t="e">
        <f>VLOOKUP(A1909,المعطيات!$A$1:$J$3500,5,0)</f>
        <v>#N/A</v>
      </c>
      <c r="E1909" s="1" t="s">
        <v>1482</v>
      </c>
      <c r="F1909" s="5">
        <f t="shared" si="87"/>
        <v>0</v>
      </c>
      <c r="G1909" s="5" t="s">
        <v>1483</v>
      </c>
      <c r="H1909" s="4" t="e">
        <f>VLOOKUP(A1909,المعطيات!$A$1:$J$3500,3,0)</f>
        <v>#N/A</v>
      </c>
      <c r="I1909" s="1" t="s">
        <v>1484</v>
      </c>
      <c r="J1909" s="1" t="s">
        <v>1485</v>
      </c>
      <c r="K1909" s="4" t="e">
        <f>VLOOKUP(A1909,المعطيات!$A$1:$J$3500,6,0)</f>
        <v>#N/A</v>
      </c>
      <c r="L1909" s="1" t="s">
        <v>1486</v>
      </c>
      <c r="M1909" s="1" t="s">
        <v>1487</v>
      </c>
      <c r="N1909" s="4" t="e">
        <f t="shared" si="88"/>
        <v>#N/A</v>
      </c>
      <c r="O1909" s="1" t="s">
        <v>1488</v>
      </c>
      <c r="P1909" s="4" t="e">
        <f>VLOOKUP(A1909,المعطيات!$A$1:$J$3500,4,0)</f>
        <v>#N/A</v>
      </c>
      <c r="Q1909" s="1" t="s">
        <v>1489</v>
      </c>
      <c r="R1909" s="1" t="s">
        <v>1480</v>
      </c>
      <c r="S1909" s="6" t="e">
        <f t="shared" si="89"/>
        <v>#N/A</v>
      </c>
    </row>
    <row r="1910" spans="2:19" x14ac:dyDescent="0.25">
      <c r="B1910" s="1" t="s">
        <v>1479</v>
      </c>
      <c r="C1910" s="1" t="s">
        <v>1481</v>
      </c>
      <c r="D1910" s="4" t="e">
        <f>VLOOKUP(A1910,المعطيات!$A$1:$J$3500,5,0)</f>
        <v>#N/A</v>
      </c>
      <c r="E1910" s="1" t="s">
        <v>1482</v>
      </c>
      <c r="F1910" s="5">
        <f t="shared" si="87"/>
        <v>0</v>
      </c>
      <c r="G1910" s="5" t="s">
        <v>1483</v>
      </c>
      <c r="H1910" s="4" t="e">
        <f>VLOOKUP(A1910,المعطيات!$A$1:$J$3500,3,0)</f>
        <v>#N/A</v>
      </c>
      <c r="I1910" s="1" t="s">
        <v>1484</v>
      </c>
      <c r="J1910" s="1" t="s">
        <v>1485</v>
      </c>
      <c r="K1910" s="4" t="e">
        <f>VLOOKUP(A1910,المعطيات!$A$1:$J$3500,6,0)</f>
        <v>#N/A</v>
      </c>
      <c r="L1910" s="1" t="s">
        <v>1486</v>
      </c>
      <c r="M1910" s="1" t="s">
        <v>1487</v>
      </c>
      <c r="N1910" s="4" t="e">
        <f t="shared" si="88"/>
        <v>#N/A</v>
      </c>
      <c r="O1910" s="1" t="s">
        <v>1488</v>
      </c>
      <c r="P1910" s="4" t="e">
        <f>VLOOKUP(A1910,المعطيات!$A$1:$J$3500,4,0)</f>
        <v>#N/A</v>
      </c>
      <c r="Q1910" s="1" t="s">
        <v>1489</v>
      </c>
      <c r="R1910" s="1" t="s">
        <v>1480</v>
      </c>
      <c r="S1910" s="6" t="e">
        <f t="shared" si="89"/>
        <v>#N/A</v>
      </c>
    </row>
    <row r="1911" spans="2:19" x14ac:dyDescent="0.25">
      <c r="B1911" s="1" t="s">
        <v>1479</v>
      </c>
      <c r="C1911" s="1" t="s">
        <v>1481</v>
      </c>
      <c r="D1911" s="4" t="e">
        <f>VLOOKUP(A1911,المعطيات!$A$1:$J$3500,5,0)</f>
        <v>#N/A</v>
      </c>
      <c r="E1911" s="1" t="s">
        <v>1482</v>
      </c>
      <c r="F1911" s="5">
        <f t="shared" si="87"/>
        <v>0</v>
      </c>
      <c r="G1911" s="5" t="s">
        <v>1483</v>
      </c>
      <c r="H1911" s="4" t="e">
        <f>VLOOKUP(A1911,المعطيات!$A$1:$J$3500,3,0)</f>
        <v>#N/A</v>
      </c>
      <c r="I1911" s="1" t="s">
        <v>1484</v>
      </c>
      <c r="J1911" s="1" t="s">
        <v>1485</v>
      </c>
      <c r="K1911" s="4" t="e">
        <f>VLOOKUP(A1911,المعطيات!$A$1:$J$3500,6,0)</f>
        <v>#N/A</v>
      </c>
      <c r="L1911" s="1" t="s">
        <v>1486</v>
      </c>
      <c r="M1911" s="1" t="s">
        <v>1487</v>
      </c>
      <c r="N1911" s="4" t="e">
        <f t="shared" si="88"/>
        <v>#N/A</v>
      </c>
      <c r="O1911" s="1" t="s">
        <v>1488</v>
      </c>
      <c r="P1911" s="4" t="e">
        <f>VLOOKUP(A1911,المعطيات!$A$1:$J$3500,4,0)</f>
        <v>#N/A</v>
      </c>
      <c r="Q1911" s="1" t="s">
        <v>1489</v>
      </c>
      <c r="R1911" s="1" t="s">
        <v>1480</v>
      </c>
      <c r="S1911" s="6" t="e">
        <f t="shared" si="89"/>
        <v>#N/A</v>
      </c>
    </row>
    <row r="1912" spans="2:19" x14ac:dyDescent="0.25">
      <c r="B1912" s="1" t="s">
        <v>1479</v>
      </c>
      <c r="C1912" s="1" t="s">
        <v>1481</v>
      </c>
      <c r="D1912" s="4" t="e">
        <f>VLOOKUP(A1912,المعطيات!$A$1:$J$3500,5,0)</f>
        <v>#N/A</v>
      </c>
      <c r="E1912" s="1" t="s">
        <v>1482</v>
      </c>
      <c r="F1912" s="5">
        <f t="shared" si="87"/>
        <v>0</v>
      </c>
      <c r="G1912" s="5" t="s">
        <v>1483</v>
      </c>
      <c r="H1912" s="4" t="e">
        <f>VLOOKUP(A1912,المعطيات!$A$1:$J$3500,3,0)</f>
        <v>#N/A</v>
      </c>
      <c r="I1912" s="1" t="s">
        <v>1484</v>
      </c>
      <c r="J1912" s="1" t="s">
        <v>1485</v>
      </c>
      <c r="K1912" s="4" t="e">
        <f>VLOOKUP(A1912,المعطيات!$A$1:$J$3500,6,0)</f>
        <v>#N/A</v>
      </c>
      <c r="L1912" s="1" t="s">
        <v>1486</v>
      </c>
      <c r="M1912" s="1" t="s">
        <v>1487</v>
      </c>
      <c r="N1912" s="4" t="e">
        <f t="shared" si="88"/>
        <v>#N/A</v>
      </c>
      <c r="O1912" s="1" t="s">
        <v>1488</v>
      </c>
      <c r="P1912" s="4" t="e">
        <f>VLOOKUP(A1912,المعطيات!$A$1:$J$3500,4,0)</f>
        <v>#N/A</v>
      </c>
      <c r="Q1912" s="1" t="s">
        <v>1489</v>
      </c>
      <c r="R1912" s="1" t="s">
        <v>1480</v>
      </c>
      <c r="S1912" s="6" t="e">
        <f t="shared" si="89"/>
        <v>#N/A</v>
      </c>
    </row>
    <row r="1913" spans="2:19" x14ac:dyDescent="0.25">
      <c r="B1913" s="1" t="s">
        <v>1479</v>
      </c>
      <c r="C1913" s="1" t="s">
        <v>1481</v>
      </c>
      <c r="D1913" s="4" t="e">
        <f>VLOOKUP(A1913,المعطيات!$A$1:$J$3500,5,0)</f>
        <v>#N/A</v>
      </c>
      <c r="E1913" s="1" t="s">
        <v>1482</v>
      </c>
      <c r="F1913" s="5">
        <f t="shared" si="87"/>
        <v>0</v>
      </c>
      <c r="G1913" s="5" t="s">
        <v>1483</v>
      </c>
      <c r="H1913" s="4" t="e">
        <f>VLOOKUP(A1913,المعطيات!$A$1:$J$3500,3,0)</f>
        <v>#N/A</v>
      </c>
      <c r="I1913" s="1" t="s">
        <v>1484</v>
      </c>
      <c r="J1913" s="1" t="s">
        <v>1485</v>
      </c>
      <c r="K1913" s="4" t="e">
        <f>VLOOKUP(A1913,المعطيات!$A$1:$J$3500,6,0)</f>
        <v>#N/A</v>
      </c>
      <c r="L1913" s="1" t="s">
        <v>1486</v>
      </c>
      <c r="M1913" s="1" t="s">
        <v>1487</v>
      </c>
      <c r="N1913" s="4" t="e">
        <f t="shared" si="88"/>
        <v>#N/A</v>
      </c>
      <c r="O1913" s="1" t="s">
        <v>1488</v>
      </c>
      <c r="P1913" s="4" t="e">
        <f>VLOOKUP(A1913,المعطيات!$A$1:$J$3500,4,0)</f>
        <v>#N/A</v>
      </c>
      <c r="Q1913" s="1" t="s">
        <v>1489</v>
      </c>
      <c r="R1913" s="1" t="s">
        <v>1480</v>
      </c>
      <c r="S1913" s="6" t="e">
        <f t="shared" si="89"/>
        <v>#N/A</v>
      </c>
    </row>
    <row r="1914" spans="2:19" x14ac:dyDescent="0.25">
      <c r="B1914" s="1" t="s">
        <v>1479</v>
      </c>
      <c r="C1914" s="1" t="s">
        <v>1481</v>
      </c>
      <c r="D1914" s="4" t="e">
        <f>VLOOKUP(A1914,المعطيات!$A$1:$J$3500,5,0)</f>
        <v>#N/A</v>
      </c>
      <c r="E1914" s="1" t="s">
        <v>1482</v>
      </c>
      <c r="F1914" s="5">
        <f t="shared" si="87"/>
        <v>0</v>
      </c>
      <c r="G1914" s="5" t="s">
        <v>1483</v>
      </c>
      <c r="H1914" s="4" t="e">
        <f>VLOOKUP(A1914,المعطيات!$A$1:$J$3500,3,0)</f>
        <v>#N/A</v>
      </c>
      <c r="I1914" s="1" t="s">
        <v>1484</v>
      </c>
      <c r="J1914" s="1" t="s">
        <v>1485</v>
      </c>
      <c r="K1914" s="4" t="e">
        <f>VLOOKUP(A1914,المعطيات!$A$1:$J$3500,6,0)</f>
        <v>#N/A</v>
      </c>
      <c r="L1914" s="1" t="s">
        <v>1486</v>
      </c>
      <c r="M1914" s="1" t="s">
        <v>1487</v>
      </c>
      <c r="N1914" s="4" t="e">
        <f t="shared" si="88"/>
        <v>#N/A</v>
      </c>
      <c r="O1914" s="1" t="s">
        <v>1488</v>
      </c>
      <c r="P1914" s="4" t="e">
        <f>VLOOKUP(A1914,المعطيات!$A$1:$J$3500,4,0)</f>
        <v>#N/A</v>
      </c>
      <c r="Q1914" s="1" t="s">
        <v>1489</v>
      </c>
      <c r="R1914" s="1" t="s">
        <v>1480</v>
      </c>
      <c r="S1914" s="6" t="e">
        <f t="shared" si="89"/>
        <v>#N/A</v>
      </c>
    </row>
    <row r="1915" spans="2:19" x14ac:dyDescent="0.25">
      <c r="B1915" s="1" t="s">
        <v>1479</v>
      </c>
      <c r="C1915" s="1" t="s">
        <v>1481</v>
      </c>
      <c r="D1915" s="4" t="e">
        <f>VLOOKUP(A1915,المعطيات!$A$1:$J$3500,5,0)</f>
        <v>#N/A</v>
      </c>
      <c r="E1915" s="1" t="s">
        <v>1482</v>
      </c>
      <c r="F1915" s="5">
        <f t="shared" si="87"/>
        <v>0</v>
      </c>
      <c r="G1915" s="5" t="s">
        <v>1483</v>
      </c>
      <c r="H1915" s="4" t="e">
        <f>VLOOKUP(A1915,المعطيات!$A$1:$J$3500,3,0)</f>
        <v>#N/A</v>
      </c>
      <c r="I1915" s="1" t="s">
        <v>1484</v>
      </c>
      <c r="J1915" s="1" t="s">
        <v>1485</v>
      </c>
      <c r="K1915" s="4" t="e">
        <f>VLOOKUP(A1915,المعطيات!$A$1:$J$3500,6,0)</f>
        <v>#N/A</v>
      </c>
      <c r="L1915" s="1" t="s">
        <v>1486</v>
      </c>
      <c r="M1915" s="1" t="s">
        <v>1487</v>
      </c>
      <c r="N1915" s="4" t="e">
        <f t="shared" si="88"/>
        <v>#N/A</v>
      </c>
      <c r="O1915" s="1" t="s">
        <v>1488</v>
      </c>
      <c r="P1915" s="4" t="e">
        <f>VLOOKUP(A1915,المعطيات!$A$1:$J$3500,4,0)</f>
        <v>#N/A</v>
      </c>
      <c r="Q1915" s="1" t="s">
        <v>1489</v>
      </c>
      <c r="R1915" s="1" t="s">
        <v>1480</v>
      </c>
      <c r="S1915" s="6" t="e">
        <f t="shared" si="89"/>
        <v>#N/A</v>
      </c>
    </row>
    <row r="1916" spans="2:19" x14ac:dyDescent="0.25">
      <c r="B1916" s="1" t="s">
        <v>1479</v>
      </c>
      <c r="C1916" s="1" t="s">
        <v>1481</v>
      </c>
      <c r="D1916" s="4" t="e">
        <f>VLOOKUP(A1916,المعطيات!$A$1:$J$3500,5,0)</f>
        <v>#N/A</v>
      </c>
      <c r="E1916" s="1" t="s">
        <v>1482</v>
      </c>
      <c r="F1916" s="5">
        <f t="shared" si="87"/>
        <v>0</v>
      </c>
      <c r="G1916" s="5" t="s">
        <v>1483</v>
      </c>
      <c r="H1916" s="4" t="e">
        <f>VLOOKUP(A1916,المعطيات!$A$1:$J$3500,3,0)</f>
        <v>#N/A</v>
      </c>
      <c r="I1916" s="1" t="s">
        <v>1484</v>
      </c>
      <c r="J1916" s="1" t="s">
        <v>1485</v>
      </c>
      <c r="K1916" s="4" t="e">
        <f>VLOOKUP(A1916,المعطيات!$A$1:$J$3500,6,0)</f>
        <v>#N/A</v>
      </c>
      <c r="L1916" s="1" t="s">
        <v>1486</v>
      </c>
      <c r="M1916" s="1" t="s">
        <v>1487</v>
      </c>
      <c r="N1916" s="4" t="e">
        <f t="shared" si="88"/>
        <v>#N/A</v>
      </c>
      <c r="O1916" s="1" t="s">
        <v>1488</v>
      </c>
      <c r="P1916" s="4" t="e">
        <f>VLOOKUP(A1916,المعطيات!$A$1:$J$3500,4,0)</f>
        <v>#N/A</v>
      </c>
      <c r="Q1916" s="1" t="s">
        <v>1489</v>
      </c>
      <c r="R1916" s="1" t="s">
        <v>1480</v>
      </c>
      <c r="S1916" s="6" t="e">
        <f t="shared" si="89"/>
        <v>#N/A</v>
      </c>
    </row>
    <row r="1917" spans="2:19" x14ac:dyDescent="0.25">
      <c r="B1917" s="1" t="s">
        <v>1479</v>
      </c>
      <c r="C1917" s="1" t="s">
        <v>1481</v>
      </c>
      <c r="D1917" s="4" t="e">
        <f>VLOOKUP(A1917,المعطيات!$A$1:$J$3500,5,0)</f>
        <v>#N/A</v>
      </c>
      <c r="E1917" s="1" t="s">
        <v>1482</v>
      </c>
      <c r="F1917" s="5">
        <f t="shared" si="87"/>
        <v>0</v>
      </c>
      <c r="G1917" s="5" t="s">
        <v>1483</v>
      </c>
      <c r="H1917" s="4" t="e">
        <f>VLOOKUP(A1917,المعطيات!$A$1:$J$3500,3,0)</f>
        <v>#N/A</v>
      </c>
      <c r="I1917" s="1" t="s">
        <v>1484</v>
      </c>
      <c r="J1917" s="1" t="s">
        <v>1485</v>
      </c>
      <c r="K1917" s="4" t="e">
        <f>VLOOKUP(A1917,المعطيات!$A$1:$J$3500,6,0)</f>
        <v>#N/A</v>
      </c>
      <c r="L1917" s="1" t="s">
        <v>1486</v>
      </c>
      <c r="M1917" s="1" t="s">
        <v>1487</v>
      </c>
      <c r="N1917" s="4" t="e">
        <f t="shared" si="88"/>
        <v>#N/A</v>
      </c>
      <c r="O1917" s="1" t="s">
        <v>1488</v>
      </c>
      <c r="P1917" s="4" t="e">
        <f>VLOOKUP(A1917,المعطيات!$A$1:$J$3500,4,0)</f>
        <v>#N/A</v>
      </c>
      <c r="Q1917" s="1" t="s">
        <v>1489</v>
      </c>
      <c r="R1917" s="1" t="s">
        <v>1480</v>
      </c>
      <c r="S1917" s="6" t="e">
        <f t="shared" si="89"/>
        <v>#N/A</v>
      </c>
    </row>
    <row r="1918" spans="2:19" x14ac:dyDescent="0.25">
      <c r="B1918" s="1" t="s">
        <v>1479</v>
      </c>
      <c r="C1918" s="1" t="s">
        <v>1481</v>
      </c>
      <c r="D1918" s="4" t="e">
        <f>VLOOKUP(A1918,المعطيات!$A$1:$J$3500,5,0)</f>
        <v>#N/A</v>
      </c>
      <c r="E1918" s="1" t="s">
        <v>1482</v>
      </c>
      <c r="F1918" s="5">
        <f t="shared" si="87"/>
        <v>0</v>
      </c>
      <c r="G1918" s="5" t="s">
        <v>1483</v>
      </c>
      <c r="H1918" s="4" t="e">
        <f>VLOOKUP(A1918,المعطيات!$A$1:$J$3500,3,0)</f>
        <v>#N/A</v>
      </c>
      <c r="I1918" s="1" t="s">
        <v>1484</v>
      </c>
      <c r="J1918" s="1" t="s">
        <v>1485</v>
      </c>
      <c r="K1918" s="4" t="e">
        <f>VLOOKUP(A1918,المعطيات!$A$1:$J$3500,6,0)</f>
        <v>#N/A</v>
      </c>
      <c r="L1918" s="1" t="s">
        <v>1486</v>
      </c>
      <c r="M1918" s="1" t="s">
        <v>1487</v>
      </c>
      <c r="N1918" s="4" t="e">
        <f t="shared" si="88"/>
        <v>#N/A</v>
      </c>
      <c r="O1918" s="1" t="s">
        <v>1488</v>
      </c>
      <c r="P1918" s="4" t="e">
        <f>VLOOKUP(A1918,المعطيات!$A$1:$J$3500,4,0)</f>
        <v>#N/A</v>
      </c>
      <c r="Q1918" s="1" t="s">
        <v>1489</v>
      </c>
      <c r="R1918" s="1" t="s">
        <v>1480</v>
      </c>
      <c r="S1918" s="6" t="e">
        <f t="shared" si="89"/>
        <v>#N/A</v>
      </c>
    </row>
    <row r="1919" spans="2:19" x14ac:dyDescent="0.25">
      <c r="B1919" s="1" t="s">
        <v>1479</v>
      </c>
      <c r="C1919" s="1" t="s">
        <v>1481</v>
      </c>
      <c r="D1919" s="4" t="e">
        <f>VLOOKUP(A1919,المعطيات!$A$1:$J$3500,5,0)</f>
        <v>#N/A</v>
      </c>
      <c r="E1919" s="1" t="s">
        <v>1482</v>
      </c>
      <c r="F1919" s="5">
        <f t="shared" si="87"/>
        <v>0</v>
      </c>
      <c r="G1919" s="5" t="s">
        <v>1483</v>
      </c>
      <c r="H1919" s="4" t="e">
        <f>VLOOKUP(A1919,المعطيات!$A$1:$J$3500,3,0)</f>
        <v>#N/A</v>
      </c>
      <c r="I1919" s="1" t="s">
        <v>1484</v>
      </c>
      <c r="J1919" s="1" t="s">
        <v>1485</v>
      </c>
      <c r="K1919" s="4" t="e">
        <f>VLOOKUP(A1919,المعطيات!$A$1:$J$3500,6,0)</f>
        <v>#N/A</v>
      </c>
      <c r="L1919" s="1" t="s">
        <v>1486</v>
      </c>
      <c r="M1919" s="1" t="s">
        <v>1487</v>
      </c>
      <c r="N1919" s="4" t="e">
        <f t="shared" si="88"/>
        <v>#N/A</v>
      </c>
      <c r="O1919" s="1" t="s">
        <v>1488</v>
      </c>
      <c r="P1919" s="4" t="e">
        <f>VLOOKUP(A1919,المعطيات!$A$1:$J$3500,4,0)</f>
        <v>#N/A</v>
      </c>
      <c r="Q1919" s="1" t="s">
        <v>1489</v>
      </c>
      <c r="R1919" s="1" t="s">
        <v>1480</v>
      </c>
      <c r="S1919" s="6" t="e">
        <f t="shared" si="89"/>
        <v>#N/A</v>
      </c>
    </row>
    <row r="1920" spans="2:19" x14ac:dyDescent="0.25">
      <c r="B1920" s="1" t="s">
        <v>1479</v>
      </c>
      <c r="C1920" s="1" t="s">
        <v>1481</v>
      </c>
      <c r="D1920" s="4" t="e">
        <f>VLOOKUP(A1920,المعطيات!$A$1:$J$3500,5,0)</f>
        <v>#N/A</v>
      </c>
      <c r="E1920" s="1" t="s">
        <v>1482</v>
      </c>
      <c r="F1920" s="5">
        <f t="shared" si="87"/>
        <v>0</v>
      </c>
      <c r="G1920" s="5" t="s">
        <v>1483</v>
      </c>
      <c r="H1920" s="4" t="e">
        <f>VLOOKUP(A1920,المعطيات!$A$1:$J$3500,3,0)</f>
        <v>#N/A</v>
      </c>
      <c r="I1920" s="1" t="s">
        <v>1484</v>
      </c>
      <c r="J1920" s="1" t="s">
        <v>1485</v>
      </c>
      <c r="K1920" s="4" t="e">
        <f>VLOOKUP(A1920,المعطيات!$A$1:$J$3500,6,0)</f>
        <v>#N/A</v>
      </c>
      <c r="L1920" s="1" t="s">
        <v>1486</v>
      </c>
      <c r="M1920" s="1" t="s">
        <v>1487</v>
      </c>
      <c r="N1920" s="4" t="e">
        <f t="shared" si="88"/>
        <v>#N/A</v>
      </c>
      <c r="O1920" s="1" t="s">
        <v>1488</v>
      </c>
      <c r="P1920" s="4" t="e">
        <f>VLOOKUP(A1920,المعطيات!$A$1:$J$3500,4,0)</f>
        <v>#N/A</v>
      </c>
      <c r="Q1920" s="1" t="s">
        <v>1489</v>
      </c>
      <c r="R1920" s="1" t="s">
        <v>1480</v>
      </c>
      <c r="S1920" s="6" t="e">
        <f t="shared" si="89"/>
        <v>#N/A</v>
      </c>
    </row>
    <row r="1921" spans="2:19" x14ac:dyDescent="0.25">
      <c r="B1921" s="1" t="s">
        <v>1479</v>
      </c>
      <c r="C1921" s="1" t="s">
        <v>1481</v>
      </c>
      <c r="D1921" s="4" t="e">
        <f>VLOOKUP(A1921,المعطيات!$A$1:$J$3500,5,0)</f>
        <v>#N/A</v>
      </c>
      <c r="E1921" s="1" t="s">
        <v>1482</v>
      </c>
      <c r="F1921" s="5">
        <f t="shared" si="87"/>
        <v>0</v>
      </c>
      <c r="G1921" s="5" t="s">
        <v>1483</v>
      </c>
      <c r="H1921" s="4" t="e">
        <f>VLOOKUP(A1921,المعطيات!$A$1:$J$3500,3,0)</f>
        <v>#N/A</v>
      </c>
      <c r="I1921" s="1" t="s">
        <v>1484</v>
      </c>
      <c r="J1921" s="1" t="s">
        <v>1485</v>
      </c>
      <c r="K1921" s="4" t="e">
        <f>VLOOKUP(A1921,المعطيات!$A$1:$J$3500,6,0)</f>
        <v>#N/A</v>
      </c>
      <c r="L1921" s="1" t="s">
        <v>1486</v>
      </c>
      <c r="M1921" s="1" t="s">
        <v>1487</v>
      </c>
      <c r="N1921" s="4" t="e">
        <f t="shared" si="88"/>
        <v>#N/A</v>
      </c>
      <c r="O1921" s="1" t="s">
        <v>1488</v>
      </c>
      <c r="P1921" s="4" t="e">
        <f>VLOOKUP(A1921,المعطيات!$A$1:$J$3500,4,0)</f>
        <v>#N/A</v>
      </c>
      <c r="Q1921" s="1" t="s">
        <v>1489</v>
      </c>
      <c r="R1921" s="1" t="s">
        <v>1480</v>
      </c>
      <c r="S1921" s="6" t="e">
        <f t="shared" si="89"/>
        <v>#N/A</v>
      </c>
    </row>
    <row r="1922" spans="2:19" x14ac:dyDescent="0.25">
      <c r="B1922" s="1" t="s">
        <v>1479</v>
      </c>
      <c r="C1922" s="1" t="s">
        <v>1481</v>
      </c>
      <c r="D1922" s="4" t="e">
        <f>VLOOKUP(A1922,المعطيات!$A$1:$J$3500,5,0)</f>
        <v>#N/A</v>
      </c>
      <c r="E1922" s="1" t="s">
        <v>1482</v>
      </c>
      <c r="F1922" s="5">
        <f t="shared" ref="F1922:F1985" si="90">A1922</f>
        <v>0</v>
      </c>
      <c r="G1922" s="5" t="s">
        <v>1483</v>
      </c>
      <c r="H1922" s="4" t="e">
        <f>VLOOKUP(A1922,المعطيات!$A$1:$J$3500,3,0)</f>
        <v>#N/A</v>
      </c>
      <c r="I1922" s="1" t="s">
        <v>1484</v>
      </c>
      <c r="J1922" s="1" t="s">
        <v>1485</v>
      </c>
      <c r="K1922" s="4" t="e">
        <f>VLOOKUP(A1922,المعطيات!$A$1:$J$3500,6,0)</f>
        <v>#N/A</v>
      </c>
      <c r="L1922" s="1" t="s">
        <v>1486</v>
      </c>
      <c r="M1922" s="1" t="s">
        <v>1487</v>
      </c>
      <c r="N1922" s="4" t="e">
        <f t="shared" ref="N1922:N1985" si="91">D1922</f>
        <v>#N/A</v>
      </c>
      <c r="O1922" s="1" t="s">
        <v>1488</v>
      </c>
      <c r="P1922" s="4" t="e">
        <f>VLOOKUP(A1922,المعطيات!$A$1:$J$3500,4,0)</f>
        <v>#N/A</v>
      </c>
      <c r="Q1922" s="1" t="s">
        <v>1489</v>
      </c>
      <c r="R1922" s="1" t="s">
        <v>1480</v>
      </c>
      <c r="S1922" s="6" t="e">
        <f t="shared" ref="S1922:S1985" si="92">B1922&amp;""&amp;C1922&amp;""&amp;D1922&amp;""&amp;E1922&amp;""&amp;F1922&amp;""&amp;G1922&amp;""&amp;H1922&amp;""&amp;I1922&amp;""&amp;J1922&amp;""&amp;K1922&amp;""&amp;L1922&amp;""&amp;M1922&amp;""&amp;N1922&amp;""&amp;O1922&amp;""&amp;P1922&amp;""&amp;Q1922&amp;""&amp;R1922</f>
        <v>#N/A</v>
      </c>
    </row>
    <row r="1923" spans="2:19" x14ac:dyDescent="0.25">
      <c r="B1923" s="1" t="s">
        <v>1479</v>
      </c>
      <c r="C1923" s="1" t="s">
        <v>1481</v>
      </c>
      <c r="D1923" s="4" t="e">
        <f>VLOOKUP(A1923,المعطيات!$A$1:$J$3500,5,0)</f>
        <v>#N/A</v>
      </c>
      <c r="E1923" s="1" t="s">
        <v>1482</v>
      </c>
      <c r="F1923" s="5">
        <f t="shared" si="90"/>
        <v>0</v>
      </c>
      <c r="G1923" s="5" t="s">
        <v>1483</v>
      </c>
      <c r="H1923" s="4" t="e">
        <f>VLOOKUP(A1923,المعطيات!$A$1:$J$3500,3,0)</f>
        <v>#N/A</v>
      </c>
      <c r="I1923" s="1" t="s">
        <v>1484</v>
      </c>
      <c r="J1923" s="1" t="s">
        <v>1485</v>
      </c>
      <c r="K1923" s="4" t="e">
        <f>VLOOKUP(A1923,المعطيات!$A$1:$J$3500,6,0)</f>
        <v>#N/A</v>
      </c>
      <c r="L1923" s="1" t="s">
        <v>1486</v>
      </c>
      <c r="M1923" s="1" t="s">
        <v>1487</v>
      </c>
      <c r="N1923" s="4" t="e">
        <f t="shared" si="91"/>
        <v>#N/A</v>
      </c>
      <c r="O1923" s="1" t="s">
        <v>1488</v>
      </c>
      <c r="P1923" s="4" t="e">
        <f>VLOOKUP(A1923,المعطيات!$A$1:$J$3500,4,0)</f>
        <v>#N/A</v>
      </c>
      <c r="Q1923" s="1" t="s">
        <v>1489</v>
      </c>
      <c r="R1923" s="1" t="s">
        <v>1480</v>
      </c>
      <c r="S1923" s="6" t="e">
        <f t="shared" si="92"/>
        <v>#N/A</v>
      </c>
    </row>
    <row r="1924" spans="2:19" x14ac:dyDescent="0.25">
      <c r="B1924" s="1" t="s">
        <v>1479</v>
      </c>
      <c r="C1924" s="1" t="s">
        <v>1481</v>
      </c>
      <c r="D1924" s="4" t="e">
        <f>VLOOKUP(A1924,المعطيات!$A$1:$J$3500,5,0)</f>
        <v>#N/A</v>
      </c>
      <c r="E1924" s="1" t="s">
        <v>1482</v>
      </c>
      <c r="F1924" s="5">
        <f t="shared" si="90"/>
        <v>0</v>
      </c>
      <c r="G1924" s="5" t="s">
        <v>1483</v>
      </c>
      <c r="H1924" s="4" t="e">
        <f>VLOOKUP(A1924,المعطيات!$A$1:$J$3500,3,0)</f>
        <v>#N/A</v>
      </c>
      <c r="I1924" s="1" t="s">
        <v>1484</v>
      </c>
      <c r="J1924" s="1" t="s">
        <v>1485</v>
      </c>
      <c r="K1924" s="4" t="e">
        <f>VLOOKUP(A1924,المعطيات!$A$1:$J$3500,6,0)</f>
        <v>#N/A</v>
      </c>
      <c r="L1924" s="1" t="s">
        <v>1486</v>
      </c>
      <c r="M1924" s="1" t="s">
        <v>1487</v>
      </c>
      <c r="N1924" s="4" t="e">
        <f t="shared" si="91"/>
        <v>#N/A</v>
      </c>
      <c r="O1924" s="1" t="s">
        <v>1488</v>
      </c>
      <c r="P1924" s="4" t="e">
        <f>VLOOKUP(A1924,المعطيات!$A$1:$J$3500,4,0)</f>
        <v>#N/A</v>
      </c>
      <c r="Q1924" s="1" t="s">
        <v>1489</v>
      </c>
      <c r="R1924" s="1" t="s">
        <v>1480</v>
      </c>
      <c r="S1924" s="6" t="e">
        <f t="shared" si="92"/>
        <v>#N/A</v>
      </c>
    </row>
    <row r="1925" spans="2:19" x14ac:dyDescent="0.25">
      <c r="B1925" s="1" t="s">
        <v>1479</v>
      </c>
      <c r="C1925" s="1" t="s">
        <v>1481</v>
      </c>
      <c r="D1925" s="4" t="e">
        <f>VLOOKUP(A1925,المعطيات!$A$1:$J$3500,5,0)</f>
        <v>#N/A</v>
      </c>
      <c r="E1925" s="1" t="s">
        <v>1482</v>
      </c>
      <c r="F1925" s="5">
        <f t="shared" si="90"/>
        <v>0</v>
      </c>
      <c r="G1925" s="5" t="s">
        <v>1483</v>
      </c>
      <c r="H1925" s="4" t="e">
        <f>VLOOKUP(A1925,المعطيات!$A$1:$J$3500,3,0)</f>
        <v>#N/A</v>
      </c>
      <c r="I1925" s="1" t="s">
        <v>1484</v>
      </c>
      <c r="J1925" s="1" t="s">
        <v>1485</v>
      </c>
      <c r="K1925" s="4" t="e">
        <f>VLOOKUP(A1925,المعطيات!$A$1:$J$3500,6,0)</f>
        <v>#N/A</v>
      </c>
      <c r="L1925" s="1" t="s">
        <v>1486</v>
      </c>
      <c r="M1925" s="1" t="s">
        <v>1487</v>
      </c>
      <c r="N1925" s="4" t="e">
        <f t="shared" si="91"/>
        <v>#N/A</v>
      </c>
      <c r="O1925" s="1" t="s">
        <v>1488</v>
      </c>
      <c r="P1925" s="4" t="e">
        <f>VLOOKUP(A1925,المعطيات!$A$1:$J$3500,4,0)</f>
        <v>#N/A</v>
      </c>
      <c r="Q1925" s="1" t="s">
        <v>1489</v>
      </c>
      <c r="R1925" s="1" t="s">
        <v>1480</v>
      </c>
      <c r="S1925" s="6" t="e">
        <f t="shared" si="92"/>
        <v>#N/A</v>
      </c>
    </row>
    <row r="1926" spans="2:19" x14ac:dyDescent="0.25">
      <c r="B1926" s="1" t="s">
        <v>1479</v>
      </c>
      <c r="C1926" s="1" t="s">
        <v>1481</v>
      </c>
      <c r="D1926" s="4" t="e">
        <f>VLOOKUP(A1926,المعطيات!$A$1:$J$3500,5,0)</f>
        <v>#N/A</v>
      </c>
      <c r="E1926" s="1" t="s">
        <v>1482</v>
      </c>
      <c r="F1926" s="5">
        <f t="shared" si="90"/>
        <v>0</v>
      </c>
      <c r="G1926" s="5" t="s">
        <v>1483</v>
      </c>
      <c r="H1926" s="4" t="e">
        <f>VLOOKUP(A1926,المعطيات!$A$1:$J$3500,3,0)</f>
        <v>#N/A</v>
      </c>
      <c r="I1926" s="1" t="s">
        <v>1484</v>
      </c>
      <c r="J1926" s="1" t="s">
        <v>1485</v>
      </c>
      <c r="K1926" s="4" t="e">
        <f>VLOOKUP(A1926,المعطيات!$A$1:$J$3500,6,0)</f>
        <v>#N/A</v>
      </c>
      <c r="L1926" s="1" t="s">
        <v>1486</v>
      </c>
      <c r="M1926" s="1" t="s">
        <v>1487</v>
      </c>
      <c r="N1926" s="4" t="e">
        <f t="shared" si="91"/>
        <v>#N/A</v>
      </c>
      <c r="O1926" s="1" t="s">
        <v>1488</v>
      </c>
      <c r="P1926" s="4" t="e">
        <f>VLOOKUP(A1926,المعطيات!$A$1:$J$3500,4,0)</f>
        <v>#N/A</v>
      </c>
      <c r="Q1926" s="1" t="s">
        <v>1489</v>
      </c>
      <c r="R1926" s="1" t="s">
        <v>1480</v>
      </c>
      <c r="S1926" s="6" t="e">
        <f t="shared" si="92"/>
        <v>#N/A</v>
      </c>
    </row>
    <row r="1927" spans="2:19" x14ac:dyDescent="0.25">
      <c r="B1927" s="1" t="s">
        <v>1479</v>
      </c>
      <c r="C1927" s="1" t="s">
        <v>1481</v>
      </c>
      <c r="D1927" s="4" t="e">
        <f>VLOOKUP(A1927,المعطيات!$A$1:$J$3500,5,0)</f>
        <v>#N/A</v>
      </c>
      <c r="E1927" s="1" t="s">
        <v>1482</v>
      </c>
      <c r="F1927" s="5">
        <f t="shared" si="90"/>
        <v>0</v>
      </c>
      <c r="G1927" s="5" t="s">
        <v>1483</v>
      </c>
      <c r="H1927" s="4" t="e">
        <f>VLOOKUP(A1927,المعطيات!$A$1:$J$3500,3,0)</f>
        <v>#N/A</v>
      </c>
      <c r="I1927" s="1" t="s">
        <v>1484</v>
      </c>
      <c r="J1927" s="1" t="s">
        <v>1485</v>
      </c>
      <c r="K1927" s="4" t="e">
        <f>VLOOKUP(A1927,المعطيات!$A$1:$J$3500,6,0)</f>
        <v>#N/A</v>
      </c>
      <c r="L1927" s="1" t="s">
        <v>1486</v>
      </c>
      <c r="M1927" s="1" t="s">
        <v>1487</v>
      </c>
      <c r="N1927" s="4" t="e">
        <f t="shared" si="91"/>
        <v>#N/A</v>
      </c>
      <c r="O1927" s="1" t="s">
        <v>1488</v>
      </c>
      <c r="P1927" s="4" t="e">
        <f>VLOOKUP(A1927,المعطيات!$A$1:$J$3500,4,0)</f>
        <v>#N/A</v>
      </c>
      <c r="Q1927" s="1" t="s">
        <v>1489</v>
      </c>
      <c r="R1927" s="1" t="s">
        <v>1480</v>
      </c>
      <c r="S1927" s="6" t="e">
        <f t="shared" si="92"/>
        <v>#N/A</v>
      </c>
    </row>
    <row r="1928" spans="2:19" x14ac:dyDescent="0.25">
      <c r="B1928" s="1" t="s">
        <v>1479</v>
      </c>
      <c r="C1928" s="1" t="s">
        <v>1481</v>
      </c>
      <c r="D1928" s="4" t="e">
        <f>VLOOKUP(A1928,المعطيات!$A$1:$J$3500,5,0)</f>
        <v>#N/A</v>
      </c>
      <c r="E1928" s="1" t="s">
        <v>1482</v>
      </c>
      <c r="F1928" s="5">
        <f t="shared" si="90"/>
        <v>0</v>
      </c>
      <c r="G1928" s="5" t="s">
        <v>1483</v>
      </c>
      <c r="H1928" s="4" t="e">
        <f>VLOOKUP(A1928,المعطيات!$A$1:$J$3500,3,0)</f>
        <v>#N/A</v>
      </c>
      <c r="I1928" s="1" t="s">
        <v>1484</v>
      </c>
      <c r="J1928" s="1" t="s">
        <v>1485</v>
      </c>
      <c r="K1928" s="4" t="e">
        <f>VLOOKUP(A1928,المعطيات!$A$1:$J$3500,6,0)</f>
        <v>#N/A</v>
      </c>
      <c r="L1928" s="1" t="s">
        <v>1486</v>
      </c>
      <c r="M1928" s="1" t="s">
        <v>1487</v>
      </c>
      <c r="N1928" s="4" t="e">
        <f t="shared" si="91"/>
        <v>#N/A</v>
      </c>
      <c r="O1928" s="1" t="s">
        <v>1488</v>
      </c>
      <c r="P1928" s="4" t="e">
        <f>VLOOKUP(A1928,المعطيات!$A$1:$J$3500,4,0)</f>
        <v>#N/A</v>
      </c>
      <c r="Q1928" s="1" t="s">
        <v>1489</v>
      </c>
      <c r="R1928" s="1" t="s">
        <v>1480</v>
      </c>
      <c r="S1928" s="6" t="e">
        <f t="shared" si="92"/>
        <v>#N/A</v>
      </c>
    </row>
    <row r="1929" spans="2:19" x14ac:dyDescent="0.25">
      <c r="B1929" s="1" t="s">
        <v>1479</v>
      </c>
      <c r="C1929" s="1" t="s">
        <v>1481</v>
      </c>
      <c r="D1929" s="4" t="e">
        <f>VLOOKUP(A1929,المعطيات!$A$1:$J$3500,5,0)</f>
        <v>#N/A</v>
      </c>
      <c r="E1929" s="1" t="s">
        <v>1482</v>
      </c>
      <c r="F1929" s="5">
        <f t="shared" si="90"/>
        <v>0</v>
      </c>
      <c r="G1929" s="5" t="s">
        <v>1483</v>
      </c>
      <c r="H1929" s="4" t="e">
        <f>VLOOKUP(A1929,المعطيات!$A$1:$J$3500,3,0)</f>
        <v>#N/A</v>
      </c>
      <c r="I1929" s="1" t="s">
        <v>1484</v>
      </c>
      <c r="J1929" s="1" t="s">
        <v>1485</v>
      </c>
      <c r="K1929" s="4" t="e">
        <f>VLOOKUP(A1929,المعطيات!$A$1:$J$3500,6,0)</f>
        <v>#N/A</v>
      </c>
      <c r="L1929" s="1" t="s">
        <v>1486</v>
      </c>
      <c r="M1929" s="1" t="s">
        <v>1487</v>
      </c>
      <c r="N1929" s="4" t="e">
        <f t="shared" si="91"/>
        <v>#N/A</v>
      </c>
      <c r="O1929" s="1" t="s">
        <v>1488</v>
      </c>
      <c r="P1929" s="4" t="e">
        <f>VLOOKUP(A1929,المعطيات!$A$1:$J$3500,4,0)</f>
        <v>#N/A</v>
      </c>
      <c r="Q1929" s="1" t="s">
        <v>1489</v>
      </c>
      <c r="R1929" s="1" t="s">
        <v>1480</v>
      </c>
      <c r="S1929" s="6" t="e">
        <f t="shared" si="92"/>
        <v>#N/A</v>
      </c>
    </row>
    <row r="1930" spans="2:19" x14ac:dyDescent="0.25">
      <c r="B1930" s="1" t="s">
        <v>1479</v>
      </c>
      <c r="C1930" s="1" t="s">
        <v>1481</v>
      </c>
      <c r="D1930" s="4" t="e">
        <f>VLOOKUP(A1930,المعطيات!$A$1:$J$3500,5,0)</f>
        <v>#N/A</v>
      </c>
      <c r="E1930" s="1" t="s">
        <v>1482</v>
      </c>
      <c r="F1930" s="5">
        <f t="shared" si="90"/>
        <v>0</v>
      </c>
      <c r="G1930" s="5" t="s">
        <v>1483</v>
      </c>
      <c r="H1930" s="4" t="e">
        <f>VLOOKUP(A1930,المعطيات!$A$1:$J$3500,3,0)</f>
        <v>#N/A</v>
      </c>
      <c r="I1930" s="1" t="s">
        <v>1484</v>
      </c>
      <c r="J1930" s="1" t="s">
        <v>1485</v>
      </c>
      <c r="K1930" s="4" t="e">
        <f>VLOOKUP(A1930,المعطيات!$A$1:$J$3500,6,0)</f>
        <v>#N/A</v>
      </c>
      <c r="L1930" s="1" t="s">
        <v>1486</v>
      </c>
      <c r="M1930" s="1" t="s">
        <v>1487</v>
      </c>
      <c r="N1930" s="4" t="e">
        <f t="shared" si="91"/>
        <v>#N/A</v>
      </c>
      <c r="O1930" s="1" t="s">
        <v>1488</v>
      </c>
      <c r="P1930" s="4" t="e">
        <f>VLOOKUP(A1930,المعطيات!$A$1:$J$3500,4,0)</f>
        <v>#N/A</v>
      </c>
      <c r="Q1930" s="1" t="s">
        <v>1489</v>
      </c>
      <c r="R1930" s="1" t="s">
        <v>1480</v>
      </c>
      <c r="S1930" s="6" t="e">
        <f t="shared" si="92"/>
        <v>#N/A</v>
      </c>
    </row>
    <row r="1931" spans="2:19" x14ac:dyDescent="0.25">
      <c r="B1931" s="1" t="s">
        <v>1479</v>
      </c>
      <c r="C1931" s="1" t="s">
        <v>1481</v>
      </c>
      <c r="D1931" s="4" t="e">
        <f>VLOOKUP(A1931,المعطيات!$A$1:$J$3500,5,0)</f>
        <v>#N/A</v>
      </c>
      <c r="E1931" s="1" t="s">
        <v>1482</v>
      </c>
      <c r="F1931" s="5">
        <f t="shared" si="90"/>
        <v>0</v>
      </c>
      <c r="G1931" s="5" t="s">
        <v>1483</v>
      </c>
      <c r="H1931" s="4" t="e">
        <f>VLOOKUP(A1931,المعطيات!$A$1:$J$3500,3,0)</f>
        <v>#N/A</v>
      </c>
      <c r="I1931" s="1" t="s">
        <v>1484</v>
      </c>
      <c r="J1931" s="1" t="s">
        <v>1485</v>
      </c>
      <c r="K1931" s="4" t="e">
        <f>VLOOKUP(A1931,المعطيات!$A$1:$J$3500,6,0)</f>
        <v>#N/A</v>
      </c>
      <c r="L1931" s="1" t="s">
        <v>1486</v>
      </c>
      <c r="M1931" s="1" t="s">
        <v>1487</v>
      </c>
      <c r="N1931" s="4" t="e">
        <f t="shared" si="91"/>
        <v>#N/A</v>
      </c>
      <c r="O1931" s="1" t="s">
        <v>1488</v>
      </c>
      <c r="P1931" s="4" t="e">
        <f>VLOOKUP(A1931,المعطيات!$A$1:$J$3500,4,0)</f>
        <v>#N/A</v>
      </c>
      <c r="Q1931" s="1" t="s">
        <v>1489</v>
      </c>
      <c r="R1931" s="1" t="s">
        <v>1480</v>
      </c>
      <c r="S1931" s="6" t="e">
        <f t="shared" si="92"/>
        <v>#N/A</v>
      </c>
    </row>
    <row r="1932" spans="2:19" x14ac:dyDescent="0.25">
      <c r="B1932" s="1" t="s">
        <v>1479</v>
      </c>
      <c r="C1932" s="1" t="s">
        <v>1481</v>
      </c>
      <c r="D1932" s="4" t="e">
        <f>VLOOKUP(A1932,المعطيات!$A$1:$J$3500,5,0)</f>
        <v>#N/A</v>
      </c>
      <c r="E1932" s="1" t="s">
        <v>1482</v>
      </c>
      <c r="F1932" s="5">
        <f t="shared" si="90"/>
        <v>0</v>
      </c>
      <c r="G1932" s="5" t="s">
        <v>1483</v>
      </c>
      <c r="H1932" s="4" t="e">
        <f>VLOOKUP(A1932,المعطيات!$A$1:$J$3500,3,0)</f>
        <v>#N/A</v>
      </c>
      <c r="I1932" s="1" t="s">
        <v>1484</v>
      </c>
      <c r="J1932" s="1" t="s">
        <v>1485</v>
      </c>
      <c r="K1932" s="4" t="e">
        <f>VLOOKUP(A1932,المعطيات!$A$1:$J$3500,6,0)</f>
        <v>#N/A</v>
      </c>
      <c r="L1932" s="1" t="s">
        <v>1486</v>
      </c>
      <c r="M1932" s="1" t="s">
        <v>1487</v>
      </c>
      <c r="N1932" s="4" t="e">
        <f t="shared" si="91"/>
        <v>#N/A</v>
      </c>
      <c r="O1932" s="1" t="s">
        <v>1488</v>
      </c>
      <c r="P1932" s="4" t="e">
        <f>VLOOKUP(A1932,المعطيات!$A$1:$J$3500,4,0)</f>
        <v>#N/A</v>
      </c>
      <c r="Q1932" s="1" t="s">
        <v>1489</v>
      </c>
      <c r="R1932" s="1" t="s">
        <v>1480</v>
      </c>
      <c r="S1932" s="6" t="e">
        <f t="shared" si="92"/>
        <v>#N/A</v>
      </c>
    </row>
    <row r="1933" spans="2:19" x14ac:dyDescent="0.25">
      <c r="B1933" s="1" t="s">
        <v>1479</v>
      </c>
      <c r="C1933" s="1" t="s">
        <v>1481</v>
      </c>
      <c r="D1933" s="4" t="e">
        <f>VLOOKUP(A1933,المعطيات!$A$1:$J$3500,5,0)</f>
        <v>#N/A</v>
      </c>
      <c r="E1933" s="1" t="s">
        <v>1482</v>
      </c>
      <c r="F1933" s="5">
        <f t="shared" si="90"/>
        <v>0</v>
      </c>
      <c r="G1933" s="5" t="s">
        <v>1483</v>
      </c>
      <c r="H1933" s="4" t="e">
        <f>VLOOKUP(A1933,المعطيات!$A$1:$J$3500,3,0)</f>
        <v>#N/A</v>
      </c>
      <c r="I1933" s="1" t="s">
        <v>1484</v>
      </c>
      <c r="J1933" s="1" t="s">
        <v>1485</v>
      </c>
      <c r="K1933" s="4" t="e">
        <f>VLOOKUP(A1933,المعطيات!$A$1:$J$3500,6,0)</f>
        <v>#N/A</v>
      </c>
      <c r="L1933" s="1" t="s">
        <v>1486</v>
      </c>
      <c r="M1933" s="1" t="s">
        <v>1487</v>
      </c>
      <c r="N1933" s="4" t="e">
        <f t="shared" si="91"/>
        <v>#N/A</v>
      </c>
      <c r="O1933" s="1" t="s">
        <v>1488</v>
      </c>
      <c r="P1933" s="4" t="e">
        <f>VLOOKUP(A1933,المعطيات!$A$1:$J$3500,4,0)</f>
        <v>#N/A</v>
      </c>
      <c r="Q1933" s="1" t="s">
        <v>1489</v>
      </c>
      <c r="R1933" s="1" t="s">
        <v>1480</v>
      </c>
      <c r="S1933" s="6" t="e">
        <f t="shared" si="92"/>
        <v>#N/A</v>
      </c>
    </row>
    <row r="1934" spans="2:19" x14ac:dyDescent="0.25">
      <c r="B1934" s="1" t="s">
        <v>1479</v>
      </c>
      <c r="C1934" s="1" t="s">
        <v>1481</v>
      </c>
      <c r="D1934" s="4" t="e">
        <f>VLOOKUP(A1934,المعطيات!$A$1:$J$3500,5,0)</f>
        <v>#N/A</v>
      </c>
      <c r="E1934" s="1" t="s">
        <v>1482</v>
      </c>
      <c r="F1934" s="5">
        <f t="shared" si="90"/>
        <v>0</v>
      </c>
      <c r="G1934" s="5" t="s">
        <v>1483</v>
      </c>
      <c r="H1934" s="4" t="e">
        <f>VLOOKUP(A1934,المعطيات!$A$1:$J$3500,3,0)</f>
        <v>#N/A</v>
      </c>
      <c r="I1934" s="1" t="s">
        <v>1484</v>
      </c>
      <c r="J1934" s="1" t="s">
        <v>1485</v>
      </c>
      <c r="K1934" s="4" t="e">
        <f>VLOOKUP(A1934,المعطيات!$A$1:$J$3500,6,0)</f>
        <v>#N/A</v>
      </c>
      <c r="L1934" s="1" t="s">
        <v>1486</v>
      </c>
      <c r="M1934" s="1" t="s">
        <v>1487</v>
      </c>
      <c r="N1934" s="4" t="e">
        <f t="shared" si="91"/>
        <v>#N/A</v>
      </c>
      <c r="O1934" s="1" t="s">
        <v>1488</v>
      </c>
      <c r="P1934" s="4" t="e">
        <f>VLOOKUP(A1934,المعطيات!$A$1:$J$3500,4,0)</f>
        <v>#N/A</v>
      </c>
      <c r="Q1934" s="1" t="s">
        <v>1489</v>
      </c>
      <c r="R1934" s="1" t="s">
        <v>1480</v>
      </c>
      <c r="S1934" s="6" t="e">
        <f t="shared" si="92"/>
        <v>#N/A</v>
      </c>
    </row>
    <row r="1935" spans="2:19" x14ac:dyDescent="0.25">
      <c r="B1935" s="1" t="s">
        <v>1479</v>
      </c>
      <c r="C1935" s="1" t="s">
        <v>1481</v>
      </c>
      <c r="D1935" s="4" t="e">
        <f>VLOOKUP(A1935,المعطيات!$A$1:$J$3500,5,0)</f>
        <v>#N/A</v>
      </c>
      <c r="E1935" s="1" t="s">
        <v>1482</v>
      </c>
      <c r="F1935" s="5">
        <f t="shared" si="90"/>
        <v>0</v>
      </c>
      <c r="G1935" s="5" t="s">
        <v>1483</v>
      </c>
      <c r="H1935" s="4" t="e">
        <f>VLOOKUP(A1935,المعطيات!$A$1:$J$3500,3,0)</f>
        <v>#N/A</v>
      </c>
      <c r="I1935" s="1" t="s">
        <v>1484</v>
      </c>
      <c r="J1935" s="1" t="s">
        <v>1485</v>
      </c>
      <c r="K1935" s="4" t="e">
        <f>VLOOKUP(A1935,المعطيات!$A$1:$J$3500,6,0)</f>
        <v>#N/A</v>
      </c>
      <c r="L1935" s="1" t="s">
        <v>1486</v>
      </c>
      <c r="M1935" s="1" t="s">
        <v>1487</v>
      </c>
      <c r="N1935" s="4" t="e">
        <f t="shared" si="91"/>
        <v>#N/A</v>
      </c>
      <c r="O1935" s="1" t="s">
        <v>1488</v>
      </c>
      <c r="P1935" s="4" t="e">
        <f>VLOOKUP(A1935,المعطيات!$A$1:$J$3500,4,0)</f>
        <v>#N/A</v>
      </c>
      <c r="Q1935" s="1" t="s">
        <v>1489</v>
      </c>
      <c r="R1935" s="1" t="s">
        <v>1480</v>
      </c>
      <c r="S1935" s="6" t="e">
        <f t="shared" si="92"/>
        <v>#N/A</v>
      </c>
    </row>
    <row r="1936" spans="2:19" x14ac:dyDescent="0.25">
      <c r="B1936" s="1" t="s">
        <v>1479</v>
      </c>
      <c r="C1936" s="1" t="s">
        <v>1481</v>
      </c>
      <c r="D1936" s="4" t="e">
        <f>VLOOKUP(A1936,المعطيات!$A$1:$J$3500,5,0)</f>
        <v>#N/A</v>
      </c>
      <c r="E1936" s="1" t="s">
        <v>1482</v>
      </c>
      <c r="F1936" s="5">
        <f t="shared" si="90"/>
        <v>0</v>
      </c>
      <c r="G1936" s="5" t="s">
        <v>1483</v>
      </c>
      <c r="H1936" s="4" t="e">
        <f>VLOOKUP(A1936,المعطيات!$A$1:$J$3500,3,0)</f>
        <v>#N/A</v>
      </c>
      <c r="I1936" s="1" t="s">
        <v>1484</v>
      </c>
      <c r="J1936" s="1" t="s">
        <v>1485</v>
      </c>
      <c r="K1936" s="4" t="e">
        <f>VLOOKUP(A1936,المعطيات!$A$1:$J$3500,6,0)</f>
        <v>#N/A</v>
      </c>
      <c r="L1936" s="1" t="s">
        <v>1486</v>
      </c>
      <c r="M1936" s="1" t="s">
        <v>1487</v>
      </c>
      <c r="N1936" s="4" t="e">
        <f t="shared" si="91"/>
        <v>#N/A</v>
      </c>
      <c r="O1936" s="1" t="s">
        <v>1488</v>
      </c>
      <c r="P1936" s="4" t="e">
        <f>VLOOKUP(A1936,المعطيات!$A$1:$J$3500,4,0)</f>
        <v>#N/A</v>
      </c>
      <c r="Q1936" s="1" t="s">
        <v>1489</v>
      </c>
      <c r="R1936" s="1" t="s">
        <v>1480</v>
      </c>
      <c r="S1936" s="6" t="e">
        <f t="shared" si="92"/>
        <v>#N/A</v>
      </c>
    </row>
    <row r="1937" spans="2:19" x14ac:dyDescent="0.25">
      <c r="B1937" s="1" t="s">
        <v>1479</v>
      </c>
      <c r="C1937" s="1" t="s">
        <v>1481</v>
      </c>
      <c r="D1937" s="4" t="e">
        <f>VLOOKUP(A1937,المعطيات!$A$1:$J$3500,5,0)</f>
        <v>#N/A</v>
      </c>
      <c r="E1937" s="1" t="s">
        <v>1482</v>
      </c>
      <c r="F1937" s="5">
        <f t="shared" si="90"/>
        <v>0</v>
      </c>
      <c r="G1937" s="5" t="s">
        <v>1483</v>
      </c>
      <c r="H1937" s="4" t="e">
        <f>VLOOKUP(A1937,المعطيات!$A$1:$J$3500,3,0)</f>
        <v>#N/A</v>
      </c>
      <c r="I1937" s="1" t="s">
        <v>1484</v>
      </c>
      <c r="J1937" s="1" t="s">
        <v>1485</v>
      </c>
      <c r="K1937" s="4" t="e">
        <f>VLOOKUP(A1937,المعطيات!$A$1:$J$3500,6,0)</f>
        <v>#N/A</v>
      </c>
      <c r="L1937" s="1" t="s">
        <v>1486</v>
      </c>
      <c r="M1937" s="1" t="s">
        <v>1487</v>
      </c>
      <c r="N1937" s="4" t="e">
        <f t="shared" si="91"/>
        <v>#N/A</v>
      </c>
      <c r="O1937" s="1" t="s">
        <v>1488</v>
      </c>
      <c r="P1937" s="4" t="e">
        <f>VLOOKUP(A1937,المعطيات!$A$1:$J$3500,4,0)</f>
        <v>#N/A</v>
      </c>
      <c r="Q1937" s="1" t="s">
        <v>1489</v>
      </c>
      <c r="R1937" s="1" t="s">
        <v>1480</v>
      </c>
      <c r="S1937" s="6" t="e">
        <f t="shared" si="92"/>
        <v>#N/A</v>
      </c>
    </row>
    <row r="1938" spans="2:19" x14ac:dyDescent="0.25">
      <c r="B1938" s="1" t="s">
        <v>1479</v>
      </c>
      <c r="C1938" s="1" t="s">
        <v>1481</v>
      </c>
      <c r="D1938" s="4" t="e">
        <f>VLOOKUP(A1938,المعطيات!$A$1:$J$3500,5,0)</f>
        <v>#N/A</v>
      </c>
      <c r="E1938" s="1" t="s">
        <v>1482</v>
      </c>
      <c r="F1938" s="5">
        <f t="shared" si="90"/>
        <v>0</v>
      </c>
      <c r="G1938" s="5" t="s">
        <v>1483</v>
      </c>
      <c r="H1938" s="4" t="e">
        <f>VLOOKUP(A1938,المعطيات!$A$1:$J$3500,3,0)</f>
        <v>#N/A</v>
      </c>
      <c r="I1938" s="1" t="s">
        <v>1484</v>
      </c>
      <c r="J1938" s="1" t="s">
        <v>1485</v>
      </c>
      <c r="K1938" s="4" t="e">
        <f>VLOOKUP(A1938,المعطيات!$A$1:$J$3500,6,0)</f>
        <v>#N/A</v>
      </c>
      <c r="L1938" s="1" t="s">
        <v>1486</v>
      </c>
      <c r="M1938" s="1" t="s">
        <v>1487</v>
      </c>
      <c r="N1938" s="4" t="e">
        <f t="shared" si="91"/>
        <v>#N/A</v>
      </c>
      <c r="O1938" s="1" t="s">
        <v>1488</v>
      </c>
      <c r="P1938" s="4" t="e">
        <f>VLOOKUP(A1938,المعطيات!$A$1:$J$3500,4,0)</f>
        <v>#N/A</v>
      </c>
      <c r="Q1938" s="1" t="s">
        <v>1489</v>
      </c>
      <c r="R1938" s="1" t="s">
        <v>1480</v>
      </c>
      <c r="S1938" s="6" t="e">
        <f t="shared" si="92"/>
        <v>#N/A</v>
      </c>
    </row>
    <row r="1939" spans="2:19" x14ac:dyDescent="0.25">
      <c r="B1939" s="1" t="s">
        <v>1479</v>
      </c>
      <c r="C1939" s="1" t="s">
        <v>1481</v>
      </c>
      <c r="D1939" s="4" t="e">
        <f>VLOOKUP(A1939,المعطيات!$A$1:$J$3500,5,0)</f>
        <v>#N/A</v>
      </c>
      <c r="E1939" s="1" t="s">
        <v>1482</v>
      </c>
      <c r="F1939" s="5">
        <f t="shared" si="90"/>
        <v>0</v>
      </c>
      <c r="G1939" s="5" t="s">
        <v>1483</v>
      </c>
      <c r="H1939" s="4" t="e">
        <f>VLOOKUP(A1939,المعطيات!$A$1:$J$3500,3,0)</f>
        <v>#N/A</v>
      </c>
      <c r="I1939" s="1" t="s">
        <v>1484</v>
      </c>
      <c r="J1939" s="1" t="s">
        <v>1485</v>
      </c>
      <c r="K1939" s="4" t="e">
        <f>VLOOKUP(A1939,المعطيات!$A$1:$J$3500,6,0)</f>
        <v>#N/A</v>
      </c>
      <c r="L1939" s="1" t="s">
        <v>1486</v>
      </c>
      <c r="M1939" s="1" t="s">
        <v>1487</v>
      </c>
      <c r="N1939" s="4" t="e">
        <f t="shared" si="91"/>
        <v>#N/A</v>
      </c>
      <c r="O1939" s="1" t="s">
        <v>1488</v>
      </c>
      <c r="P1939" s="4" t="e">
        <f>VLOOKUP(A1939,المعطيات!$A$1:$J$3500,4,0)</f>
        <v>#N/A</v>
      </c>
      <c r="Q1939" s="1" t="s">
        <v>1489</v>
      </c>
      <c r="R1939" s="1" t="s">
        <v>1480</v>
      </c>
      <c r="S1939" s="6" t="e">
        <f t="shared" si="92"/>
        <v>#N/A</v>
      </c>
    </row>
    <row r="1940" spans="2:19" x14ac:dyDescent="0.25">
      <c r="B1940" s="1" t="s">
        <v>1479</v>
      </c>
      <c r="C1940" s="1" t="s">
        <v>1481</v>
      </c>
      <c r="D1940" s="4" t="e">
        <f>VLOOKUP(A1940,المعطيات!$A$1:$J$3500,5,0)</f>
        <v>#N/A</v>
      </c>
      <c r="E1940" s="1" t="s">
        <v>1482</v>
      </c>
      <c r="F1940" s="5">
        <f t="shared" si="90"/>
        <v>0</v>
      </c>
      <c r="G1940" s="5" t="s">
        <v>1483</v>
      </c>
      <c r="H1940" s="4" t="e">
        <f>VLOOKUP(A1940,المعطيات!$A$1:$J$3500,3,0)</f>
        <v>#N/A</v>
      </c>
      <c r="I1940" s="1" t="s">
        <v>1484</v>
      </c>
      <c r="J1940" s="1" t="s">
        <v>1485</v>
      </c>
      <c r="K1940" s="4" t="e">
        <f>VLOOKUP(A1940,المعطيات!$A$1:$J$3500,6,0)</f>
        <v>#N/A</v>
      </c>
      <c r="L1940" s="1" t="s">
        <v>1486</v>
      </c>
      <c r="M1940" s="1" t="s">
        <v>1487</v>
      </c>
      <c r="N1940" s="4" t="e">
        <f t="shared" si="91"/>
        <v>#N/A</v>
      </c>
      <c r="O1940" s="1" t="s">
        <v>1488</v>
      </c>
      <c r="P1940" s="4" t="e">
        <f>VLOOKUP(A1940,المعطيات!$A$1:$J$3500,4,0)</f>
        <v>#N/A</v>
      </c>
      <c r="Q1940" s="1" t="s">
        <v>1489</v>
      </c>
      <c r="R1940" s="1" t="s">
        <v>1480</v>
      </c>
      <c r="S1940" s="6" t="e">
        <f t="shared" si="92"/>
        <v>#N/A</v>
      </c>
    </row>
    <row r="1941" spans="2:19" x14ac:dyDescent="0.25">
      <c r="B1941" s="1" t="s">
        <v>1479</v>
      </c>
      <c r="C1941" s="1" t="s">
        <v>1481</v>
      </c>
      <c r="D1941" s="4" t="e">
        <f>VLOOKUP(A1941,المعطيات!$A$1:$J$3500,5,0)</f>
        <v>#N/A</v>
      </c>
      <c r="E1941" s="1" t="s">
        <v>1482</v>
      </c>
      <c r="F1941" s="5">
        <f t="shared" si="90"/>
        <v>0</v>
      </c>
      <c r="G1941" s="5" t="s">
        <v>1483</v>
      </c>
      <c r="H1941" s="4" t="e">
        <f>VLOOKUP(A1941,المعطيات!$A$1:$J$3500,3,0)</f>
        <v>#N/A</v>
      </c>
      <c r="I1941" s="1" t="s">
        <v>1484</v>
      </c>
      <c r="J1941" s="1" t="s">
        <v>1485</v>
      </c>
      <c r="K1941" s="4" t="e">
        <f>VLOOKUP(A1941,المعطيات!$A$1:$J$3500,6,0)</f>
        <v>#N/A</v>
      </c>
      <c r="L1941" s="1" t="s">
        <v>1486</v>
      </c>
      <c r="M1941" s="1" t="s">
        <v>1487</v>
      </c>
      <c r="N1941" s="4" t="e">
        <f t="shared" si="91"/>
        <v>#N/A</v>
      </c>
      <c r="O1941" s="1" t="s">
        <v>1488</v>
      </c>
      <c r="P1941" s="4" t="e">
        <f>VLOOKUP(A1941,المعطيات!$A$1:$J$3500,4,0)</f>
        <v>#N/A</v>
      </c>
      <c r="Q1941" s="1" t="s">
        <v>1489</v>
      </c>
      <c r="R1941" s="1" t="s">
        <v>1480</v>
      </c>
      <c r="S1941" s="6" t="e">
        <f t="shared" si="92"/>
        <v>#N/A</v>
      </c>
    </row>
    <row r="1942" spans="2:19" x14ac:dyDescent="0.25">
      <c r="B1942" s="1" t="s">
        <v>1479</v>
      </c>
      <c r="C1942" s="1" t="s">
        <v>1481</v>
      </c>
      <c r="D1942" s="4" t="e">
        <f>VLOOKUP(A1942,المعطيات!$A$1:$J$3500,5,0)</f>
        <v>#N/A</v>
      </c>
      <c r="E1942" s="1" t="s">
        <v>1482</v>
      </c>
      <c r="F1942" s="5">
        <f t="shared" si="90"/>
        <v>0</v>
      </c>
      <c r="G1942" s="5" t="s">
        <v>1483</v>
      </c>
      <c r="H1942" s="4" t="e">
        <f>VLOOKUP(A1942,المعطيات!$A$1:$J$3500,3,0)</f>
        <v>#N/A</v>
      </c>
      <c r="I1942" s="1" t="s">
        <v>1484</v>
      </c>
      <c r="J1942" s="1" t="s">
        <v>1485</v>
      </c>
      <c r="K1942" s="4" t="e">
        <f>VLOOKUP(A1942,المعطيات!$A$1:$J$3500,6,0)</f>
        <v>#N/A</v>
      </c>
      <c r="L1942" s="1" t="s">
        <v>1486</v>
      </c>
      <c r="M1942" s="1" t="s">
        <v>1487</v>
      </c>
      <c r="N1942" s="4" t="e">
        <f t="shared" si="91"/>
        <v>#N/A</v>
      </c>
      <c r="O1942" s="1" t="s">
        <v>1488</v>
      </c>
      <c r="P1942" s="4" t="e">
        <f>VLOOKUP(A1942,المعطيات!$A$1:$J$3500,4,0)</f>
        <v>#N/A</v>
      </c>
      <c r="Q1942" s="1" t="s">
        <v>1489</v>
      </c>
      <c r="R1942" s="1" t="s">
        <v>1480</v>
      </c>
      <c r="S1942" s="6" t="e">
        <f t="shared" si="92"/>
        <v>#N/A</v>
      </c>
    </row>
    <row r="1943" spans="2:19" x14ac:dyDescent="0.25">
      <c r="B1943" s="1" t="s">
        <v>1479</v>
      </c>
      <c r="C1943" s="1" t="s">
        <v>1481</v>
      </c>
      <c r="D1943" s="4" t="e">
        <f>VLOOKUP(A1943,المعطيات!$A$1:$J$3500,5,0)</f>
        <v>#N/A</v>
      </c>
      <c r="E1943" s="1" t="s">
        <v>1482</v>
      </c>
      <c r="F1943" s="5">
        <f t="shared" si="90"/>
        <v>0</v>
      </c>
      <c r="G1943" s="5" t="s">
        <v>1483</v>
      </c>
      <c r="H1943" s="4" t="e">
        <f>VLOOKUP(A1943,المعطيات!$A$1:$J$3500,3,0)</f>
        <v>#N/A</v>
      </c>
      <c r="I1943" s="1" t="s">
        <v>1484</v>
      </c>
      <c r="J1943" s="1" t="s">
        <v>1485</v>
      </c>
      <c r="K1943" s="4" t="e">
        <f>VLOOKUP(A1943,المعطيات!$A$1:$J$3500,6,0)</f>
        <v>#N/A</v>
      </c>
      <c r="L1943" s="1" t="s">
        <v>1486</v>
      </c>
      <c r="M1943" s="1" t="s">
        <v>1487</v>
      </c>
      <c r="N1943" s="4" t="e">
        <f t="shared" si="91"/>
        <v>#N/A</v>
      </c>
      <c r="O1943" s="1" t="s">
        <v>1488</v>
      </c>
      <c r="P1943" s="4" t="e">
        <f>VLOOKUP(A1943,المعطيات!$A$1:$J$3500,4,0)</f>
        <v>#N/A</v>
      </c>
      <c r="Q1943" s="1" t="s">
        <v>1489</v>
      </c>
      <c r="R1943" s="1" t="s">
        <v>1480</v>
      </c>
      <c r="S1943" s="6" t="e">
        <f t="shared" si="92"/>
        <v>#N/A</v>
      </c>
    </row>
    <row r="1944" spans="2:19" x14ac:dyDescent="0.25">
      <c r="B1944" s="1" t="s">
        <v>1479</v>
      </c>
      <c r="C1944" s="1" t="s">
        <v>1481</v>
      </c>
      <c r="D1944" s="4" t="e">
        <f>VLOOKUP(A1944,المعطيات!$A$1:$J$3500,5,0)</f>
        <v>#N/A</v>
      </c>
      <c r="E1944" s="1" t="s">
        <v>1482</v>
      </c>
      <c r="F1944" s="5">
        <f t="shared" si="90"/>
        <v>0</v>
      </c>
      <c r="G1944" s="5" t="s">
        <v>1483</v>
      </c>
      <c r="H1944" s="4" t="e">
        <f>VLOOKUP(A1944,المعطيات!$A$1:$J$3500,3,0)</f>
        <v>#N/A</v>
      </c>
      <c r="I1944" s="1" t="s">
        <v>1484</v>
      </c>
      <c r="J1944" s="1" t="s">
        <v>1485</v>
      </c>
      <c r="K1944" s="4" t="e">
        <f>VLOOKUP(A1944,المعطيات!$A$1:$J$3500,6,0)</f>
        <v>#N/A</v>
      </c>
      <c r="L1944" s="1" t="s">
        <v>1486</v>
      </c>
      <c r="M1944" s="1" t="s">
        <v>1487</v>
      </c>
      <c r="N1944" s="4" t="e">
        <f t="shared" si="91"/>
        <v>#N/A</v>
      </c>
      <c r="O1944" s="1" t="s">
        <v>1488</v>
      </c>
      <c r="P1944" s="4" t="e">
        <f>VLOOKUP(A1944,المعطيات!$A$1:$J$3500,4,0)</f>
        <v>#N/A</v>
      </c>
      <c r="Q1944" s="1" t="s">
        <v>1489</v>
      </c>
      <c r="R1944" s="1" t="s">
        <v>1480</v>
      </c>
      <c r="S1944" s="6" t="e">
        <f t="shared" si="92"/>
        <v>#N/A</v>
      </c>
    </row>
    <row r="1945" spans="2:19" x14ac:dyDescent="0.25">
      <c r="B1945" s="1" t="s">
        <v>1479</v>
      </c>
      <c r="C1945" s="1" t="s">
        <v>1481</v>
      </c>
      <c r="D1945" s="4" t="e">
        <f>VLOOKUP(A1945,المعطيات!$A$1:$J$3500,5,0)</f>
        <v>#N/A</v>
      </c>
      <c r="E1945" s="1" t="s">
        <v>1482</v>
      </c>
      <c r="F1945" s="5">
        <f t="shared" si="90"/>
        <v>0</v>
      </c>
      <c r="G1945" s="5" t="s">
        <v>1483</v>
      </c>
      <c r="H1945" s="4" t="e">
        <f>VLOOKUP(A1945,المعطيات!$A$1:$J$3500,3,0)</f>
        <v>#N/A</v>
      </c>
      <c r="I1945" s="1" t="s">
        <v>1484</v>
      </c>
      <c r="J1945" s="1" t="s">
        <v>1485</v>
      </c>
      <c r="K1945" s="4" t="e">
        <f>VLOOKUP(A1945,المعطيات!$A$1:$J$3500,6,0)</f>
        <v>#N/A</v>
      </c>
      <c r="L1945" s="1" t="s">
        <v>1486</v>
      </c>
      <c r="M1945" s="1" t="s">
        <v>1487</v>
      </c>
      <c r="N1945" s="4" t="e">
        <f t="shared" si="91"/>
        <v>#N/A</v>
      </c>
      <c r="O1945" s="1" t="s">
        <v>1488</v>
      </c>
      <c r="P1945" s="4" t="e">
        <f>VLOOKUP(A1945,المعطيات!$A$1:$J$3500,4,0)</f>
        <v>#N/A</v>
      </c>
      <c r="Q1945" s="1" t="s">
        <v>1489</v>
      </c>
      <c r="R1945" s="1" t="s">
        <v>1480</v>
      </c>
      <c r="S1945" s="6" t="e">
        <f t="shared" si="92"/>
        <v>#N/A</v>
      </c>
    </row>
    <row r="1946" spans="2:19" x14ac:dyDescent="0.25">
      <c r="B1946" s="1" t="s">
        <v>1479</v>
      </c>
      <c r="C1946" s="1" t="s">
        <v>1481</v>
      </c>
      <c r="D1946" s="4" t="e">
        <f>VLOOKUP(A1946,المعطيات!$A$1:$J$3500,5,0)</f>
        <v>#N/A</v>
      </c>
      <c r="E1946" s="1" t="s">
        <v>1482</v>
      </c>
      <c r="F1946" s="5">
        <f t="shared" si="90"/>
        <v>0</v>
      </c>
      <c r="G1946" s="5" t="s">
        <v>1483</v>
      </c>
      <c r="H1946" s="4" t="e">
        <f>VLOOKUP(A1946,المعطيات!$A$1:$J$3500,3,0)</f>
        <v>#N/A</v>
      </c>
      <c r="I1946" s="1" t="s">
        <v>1484</v>
      </c>
      <c r="J1946" s="1" t="s">
        <v>1485</v>
      </c>
      <c r="K1946" s="4" t="e">
        <f>VLOOKUP(A1946,المعطيات!$A$1:$J$3500,6,0)</f>
        <v>#N/A</v>
      </c>
      <c r="L1946" s="1" t="s">
        <v>1486</v>
      </c>
      <c r="M1946" s="1" t="s">
        <v>1487</v>
      </c>
      <c r="N1946" s="4" t="e">
        <f t="shared" si="91"/>
        <v>#N/A</v>
      </c>
      <c r="O1946" s="1" t="s">
        <v>1488</v>
      </c>
      <c r="P1946" s="4" t="e">
        <f>VLOOKUP(A1946,المعطيات!$A$1:$J$3500,4,0)</f>
        <v>#N/A</v>
      </c>
      <c r="Q1946" s="1" t="s">
        <v>1489</v>
      </c>
      <c r="R1946" s="1" t="s">
        <v>1480</v>
      </c>
      <c r="S1946" s="6" t="e">
        <f t="shared" si="92"/>
        <v>#N/A</v>
      </c>
    </row>
    <row r="1947" spans="2:19" x14ac:dyDescent="0.25">
      <c r="B1947" s="1" t="s">
        <v>1479</v>
      </c>
      <c r="C1947" s="1" t="s">
        <v>1481</v>
      </c>
      <c r="D1947" s="4" t="e">
        <f>VLOOKUP(A1947,المعطيات!$A$1:$J$3500,5,0)</f>
        <v>#N/A</v>
      </c>
      <c r="E1947" s="1" t="s">
        <v>1482</v>
      </c>
      <c r="F1947" s="5">
        <f t="shared" si="90"/>
        <v>0</v>
      </c>
      <c r="G1947" s="5" t="s">
        <v>1483</v>
      </c>
      <c r="H1947" s="4" t="e">
        <f>VLOOKUP(A1947,المعطيات!$A$1:$J$3500,3,0)</f>
        <v>#N/A</v>
      </c>
      <c r="I1947" s="1" t="s">
        <v>1484</v>
      </c>
      <c r="J1947" s="1" t="s">
        <v>1485</v>
      </c>
      <c r="K1947" s="4" t="e">
        <f>VLOOKUP(A1947,المعطيات!$A$1:$J$3500,6,0)</f>
        <v>#N/A</v>
      </c>
      <c r="L1947" s="1" t="s">
        <v>1486</v>
      </c>
      <c r="M1947" s="1" t="s">
        <v>1487</v>
      </c>
      <c r="N1947" s="4" t="e">
        <f t="shared" si="91"/>
        <v>#N/A</v>
      </c>
      <c r="O1947" s="1" t="s">
        <v>1488</v>
      </c>
      <c r="P1947" s="4" t="e">
        <f>VLOOKUP(A1947,المعطيات!$A$1:$J$3500,4,0)</f>
        <v>#N/A</v>
      </c>
      <c r="Q1947" s="1" t="s">
        <v>1489</v>
      </c>
      <c r="R1947" s="1" t="s">
        <v>1480</v>
      </c>
      <c r="S1947" s="6" t="e">
        <f t="shared" si="92"/>
        <v>#N/A</v>
      </c>
    </row>
    <row r="1948" spans="2:19" x14ac:dyDescent="0.25">
      <c r="B1948" s="1" t="s">
        <v>1479</v>
      </c>
      <c r="C1948" s="1" t="s">
        <v>1481</v>
      </c>
      <c r="D1948" s="4" t="e">
        <f>VLOOKUP(A1948,المعطيات!$A$1:$J$3500,5,0)</f>
        <v>#N/A</v>
      </c>
      <c r="E1948" s="1" t="s">
        <v>1482</v>
      </c>
      <c r="F1948" s="5">
        <f t="shared" si="90"/>
        <v>0</v>
      </c>
      <c r="G1948" s="5" t="s">
        <v>1483</v>
      </c>
      <c r="H1948" s="4" t="e">
        <f>VLOOKUP(A1948,المعطيات!$A$1:$J$3500,3,0)</f>
        <v>#N/A</v>
      </c>
      <c r="I1948" s="1" t="s">
        <v>1484</v>
      </c>
      <c r="J1948" s="1" t="s">
        <v>1485</v>
      </c>
      <c r="K1948" s="4" t="e">
        <f>VLOOKUP(A1948,المعطيات!$A$1:$J$3500,6,0)</f>
        <v>#N/A</v>
      </c>
      <c r="L1948" s="1" t="s">
        <v>1486</v>
      </c>
      <c r="M1948" s="1" t="s">
        <v>1487</v>
      </c>
      <c r="N1948" s="4" t="e">
        <f t="shared" si="91"/>
        <v>#N/A</v>
      </c>
      <c r="O1948" s="1" t="s">
        <v>1488</v>
      </c>
      <c r="P1948" s="4" t="e">
        <f>VLOOKUP(A1948,المعطيات!$A$1:$J$3500,4,0)</f>
        <v>#N/A</v>
      </c>
      <c r="Q1948" s="1" t="s">
        <v>1489</v>
      </c>
      <c r="R1948" s="1" t="s">
        <v>1480</v>
      </c>
      <c r="S1948" s="6" t="e">
        <f t="shared" si="92"/>
        <v>#N/A</v>
      </c>
    </row>
    <row r="1949" spans="2:19" x14ac:dyDescent="0.25">
      <c r="B1949" s="1" t="s">
        <v>1479</v>
      </c>
      <c r="C1949" s="1" t="s">
        <v>1481</v>
      </c>
      <c r="D1949" s="4" t="e">
        <f>VLOOKUP(A1949,المعطيات!$A$1:$J$3500,5,0)</f>
        <v>#N/A</v>
      </c>
      <c r="E1949" s="1" t="s">
        <v>1482</v>
      </c>
      <c r="F1949" s="5">
        <f t="shared" si="90"/>
        <v>0</v>
      </c>
      <c r="G1949" s="5" t="s">
        <v>1483</v>
      </c>
      <c r="H1949" s="4" t="e">
        <f>VLOOKUP(A1949,المعطيات!$A$1:$J$3500,3,0)</f>
        <v>#N/A</v>
      </c>
      <c r="I1949" s="1" t="s">
        <v>1484</v>
      </c>
      <c r="J1949" s="1" t="s">
        <v>1485</v>
      </c>
      <c r="K1949" s="4" t="e">
        <f>VLOOKUP(A1949,المعطيات!$A$1:$J$3500,6,0)</f>
        <v>#N/A</v>
      </c>
      <c r="L1949" s="1" t="s">
        <v>1486</v>
      </c>
      <c r="M1949" s="1" t="s">
        <v>1487</v>
      </c>
      <c r="N1949" s="4" t="e">
        <f t="shared" si="91"/>
        <v>#N/A</v>
      </c>
      <c r="O1949" s="1" t="s">
        <v>1488</v>
      </c>
      <c r="P1949" s="4" t="e">
        <f>VLOOKUP(A1949,المعطيات!$A$1:$J$3500,4,0)</f>
        <v>#N/A</v>
      </c>
      <c r="Q1949" s="1" t="s">
        <v>1489</v>
      </c>
      <c r="R1949" s="1" t="s">
        <v>1480</v>
      </c>
      <c r="S1949" s="6" t="e">
        <f t="shared" si="92"/>
        <v>#N/A</v>
      </c>
    </row>
    <row r="1950" spans="2:19" x14ac:dyDescent="0.25">
      <c r="B1950" s="1" t="s">
        <v>1479</v>
      </c>
      <c r="C1950" s="1" t="s">
        <v>1481</v>
      </c>
      <c r="D1950" s="4" t="e">
        <f>VLOOKUP(A1950,المعطيات!$A$1:$J$3500,5,0)</f>
        <v>#N/A</v>
      </c>
      <c r="E1950" s="1" t="s">
        <v>1482</v>
      </c>
      <c r="F1950" s="5">
        <f t="shared" si="90"/>
        <v>0</v>
      </c>
      <c r="G1950" s="5" t="s">
        <v>1483</v>
      </c>
      <c r="H1950" s="4" t="e">
        <f>VLOOKUP(A1950,المعطيات!$A$1:$J$3500,3,0)</f>
        <v>#N/A</v>
      </c>
      <c r="I1950" s="1" t="s">
        <v>1484</v>
      </c>
      <c r="J1950" s="1" t="s">
        <v>1485</v>
      </c>
      <c r="K1950" s="4" t="e">
        <f>VLOOKUP(A1950,المعطيات!$A$1:$J$3500,6,0)</f>
        <v>#N/A</v>
      </c>
      <c r="L1950" s="1" t="s">
        <v>1486</v>
      </c>
      <c r="M1950" s="1" t="s">
        <v>1487</v>
      </c>
      <c r="N1950" s="4" t="e">
        <f t="shared" si="91"/>
        <v>#N/A</v>
      </c>
      <c r="O1950" s="1" t="s">
        <v>1488</v>
      </c>
      <c r="P1950" s="4" t="e">
        <f>VLOOKUP(A1950,المعطيات!$A$1:$J$3500,4,0)</f>
        <v>#N/A</v>
      </c>
      <c r="Q1950" s="1" t="s">
        <v>1489</v>
      </c>
      <c r="R1950" s="1" t="s">
        <v>1480</v>
      </c>
      <c r="S1950" s="6" t="e">
        <f t="shared" si="92"/>
        <v>#N/A</v>
      </c>
    </row>
    <row r="1951" spans="2:19" x14ac:dyDescent="0.25">
      <c r="B1951" s="1" t="s">
        <v>1479</v>
      </c>
      <c r="C1951" s="1" t="s">
        <v>1481</v>
      </c>
      <c r="D1951" s="4" t="e">
        <f>VLOOKUP(A1951,المعطيات!$A$1:$J$3500,5,0)</f>
        <v>#N/A</v>
      </c>
      <c r="E1951" s="1" t="s">
        <v>1482</v>
      </c>
      <c r="F1951" s="5">
        <f t="shared" si="90"/>
        <v>0</v>
      </c>
      <c r="G1951" s="5" t="s">
        <v>1483</v>
      </c>
      <c r="H1951" s="4" t="e">
        <f>VLOOKUP(A1951,المعطيات!$A$1:$J$3500,3,0)</f>
        <v>#N/A</v>
      </c>
      <c r="I1951" s="1" t="s">
        <v>1484</v>
      </c>
      <c r="J1951" s="1" t="s">
        <v>1485</v>
      </c>
      <c r="K1951" s="4" t="e">
        <f>VLOOKUP(A1951,المعطيات!$A$1:$J$3500,6,0)</f>
        <v>#N/A</v>
      </c>
      <c r="L1951" s="1" t="s">
        <v>1486</v>
      </c>
      <c r="M1951" s="1" t="s">
        <v>1487</v>
      </c>
      <c r="N1951" s="4" t="e">
        <f t="shared" si="91"/>
        <v>#N/A</v>
      </c>
      <c r="O1951" s="1" t="s">
        <v>1488</v>
      </c>
      <c r="P1951" s="4" t="e">
        <f>VLOOKUP(A1951,المعطيات!$A$1:$J$3500,4,0)</f>
        <v>#N/A</v>
      </c>
      <c r="Q1951" s="1" t="s">
        <v>1489</v>
      </c>
      <c r="R1951" s="1" t="s">
        <v>1480</v>
      </c>
      <c r="S1951" s="6" t="e">
        <f t="shared" si="92"/>
        <v>#N/A</v>
      </c>
    </row>
    <row r="1952" spans="2:19" x14ac:dyDescent="0.25">
      <c r="B1952" s="1" t="s">
        <v>1479</v>
      </c>
      <c r="C1952" s="1" t="s">
        <v>1481</v>
      </c>
      <c r="D1952" s="4" t="e">
        <f>VLOOKUP(A1952,المعطيات!$A$1:$J$3500,5,0)</f>
        <v>#N/A</v>
      </c>
      <c r="E1952" s="1" t="s">
        <v>1482</v>
      </c>
      <c r="F1952" s="5">
        <f t="shared" si="90"/>
        <v>0</v>
      </c>
      <c r="G1952" s="5" t="s">
        <v>1483</v>
      </c>
      <c r="H1952" s="4" t="e">
        <f>VLOOKUP(A1952,المعطيات!$A$1:$J$3500,3,0)</f>
        <v>#N/A</v>
      </c>
      <c r="I1952" s="1" t="s">
        <v>1484</v>
      </c>
      <c r="J1952" s="1" t="s">
        <v>1485</v>
      </c>
      <c r="K1952" s="4" t="e">
        <f>VLOOKUP(A1952,المعطيات!$A$1:$J$3500,6,0)</f>
        <v>#N/A</v>
      </c>
      <c r="L1952" s="1" t="s">
        <v>1486</v>
      </c>
      <c r="M1952" s="1" t="s">
        <v>1487</v>
      </c>
      <c r="N1952" s="4" t="e">
        <f t="shared" si="91"/>
        <v>#N/A</v>
      </c>
      <c r="O1952" s="1" t="s">
        <v>1488</v>
      </c>
      <c r="P1952" s="4" t="e">
        <f>VLOOKUP(A1952,المعطيات!$A$1:$J$3500,4,0)</f>
        <v>#N/A</v>
      </c>
      <c r="Q1952" s="1" t="s">
        <v>1489</v>
      </c>
      <c r="R1952" s="1" t="s">
        <v>1480</v>
      </c>
      <c r="S1952" s="6" t="e">
        <f t="shared" si="92"/>
        <v>#N/A</v>
      </c>
    </row>
    <row r="1953" spans="2:19" x14ac:dyDescent="0.25">
      <c r="B1953" s="1" t="s">
        <v>1479</v>
      </c>
      <c r="C1953" s="1" t="s">
        <v>1481</v>
      </c>
      <c r="D1953" s="4" t="e">
        <f>VLOOKUP(A1953,المعطيات!$A$1:$J$3500,5,0)</f>
        <v>#N/A</v>
      </c>
      <c r="E1953" s="1" t="s">
        <v>1482</v>
      </c>
      <c r="F1953" s="5">
        <f t="shared" si="90"/>
        <v>0</v>
      </c>
      <c r="G1953" s="5" t="s">
        <v>1483</v>
      </c>
      <c r="H1953" s="4" t="e">
        <f>VLOOKUP(A1953,المعطيات!$A$1:$J$3500,3,0)</f>
        <v>#N/A</v>
      </c>
      <c r="I1953" s="1" t="s">
        <v>1484</v>
      </c>
      <c r="J1953" s="1" t="s">
        <v>1485</v>
      </c>
      <c r="K1953" s="4" t="e">
        <f>VLOOKUP(A1953,المعطيات!$A$1:$J$3500,6,0)</f>
        <v>#N/A</v>
      </c>
      <c r="L1953" s="1" t="s">
        <v>1486</v>
      </c>
      <c r="M1953" s="1" t="s">
        <v>1487</v>
      </c>
      <c r="N1953" s="4" t="e">
        <f t="shared" si="91"/>
        <v>#N/A</v>
      </c>
      <c r="O1953" s="1" t="s">
        <v>1488</v>
      </c>
      <c r="P1953" s="4" t="e">
        <f>VLOOKUP(A1953,المعطيات!$A$1:$J$3500,4,0)</f>
        <v>#N/A</v>
      </c>
      <c r="Q1953" s="1" t="s">
        <v>1489</v>
      </c>
      <c r="R1953" s="1" t="s">
        <v>1480</v>
      </c>
      <c r="S1953" s="6" t="e">
        <f t="shared" si="92"/>
        <v>#N/A</v>
      </c>
    </row>
    <row r="1954" spans="2:19" x14ac:dyDescent="0.25">
      <c r="B1954" s="1" t="s">
        <v>1479</v>
      </c>
      <c r="C1954" s="1" t="s">
        <v>1481</v>
      </c>
      <c r="D1954" s="4" t="e">
        <f>VLOOKUP(A1954,المعطيات!$A$1:$J$3500,5,0)</f>
        <v>#N/A</v>
      </c>
      <c r="E1954" s="1" t="s">
        <v>1482</v>
      </c>
      <c r="F1954" s="5">
        <f t="shared" si="90"/>
        <v>0</v>
      </c>
      <c r="G1954" s="5" t="s">
        <v>1483</v>
      </c>
      <c r="H1954" s="4" t="e">
        <f>VLOOKUP(A1954,المعطيات!$A$1:$J$3500,3,0)</f>
        <v>#N/A</v>
      </c>
      <c r="I1954" s="1" t="s">
        <v>1484</v>
      </c>
      <c r="J1954" s="1" t="s">
        <v>1485</v>
      </c>
      <c r="K1954" s="4" t="e">
        <f>VLOOKUP(A1954,المعطيات!$A$1:$J$3500,6,0)</f>
        <v>#N/A</v>
      </c>
      <c r="L1954" s="1" t="s">
        <v>1486</v>
      </c>
      <c r="M1954" s="1" t="s">
        <v>1487</v>
      </c>
      <c r="N1954" s="4" t="e">
        <f t="shared" si="91"/>
        <v>#N/A</v>
      </c>
      <c r="O1954" s="1" t="s">
        <v>1488</v>
      </c>
      <c r="P1954" s="4" t="e">
        <f>VLOOKUP(A1954,المعطيات!$A$1:$J$3500,4,0)</f>
        <v>#N/A</v>
      </c>
      <c r="Q1954" s="1" t="s">
        <v>1489</v>
      </c>
      <c r="R1954" s="1" t="s">
        <v>1480</v>
      </c>
      <c r="S1954" s="6" t="e">
        <f t="shared" si="92"/>
        <v>#N/A</v>
      </c>
    </row>
    <row r="1955" spans="2:19" x14ac:dyDescent="0.25">
      <c r="B1955" s="1" t="s">
        <v>1479</v>
      </c>
      <c r="C1955" s="1" t="s">
        <v>1481</v>
      </c>
      <c r="D1955" s="4" t="e">
        <f>VLOOKUP(A1955,المعطيات!$A$1:$J$3500,5,0)</f>
        <v>#N/A</v>
      </c>
      <c r="E1955" s="1" t="s">
        <v>1482</v>
      </c>
      <c r="F1955" s="5">
        <f t="shared" si="90"/>
        <v>0</v>
      </c>
      <c r="G1955" s="5" t="s">
        <v>1483</v>
      </c>
      <c r="H1955" s="4" t="e">
        <f>VLOOKUP(A1955,المعطيات!$A$1:$J$3500,3,0)</f>
        <v>#N/A</v>
      </c>
      <c r="I1955" s="1" t="s">
        <v>1484</v>
      </c>
      <c r="J1955" s="1" t="s">
        <v>1485</v>
      </c>
      <c r="K1955" s="4" t="e">
        <f>VLOOKUP(A1955,المعطيات!$A$1:$J$3500,6,0)</f>
        <v>#N/A</v>
      </c>
      <c r="L1955" s="1" t="s">
        <v>1486</v>
      </c>
      <c r="M1955" s="1" t="s">
        <v>1487</v>
      </c>
      <c r="N1955" s="4" t="e">
        <f t="shared" si="91"/>
        <v>#N/A</v>
      </c>
      <c r="O1955" s="1" t="s">
        <v>1488</v>
      </c>
      <c r="P1955" s="4" t="e">
        <f>VLOOKUP(A1955,المعطيات!$A$1:$J$3500,4,0)</f>
        <v>#N/A</v>
      </c>
      <c r="Q1955" s="1" t="s">
        <v>1489</v>
      </c>
      <c r="R1955" s="1" t="s">
        <v>1480</v>
      </c>
      <c r="S1955" s="6" t="e">
        <f t="shared" si="92"/>
        <v>#N/A</v>
      </c>
    </row>
    <row r="1956" spans="2:19" x14ac:dyDescent="0.25">
      <c r="B1956" s="1" t="s">
        <v>1479</v>
      </c>
      <c r="C1956" s="1" t="s">
        <v>1481</v>
      </c>
      <c r="D1956" s="4" t="e">
        <f>VLOOKUP(A1956,المعطيات!$A$1:$J$3500,5,0)</f>
        <v>#N/A</v>
      </c>
      <c r="E1956" s="1" t="s">
        <v>1482</v>
      </c>
      <c r="F1956" s="5">
        <f t="shared" si="90"/>
        <v>0</v>
      </c>
      <c r="G1956" s="5" t="s">
        <v>1483</v>
      </c>
      <c r="H1956" s="4" t="e">
        <f>VLOOKUP(A1956,المعطيات!$A$1:$J$3500,3,0)</f>
        <v>#N/A</v>
      </c>
      <c r="I1956" s="1" t="s">
        <v>1484</v>
      </c>
      <c r="J1956" s="1" t="s">
        <v>1485</v>
      </c>
      <c r="K1956" s="4" t="e">
        <f>VLOOKUP(A1956,المعطيات!$A$1:$J$3500,6,0)</f>
        <v>#N/A</v>
      </c>
      <c r="L1956" s="1" t="s">
        <v>1486</v>
      </c>
      <c r="M1956" s="1" t="s">
        <v>1487</v>
      </c>
      <c r="N1956" s="4" t="e">
        <f t="shared" si="91"/>
        <v>#N/A</v>
      </c>
      <c r="O1956" s="1" t="s">
        <v>1488</v>
      </c>
      <c r="P1956" s="4" t="e">
        <f>VLOOKUP(A1956,المعطيات!$A$1:$J$3500,4,0)</f>
        <v>#N/A</v>
      </c>
      <c r="Q1956" s="1" t="s">
        <v>1489</v>
      </c>
      <c r="R1956" s="1" t="s">
        <v>1480</v>
      </c>
      <c r="S1956" s="6" t="e">
        <f t="shared" si="92"/>
        <v>#N/A</v>
      </c>
    </row>
    <row r="1957" spans="2:19" x14ac:dyDescent="0.25">
      <c r="B1957" s="1" t="s">
        <v>1479</v>
      </c>
      <c r="C1957" s="1" t="s">
        <v>1481</v>
      </c>
      <c r="D1957" s="4" t="e">
        <f>VLOOKUP(A1957,المعطيات!$A$1:$J$3500,5,0)</f>
        <v>#N/A</v>
      </c>
      <c r="E1957" s="1" t="s">
        <v>1482</v>
      </c>
      <c r="F1957" s="5">
        <f t="shared" si="90"/>
        <v>0</v>
      </c>
      <c r="G1957" s="5" t="s">
        <v>1483</v>
      </c>
      <c r="H1957" s="4" t="e">
        <f>VLOOKUP(A1957,المعطيات!$A$1:$J$3500,3,0)</f>
        <v>#N/A</v>
      </c>
      <c r="I1957" s="1" t="s">
        <v>1484</v>
      </c>
      <c r="J1957" s="1" t="s">
        <v>1485</v>
      </c>
      <c r="K1957" s="4" t="e">
        <f>VLOOKUP(A1957,المعطيات!$A$1:$J$3500,6,0)</f>
        <v>#N/A</v>
      </c>
      <c r="L1957" s="1" t="s">
        <v>1486</v>
      </c>
      <c r="M1957" s="1" t="s">
        <v>1487</v>
      </c>
      <c r="N1957" s="4" t="e">
        <f t="shared" si="91"/>
        <v>#N/A</v>
      </c>
      <c r="O1957" s="1" t="s">
        <v>1488</v>
      </c>
      <c r="P1957" s="4" t="e">
        <f>VLOOKUP(A1957,المعطيات!$A$1:$J$3500,4,0)</f>
        <v>#N/A</v>
      </c>
      <c r="Q1957" s="1" t="s">
        <v>1489</v>
      </c>
      <c r="R1957" s="1" t="s">
        <v>1480</v>
      </c>
      <c r="S1957" s="6" t="e">
        <f t="shared" si="92"/>
        <v>#N/A</v>
      </c>
    </row>
    <row r="1958" spans="2:19" x14ac:dyDescent="0.25">
      <c r="B1958" s="1" t="s">
        <v>1479</v>
      </c>
      <c r="C1958" s="1" t="s">
        <v>1481</v>
      </c>
      <c r="D1958" s="4" t="e">
        <f>VLOOKUP(A1958,المعطيات!$A$1:$J$3500,5,0)</f>
        <v>#N/A</v>
      </c>
      <c r="E1958" s="1" t="s">
        <v>1482</v>
      </c>
      <c r="F1958" s="5">
        <f t="shared" si="90"/>
        <v>0</v>
      </c>
      <c r="G1958" s="5" t="s">
        <v>1483</v>
      </c>
      <c r="H1958" s="4" t="e">
        <f>VLOOKUP(A1958,المعطيات!$A$1:$J$3500,3,0)</f>
        <v>#N/A</v>
      </c>
      <c r="I1958" s="1" t="s">
        <v>1484</v>
      </c>
      <c r="J1958" s="1" t="s">
        <v>1485</v>
      </c>
      <c r="K1958" s="4" t="e">
        <f>VLOOKUP(A1958,المعطيات!$A$1:$J$3500,6,0)</f>
        <v>#N/A</v>
      </c>
      <c r="L1958" s="1" t="s">
        <v>1486</v>
      </c>
      <c r="M1958" s="1" t="s">
        <v>1487</v>
      </c>
      <c r="N1958" s="4" t="e">
        <f t="shared" si="91"/>
        <v>#N/A</v>
      </c>
      <c r="O1958" s="1" t="s">
        <v>1488</v>
      </c>
      <c r="P1958" s="4" t="e">
        <f>VLOOKUP(A1958,المعطيات!$A$1:$J$3500,4,0)</f>
        <v>#N/A</v>
      </c>
      <c r="Q1958" s="1" t="s">
        <v>1489</v>
      </c>
      <c r="R1958" s="1" t="s">
        <v>1480</v>
      </c>
      <c r="S1958" s="6" t="e">
        <f t="shared" si="92"/>
        <v>#N/A</v>
      </c>
    </row>
    <row r="1959" spans="2:19" x14ac:dyDescent="0.25">
      <c r="B1959" s="1" t="s">
        <v>1479</v>
      </c>
      <c r="C1959" s="1" t="s">
        <v>1481</v>
      </c>
      <c r="D1959" s="4" t="e">
        <f>VLOOKUP(A1959,المعطيات!$A$1:$J$3500,5,0)</f>
        <v>#N/A</v>
      </c>
      <c r="E1959" s="1" t="s">
        <v>1482</v>
      </c>
      <c r="F1959" s="5">
        <f t="shared" si="90"/>
        <v>0</v>
      </c>
      <c r="G1959" s="5" t="s">
        <v>1483</v>
      </c>
      <c r="H1959" s="4" t="e">
        <f>VLOOKUP(A1959,المعطيات!$A$1:$J$3500,3,0)</f>
        <v>#N/A</v>
      </c>
      <c r="I1959" s="1" t="s">
        <v>1484</v>
      </c>
      <c r="J1959" s="1" t="s">
        <v>1485</v>
      </c>
      <c r="K1959" s="4" t="e">
        <f>VLOOKUP(A1959,المعطيات!$A$1:$J$3500,6,0)</f>
        <v>#N/A</v>
      </c>
      <c r="L1959" s="1" t="s">
        <v>1486</v>
      </c>
      <c r="M1959" s="1" t="s">
        <v>1487</v>
      </c>
      <c r="N1959" s="4" t="e">
        <f t="shared" si="91"/>
        <v>#N/A</v>
      </c>
      <c r="O1959" s="1" t="s">
        <v>1488</v>
      </c>
      <c r="P1959" s="4" t="e">
        <f>VLOOKUP(A1959,المعطيات!$A$1:$J$3500,4,0)</f>
        <v>#N/A</v>
      </c>
      <c r="Q1959" s="1" t="s">
        <v>1489</v>
      </c>
      <c r="R1959" s="1" t="s">
        <v>1480</v>
      </c>
      <c r="S1959" s="6" t="e">
        <f t="shared" si="92"/>
        <v>#N/A</v>
      </c>
    </row>
    <row r="1960" spans="2:19" x14ac:dyDescent="0.25">
      <c r="B1960" s="1" t="s">
        <v>1479</v>
      </c>
      <c r="C1960" s="1" t="s">
        <v>1481</v>
      </c>
      <c r="D1960" s="4" t="e">
        <f>VLOOKUP(A1960,المعطيات!$A$1:$J$3500,5,0)</f>
        <v>#N/A</v>
      </c>
      <c r="E1960" s="1" t="s">
        <v>1482</v>
      </c>
      <c r="F1960" s="5">
        <f t="shared" si="90"/>
        <v>0</v>
      </c>
      <c r="G1960" s="5" t="s">
        <v>1483</v>
      </c>
      <c r="H1960" s="4" t="e">
        <f>VLOOKUP(A1960,المعطيات!$A$1:$J$3500,3,0)</f>
        <v>#N/A</v>
      </c>
      <c r="I1960" s="1" t="s">
        <v>1484</v>
      </c>
      <c r="J1960" s="1" t="s">
        <v>1485</v>
      </c>
      <c r="K1960" s="4" t="e">
        <f>VLOOKUP(A1960,المعطيات!$A$1:$J$3500,6,0)</f>
        <v>#N/A</v>
      </c>
      <c r="L1960" s="1" t="s">
        <v>1486</v>
      </c>
      <c r="M1960" s="1" t="s">
        <v>1487</v>
      </c>
      <c r="N1960" s="4" t="e">
        <f t="shared" si="91"/>
        <v>#N/A</v>
      </c>
      <c r="O1960" s="1" t="s">
        <v>1488</v>
      </c>
      <c r="P1960" s="4" t="e">
        <f>VLOOKUP(A1960,المعطيات!$A$1:$J$3500,4,0)</f>
        <v>#N/A</v>
      </c>
      <c r="Q1960" s="1" t="s">
        <v>1489</v>
      </c>
      <c r="R1960" s="1" t="s">
        <v>1480</v>
      </c>
      <c r="S1960" s="6" t="e">
        <f t="shared" si="92"/>
        <v>#N/A</v>
      </c>
    </row>
    <row r="1961" spans="2:19" x14ac:dyDescent="0.25">
      <c r="B1961" s="1" t="s">
        <v>1479</v>
      </c>
      <c r="C1961" s="1" t="s">
        <v>1481</v>
      </c>
      <c r="D1961" s="4" t="e">
        <f>VLOOKUP(A1961,المعطيات!$A$1:$J$3500,5,0)</f>
        <v>#N/A</v>
      </c>
      <c r="E1961" s="1" t="s">
        <v>1482</v>
      </c>
      <c r="F1961" s="5">
        <f t="shared" si="90"/>
        <v>0</v>
      </c>
      <c r="G1961" s="5" t="s">
        <v>1483</v>
      </c>
      <c r="H1961" s="4" t="e">
        <f>VLOOKUP(A1961,المعطيات!$A$1:$J$3500,3,0)</f>
        <v>#N/A</v>
      </c>
      <c r="I1961" s="1" t="s">
        <v>1484</v>
      </c>
      <c r="J1961" s="1" t="s">
        <v>1485</v>
      </c>
      <c r="K1961" s="4" t="e">
        <f>VLOOKUP(A1961,المعطيات!$A$1:$J$3500,6,0)</f>
        <v>#N/A</v>
      </c>
      <c r="L1961" s="1" t="s">
        <v>1486</v>
      </c>
      <c r="M1961" s="1" t="s">
        <v>1487</v>
      </c>
      <c r="N1961" s="4" t="e">
        <f t="shared" si="91"/>
        <v>#N/A</v>
      </c>
      <c r="O1961" s="1" t="s">
        <v>1488</v>
      </c>
      <c r="P1961" s="4" t="e">
        <f>VLOOKUP(A1961,المعطيات!$A$1:$J$3500,4,0)</f>
        <v>#N/A</v>
      </c>
      <c r="Q1961" s="1" t="s">
        <v>1489</v>
      </c>
      <c r="R1961" s="1" t="s">
        <v>1480</v>
      </c>
      <c r="S1961" s="6" t="e">
        <f t="shared" si="92"/>
        <v>#N/A</v>
      </c>
    </row>
    <row r="1962" spans="2:19" x14ac:dyDescent="0.25">
      <c r="B1962" s="1" t="s">
        <v>1479</v>
      </c>
      <c r="C1962" s="1" t="s">
        <v>1481</v>
      </c>
      <c r="D1962" s="4" t="e">
        <f>VLOOKUP(A1962,المعطيات!$A$1:$J$3500,5,0)</f>
        <v>#N/A</v>
      </c>
      <c r="E1962" s="1" t="s">
        <v>1482</v>
      </c>
      <c r="F1962" s="5">
        <f t="shared" si="90"/>
        <v>0</v>
      </c>
      <c r="G1962" s="5" t="s">
        <v>1483</v>
      </c>
      <c r="H1962" s="4" t="e">
        <f>VLOOKUP(A1962,المعطيات!$A$1:$J$3500,3,0)</f>
        <v>#N/A</v>
      </c>
      <c r="I1962" s="1" t="s">
        <v>1484</v>
      </c>
      <c r="J1962" s="1" t="s">
        <v>1485</v>
      </c>
      <c r="K1962" s="4" t="e">
        <f>VLOOKUP(A1962,المعطيات!$A$1:$J$3500,6,0)</f>
        <v>#N/A</v>
      </c>
      <c r="L1962" s="1" t="s">
        <v>1486</v>
      </c>
      <c r="M1962" s="1" t="s">
        <v>1487</v>
      </c>
      <c r="N1962" s="4" t="e">
        <f t="shared" si="91"/>
        <v>#N/A</v>
      </c>
      <c r="O1962" s="1" t="s">
        <v>1488</v>
      </c>
      <c r="P1962" s="4" t="e">
        <f>VLOOKUP(A1962,المعطيات!$A$1:$J$3500,4,0)</f>
        <v>#N/A</v>
      </c>
      <c r="Q1962" s="1" t="s">
        <v>1489</v>
      </c>
      <c r="R1962" s="1" t="s">
        <v>1480</v>
      </c>
      <c r="S1962" s="6" t="e">
        <f t="shared" si="92"/>
        <v>#N/A</v>
      </c>
    </row>
    <row r="1963" spans="2:19" x14ac:dyDescent="0.25">
      <c r="B1963" s="1" t="s">
        <v>1479</v>
      </c>
      <c r="C1963" s="1" t="s">
        <v>1481</v>
      </c>
      <c r="D1963" s="4" t="e">
        <f>VLOOKUP(A1963,المعطيات!$A$1:$J$3500,5,0)</f>
        <v>#N/A</v>
      </c>
      <c r="E1963" s="1" t="s">
        <v>1482</v>
      </c>
      <c r="F1963" s="5">
        <f t="shared" si="90"/>
        <v>0</v>
      </c>
      <c r="G1963" s="5" t="s">
        <v>1483</v>
      </c>
      <c r="H1963" s="4" t="e">
        <f>VLOOKUP(A1963,المعطيات!$A$1:$J$3500,3,0)</f>
        <v>#N/A</v>
      </c>
      <c r="I1963" s="1" t="s">
        <v>1484</v>
      </c>
      <c r="J1963" s="1" t="s">
        <v>1485</v>
      </c>
      <c r="K1963" s="4" t="e">
        <f>VLOOKUP(A1963,المعطيات!$A$1:$J$3500,6,0)</f>
        <v>#N/A</v>
      </c>
      <c r="L1963" s="1" t="s">
        <v>1486</v>
      </c>
      <c r="M1963" s="1" t="s">
        <v>1487</v>
      </c>
      <c r="N1963" s="4" t="e">
        <f t="shared" si="91"/>
        <v>#N/A</v>
      </c>
      <c r="O1963" s="1" t="s">
        <v>1488</v>
      </c>
      <c r="P1963" s="4" t="e">
        <f>VLOOKUP(A1963,المعطيات!$A$1:$J$3500,4,0)</f>
        <v>#N/A</v>
      </c>
      <c r="Q1963" s="1" t="s">
        <v>1489</v>
      </c>
      <c r="R1963" s="1" t="s">
        <v>1480</v>
      </c>
      <c r="S1963" s="6" t="e">
        <f t="shared" si="92"/>
        <v>#N/A</v>
      </c>
    </row>
    <row r="1964" spans="2:19" x14ac:dyDescent="0.25">
      <c r="B1964" s="1" t="s">
        <v>1479</v>
      </c>
      <c r="C1964" s="1" t="s">
        <v>1481</v>
      </c>
      <c r="D1964" s="4" t="e">
        <f>VLOOKUP(A1964,المعطيات!$A$1:$J$3500,5,0)</f>
        <v>#N/A</v>
      </c>
      <c r="E1964" s="1" t="s">
        <v>1482</v>
      </c>
      <c r="F1964" s="5">
        <f t="shared" si="90"/>
        <v>0</v>
      </c>
      <c r="G1964" s="5" t="s">
        <v>1483</v>
      </c>
      <c r="H1964" s="4" t="e">
        <f>VLOOKUP(A1964,المعطيات!$A$1:$J$3500,3,0)</f>
        <v>#N/A</v>
      </c>
      <c r="I1964" s="1" t="s">
        <v>1484</v>
      </c>
      <c r="J1964" s="1" t="s">
        <v>1485</v>
      </c>
      <c r="K1964" s="4" t="e">
        <f>VLOOKUP(A1964,المعطيات!$A$1:$J$3500,6,0)</f>
        <v>#N/A</v>
      </c>
      <c r="L1964" s="1" t="s">
        <v>1486</v>
      </c>
      <c r="M1964" s="1" t="s">
        <v>1487</v>
      </c>
      <c r="N1964" s="4" t="e">
        <f t="shared" si="91"/>
        <v>#N/A</v>
      </c>
      <c r="O1964" s="1" t="s">
        <v>1488</v>
      </c>
      <c r="P1964" s="4" t="e">
        <f>VLOOKUP(A1964,المعطيات!$A$1:$J$3500,4,0)</f>
        <v>#N/A</v>
      </c>
      <c r="Q1964" s="1" t="s">
        <v>1489</v>
      </c>
      <c r="R1964" s="1" t="s">
        <v>1480</v>
      </c>
      <c r="S1964" s="6" t="e">
        <f t="shared" si="92"/>
        <v>#N/A</v>
      </c>
    </row>
    <row r="1965" spans="2:19" x14ac:dyDescent="0.25">
      <c r="B1965" s="1" t="s">
        <v>1479</v>
      </c>
      <c r="C1965" s="1" t="s">
        <v>1481</v>
      </c>
      <c r="D1965" s="4" t="e">
        <f>VLOOKUP(A1965,المعطيات!$A$1:$J$3500,5,0)</f>
        <v>#N/A</v>
      </c>
      <c r="E1965" s="1" t="s">
        <v>1482</v>
      </c>
      <c r="F1965" s="5">
        <f t="shared" si="90"/>
        <v>0</v>
      </c>
      <c r="G1965" s="5" t="s">
        <v>1483</v>
      </c>
      <c r="H1965" s="4" t="e">
        <f>VLOOKUP(A1965,المعطيات!$A$1:$J$3500,3,0)</f>
        <v>#N/A</v>
      </c>
      <c r="I1965" s="1" t="s">
        <v>1484</v>
      </c>
      <c r="J1965" s="1" t="s">
        <v>1485</v>
      </c>
      <c r="K1965" s="4" t="e">
        <f>VLOOKUP(A1965,المعطيات!$A$1:$J$3500,6,0)</f>
        <v>#N/A</v>
      </c>
      <c r="L1965" s="1" t="s">
        <v>1486</v>
      </c>
      <c r="M1965" s="1" t="s">
        <v>1487</v>
      </c>
      <c r="N1965" s="4" t="e">
        <f t="shared" si="91"/>
        <v>#N/A</v>
      </c>
      <c r="O1965" s="1" t="s">
        <v>1488</v>
      </c>
      <c r="P1965" s="4" t="e">
        <f>VLOOKUP(A1965,المعطيات!$A$1:$J$3500,4,0)</f>
        <v>#N/A</v>
      </c>
      <c r="Q1965" s="1" t="s">
        <v>1489</v>
      </c>
      <c r="R1965" s="1" t="s">
        <v>1480</v>
      </c>
      <c r="S1965" s="6" t="e">
        <f t="shared" si="92"/>
        <v>#N/A</v>
      </c>
    </row>
    <row r="1966" spans="2:19" x14ac:dyDescent="0.25">
      <c r="B1966" s="1" t="s">
        <v>1479</v>
      </c>
      <c r="C1966" s="1" t="s">
        <v>1481</v>
      </c>
      <c r="D1966" s="4" t="e">
        <f>VLOOKUP(A1966,المعطيات!$A$1:$J$3500,5,0)</f>
        <v>#N/A</v>
      </c>
      <c r="E1966" s="1" t="s">
        <v>1482</v>
      </c>
      <c r="F1966" s="5">
        <f t="shared" si="90"/>
        <v>0</v>
      </c>
      <c r="G1966" s="5" t="s">
        <v>1483</v>
      </c>
      <c r="H1966" s="4" t="e">
        <f>VLOOKUP(A1966,المعطيات!$A$1:$J$3500,3,0)</f>
        <v>#N/A</v>
      </c>
      <c r="I1966" s="1" t="s">
        <v>1484</v>
      </c>
      <c r="J1966" s="1" t="s">
        <v>1485</v>
      </c>
      <c r="K1966" s="4" t="e">
        <f>VLOOKUP(A1966,المعطيات!$A$1:$J$3500,6,0)</f>
        <v>#N/A</v>
      </c>
      <c r="L1966" s="1" t="s">
        <v>1486</v>
      </c>
      <c r="M1966" s="1" t="s">
        <v>1487</v>
      </c>
      <c r="N1966" s="4" t="e">
        <f t="shared" si="91"/>
        <v>#N/A</v>
      </c>
      <c r="O1966" s="1" t="s">
        <v>1488</v>
      </c>
      <c r="P1966" s="4" t="e">
        <f>VLOOKUP(A1966,المعطيات!$A$1:$J$3500,4,0)</f>
        <v>#N/A</v>
      </c>
      <c r="Q1966" s="1" t="s">
        <v>1489</v>
      </c>
      <c r="R1966" s="1" t="s">
        <v>1480</v>
      </c>
      <c r="S1966" s="6" t="e">
        <f t="shared" si="92"/>
        <v>#N/A</v>
      </c>
    </row>
    <row r="1967" spans="2:19" x14ac:dyDescent="0.25">
      <c r="B1967" s="1" t="s">
        <v>1479</v>
      </c>
      <c r="C1967" s="1" t="s">
        <v>1481</v>
      </c>
      <c r="D1967" s="4" t="e">
        <f>VLOOKUP(A1967,المعطيات!$A$1:$J$3500,5,0)</f>
        <v>#N/A</v>
      </c>
      <c r="E1967" s="1" t="s">
        <v>1482</v>
      </c>
      <c r="F1967" s="5">
        <f t="shared" si="90"/>
        <v>0</v>
      </c>
      <c r="G1967" s="5" t="s">
        <v>1483</v>
      </c>
      <c r="H1967" s="4" t="e">
        <f>VLOOKUP(A1967,المعطيات!$A$1:$J$3500,3,0)</f>
        <v>#N/A</v>
      </c>
      <c r="I1967" s="1" t="s">
        <v>1484</v>
      </c>
      <c r="J1967" s="1" t="s">
        <v>1485</v>
      </c>
      <c r="K1967" s="4" t="e">
        <f>VLOOKUP(A1967,المعطيات!$A$1:$J$3500,6,0)</f>
        <v>#N/A</v>
      </c>
      <c r="L1967" s="1" t="s">
        <v>1486</v>
      </c>
      <c r="M1967" s="1" t="s">
        <v>1487</v>
      </c>
      <c r="N1967" s="4" t="e">
        <f t="shared" si="91"/>
        <v>#N/A</v>
      </c>
      <c r="O1967" s="1" t="s">
        <v>1488</v>
      </c>
      <c r="P1967" s="4" t="e">
        <f>VLOOKUP(A1967,المعطيات!$A$1:$J$3500,4,0)</f>
        <v>#N/A</v>
      </c>
      <c r="Q1967" s="1" t="s">
        <v>1489</v>
      </c>
      <c r="R1967" s="1" t="s">
        <v>1480</v>
      </c>
      <c r="S1967" s="6" t="e">
        <f t="shared" si="92"/>
        <v>#N/A</v>
      </c>
    </row>
    <row r="1968" spans="2:19" x14ac:dyDescent="0.25">
      <c r="B1968" s="1" t="s">
        <v>1479</v>
      </c>
      <c r="C1968" s="1" t="s">
        <v>1481</v>
      </c>
      <c r="D1968" s="4" t="e">
        <f>VLOOKUP(A1968,المعطيات!$A$1:$J$3500,5,0)</f>
        <v>#N/A</v>
      </c>
      <c r="E1968" s="1" t="s">
        <v>1482</v>
      </c>
      <c r="F1968" s="5">
        <f t="shared" si="90"/>
        <v>0</v>
      </c>
      <c r="G1968" s="5" t="s">
        <v>1483</v>
      </c>
      <c r="H1968" s="4" t="e">
        <f>VLOOKUP(A1968,المعطيات!$A$1:$J$3500,3,0)</f>
        <v>#N/A</v>
      </c>
      <c r="I1968" s="1" t="s">
        <v>1484</v>
      </c>
      <c r="J1968" s="1" t="s">
        <v>1485</v>
      </c>
      <c r="K1968" s="4" t="e">
        <f>VLOOKUP(A1968,المعطيات!$A$1:$J$3500,6,0)</f>
        <v>#N/A</v>
      </c>
      <c r="L1968" s="1" t="s">
        <v>1486</v>
      </c>
      <c r="M1968" s="1" t="s">
        <v>1487</v>
      </c>
      <c r="N1968" s="4" t="e">
        <f t="shared" si="91"/>
        <v>#N/A</v>
      </c>
      <c r="O1968" s="1" t="s">
        <v>1488</v>
      </c>
      <c r="P1968" s="4" t="e">
        <f>VLOOKUP(A1968,المعطيات!$A$1:$J$3500,4,0)</f>
        <v>#N/A</v>
      </c>
      <c r="Q1968" s="1" t="s">
        <v>1489</v>
      </c>
      <c r="R1968" s="1" t="s">
        <v>1480</v>
      </c>
      <c r="S1968" s="6" t="e">
        <f t="shared" si="92"/>
        <v>#N/A</v>
      </c>
    </row>
    <row r="1969" spans="2:19" x14ac:dyDescent="0.25">
      <c r="B1969" s="1" t="s">
        <v>1479</v>
      </c>
      <c r="C1969" s="1" t="s">
        <v>1481</v>
      </c>
      <c r="D1969" s="4" t="e">
        <f>VLOOKUP(A1969,المعطيات!$A$1:$J$3500,5,0)</f>
        <v>#N/A</v>
      </c>
      <c r="E1969" s="1" t="s">
        <v>1482</v>
      </c>
      <c r="F1969" s="5">
        <f t="shared" si="90"/>
        <v>0</v>
      </c>
      <c r="G1969" s="5" t="s">
        <v>1483</v>
      </c>
      <c r="H1969" s="4" t="e">
        <f>VLOOKUP(A1969,المعطيات!$A$1:$J$3500,3,0)</f>
        <v>#N/A</v>
      </c>
      <c r="I1969" s="1" t="s">
        <v>1484</v>
      </c>
      <c r="J1969" s="1" t="s">
        <v>1485</v>
      </c>
      <c r="K1969" s="4" t="e">
        <f>VLOOKUP(A1969,المعطيات!$A$1:$J$3500,6,0)</f>
        <v>#N/A</v>
      </c>
      <c r="L1969" s="1" t="s">
        <v>1486</v>
      </c>
      <c r="M1969" s="1" t="s">
        <v>1487</v>
      </c>
      <c r="N1969" s="4" t="e">
        <f t="shared" si="91"/>
        <v>#N/A</v>
      </c>
      <c r="O1969" s="1" t="s">
        <v>1488</v>
      </c>
      <c r="P1969" s="4" t="e">
        <f>VLOOKUP(A1969,المعطيات!$A$1:$J$3500,4,0)</f>
        <v>#N/A</v>
      </c>
      <c r="Q1969" s="1" t="s">
        <v>1489</v>
      </c>
      <c r="R1969" s="1" t="s">
        <v>1480</v>
      </c>
      <c r="S1969" s="6" t="e">
        <f t="shared" si="92"/>
        <v>#N/A</v>
      </c>
    </row>
    <row r="1970" spans="2:19" x14ac:dyDescent="0.25">
      <c r="B1970" s="1" t="s">
        <v>1479</v>
      </c>
      <c r="C1970" s="1" t="s">
        <v>1481</v>
      </c>
      <c r="D1970" s="4" t="e">
        <f>VLOOKUP(A1970,المعطيات!$A$1:$J$3500,5,0)</f>
        <v>#N/A</v>
      </c>
      <c r="E1970" s="1" t="s">
        <v>1482</v>
      </c>
      <c r="F1970" s="5">
        <f t="shared" si="90"/>
        <v>0</v>
      </c>
      <c r="G1970" s="5" t="s">
        <v>1483</v>
      </c>
      <c r="H1970" s="4" t="e">
        <f>VLOOKUP(A1970,المعطيات!$A$1:$J$3500,3,0)</f>
        <v>#N/A</v>
      </c>
      <c r="I1970" s="1" t="s">
        <v>1484</v>
      </c>
      <c r="J1970" s="1" t="s">
        <v>1485</v>
      </c>
      <c r="K1970" s="4" t="e">
        <f>VLOOKUP(A1970,المعطيات!$A$1:$J$3500,6,0)</f>
        <v>#N/A</v>
      </c>
      <c r="L1970" s="1" t="s">
        <v>1486</v>
      </c>
      <c r="M1970" s="1" t="s">
        <v>1487</v>
      </c>
      <c r="N1970" s="4" t="e">
        <f t="shared" si="91"/>
        <v>#N/A</v>
      </c>
      <c r="O1970" s="1" t="s">
        <v>1488</v>
      </c>
      <c r="P1970" s="4" t="e">
        <f>VLOOKUP(A1970,المعطيات!$A$1:$J$3500,4,0)</f>
        <v>#N/A</v>
      </c>
      <c r="Q1970" s="1" t="s">
        <v>1489</v>
      </c>
      <c r="R1970" s="1" t="s">
        <v>1480</v>
      </c>
      <c r="S1970" s="6" t="e">
        <f t="shared" si="92"/>
        <v>#N/A</v>
      </c>
    </row>
    <row r="1971" spans="2:19" x14ac:dyDescent="0.25">
      <c r="B1971" s="1" t="s">
        <v>1479</v>
      </c>
      <c r="C1971" s="1" t="s">
        <v>1481</v>
      </c>
      <c r="D1971" s="4" t="e">
        <f>VLOOKUP(A1971,المعطيات!$A$1:$J$3500,5,0)</f>
        <v>#N/A</v>
      </c>
      <c r="E1971" s="1" t="s">
        <v>1482</v>
      </c>
      <c r="F1971" s="5">
        <f t="shared" si="90"/>
        <v>0</v>
      </c>
      <c r="G1971" s="5" t="s">
        <v>1483</v>
      </c>
      <c r="H1971" s="4" t="e">
        <f>VLOOKUP(A1971,المعطيات!$A$1:$J$3500,3,0)</f>
        <v>#N/A</v>
      </c>
      <c r="I1971" s="1" t="s">
        <v>1484</v>
      </c>
      <c r="J1971" s="1" t="s">
        <v>1485</v>
      </c>
      <c r="K1971" s="4" t="e">
        <f>VLOOKUP(A1971,المعطيات!$A$1:$J$3500,6,0)</f>
        <v>#N/A</v>
      </c>
      <c r="L1971" s="1" t="s">
        <v>1486</v>
      </c>
      <c r="M1971" s="1" t="s">
        <v>1487</v>
      </c>
      <c r="N1971" s="4" t="e">
        <f t="shared" si="91"/>
        <v>#N/A</v>
      </c>
      <c r="O1971" s="1" t="s">
        <v>1488</v>
      </c>
      <c r="P1971" s="4" t="e">
        <f>VLOOKUP(A1971,المعطيات!$A$1:$J$3500,4,0)</f>
        <v>#N/A</v>
      </c>
      <c r="Q1971" s="1" t="s">
        <v>1489</v>
      </c>
      <c r="R1971" s="1" t="s">
        <v>1480</v>
      </c>
      <c r="S1971" s="6" t="e">
        <f t="shared" si="92"/>
        <v>#N/A</v>
      </c>
    </row>
    <row r="1972" spans="2:19" x14ac:dyDescent="0.25">
      <c r="B1972" s="1" t="s">
        <v>1479</v>
      </c>
      <c r="C1972" s="1" t="s">
        <v>1481</v>
      </c>
      <c r="D1972" s="4" t="e">
        <f>VLOOKUP(A1972,المعطيات!$A$1:$J$3500,5,0)</f>
        <v>#N/A</v>
      </c>
      <c r="E1972" s="1" t="s">
        <v>1482</v>
      </c>
      <c r="F1972" s="5">
        <f t="shared" si="90"/>
        <v>0</v>
      </c>
      <c r="G1972" s="5" t="s">
        <v>1483</v>
      </c>
      <c r="H1972" s="4" t="e">
        <f>VLOOKUP(A1972,المعطيات!$A$1:$J$3500,3,0)</f>
        <v>#N/A</v>
      </c>
      <c r="I1972" s="1" t="s">
        <v>1484</v>
      </c>
      <c r="J1972" s="1" t="s">
        <v>1485</v>
      </c>
      <c r="K1972" s="4" t="e">
        <f>VLOOKUP(A1972,المعطيات!$A$1:$J$3500,6,0)</f>
        <v>#N/A</v>
      </c>
      <c r="L1972" s="1" t="s">
        <v>1486</v>
      </c>
      <c r="M1972" s="1" t="s">
        <v>1487</v>
      </c>
      <c r="N1972" s="4" t="e">
        <f t="shared" si="91"/>
        <v>#N/A</v>
      </c>
      <c r="O1972" s="1" t="s">
        <v>1488</v>
      </c>
      <c r="P1972" s="4" t="e">
        <f>VLOOKUP(A1972,المعطيات!$A$1:$J$3500,4,0)</f>
        <v>#N/A</v>
      </c>
      <c r="Q1972" s="1" t="s">
        <v>1489</v>
      </c>
      <c r="R1972" s="1" t="s">
        <v>1480</v>
      </c>
      <c r="S1972" s="6" t="e">
        <f t="shared" si="92"/>
        <v>#N/A</v>
      </c>
    </row>
    <row r="1973" spans="2:19" x14ac:dyDescent="0.25">
      <c r="B1973" s="1" t="s">
        <v>1479</v>
      </c>
      <c r="C1973" s="1" t="s">
        <v>1481</v>
      </c>
      <c r="D1973" s="4" t="e">
        <f>VLOOKUP(A1973,المعطيات!$A$1:$J$3500,5,0)</f>
        <v>#N/A</v>
      </c>
      <c r="E1973" s="1" t="s">
        <v>1482</v>
      </c>
      <c r="F1973" s="5">
        <f t="shared" si="90"/>
        <v>0</v>
      </c>
      <c r="G1973" s="5" t="s">
        <v>1483</v>
      </c>
      <c r="H1973" s="4" t="e">
        <f>VLOOKUP(A1973,المعطيات!$A$1:$J$3500,3,0)</f>
        <v>#N/A</v>
      </c>
      <c r="I1973" s="1" t="s">
        <v>1484</v>
      </c>
      <c r="J1973" s="1" t="s">
        <v>1485</v>
      </c>
      <c r="K1973" s="4" t="e">
        <f>VLOOKUP(A1973,المعطيات!$A$1:$J$3500,6,0)</f>
        <v>#N/A</v>
      </c>
      <c r="L1973" s="1" t="s">
        <v>1486</v>
      </c>
      <c r="M1973" s="1" t="s">
        <v>1487</v>
      </c>
      <c r="N1973" s="4" t="e">
        <f t="shared" si="91"/>
        <v>#N/A</v>
      </c>
      <c r="O1973" s="1" t="s">
        <v>1488</v>
      </c>
      <c r="P1973" s="4" t="e">
        <f>VLOOKUP(A1973,المعطيات!$A$1:$J$3500,4,0)</f>
        <v>#N/A</v>
      </c>
      <c r="Q1973" s="1" t="s">
        <v>1489</v>
      </c>
      <c r="R1973" s="1" t="s">
        <v>1480</v>
      </c>
      <c r="S1973" s="6" t="e">
        <f t="shared" si="92"/>
        <v>#N/A</v>
      </c>
    </row>
    <row r="1974" spans="2:19" x14ac:dyDescent="0.25">
      <c r="B1974" s="1" t="s">
        <v>1479</v>
      </c>
      <c r="C1974" s="1" t="s">
        <v>1481</v>
      </c>
      <c r="D1974" s="4" t="e">
        <f>VLOOKUP(A1974,المعطيات!$A$1:$J$3500,5,0)</f>
        <v>#N/A</v>
      </c>
      <c r="E1974" s="1" t="s">
        <v>1482</v>
      </c>
      <c r="F1974" s="5">
        <f t="shared" si="90"/>
        <v>0</v>
      </c>
      <c r="G1974" s="5" t="s">
        <v>1483</v>
      </c>
      <c r="H1974" s="4" t="e">
        <f>VLOOKUP(A1974,المعطيات!$A$1:$J$3500,3,0)</f>
        <v>#N/A</v>
      </c>
      <c r="I1974" s="1" t="s">
        <v>1484</v>
      </c>
      <c r="J1974" s="1" t="s">
        <v>1485</v>
      </c>
      <c r="K1974" s="4" t="e">
        <f>VLOOKUP(A1974,المعطيات!$A$1:$J$3500,6,0)</f>
        <v>#N/A</v>
      </c>
      <c r="L1974" s="1" t="s">
        <v>1486</v>
      </c>
      <c r="M1974" s="1" t="s">
        <v>1487</v>
      </c>
      <c r="N1974" s="4" t="e">
        <f t="shared" si="91"/>
        <v>#N/A</v>
      </c>
      <c r="O1974" s="1" t="s">
        <v>1488</v>
      </c>
      <c r="P1974" s="4" t="e">
        <f>VLOOKUP(A1974,المعطيات!$A$1:$J$3500,4,0)</f>
        <v>#N/A</v>
      </c>
      <c r="Q1974" s="1" t="s">
        <v>1489</v>
      </c>
      <c r="R1974" s="1" t="s">
        <v>1480</v>
      </c>
      <c r="S1974" s="6" t="e">
        <f t="shared" si="92"/>
        <v>#N/A</v>
      </c>
    </row>
    <row r="1975" spans="2:19" x14ac:dyDescent="0.25">
      <c r="B1975" s="1" t="s">
        <v>1479</v>
      </c>
      <c r="C1975" s="1" t="s">
        <v>1481</v>
      </c>
      <c r="D1975" s="4" t="e">
        <f>VLOOKUP(A1975,المعطيات!$A$1:$J$3500,5,0)</f>
        <v>#N/A</v>
      </c>
      <c r="E1975" s="1" t="s">
        <v>1482</v>
      </c>
      <c r="F1975" s="5">
        <f t="shared" si="90"/>
        <v>0</v>
      </c>
      <c r="G1975" s="5" t="s">
        <v>1483</v>
      </c>
      <c r="H1975" s="4" t="e">
        <f>VLOOKUP(A1975,المعطيات!$A$1:$J$3500,3,0)</f>
        <v>#N/A</v>
      </c>
      <c r="I1975" s="1" t="s">
        <v>1484</v>
      </c>
      <c r="J1975" s="1" t="s">
        <v>1485</v>
      </c>
      <c r="K1975" s="4" t="e">
        <f>VLOOKUP(A1975,المعطيات!$A$1:$J$3500,6,0)</f>
        <v>#N/A</v>
      </c>
      <c r="L1975" s="1" t="s">
        <v>1486</v>
      </c>
      <c r="M1975" s="1" t="s">
        <v>1487</v>
      </c>
      <c r="N1975" s="4" t="e">
        <f t="shared" si="91"/>
        <v>#N/A</v>
      </c>
      <c r="O1975" s="1" t="s">
        <v>1488</v>
      </c>
      <c r="P1975" s="4" t="e">
        <f>VLOOKUP(A1975,المعطيات!$A$1:$J$3500,4,0)</f>
        <v>#N/A</v>
      </c>
      <c r="Q1975" s="1" t="s">
        <v>1489</v>
      </c>
      <c r="R1975" s="1" t="s">
        <v>1480</v>
      </c>
      <c r="S1975" s="6" t="e">
        <f t="shared" si="92"/>
        <v>#N/A</v>
      </c>
    </row>
    <row r="1976" spans="2:19" x14ac:dyDescent="0.25">
      <c r="B1976" s="1" t="s">
        <v>1479</v>
      </c>
      <c r="C1976" s="1" t="s">
        <v>1481</v>
      </c>
      <c r="D1976" s="4" t="e">
        <f>VLOOKUP(A1976,المعطيات!$A$1:$J$3500,5,0)</f>
        <v>#N/A</v>
      </c>
      <c r="E1976" s="1" t="s">
        <v>1482</v>
      </c>
      <c r="F1976" s="5">
        <f t="shared" si="90"/>
        <v>0</v>
      </c>
      <c r="G1976" s="5" t="s">
        <v>1483</v>
      </c>
      <c r="H1976" s="4" t="e">
        <f>VLOOKUP(A1976,المعطيات!$A$1:$J$3500,3,0)</f>
        <v>#N/A</v>
      </c>
      <c r="I1976" s="1" t="s">
        <v>1484</v>
      </c>
      <c r="J1976" s="1" t="s">
        <v>1485</v>
      </c>
      <c r="K1976" s="4" t="e">
        <f>VLOOKUP(A1976,المعطيات!$A$1:$J$3500,6,0)</f>
        <v>#N/A</v>
      </c>
      <c r="L1976" s="1" t="s">
        <v>1486</v>
      </c>
      <c r="M1976" s="1" t="s">
        <v>1487</v>
      </c>
      <c r="N1976" s="4" t="e">
        <f t="shared" si="91"/>
        <v>#N/A</v>
      </c>
      <c r="O1976" s="1" t="s">
        <v>1488</v>
      </c>
      <c r="P1976" s="4" t="e">
        <f>VLOOKUP(A1976,المعطيات!$A$1:$J$3500,4,0)</f>
        <v>#N/A</v>
      </c>
      <c r="Q1976" s="1" t="s">
        <v>1489</v>
      </c>
      <c r="R1976" s="1" t="s">
        <v>1480</v>
      </c>
      <c r="S1976" s="6" t="e">
        <f t="shared" si="92"/>
        <v>#N/A</v>
      </c>
    </row>
    <row r="1977" spans="2:19" x14ac:dyDescent="0.25">
      <c r="B1977" s="1" t="s">
        <v>1479</v>
      </c>
      <c r="C1977" s="1" t="s">
        <v>1481</v>
      </c>
      <c r="D1977" s="4" t="e">
        <f>VLOOKUP(A1977,المعطيات!$A$1:$J$3500,5,0)</f>
        <v>#N/A</v>
      </c>
      <c r="E1977" s="1" t="s">
        <v>1482</v>
      </c>
      <c r="F1977" s="5">
        <f t="shared" si="90"/>
        <v>0</v>
      </c>
      <c r="G1977" s="5" t="s">
        <v>1483</v>
      </c>
      <c r="H1977" s="4" t="e">
        <f>VLOOKUP(A1977,المعطيات!$A$1:$J$3500,3,0)</f>
        <v>#N/A</v>
      </c>
      <c r="I1977" s="1" t="s">
        <v>1484</v>
      </c>
      <c r="J1977" s="1" t="s">
        <v>1485</v>
      </c>
      <c r="K1977" s="4" t="e">
        <f>VLOOKUP(A1977,المعطيات!$A$1:$J$3500,6,0)</f>
        <v>#N/A</v>
      </c>
      <c r="L1977" s="1" t="s">
        <v>1486</v>
      </c>
      <c r="M1977" s="1" t="s">
        <v>1487</v>
      </c>
      <c r="N1977" s="4" t="e">
        <f t="shared" si="91"/>
        <v>#N/A</v>
      </c>
      <c r="O1977" s="1" t="s">
        <v>1488</v>
      </c>
      <c r="P1977" s="4" t="e">
        <f>VLOOKUP(A1977,المعطيات!$A$1:$J$3500,4,0)</f>
        <v>#N/A</v>
      </c>
      <c r="Q1977" s="1" t="s">
        <v>1489</v>
      </c>
      <c r="R1977" s="1" t="s">
        <v>1480</v>
      </c>
      <c r="S1977" s="6" t="e">
        <f t="shared" si="92"/>
        <v>#N/A</v>
      </c>
    </row>
    <row r="1978" spans="2:19" x14ac:dyDescent="0.25">
      <c r="B1978" s="1" t="s">
        <v>1479</v>
      </c>
      <c r="C1978" s="1" t="s">
        <v>1481</v>
      </c>
      <c r="D1978" s="4" t="e">
        <f>VLOOKUP(A1978,المعطيات!$A$1:$J$3500,5,0)</f>
        <v>#N/A</v>
      </c>
      <c r="E1978" s="1" t="s">
        <v>1482</v>
      </c>
      <c r="F1978" s="5">
        <f t="shared" si="90"/>
        <v>0</v>
      </c>
      <c r="G1978" s="5" t="s">
        <v>1483</v>
      </c>
      <c r="H1978" s="4" t="e">
        <f>VLOOKUP(A1978,المعطيات!$A$1:$J$3500,3,0)</f>
        <v>#N/A</v>
      </c>
      <c r="I1978" s="1" t="s">
        <v>1484</v>
      </c>
      <c r="J1978" s="1" t="s">
        <v>1485</v>
      </c>
      <c r="K1978" s="4" t="e">
        <f>VLOOKUP(A1978,المعطيات!$A$1:$J$3500,6,0)</f>
        <v>#N/A</v>
      </c>
      <c r="L1978" s="1" t="s">
        <v>1486</v>
      </c>
      <c r="M1978" s="1" t="s">
        <v>1487</v>
      </c>
      <c r="N1978" s="4" t="e">
        <f t="shared" si="91"/>
        <v>#N/A</v>
      </c>
      <c r="O1978" s="1" t="s">
        <v>1488</v>
      </c>
      <c r="P1978" s="4" t="e">
        <f>VLOOKUP(A1978,المعطيات!$A$1:$J$3500,4,0)</f>
        <v>#N/A</v>
      </c>
      <c r="Q1978" s="1" t="s">
        <v>1489</v>
      </c>
      <c r="R1978" s="1" t="s">
        <v>1480</v>
      </c>
      <c r="S1978" s="6" t="e">
        <f t="shared" si="92"/>
        <v>#N/A</v>
      </c>
    </row>
    <row r="1979" spans="2:19" x14ac:dyDescent="0.25">
      <c r="B1979" s="1" t="s">
        <v>1479</v>
      </c>
      <c r="C1979" s="1" t="s">
        <v>1481</v>
      </c>
      <c r="D1979" s="4" t="e">
        <f>VLOOKUP(A1979,المعطيات!$A$1:$J$3500,5,0)</f>
        <v>#N/A</v>
      </c>
      <c r="E1979" s="1" t="s">
        <v>1482</v>
      </c>
      <c r="F1979" s="5">
        <f t="shared" si="90"/>
        <v>0</v>
      </c>
      <c r="G1979" s="5" t="s">
        <v>1483</v>
      </c>
      <c r="H1979" s="4" t="e">
        <f>VLOOKUP(A1979,المعطيات!$A$1:$J$3500,3,0)</f>
        <v>#N/A</v>
      </c>
      <c r="I1979" s="1" t="s">
        <v>1484</v>
      </c>
      <c r="J1979" s="1" t="s">
        <v>1485</v>
      </c>
      <c r="K1979" s="4" t="e">
        <f>VLOOKUP(A1979,المعطيات!$A$1:$J$3500,6,0)</f>
        <v>#N/A</v>
      </c>
      <c r="L1979" s="1" t="s">
        <v>1486</v>
      </c>
      <c r="M1979" s="1" t="s">
        <v>1487</v>
      </c>
      <c r="N1979" s="4" t="e">
        <f t="shared" si="91"/>
        <v>#N/A</v>
      </c>
      <c r="O1979" s="1" t="s">
        <v>1488</v>
      </c>
      <c r="P1979" s="4" t="e">
        <f>VLOOKUP(A1979,المعطيات!$A$1:$J$3500,4,0)</f>
        <v>#N/A</v>
      </c>
      <c r="Q1979" s="1" t="s">
        <v>1489</v>
      </c>
      <c r="R1979" s="1" t="s">
        <v>1480</v>
      </c>
      <c r="S1979" s="6" t="e">
        <f t="shared" si="92"/>
        <v>#N/A</v>
      </c>
    </row>
    <row r="1980" spans="2:19" x14ac:dyDescent="0.25">
      <c r="B1980" s="1" t="s">
        <v>1479</v>
      </c>
      <c r="C1980" s="1" t="s">
        <v>1481</v>
      </c>
      <c r="D1980" s="4" t="e">
        <f>VLOOKUP(A1980,المعطيات!$A$1:$J$3500,5,0)</f>
        <v>#N/A</v>
      </c>
      <c r="E1980" s="1" t="s">
        <v>1482</v>
      </c>
      <c r="F1980" s="5">
        <f t="shared" si="90"/>
        <v>0</v>
      </c>
      <c r="G1980" s="5" t="s">
        <v>1483</v>
      </c>
      <c r="H1980" s="4" t="e">
        <f>VLOOKUP(A1980,المعطيات!$A$1:$J$3500,3,0)</f>
        <v>#N/A</v>
      </c>
      <c r="I1980" s="1" t="s">
        <v>1484</v>
      </c>
      <c r="J1980" s="1" t="s">
        <v>1485</v>
      </c>
      <c r="K1980" s="4" t="e">
        <f>VLOOKUP(A1980,المعطيات!$A$1:$J$3500,6,0)</f>
        <v>#N/A</v>
      </c>
      <c r="L1980" s="1" t="s">
        <v>1486</v>
      </c>
      <c r="M1980" s="1" t="s">
        <v>1487</v>
      </c>
      <c r="N1980" s="4" t="e">
        <f t="shared" si="91"/>
        <v>#N/A</v>
      </c>
      <c r="O1980" s="1" t="s">
        <v>1488</v>
      </c>
      <c r="P1980" s="4" t="e">
        <f>VLOOKUP(A1980,المعطيات!$A$1:$J$3500,4,0)</f>
        <v>#N/A</v>
      </c>
      <c r="Q1980" s="1" t="s">
        <v>1489</v>
      </c>
      <c r="R1980" s="1" t="s">
        <v>1480</v>
      </c>
      <c r="S1980" s="6" t="e">
        <f t="shared" si="92"/>
        <v>#N/A</v>
      </c>
    </row>
    <row r="1981" spans="2:19" x14ac:dyDescent="0.25">
      <c r="B1981" s="1" t="s">
        <v>1479</v>
      </c>
      <c r="C1981" s="1" t="s">
        <v>1481</v>
      </c>
      <c r="D1981" s="4" t="e">
        <f>VLOOKUP(A1981,المعطيات!$A$1:$J$3500,5,0)</f>
        <v>#N/A</v>
      </c>
      <c r="E1981" s="1" t="s">
        <v>1482</v>
      </c>
      <c r="F1981" s="5">
        <f t="shared" si="90"/>
        <v>0</v>
      </c>
      <c r="G1981" s="5" t="s">
        <v>1483</v>
      </c>
      <c r="H1981" s="4" t="e">
        <f>VLOOKUP(A1981,المعطيات!$A$1:$J$3500,3,0)</f>
        <v>#N/A</v>
      </c>
      <c r="I1981" s="1" t="s">
        <v>1484</v>
      </c>
      <c r="J1981" s="1" t="s">
        <v>1485</v>
      </c>
      <c r="K1981" s="4" t="e">
        <f>VLOOKUP(A1981,المعطيات!$A$1:$J$3500,6,0)</f>
        <v>#N/A</v>
      </c>
      <c r="L1981" s="1" t="s">
        <v>1486</v>
      </c>
      <c r="M1981" s="1" t="s">
        <v>1487</v>
      </c>
      <c r="N1981" s="4" t="e">
        <f t="shared" si="91"/>
        <v>#N/A</v>
      </c>
      <c r="O1981" s="1" t="s">
        <v>1488</v>
      </c>
      <c r="P1981" s="4" t="e">
        <f>VLOOKUP(A1981,المعطيات!$A$1:$J$3500,4,0)</f>
        <v>#N/A</v>
      </c>
      <c r="Q1981" s="1" t="s">
        <v>1489</v>
      </c>
      <c r="R1981" s="1" t="s">
        <v>1480</v>
      </c>
      <c r="S1981" s="6" t="e">
        <f t="shared" si="92"/>
        <v>#N/A</v>
      </c>
    </row>
    <row r="1982" spans="2:19" x14ac:dyDescent="0.25">
      <c r="B1982" s="1" t="s">
        <v>1479</v>
      </c>
      <c r="C1982" s="1" t="s">
        <v>1481</v>
      </c>
      <c r="D1982" s="4" t="e">
        <f>VLOOKUP(A1982,المعطيات!$A$1:$J$3500,5,0)</f>
        <v>#N/A</v>
      </c>
      <c r="E1982" s="1" t="s">
        <v>1482</v>
      </c>
      <c r="F1982" s="5">
        <f t="shared" si="90"/>
        <v>0</v>
      </c>
      <c r="G1982" s="5" t="s">
        <v>1483</v>
      </c>
      <c r="H1982" s="4" t="e">
        <f>VLOOKUP(A1982,المعطيات!$A$1:$J$3500,3,0)</f>
        <v>#N/A</v>
      </c>
      <c r="I1982" s="1" t="s">
        <v>1484</v>
      </c>
      <c r="J1982" s="1" t="s">
        <v>1485</v>
      </c>
      <c r="K1982" s="4" t="e">
        <f>VLOOKUP(A1982,المعطيات!$A$1:$J$3500,6,0)</f>
        <v>#N/A</v>
      </c>
      <c r="L1982" s="1" t="s">
        <v>1486</v>
      </c>
      <c r="M1982" s="1" t="s">
        <v>1487</v>
      </c>
      <c r="N1982" s="4" t="e">
        <f t="shared" si="91"/>
        <v>#N/A</v>
      </c>
      <c r="O1982" s="1" t="s">
        <v>1488</v>
      </c>
      <c r="P1982" s="4" t="e">
        <f>VLOOKUP(A1982,المعطيات!$A$1:$J$3500,4,0)</f>
        <v>#N/A</v>
      </c>
      <c r="Q1982" s="1" t="s">
        <v>1489</v>
      </c>
      <c r="R1982" s="1" t="s">
        <v>1480</v>
      </c>
      <c r="S1982" s="6" t="e">
        <f t="shared" si="92"/>
        <v>#N/A</v>
      </c>
    </row>
    <row r="1983" spans="2:19" x14ac:dyDescent="0.25">
      <c r="B1983" s="1" t="s">
        <v>1479</v>
      </c>
      <c r="C1983" s="1" t="s">
        <v>1481</v>
      </c>
      <c r="D1983" s="4" t="e">
        <f>VLOOKUP(A1983,المعطيات!$A$1:$J$3500,5,0)</f>
        <v>#N/A</v>
      </c>
      <c r="E1983" s="1" t="s">
        <v>1482</v>
      </c>
      <c r="F1983" s="5">
        <f t="shared" si="90"/>
        <v>0</v>
      </c>
      <c r="G1983" s="5" t="s">
        <v>1483</v>
      </c>
      <c r="H1983" s="4" t="e">
        <f>VLOOKUP(A1983,المعطيات!$A$1:$J$3500,3,0)</f>
        <v>#N/A</v>
      </c>
      <c r="I1983" s="1" t="s">
        <v>1484</v>
      </c>
      <c r="J1983" s="1" t="s">
        <v>1485</v>
      </c>
      <c r="K1983" s="4" t="e">
        <f>VLOOKUP(A1983,المعطيات!$A$1:$J$3500,6,0)</f>
        <v>#N/A</v>
      </c>
      <c r="L1983" s="1" t="s">
        <v>1486</v>
      </c>
      <c r="M1983" s="1" t="s">
        <v>1487</v>
      </c>
      <c r="N1983" s="4" t="e">
        <f t="shared" si="91"/>
        <v>#N/A</v>
      </c>
      <c r="O1983" s="1" t="s">
        <v>1488</v>
      </c>
      <c r="P1983" s="4" t="e">
        <f>VLOOKUP(A1983,المعطيات!$A$1:$J$3500,4,0)</f>
        <v>#N/A</v>
      </c>
      <c r="Q1983" s="1" t="s">
        <v>1489</v>
      </c>
      <c r="R1983" s="1" t="s">
        <v>1480</v>
      </c>
      <c r="S1983" s="6" t="e">
        <f t="shared" si="92"/>
        <v>#N/A</v>
      </c>
    </row>
    <row r="1984" spans="2:19" x14ac:dyDescent="0.25">
      <c r="B1984" s="1" t="s">
        <v>1479</v>
      </c>
      <c r="C1984" s="1" t="s">
        <v>1481</v>
      </c>
      <c r="D1984" s="4" t="e">
        <f>VLOOKUP(A1984,المعطيات!$A$1:$J$3500,5,0)</f>
        <v>#N/A</v>
      </c>
      <c r="E1984" s="1" t="s">
        <v>1482</v>
      </c>
      <c r="F1984" s="5">
        <f t="shared" si="90"/>
        <v>0</v>
      </c>
      <c r="G1984" s="5" t="s">
        <v>1483</v>
      </c>
      <c r="H1984" s="4" t="e">
        <f>VLOOKUP(A1984,المعطيات!$A$1:$J$3500,3,0)</f>
        <v>#N/A</v>
      </c>
      <c r="I1984" s="1" t="s">
        <v>1484</v>
      </c>
      <c r="J1984" s="1" t="s">
        <v>1485</v>
      </c>
      <c r="K1984" s="4" t="e">
        <f>VLOOKUP(A1984,المعطيات!$A$1:$J$3500,6,0)</f>
        <v>#N/A</v>
      </c>
      <c r="L1984" s="1" t="s">
        <v>1486</v>
      </c>
      <c r="M1984" s="1" t="s">
        <v>1487</v>
      </c>
      <c r="N1984" s="4" t="e">
        <f t="shared" si="91"/>
        <v>#N/A</v>
      </c>
      <c r="O1984" s="1" t="s">
        <v>1488</v>
      </c>
      <c r="P1984" s="4" t="e">
        <f>VLOOKUP(A1984,المعطيات!$A$1:$J$3500,4,0)</f>
        <v>#N/A</v>
      </c>
      <c r="Q1984" s="1" t="s">
        <v>1489</v>
      </c>
      <c r="R1984" s="1" t="s">
        <v>1480</v>
      </c>
      <c r="S1984" s="6" t="e">
        <f t="shared" si="92"/>
        <v>#N/A</v>
      </c>
    </row>
    <row r="1985" spans="2:19" x14ac:dyDescent="0.25">
      <c r="B1985" s="1" t="s">
        <v>1479</v>
      </c>
      <c r="C1985" s="1" t="s">
        <v>1481</v>
      </c>
      <c r="D1985" s="4" t="e">
        <f>VLOOKUP(A1985,المعطيات!$A$1:$J$3500,5,0)</f>
        <v>#N/A</v>
      </c>
      <c r="E1985" s="1" t="s">
        <v>1482</v>
      </c>
      <c r="F1985" s="5">
        <f t="shared" si="90"/>
        <v>0</v>
      </c>
      <c r="G1985" s="5" t="s">
        <v>1483</v>
      </c>
      <c r="H1985" s="4" t="e">
        <f>VLOOKUP(A1985,المعطيات!$A$1:$J$3500,3,0)</f>
        <v>#N/A</v>
      </c>
      <c r="I1985" s="1" t="s">
        <v>1484</v>
      </c>
      <c r="J1985" s="1" t="s">
        <v>1485</v>
      </c>
      <c r="K1985" s="4" t="e">
        <f>VLOOKUP(A1985,المعطيات!$A$1:$J$3500,6,0)</f>
        <v>#N/A</v>
      </c>
      <c r="L1985" s="1" t="s">
        <v>1486</v>
      </c>
      <c r="M1985" s="1" t="s">
        <v>1487</v>
      </c>
      <c r="N1985" s="4" t="e">
        <f t="shared" si="91"/>
        <v>#N/A</v>
      </c>
      <c r="O1985" s="1" t="s">
        <v>1488</v>
      </c>
      <c r="P1985" s="4" t="e">
        <f>VLOOKUP(A1985,المعطيات!$A$1:$J$3500,4,0)</f>
        <v>#N/A</v>
      </c>
      <c r="Q1985" s="1" t="s">
        <v>1489</v>
      </c>
      <c r="R1985" s="1" t="s">
        <v>1480</v>
      </c>
      <c r="S1985" s="6" t="e">
        <f t="shared" si="92"/>
        <v>#N/A</v>
      </c>
    </row>
    <row r="1986" spans="2:19" x14ac:dyDescent="0.25">
      <c r="B1986" s="1" t="s">
        <v>1479</v>
      </c>
      <c r="C1986" s="1" t="s">
        <v>1481</v>
      </c>
      <c r="D1986" s="4" t="e">
        <f>VLOOKUP(A1986,المعطيات!$A$1:$J$3500,5,0)</f>
        <v>#N/A</v>
      </c>
      <c r="E1986" s="1" t="s">
        <v>1482</v>
      </c>
      <c r="F1986" s="5">
        <f t="shared" ref="F1986:F2049" si="93">A1986</f>
        <v>0</v>
      </c>
      <c r="G1986" s="5" t="s">
        <v>1483</v>
      </c>
      <c r="H1986" s="4" t="e">
        <f>VLOOKUP(A1986,المعطيات!$A$1:$J$3500,3,0)</f>
        <v>#N/A</v>
      </c>
      <c r="I1986" s="1" t="s">
        <v>1484</v>
      </c>
      <c r="J1986" s="1" t="s">
        <v>1485</v>
      </c>
      <c r="K1986" s="4" t="e">
        <f>VLOOKUP(A1986,المعطيات!$A$1:$J$3500,6,0)</f>
        <v>#N/A</v>
      </c>
      <c r="L1986" s="1" t="s">
        <v>1486</v>
      </c>
      <c r="M1986" s="1" t="s">
        <v>1487</v>
      </c>
      <c r="N1986" s="4" t="e">
        <f t="shared" ref="N1986:N2049" si="94">D1986</f>
        <v>#N/A</v>
      </c>
      <c r="O1986" s="1" t="s">
        <v>1488</v>
      </c>
      <c r="P1986" s="4" t="e">
        <f>VLOOKUP(A1986,المعطيات!$A$1:$J$3500,4,0)</f>
        <v>#N/A</v>
      </c>
      <c r="Q1986" s="1" t="s">
        <v>1489</v>
      </c>
      <c r="R1986" s="1" t="s">
        <v>1480</v>
      </c>
      <c r="S1986" s="6" t="e">
        <f t="shared" ref="S1986:S2049" si="95">B1986&amp;""&amp;C1986&amp;""&amp;D1986&amp;""&amp;E1986&amp;""&amp;F1986&amp;""&amp;G1986&amp;""&amp;H1986&amp;""&amp;I1986&amp;""&amp;J1986&amp;""&amp;K1986&amp;""&amp;L1986&amp;""&amp;M1986&amp;""&amp;N1986&amp;""&amp;O1986&amp;""&amp;P1986&amp;""&amp;Q1986&amp;""&amp;R1986</f>
        <v>#N/A</v>
      </c>
    </row>
    <row r="1987" spans="2:19" x14ac:dyDescent="0.25">
      <c r="B1987" s="1" t="s">
        <v>1479</v>
      </c>
      <c r="C1987" s="1" t="s">
        <v>1481</v>
      </c>
      <c r="D1987" s="4" t="e">
        <f>VLOOKUP(A1987,المعطيات!$A$1:$J$3500,5,0)</f>
        <v>#N/A</v>
      </c>
      <c r="E1987" s="1" t="s">
        <v>1482</v>
      </c>
      <c r="F1987" s="5">
        <f t="shared" si="93"/>
        <v>0</v>
      </c>
      <c r="G1987" s="5" t="s">
        <v>1483</v>
      </c>
      <c r="H1987" s="4" t="e">
        <f>VLOOKUP(A1987,المعطيات!$A$1:$J$3500,3,0)</f>
        <v>#N/A</v>
      </c>
      <c r="I1987" s="1" t="s">
        <v>1484</v>
      </c>
      <c r="J1987" s="1" t="s">
        <v>1485</v>
      </c>
      <c r="K1987" s="4" t="e">
        <f>VLOOKUP(A1987,المعطيات!$A$1:$J$3500,6,0)</f>
        <v>#N/A</v>
      </c>
      <c r="L1987" s="1" t="s">
        <v>1486</v>
      </c>
      <c r="M1987" s="1" t="s">
        <v>1487</v>
      </c>
      <c r="N1987" s="4" t="e">
        <f t="shared" si="94"/>
        <v>#N/A</v>
      </c>
      <c r="O1987" s="1" t="s">
        <v>1488</v>
      </c>
      <c r="P1987" s="4" t="e">
        <f>VLOOKUP(A1987,المعطيات!$A$1:$J$3500,4,0)</f>
        <v>#N/A</v>
      </c>
      <c r="Q1987" s="1" t="s">
        <v>1489</v>
      </c>
      <c r="R1987" s="1" t="s">
        <v>1480</v>
      </c>
      <c r="S1987" s="6" t="e">
        <f t="shared" si="95"/>
        <v>#N/A</v>
      </c>
    </row>
    <row r="1988" spans="2:19" x14ac:dyDescent="0.25">
      <c r="B1988" s="1" t="s">
        <v>1479</v>
      </c>
      <c r="C1988" s="1" t="s">
        <v>1481</v>
      </c>
      <c r="D1988" s="4" t="e">
        <f>VLOOKUP(A1988,المعطيات!$A$1:$J$3500,5,0)</f>
        <v>#N/A</v>
      </c>
      <c r="E1988" s="1" t="s">
        <v>1482</v>
      </c>
      <c r="F1988" s="5">
        <f t="shared" si="93"/>
        <v>0</v>
      </c>
      <c r="G1988" s="5" t="s">
        <v>1483</v>
      </c>
      <c r="H1988" s="4" t="e">
        <f>VLOOKUP(A1988,المعطيات!$A$1:$J$3500,3,0)</f>
        <v>#N/A</v>
      </c>
      <c r="I1988" s="1" t="s">
        <v>1484</v>
      </c>
      <c r="J1988" s="1" t="s">
        <v>1485</v>
      </c>
      <c r="K1988" s="4" t="e">
        <f>VLOOKUP(A1988,المعطيات!$A$1:$J$3500,6,0)</f>
        <v>#N/A</v>
      </c>
      <c r="L1988" s="1" t="s">
        <v>1486</v>
      </c>
      <c r="M1988" s="1" t="s">
        <v>1487</v>
      </c>
      <c r="N1988" s="4" t="e">
        <f t="shared" si="94"/>
        <v>#N/A</v>
      </c>
      <c r="O1988" s="1" t="s">
        <v>1488</v>
      </c>
      <c r="P1988" s="4" t="e">
        <f>VLOOKUP(A1988,المعطيات!$A$1:$J$3500,4,0)</f>
        <v>#N/A</v>
      </c>
      <c r="Q1988" s="1" t="s">
        <v>1489</v>
      </c>
      <c r="R1988" s="1" t="s">
        <v>1480</v>
      </c>
      <c r="S1988" s="6" t="e">
        <f t="shared" si="95"/>
        <v>#N/A</v>
      </c>
    </row>
    <row r="1989" spans="2:19" x14ac:dyDescent="0.25">
      <c r="B1989" s="1" t="s">
        <v>1479</v>
      </c>
      <c r="C1989" s="1" t="s">
        <v>1481</v>
      </c>
      <c r="D1989" s="4" t="e">
        <f>VLOOKUP(A1989,المعطيات!$A$1:$J$3500,5,0)</f>
        <v>#N/A</v>
      </c>
      <c r="E1989" s="1" t="s">
        <v>1482</v>
      </c>
      <c r="F1989" s="5">
        <f t="shared" si="93"/>
        <v>0</v>
      </c>
      <c r="G1989" s="5" t="s">
        <v>1483</v>
      </c>
      <c r="H1989" s="4" t="e">
        <f>VLOOKUP(A1989,المعطيات!$A$1:$J$3500,3,0)</f>
        <v>#N/A</v>
      </c>
      <c r="I1989" s="1" t="s">
        <v>1484</v>
      </c>
      <c r="J1989" s="1" t="s">
        <v>1485</v>
      </c>
      <c r="K1989" s="4" t="e">
        <f>VLOOKUP(A1989,المعطيات!$A$1:$J$3500,6,0)</f>
        <v>#N/A</v>
      </c>
      <c r="L1989" s="1" t="s">
        <v>1486</v>
      </c>
      <c r="M1989" s="1" t="s">
        <v>1487</v>
      </c>
      <c r="N1989" s="4" t="e">
        <f t="shared" si="94"/>
        <v>#N/A</v>
      </c>
      <c r="O1989" s="1" t="s">
        <v>1488</v>
      </c>
      <c r="P1989" s="4" t="e">
        <f>VLOOKUP(A1989,المعطيات!$A$1:$J$3500,4,0)</f>
        <v>#N/A</v>
      </c>
      <c r="Q1989" s="1" t="s">
        <v>1489</v>
      </c>
      <c r="R1989" s="1" t="s">
        <v>1480</v>
      </c>
      <c r="S1989" s="6" t="e">
        <f t="shared" si="95"/>
        <v>#N/A</v>
      </c>
    </row>
    <row r="1990" spans="2:19" x14ac:dyDescent="0.25">
      <c r="B1990" s="1" t="s">
        <v>1479</v>
      </c>
      <c r="C1990" s="1" t="s">
        <v>1481</v>
      </c>
      <c r="D1990" s="4" t="e">
        <f>VLOOKUP(A1990,المعطيات!$A$1:$J$3500,5,0)</f>
        <v>#N/A</v>
      </c>
      <c r="E1990" s="1" t="s">
        <v>1482</v>
      </c>
      <c r="F1990" s="5">
        <f t="shared" si="93"/>
        <v>0</v>
      </c>
      <c r="G1990" s="5" t="s">
        <v>1483</v>
      </c>
      <c r="H1990" s="4" t="e">
        <f>VLOOKUP(A1990,المعطيات!$A$1:$J$3500,3,0)</f>
        <v>#N/A</v>
      </c>
      <c r="I1990" s="1" t="s">
        <v>1484</v>
      </c>
      <c r="J1990" s="1" t="s">
        <v>1485</v>
      </c>
      <c r="K1990" s="4" t="e">
        <f>VLOOKUP(A1990,المعطيات!$A$1:$J$3500,6,0)</f>
        <v>#N/A</v>
      </c>
      <c r="L1990" s="1" t="s">
        <v>1486</v>
      </c>
      <c r="M1990" s="1" t="s">
        <v>1487</v>
      </c>
      <c r="N1990" s="4" t="e">
        <f t="shared" si="94"/>
        <v>#N/A</v>
      </c>
      <c r="O1990" s="1" t="s">
        <v>1488</v>
      </c>
      <c r="P1990" s="4" t="e">
        <f>VLOOKUP(A1990,المعطيات!$A$1:$J$3500,4,0)</f>
        <v>#N/A</v>
      </c>
      <c r="Q1990" s="1" t="s">
        <v>1489</v>
      </c>
      <c r="R1990" s="1" t="s">
        <v>1480</v>
      </c>
      <c r="S1990" s="6" t="e">
        <f t="shared" si="95"/>
        <v>#N/A</v>
      </c>
    </row>
    <row r="1991" spans="2:19" x14ac:dyDescent="0.25">
      <c r="B1991" s="1" t="s">
        <v>1479</v>
      </c>
      <c r="C1991" s="1" t="s">
        <v>1481</v>
      </c>
      <c r="D1991" s="4" t="e">
        <f>VLOOKUP(A1991,المعطيات!$A$1:$J$3500,5,0)</f>
        <v>#N/A</v>
      </c>
      <c r="E1991" s="1" t="s">
        <v>1482</v>
      </c>
      <c r="F1991" s="5">
        <f t="shared" si="93"/>
        <v>0</v>
      </c>
      <c r="G1991" s="5" t="s">
        <v>1483</v>
      </c>
      <c r="H1991" s="4" t="e">
        <f>VLOOKUP(A1991,المعطيات!$A$1:$J$3500,3,0)</f>
        <v>#N/A</v>
      </c>
      <c r="I1991" s="1" t="s">
        <v>1484</v>
      </c>
      <c r="J1991" s="1" t="s">
        <v>1485</v>
      </c>
      <c r="K1991" s="4" t="e">
        <f>VLOOKUP(A1991,المعطيات!$A$1:$J$3500,6,0)</f>
        <v>#N/A</v>
      </c>
      <c r="L1991" s="1" t="s">
        <v>1486</v>
      </c>
      <c r="M1991" s="1" t="s">
        <v>1487</v>
      </c>
      <c r="N1991" s="4" t="e">
        <f t="shared" si="94"/>
        <v>#N/A</v>
      </c>
      <c r="O1991" s="1" t="s">
        <v>1488</v>
      </c>
      <c r="P1991" s="4" t="e">
        <f>VLOOKUP(A1991,المعطيات!$A$1:$J$3500,4,0)</f>
        <v>#N/A</v>
      </c>
      <c r="Q1991" s="1" t="s">
        <v>1489</v>
      </c>
      <c r="R1991" s="1" t="s">
        <v>1480</v>
      </c>
      <c r="S1991" s="6" t="e">
        <f t="shared" si="95"/>
        <v>#N/A</v>
      </c>
    </row>
    <row r="1992" spans="2:19" x14ac:dyDescent="0.25">
      <c r="B1992" s="1" t="s">
        <v>1479</v>
      </c>
      <c r="C1992" s="1" t="s">
        <v>1481</v>
      </c>
      <c r="D1992" s="4" t="e">
        <f>VLOOKUP(A1992,المعطيات!$A$1:$J$3500,5,0)</f>
        <v>#N/A</v>
      </c>
      <c r="E1992" s="1" t="s">
        <v>1482</v>
      </c>
      <c r="F1992" s="5">
        <f t="shared" si="93"/>
        <v>0</v>
      </c>
      <c r="G1992" s="5" t="s">
        <v>1483</v>
      </c>
      <c r="H1992" s="4" t="e">
        <f>VLOOKUP(A1992,المعطيات!$A$1:$J$3500,3,0)</f>
        <v>#N/A</v>
      </c>
      <c r="I1992" s="1" t="s">
        <v>1484</v>
      </c>
      <c r="J1992" s="1" t="s">
        <v>1485</v>
      </c>
      <c r="K1992" s="4" t="e">
        <f>VLOOKUP(A1992,المعطيات!$A$1:$J$3500,6,0)</f>
        <v>#N/A</v>
      </c>
      <c r="L1992" s="1" t="s">
        <v>1486</v>
      </c>
      <c r="M1992" s="1" t="s">
        <v>1487</v>
      </c>
      <c r="N1992" s="4" t="e">
        <f t="shared" si="94"/>
        <v>#N/A</v>
      </c>
      <c r="O1992" s="1" t="s">
        <v>1488</v>
      </c>
      <c r="P1992" s="4" t="e">
        <f>VLOOKUP(A1992,المعطيات!$A$1:$J$3500,4,0)</f>
        <v>#N/A</v>
      </c>
      <c r="Q1992" s="1" t="s">
        <v>1489</v>
      </c>
      <c r="R1992" s="1" t="s">
        <v>1480</v>
      </c>
      <c r="S1992" s="6" t="e">
        <f t="shared" si="95"/>
        <v>#N/A</v>
      </c>
    </row>
    <row r="1993" spans="2:19" x14ac:dyDescent="0.25">
      <c r="B1993" s="1" t="s">
        <v>1479</v>
      </c>
      <c r="C1993" s="1" t="s">
        <v>1481</v>
      </c>
      <c r="D1993" s="4" t="e">
        <f>VLOOKUP(A1993,المعطيات!$A$1:$J$3500,5,0)</f>
        <v>#N/A</v>
      </c>
      <c r="E1993" s="1" t="s">
        <v>1482</v>
      </c>
      <c r="F1993" s="5">
        <f t="shared" si="93"/>
        <v>0</v>
      </c>
      <c r="G1993" s="5" t="s">
        <v>1483</v>
      </c>
      <c r="H1993" s="4" t="e">
        <f>VLOOKUP(A1993,المعطيات!$A$1:$J$3500,3,0)</f>
        <v>#N/A</v>
      </c>
      <c r="I1993" s="1" t="s">
        <v>1484</v>
      </c>
      <c r="J1993" s="1" t="s">
        <v>1485</v>
      </c>
      <c r="K1993" s="4" t="e">
        <f>VLOOKUP(A1993,المعطيات!$A$1:$J$3500,6,0)</f>
        <v>#N/A</v>
      </c>
      <c r="L1993" s="1" t="s">
        <v>1486</v>
      </c>
      <c r="M1993" s="1" t="s">
        <v>1487</v>
      </c>
      <c r="N1993" s="4" t="e">
        <f t="shared" si="94"/>
        <v>#N/A</v>
      </c>
      <c r="O1993" s="1" t="s">
        <v>1488</v>
      </c>
      <c r="P1993" s="4" t="e">
        <f>VLOOKUP(A1993,المعطيات!$A$1:$J$3500,4,0)</f>
        <v>#N/A</v>
      </c>
      <c r="Q1993" s="1" t="s">
        <v>1489</v>
      </c>
      <c r="R1993" s="1" t="s">
        <v>1480</v>
      </c>
      <c r="S1993" s="6" t="e">
        <f t="shared" si="95"/>
        <v>#N/A</v>
      </c>
    </row>
    <row r="1994" spans="2:19" x14ac:dyDescent="0.25">
      <c r="B1994" s="1" t="s">
        <v>1479</v>
      </c>
      <c r="C1994" s="1" t="s">
        <v>1481</v>
      </c>
      <c r="D1994" s="4" t="e">
        <f>VLOOKUP(A1994,المعطيات!$A$1:$J$3500,5,0)</f>
        <v>#N/A</v>
      </c>
      <c r="E1994" s="1" t="s">
        <v>1482</v>
      </c>
      <c r="F1994" s="5">
        <f t="shared" si="93"/>
        <v>0</v>
      </c>
      <c r="G1994" s="5" t="s">
        <v>1483</v>
      </c>
      <c r="H1994" s="4" t="e">
        <f>VLOOKUP(A1994,المعطيات!$A$1:$J$3500,3,0)</f>
        <v>#N/A</v>
      </c>
      <c r="I1994" s="1" t="s">
        <v>1484</v>
      </c>
      <c r="J1994" s="1" t="s">
        <v>1485</v>
      </c>
      <c r="K1994" s="4" t="e">
        <f>VLOOKUP(A1994,المعطيات!$A$1:$J$3500,6,0)</f>
        <v>#N/A</v>
      </c>
      <c r="L1994" s="1" t="s">
        <v>1486</v>
      </c>
      <c r="M1994" s="1" t="s">
        <v>1487</v>
      </c>
      <c r="N1994" s="4" t="e">
        <f t="shared" si="94"/>
        <v>#N/A</v>
      </c>
      <c r="O1994" s="1" t="s">
        <v>1488</v>
      </c>
      <c r="P1994" s="4" t="e">
        <f>VLOOKUP(A1994,المعطيات!$A$1:$J$3500,4,0)</f>
        <v>#N/A</v>
      </c>
      <c r="Q1994" s="1" t="s">
        <v>1489</v>
      </c>
      <c r="R1994" s="1" t="s">
        <v>1480</v>
      </c>
      <c r="S1994" s="6" t="e">
        <f t="shared" si="95"/>
        <v>#N/A</v>
      </c>
    </row>
    <row r="1995" spans="2:19" x14ac:dyDescent="0.25">
      <c r="B1995" s="1" t="s">
        <v>1479</v>
      </c>
      <c r="C1995" s="1" t="s">
        <v>1481</v>
      </c>
      <c r="D1995" s="4" t="e">
        <f>VLOOKUP(A1995,المعطيات!$A$1:$J$3500,5,0)</f>
        <v>#N/A</v>
      </c>
      <c r="E1995" s="1" t="s">
        <v>1482</v>
      </c>
      <c r="F1995" s="5">
        <f t="shared" si="93"/>
        <v>0</v>
      </c>
      <c r="G1995" s="5" t="s">
        <v>1483</v>
      </c>
      <c r="H1995" s="4" t="e">
        <f>VLOOKUP(A1995,المعطيات!$A$1:$J$3500,3,0)</f>
        <v>#N/A</v>
      </c>
      <c r="I1995" s="1" t="s">
        <v>1484</v>
      </c>
      <c r="J1995" s="1" t="s">
        <v>1485</v>
      </c>
      <c r="K1995" s="4" t="e">
        <f>VLOOKUP(A1995,المعطيات!$A$1:$J$3500,6,0)</f>
        <v>#N/A</v>
      </c>
      <c r="L1995" s="1" t="s">
        <v>1486</v>
      </c>
      <c r="M1995" s="1" t="s">
        <v>1487</v>
      </c>
      <c r="N1995" s="4" t="e">
        <f t="shared" si="94"/>
        <v>#N/A</v>
      </c>
      <c r="O1995" s="1" t="s">
        <v>1488</v>
      </c>
      <c r="P1995" s="4" t="e">
        <f>VLOOKUP(A1995,المعطيات!$A$1:$J$3500,4,0)</f>
        <v>#N/A</v>
      </c>
      <c r="Q1995" s="1" t="s">
        <v>1489</v>
      </c>
      <c r="R1995" s="1" t="s">
        <v>1480</v>
      </c>
      <c r="S1995" s="6" t="e">
        <f t="shared" si="95"/>
        <v>#N/A</v>
      </c>
    </row>
    <row r="1996" spans="2:19" x14ac:dyDescent="0.25">
      <c r="B1996" s="1" t="s">
        <v>1479</v>
      </c>
      <c r="C1996" s="1" t="s">
        <v>1481</v>
      </c>
      <c r="D1996" s="4" t="e">
        <f>VLOOKUP(A1996,المعطيات!$A$1:$J$3500,5,0)</f>
        <v>#N/A</v>
      </c>
      <c r="E1996" s="1" t="s">
        <v>1482</v>
      </c>
      <c r="F1996" s="5">
        <f t="shared" si="93"/>
        <v>0</v>
      </c>
      <c r="G1996" s="5" t="s">
        <v>1483</v>
      </c>
      <c r="H1996" s="4" t="e">
        <f>VLOOKUP(A1996,المعطيات!$A$1:$J$3500,3,0)</f>
        <v>#N/A</v>
      </c>
      <c r="I1996" s="1" t="s">
        <v>1484</v>
      </c>
      <c r="J1996" s="1" t="s">
        <v>1485</v>
      </c>
      <c r="K1996" s="4" t="e">
        <f>VLOOKUP(A1996,المعطيات!$A$1:$J$3500,6,0)</f>
        <v>#N/A</v>
      </c>
      <c r="L1996" s="1" t="s">
        <v>1486</v>
      </c>
      <c r="M1996" s="1" t="s">
        <v>1487</v>
      </c>
      <c r="N1996" s="4" t="e">
        <f t="shared" si="94"/>
        <v>#N/A</v>
      </c>
      <c r="O1996" s="1" t="s">
        <v>1488</v>
      </c>
      <c r="P1996" s="4" t="e">
        <f>VLOOKUP(A1996,المعطيات!$A$1:$J$3500,4,0)</f>
        <v>#N/A</v>
      </c>
      <c r="Q1996" s="1" t="s">
        <v>1489</v>
      </c>
      <c r="R1996" s="1" t="s">
        <v>1480</v>
      </c>
      <c r="S1996" s="6" t="e">
        <f t="shared" si="95"/>
        <v>#N/A</v>
      </c>
    </row>
    <row r="1997" spans="2:19" x14ac:dyDescent="0.25">
      <c r="B1997" s="1" t="s">
        <v>1479</v>
      </c>
      <c r="C1997" s="1" t="s">
        <v>1481</v>
      </c>
      <c r="D1997" s="4" t="e">
        <f>VLOOKUP(A1997,المعطيات!$A$1:$J$3500,5,0)</f>
        <v>#N/A</v>
      </c>
      <c r="E1997" s="1" t="s">
        <v>1482</v>
      </c>
      <c r="F1997" s="5">
        <f t="shared" si="93"/>
        <v>0</v>
      </c>
      <c r="G1997" s="5" t="s">
        <v>1483</v>
      </c>
      <c r="H1997" s="4" t="e">
        <f>VLOOKUP(A1997,المعطيات!$A$1:$J$3500,3,0)</f>
        <v>#N/A</v>
      </c>
      <c r="I1997" s="1" t="s">
        <v>1484</v>
      </c>
      <c r="J1997" s="1" t="s">
        <v>1485</v>
      </c>
      <c r="K1997" s="4" t="e">
        <f>VLOOKUP(A1997,المعطيات!$A$1:$J$3500,6,0)</f>
        <v>#N/A</v>
      </c>
      <c r="L1997" s="1" t="s">
        <v>1486</v>
      </c>
      <c r="M1997" s="1" t="s">
        <v>1487</v>
      </c>
      <c r="N1997" s="4" t="e">
        <f t="shared" si="94"/>
        <v>#N/A</v>
      </c>
      <c r="O1997" s="1" t="s">
        <v>1488</v>
      </c>
      <c r="P1997" s="4" t="e">
        <f>VLOOKUP(A1997,المعطيات!$A$1:$J$3500,4,0)</f>
        <v>#N/A</v>
      </c>
      <c r="Q1997" s="1" t="s">
        <v>1489</v>
      </c>
      <c r="R1997" s="1" t="s">
        <v>1480</v>
      </c>
      <c r="S1997" s="6" t="e">
        <f t="shared" si="95"/>
        <v>#N/A</v>
      </c>
    </row>
    <row r="1998" spans="2:19" x14ac:dyDescent="0.25">
      <c r="B1998" s="1" t="s">
        <v>1479</v>
      </c>
      <c r="C1998" s="1" t="s">
        <v>1481</v>
      </c>
      <c r="D1998" s="4" t="e">
        <f>VLOOKUP(A1998,المعطيات!$A$1:$J$3500,5,0)</f>
        <v>#N/A</v>
      </c>
      <c r="E1998" s="1" t="s">
        <v>1482</v>
      </c>
      <c r="F1998" s="5">
        <f t="shared" si="93"/>
        <v>0</v>
      </c>
      <c r="G1998" s="5" t="s">
        <v>1483</v>
      </c>
      <c r="H1998" s="4" t="e">
        <f>VLOOKUP(A1998,المعطيات!$A$1:$J$3500,3,0)</f>
        <v>#N/A</v>
      </c>
      <c r="I1998" s="1" t="s">
        <v>1484</v>
      </c>
      <c r="J1998" s="1" t="s">
        <v>1485</v>
      </c>
      <c r="K1998" s="4" t="e">
        <f>VLOOKUP(A1998,المعطيات!$A$1:$J$3500,6,0)</f>
        <v>#N/A</v>
      </c>
      <c r="L1998" s="1" t="s">
        <v>1486</v>
      </c>
      <c r="M1998" s="1" t="s">
        <v>1487</v>
      </c>
      <c r="N1998" s="4" t="e">
        <f t="shared" si="94"/>
        <v>#N/A</v>
      </c>
      <c r="O1998" s="1" t="s">
        <v>1488</v>
      </c>
      <c r="P1998" s="4" t="e">
        <f>VLOOKUP(A1998,المعطيات!$A$1:$J$3500,4,0)</f>
        <v>#N/A</v>
      </c>
      <c r="Q1998" s="1" t="s">
        <v>1489</v>
      </c>
      <c r="R1998" s="1" t="s">
        <v>1480</v>
      </c>
      <c r="S1998" s="6" t="e">
        <f t="shared" si="95"/>
        <v>#N/A</v>
      </c>
    </row>
    <row r="1999" spans="2:19" x14ac:dyDescent="0.25">
      <c r="B1999" s="1" t="s">
        <v>1479</v>
      </c>
      <c r="C1999" s="1" t="s">
        <v>1481</v>
      </c>
      <c r="D1999" s="4" t="e">
        <f>VLOOKUP(A1999,المعطيات!$A$1:$J$3500,5,0)</f>
        <v>#N/A</v>
      </c>
      <c r="E1999" s="1" t="s">
        <v>1482</v>
      </c>
      <c r="F1999" s="5">
        <f t="shared" si="93"/>
        <v>0</v>
      </c>
      <c r="G1999" s="5" t="s">
        <v>1483</v>
      </c>
      <c r="H1999" s="4" t="e">
        <f>VLOOKUP(A1999,المعطيات!$A$1:$J$3500,3,0)</f>
        <v>#N/A</v>
      </c>
      <c r="I1999" s="1" t="s">
        <v>1484</v>
      </c>
      <c r="J1999" s="1" t="s">
        <v>1485</v>
      </c>
      <c r="K1999" s="4" t="e">
        <f>VLOOKUP(A1999,المعطيات!$A$1:$J$3500,6,0)</f>
        <v>#N/A</v>
      </c>
      <c r="L1999" s="1" t="s">
        <v>1486</v>
      </c>
      <c r="M1999" s="1" t="s">
        <v>1487</v>
      </c>
      <c r="N1999" s="4" t="e">
        <f t="shared" si="94"/>
        <v>#N/A</v>
      </c>
      <c r="O1999" s="1" t="s">
        <v>1488</v>
      </c>
      <c r="P1999" s="4" t="e">
        <f>VLOOKUP(A1999,المعطيات!$A$1:$J$3500,4,0)</f>
        <v>#N/A</v>
      </c>
      <c r="Q1999" s="1" t="s">
        <v>1489</v>
      </c>
      <c r="R1999" s="1" t="s">
        <v>1480</v>
      </c>
      <c r="S1999" s="6" t="e">
        <f t="shared" si="95"/>
        <v>#N/A</v>
      </c>
    </row>
    <row r="2000" spans="2:19" x14ac:dyDescent="0.25">
      <c r="B2000" s="1" t="s">
        <v>1479</v>
      </c>
      <c r="C2000" s="1" t="s">
        <v>1481</v>
      </c>
      <c r="D2000" s="4" t="e">
        <f>VLOOKUP(A2000,المعطيات!$A$1:$J$3500,5,0)</f>
        <v>#N/A</v>
      </c>
      <c r="E2000" s="1" t="s">
        <v>1482</v>
      </c>
      <c r="F2000" s="5">
        <f t="shared" si="93"/>
        <v>0</v>
      </c>
      <c r="G2000" s="5" t="s">
        <v>1483</v>
      </c>
      <c r="H2000" s="4" t="e">
        <f>VLOOKUP(A2000,المعطيات!$A$1:$J$3500,3,0)</f>
        <v>#N/A</v>
      </c>
      <c r="I2000" s="1" t="s">
        <v>1484</v>
      </c>
      <c r="J2000" s="1" t="s">
        <v>1485</v>
      </c>
      <c r="K2000" s="4" t="e">
        <f>VLOOKUP(A2000,المعطيات!$A$1:$J$3500,6,0)</f>
        <v>#N/A</v>
      </c>
      <c r="L2000" s="1" t="s">
        <v>1486</v>
      </c>
      <c r="M2000" s="1" t="s">
        <v>1487</v>
      </c>
      <c r="N2000" s="4" t="e">
        <f t="shared" si="94"/>
        <v>#N/A</v>
      </c>
      <c r="O2000" s="1" t="s">
        <v>1488</v>
      </c>
      <c r="P2000" s="4" t="e">
        <f>VLOOKUP(A2000,المعطيات!$A$1:$J$3500,4,0)</f>
        <v>#N/A</v>
      </c>
      <c r="Q2000" s="1" t="s">
        <v>1489</v>
      </c>
      <c r="R2000" s="1" t="s">
        <v>1480</v>
      </c>
      <c r="S2000" s="6" t="e">
        <f t="shared" si="95"/>
        <v>#N/A</v>
      </c>
    </row>
    <row r="2001" spans="2:19" x14ac:dyDescent="0.25">
      <c r="B2001" s="1" t="s">
        <v>1479</v>
      </c>
      <c r="C2001" s="1" t="s">
        <v>1481</v>
      </c>
      <c r="D2001" s="4" t="e">
        <f>VLOOKUP(A2001,المعطيات!$A$1:$J$3500,5,0)</f>
        <v>#N/A</v>
      </c>
      <c r="E2001" s="1" t="s">
        <v>1482</v>
      </c>
      <c r="F2001" s="5">
        <f t="shared" si="93"/>
        <v>0</v>
      </c>
      <c r="G2001" s="5" t="s">
        <v>1483</v>
      </c>
      <c r="H2001" s="4" t="e">
        <f>VLOOKUP(A2001,المعطيات!$A$1:$J$3500,3,0)</f>
        <v>#N/A</v>
      </c>
      <c r="I2001" s="1" t="s">
        <v>1484</v>
      </c>
      <c r="J2001" s="1" t="s">
        <v>1485</v>
      </c>
      <c r="K2001" s="4" t="e">
        <f>VLOOKUP(A2001,المعطيات!$A$1:$J$3500,6,0)</f>
        <v>#N/A</v>
      </c>
      <c r="L2001" s="1" t="s">
        <v>1486</v>
      </c>
      <c r="M2001" s="1" t="s">
        <v>1487</v>
      </c>
      <c r="N2001" s="4" t="e">
        <f t="shared" si="94"/>
        <v>#N/A</v>
      </c>
      <c r="O2001" s="1" t="s">
        <v>1488</v>
      </c>
      <c r="P2001" s="4" t="e">
        <f>VLOOKUP(A2001,المعطيات!$A$1:$J$3500,4,0)</f>
        <v>#N/A</v>
      </c>
      <c r="Q2001" s="1" t="s">
        <v>1489</v>
      </c>
      <c r="R2001" s="1" t="s">
        <v>1480</v>
      </c>
      <c r="S2001" s="6" t="e">
        <f t="shared" si="95"/>
        <v>#N/A</v>
      </c>
    </row>
    <row r="2002" spans="2:19" x14ac:dyDescent="0.25">
      <c r="B2002" s="1" t="s">
        <v>1479</v>
      </c>
      <c r="C2002" s="1" t="s">
        <v>1481</v>
      </c>
      <c r="D2002" s="4" t="e">
        <f>VLOOKUP(A2002,المعطيات!$A$1:$J$3500,5,0)</f>
        <v>#N/A</v>
      </c>
      <c r="E2002" s="1" t="s">
        <v>1482</v>
      </c>
      <c r="F2002" s="5">
        <f t="shared" si="93"/>
        <v>0</v>
      </c>
      <c r="G2002" s="5" t="s">
        <v>1483</v>
      </c>
      <c r="H2002" s="4" t="e">
        <f>VLOOKUP(A2002,المعطيات!$A$1:$J$3500,3,0)</f>
        <v>#N/A</v>
      </c>
      <c r="I2002" s="1" t="s">
        <v>1484</v>
      </c>
      <c r="J2002" s="1" t="s">
        <v>1485</v>
      </c>
      <c r="K2002" s="4" t="e">
        <f>VLOOKUP(A2002,المعطيات!$A$1:$J$3500,6,0)</f>
        <v>#N/A</v>
      </c>
      <c r="L2002" s="1" t="s">
        <v>1486</v>
      </c>
      <c r="M2002" s="1" t="s">
        <v>1487</v>
      </c>
      <c r="N2002" s="4" t="e">
        <f t="shared" si="94"/>
        <v>#N/A</v>
      </c>
      <c r="O2002" s="1" t="s">
        <v>1488</v>
      </c>
      <c r="P2002" s="4" t="e">
        <f>VLOOKUP(A2002,المعطيات!$A$1:$J$3500,4,0)</f>
        <v>#N/A</v>
      </c>
      <c r="Q2002" s="1" t="s">
        <v>1489</v>
      </c>
      <c r="R2002" s="1" t="s">
        <v>1480</v>
      </c>
      <c r="S2002" s="6" t="e">
        <f t="shared" si="95"/>
        <v>#N/A</v>
      </c>
    </row>
    <row r="2003" spans="2:19" x14ac:dyDescent="0.25">
      <c r="B2003" s="1" t="s">
        <v>1479</v>
      </c>
      <c r="C2003" s="1" t="s">
        <v>1481</v>
      </c>
      <c r="D2003" s="4" t="e">
        <f>VLOOKUP(A2003,المعطيات!$A$1:$J$3500,5,0)</f>
        <v>#N/A</v>
      </c>
      <c r="E2003" s="1" t="s">
        <v>1482</v>
      </c>
      <c r="F2003" s="5">
        <f t="shared" si="93"/>
        <v>0</v>
      </c>
      <c r="G2003" s="5" t="s">
        <v>1483</v>
      </c>
      <c r="H2003" s="4" t="e">
        <f>VLOOKUP(A2003,المعطيات!$A$1:$J$3500,3,0)</f>
        <v>#N/A</v>
      </c>
      <c r="I2003" s="1" t="s">
        <v>1484</v>
      </c>
      <c r="J2003" s="1" t="s">
        <v>1485</v>
      </c>
      <c r="K2003" s="4" t="e">
        <f>VLOOKUP(A2003,المعطيات!$A$1:$J$3500,6,0)</f>
        <v>#N/A</v>
      </c>
      <c r="L2003" s="1" t="s">
        <v>1486</v>
      </c>
      <c r="M2003" s="1" t="s">
        <v>1487</v>
      </c>
      <c r="N2003" s="4" t="e">
        <f t="shared" si="94"/>
        <v>#N/A</v>
      </c>
      <c r="O2003" s="1" t="s">
        <v>1488</v>
      </c>
      <c r="P2003" s="4" t="e">
        <f>VLOOKUP(A2003,المعطيات!$A$1:$J$3500,4,0)</f>
        <v>#N/A</v>
      </c>
      <c r="Q2003" s="1" t="s">
        <v>1489</v>
      </c>
      <c r="R2003" s="1" t="s">
        <v>1480</v>
      </c>
      <c r="S2003" s="6" t="e">
        <f t="shared" si="95"/>
        <v>#N/A</v>
      </c>
    </row>
    <row r="2004" spans="2:19" x14ac:dyDescent="0.25">
      <c r="B2004" s="1" t="s">
        <v>1479</v>
      </c>
      <c r="C2004" s="1" t="s">
        <v>1481</v>
      </c>
      <c r="D2004" s="4" t="e">
        <f>VLOOKUP(A2004,المعطيات!$A$1:$J$3500,5,0)</f>
        <v>#N/A</v>
      </c>
      <c r="E2004" s="1" t="s">
        <v>1482</v>
      </c>
      <c r="F2004" s="5">
        <f t="shared" si="93"/>
        <v>0</v>
      </c>
      <c r="G2004" s="5" t="s">
        <v>1483</v>
      </c>
      <c r="H2004" s="4" t="e">
        <f>VLOOKUP(A2004,المعطيات!$A$1:$J$3500,3,0)</f>
        <v>#N/A</v>
      </c>
      <c r="I2004" s="1" t="s">
        <v>1484</v>
      </c>
      <c r="J2004" s="1" t="s">
        <v>1485</v>
      </c>
      <c r="K2004" s="4" t="e">
        <f>VLOOKUP(A2004,المعطيات!$A$1:$J$3500,6,0)</f>
        <v>#N/A</v>
      </c>
      <c r="L2004" s="1" t="s">
        <v>1486</v>
      </c>
      <c r="M2004" s="1" t="s">
        <v>1487</v>
      </c>
      <c r="N2004" s="4" t="e">
        <f t="shared" si="94"/>
        <v>#N/A</v>
      </c>
      <c r="O2004" s="1" t="s">
        <v>1488</v>
      </c>
      <c r="P2004" s="4" t="e">
        <f>VLOOKUP(A2004,المعطيات!$A$1:$J$3500,4,0)</f>
        <v>#N/A</v>
      </c>
      <c r="Q2004" s="1" t="s">
        <v>1489</v>
      </c>
      <c r="R2004" s="1" t="s">
        <v>1480</v>
      </c>
      <c r="S2004" s="6" t="e">
        <f t="shared" si="95"/>
        <v>#N/A</v>
      </c>
    </row>
    <row r="2005" spans="2:19" x14ac:dyDescent="0.25">
      <c r="B2005" s="1" t="s">
        <v>1479</v>
      </c>
      <c r="C2005" s="1" t="s">
        <v>1481</v>
      </c>
      <c r="D2005" s="4" t="e">
        <f>VLOOKUP(A2005,المعطيات!$A$1:$J$3500,5,0)</f>
        <v>#N/A</v>
      </c>
      <c r="E2005" s="1" t="s">
        <v>1482</v>
      </c>
      <c r="F2005" s="5">
        <f t="shared" si="93"/>
        <v>0</v>
      </c>
      <c r="G2005" s="5" t="s">
        <v>1483</v>
      </c>
      <c r="H2005" s="4" t="e">
        <f>VLOOKUP(A2005,المعطيات!$A$1:$J$3500,3,0)</f>
        <v>#N/A</v>
      </c>
      <c r="I2005" s="1" t="s">
        <v>1484</v>
      </c>
      <c r="J2005" s="1" t="s">
        <v>1485</v>
      </c>
      <c r="K2005" s="4" t="e">
        <f>VLOOKUP(A2005,المعطيات!$A$1:$J$3500,6,0)</f>
        <v>#N/A</v>
      </c>
      <c r="L2005" s="1" t="s">
        <v>1486</v>
      </c>
      <c r="M2005" s="1" t="s">
        <v>1487</v>
      </c>
      <c r="N2005" s="4" t="e">
        <f t="shared" si="94"/>
        <v>#N/A</v>
      </c>
      <c r="O2005" s="1" t="s">
        <v>1488</v>
      </c>
      <c r="P2005" s="4" t="e">
        <f>VLOOKUP(A2005,المعطيات!$A$1:$J$3500,4,0)</f>
        <v>#N/A</v>
      </c>
      <c r="Q2005" s="1" t="s">
        <v>1489</v>
      </c>
      <c r="R2005" s="1" t="s">
        <v>1480</v>
      </c>
      <c r="S2005" s="6" t="e">
        <f t="shared" si="95"/>
        <v>#N/A</v>
      </c>
    </row>
    <row r="2006" spans="2:19" x14ac:dyDescent="0.25">
      <c r="B2006" s="1" t="s">
        <v>1479</v>
      </c>
      <c r="C2006" s="1" t="s">
        <v>1481</v>
      </c>
      <c r="D2006" s="4" t="e">
        <f>VLOOKUP(A2006,المعطيات!$A$1:$J$3500,5,0)</f>
        <v>#N/A</v>
      </c>
      <c r="E2006" s="1" t="s">
        <v>1482</v>
      </c>
      <c r="F2006" s="5">
        <f t="shared" si="93"/>
        <v>0</v>
      </c>
      <c r="G2006" s="5" t="s">
        <v>1483</v>
      </c>
      <c r="H2006" s="4" t="e">
        <f>VLOOKUP(A2006,المعطيات!$A$1:$J$3500,3,0)</f>
        <v>#N/A</v>
      </c>
      <c r="I2006" s="1" t="s">
        <v>1484</v>
      </c>
      <c r="J2006" s="1" t="s">
        <v>1485</v>
      </c>
      <c r="K2006" s="4" t="e">
        <f>VLOOKUP(A2006,المعطيات!$A$1:$J$3500,6,0)</f>
        <v>#N/A</v>
      </c>
      <c r="L2006" s="1" t="s">
        <v>1486</v>
      </c>
      <c r="M2006" s="1" t="s">
        <v>1487</v>
      </c>
      <c r="N2006" s="4" t="e">
        <f t="shared" si="94"/>
        <v>#N/A</v>
      </c>
      <c r="O2006" s="1" t="s">
        <v>1488</v>
      </c>
      <c r="P2006" s="4" t="e">
        <f>VLOOKUP(A2006,المعطيات!$A$1:$J$3500,4,0)</f>
        <v>#N/A</v>
      </c>
      <c r="Q2006" s="1" t="s">
        <v>1489</v>
      </c>
      <c r="R2006" s="1" t="s">
        <v>1480</v>
      </c>
      <c r="S2006" s="6" t="e">
        <f t="shared" si="95"/>
        <v>#N/A</v>
      </c>
    </row>
    <row r="2007" spans="2:19" x14ac:dyDescent="0.25">
      <c r="B2007" s="1" t="s">
        <v>1479</v>
      </c>
      <c r="C2007" s="1" t="s">
        <v>1481</v>
      </c>
      <c r="D2007" s="4" t="e">
        <f>VLOOKUP(A2007,المعطيات!$A$1:$J$3500,5,0)</f>
        <v>#N/A</v>
      </c>
      <c r="E2007" s="1" t="s">
        <v>1482</v>
      </c>
      <c r="F2007" s="5">
        <f t="shared" si="93"/>
        <v>0</v>
      </c>
      <c r="G2007" s="5" t="s">
        <v>1483</v>
      </c>
      <c r="H2007" s="4" t="e">
        <f>VLOOKUP(A2007,المعطيات!$A$1:$J$3500,3,0)</f>
        <v>#N/A</v>
      </c>
      <c r="I2007" s="1" t="s">
        <v>1484</v>
      </c>
      <c r="J2007" s="1" t="s">
        <v>1485</v>
      </c>
      <c r="K2007" s="4" t="e">
        <f>VLOOKUP(A2007,المعطيات!$A$1:$J$3500,6,0)</f>
        <v>#N/A</v>
      </c>
      <c r="L2007" s="1" t="s">
        <v>1486</v>
      </c>
      <c r="M2007" s="1" t="s">
        <v>1487</v>
      </c>
      <c r="N2007" s="4" t="e">
        <f t="shared" si="94"/>
        <v>#N/A</v>
      </c>
      <c r="O2007" s="1" t="s">
        <v>1488</v>
      </c>
      <c r="P2007" s="4" t="e">
        <f>VLOOKUP(A2007,المعطيات!$A$1:$J$3500,4,0)</f>
        <v>#N/A</v>
      </c>
      <c r="Q2007" s="1" t="s">
        <v>1489</v>
      </c>
      <c r="R2007" s="1" t="s">
        <v>1480</v>
      </c>
      <c r="S2007" s="6" t="e">
        <f t="shared" si="95"/>
        <v>#N/A</v>
      </c>
    </row>
    <row r="2008" spans="2:19" x14ac:dyDescent="0.25">
      <c r="B2008" s="1" t="s">
        <v>1479</v>
      </c>
      <c r="C2008" s="1" t="s">
        <v>1481</v>
      </c>
      <c r="D2008" s="4" t="e">
        <f>VLOOKUP(A2008,المعطيات!$A$1:$J$3500,5,0)</f>
        <v>#N/A</v>
      </c>
      <c r="E2008" s="1" t="s">
        <v>1482</v>
      </c>
      <c r="F2008" s="5">
        <f t="shared" si="93"/>
        <v>0</v>
      </c>
      <c r="G2008" s="5" t="s">
        <v>1483</v>
      </c>
      <c r="H2008" s="4" t="e">
        <f>VLOOKUP(A2008,المعطيات!$A$1:$J$3500,3,0)</f>
        <v>#N/A</v>
      </c>
      <c r="I2008" s="1" t="s">
        <v>1484</v>
      </c>
      <c r="J2008" s="1" t="s">
        <v>1485</v>
      </c>
      <c r="K2008" s="4" t="e">
        <f>VLOOKUP(A2008,المعطيات!$A$1:$J$3500,6,0)</f>
        <v>#N/A</v>
      </c>
      <c r="L2008" s="1" t="s">
        <v>1486</v>
      </c>
      <c r="M2008" s="1" t="s">
        <v>1487</v>
      </c>
      <c r="N2008" s="4" t="e">
        <f t="shared" si="94"/>
        <v>#N/A</v>
      </c>
      <c r="O2008" s="1" t="s">
        <v>1488</v>
      </c>
      <c r="P2008" s="4" t="e">
        <f>VLOOKUP(A2008,المعطيات!$A$1:$J$3500,4,0)</f>
        <v>#N/A</v>
      </c>
      <c r="Q2008" s="1" t="s">
        <v>1489</v>
      </c>
      <c r="R2008" s="1" t="s">
        <v>1480</v>
      </c>
      <c r="S2008" s="6" t="e">
        <f t="shared" si="95"/>
        <v>#N/A</v>
      </c>
    </row>
    <row r="2009" spans="2:19" x14ac:dyDescent="0.25">
      <c r="B2009" s="1" t="s">
        <v>1479</v>
      </c>
      <c r="C2009" s="1" t="s">
        <v>1481</v>
      </c>
      <c r="D2009" s="4" t="e">
        <f>VLOOKUP(A2009,المعطيات!$A$1:$J$3500,5,0)</f>
        <v>#N/A</v>
      </c>
      <c r="E2009" s="1" t="s">
        <v>1482</v>
      </c>
      <c r="F2009" s="5">
        <f t="shared" si="93"/>
        <v>0</v>
      </c>
      <c r="G2009" s="5" t="s">
        <v>1483</v>
      </c>
      <c r="H2009" s="4" t="e">
        <f>VLOOKUP(A2009,المعطيات!$A$1:$J$3500,3,0)</f>
        <v>#N/A</v>
      </c>
      <c r="I2009" s="1" t="s">
        <v>1484</v>
      </c>
      <c r="J2009" s="1" t="s">
        <v>1485</v>
      </c>
      <c r="K2009" s="4" t="e">
        <f>VLOOKUP(A2009,المعطيات!$A$1:$J$3500,6,0)</f>
        <v>#N/A</v>
      </c>
      <c r="L2009" s="1" t="s">
        <v>1486</v>
      </c>
      <c r="M2009" s="1" t="s">
        <v>1487</v>
      </c>
      <c r="N2009" s="4" t="e">
        <f t="shared" si="94"/>
        <v>#N/A</v>
      </c>
      <c r="O2009" s="1" t="s">
        <v>1488</v>
      </c>
      <c r="P2009" s="4" t="e">
        <f>VLOOKUP(A2009,المعطيات!$A$1:$J$3500,4,0)</f>
        <v>#N/A</v>
      </c>
      <c r="Q2009" s="1" t="s">
        <v>1489</v>
      </c>
      <c r="R2009" s="1" t="s">
        <v>1480</v>
      </c>
      <c r="S2009" s="6" t="e">
        <f t="shared" si="95"/>
        <v>#N/A</v>
      </c>
    </row>
    <row r="2010" spans="2:19" x14ac:dyDescent="0.25">
      <c r="B2010" s="1" t="s">
        <v>1479</v>
      </c>
      <c r="C2010" s="1" t="s">
        <v>1481</v>
      </c>
      <c r="D2010" s="4" t="e">
        <f>VLOOKUP(A2010,المعطيات!$A$1:$J$3500,5,0)</f>
        <v>#N/A</v>
      </c>
      <c r="E2010" s="1" t="s">
        <v>1482</v>
      </c>
      <c r="F2010" s="5">
        <f t="shared" si="93"/>
        <v>0</v>
      </c>
      <c r="G2010" s="5" t="s">
        <v>1483</v>
      </c>
      <c r="H2010" s="4" t="e">
        <f>VLOOKUP(A2010,المعطيات!$A$1:$J$3500,3,0)</f>
        <v>#N/A</v>
      </c>
      <c r="I2010" s="1" t="s">
        <v>1484</v>
      </c>
      <c r="J2010" s="1" t="s">
        <v>1485</v>
      </c>
      <c r="K2010" s="4" t="e">
        <f>VLOOKUP(A2010,المعطيات!$A$1:$J$3500,6,0)</f>
        <v>#N/A</v>
      </c>
      <c r="L2010" s="1" t="s">
        <v>1486</v>
      </c>
      <c r="M2010" s="1" t="s">
        <v>1487</v>
      </c>
      <c r="N2010" s="4" t="e">
        <f t="shared" si="94"/>
        <v>#N/A</v>
      </c>
      <c r="O2010" s="1" t="s">
        <v>1488</v>
      </c>
      <c r="P2010" s="4" t="e">
        <f>VLOOKUP(A2010,المعطيات!$A$1:$J$3500,4,0)</f>
        <v>#N/A</v>
      </c>
      <c r="Q2010" s="1" t="s">
        <v>1489</v>
      </c>
      <c r="R2010" s="1" t="s">
        <v>1480</v>
      </c>
      <c r="S2010" s="6" t="e">
        <f t="shared" si="95"/>
        <v>#N/A</v>
      </c>
    </row>
    <row r="2011" spans="2:19" x14ac:dyDescent="0.25">
      <c r="B2011" s="1" t="s">
        <v>1479</v>
      </c>
      <c r="C2011" s="1" t="s">
        <v>1481</v>
      </c>
      <c r="D2011" s="4" t="e">
        <f>VLOOKUP(A2011,المعطيات!$A$1:$J$3500,5,0)</f>
        <v>#N/A</v>
      </c>
      <c r="E2011" s="1" t="s">
        <v>1482</v>
      </c>
      <c r="F2011" s="5">
        <f t="shared" si="93"/>
        <v>0</v>
      </c>
      <c r="G2011" s="5" t="s">
        <v>1483</v>
      </c>
      <c r="H2011" s="4" t="e">
        <f>VLOOKUP(A2011,المعطيات!$A$1:$J$3500,3,0)</f>
        <v>#N/A</v>
      </c>
      <c r="I2011" s="1" t="s">
        <v>1484</v>
      </c>
      <c r="J2011" s="1" t="s">
        <v>1485</v>
      </c>
      <c r="K2011" s="4" t="e">
        <f>VLOOKUP(A2011,المعطيات!$A$1:$J$3500,6,0)</f>
        <v>#N/A</v>
      </c>
      <c r="L2011" s="1" t="s">
        <v>1486</v>
      </c>
      <c r="M2011" s="1" t="s">
        <v>1487</v>
      </c>
      <c r="N2011" s="4" t="e">
        <f t="shared" si="94"/>
        <v>#N/A</v>
      </c>
      <c r="O2011" s="1" t="s">
        <v>1488</v>
      </c>
      <c r="P2011" s="4" t="e">
        <f>VLOOKUP(A2011,المعطيات!$A$1:$J$3500,4,0)</f>
        <v>#N/A</v>
      </c>
      <c r="Q2011" s="1" t="s">
        <v>1489</v>
      </c>
      <c r="R2011" s="1" t="s">
        <v>1480</v>
      </c>
      <c r="S2011" s="6" t="e">
        <f t="shared" si="95"/>
        <v>#N/A</v>
      </c>
    </row>
    <row r="2012" spans="2:19" x14ac:dyDescent="0.25">
      <c r="B2012" s="1" t="s">
        <v>1479</v>
      </c>
      <c r="C2012" s="1" t="s">
        <v>1481</v>
      </c>
      <c r="D2012" s="4" t="e">
        <f>VLOOKUP(A2012,المعطيات!$A$1:$J$3500,5,0)</f>
        <v>#N/A</v>
      </c>
      <c r="E2012" s="1" t="s">
        <v>1482</v>
      </c>
      <c r="F2012" s="5">
        <f t="shared" si="93"/>
        <v>0</v>
      </c>
      <c r="G2012" s="5" t="s">
        <v>1483</v>
      </c>
      <c r="H2012" s="4" t="e">
        <f>VLOOKUP(A2012,المعطيات!$A$1:$J$3500,3,0)</f>
        <v>#N/A</v>
      </c>
      <c r="I2012" s="1" t="s">
        <v>1484</v>
      </c>
      <c r="J2012" s="1" t="s">
        <v>1485</v>
      </c>
      <c r="K2012" s="4" t="e">
        <f>VLOOKUP(A2012,المعطيات!$A$1:$J$3500,6,0)</f>
        <v>#N/A</v>
      </c>
      <c r="L2012" s="1" t="s">
        <v>1486</v>
      </c>
      <c r="M2012" s="1" t="s">
        <v>1487</v>
      </c>
      <c r="N2012" s="4" t="e">
        <f t="shared" si="94"/>
        <v>#N/A</v>
      </c>
      <c r="O2012" s="1" t="s">
        <v>1488</v>
      </c>
      <c r="P2012" s="4" t="e">
        <f>VLOOKUP(A2012,المعطيات!$A$1:$J$3500,4,0)</f>
        <v>#N/A</v>
      </c>
      <c r="Q2012" s="1" t="s">
        <v>1489</v>
      </c>
      <c r="R2012" s="1" t="s">
        <v>1480</v>
      </c>
      <c r="S2012" s="6" t="e">
        <f t="shared" si="95"/>
        <v>#N/A</v>
      </c>
    </row>
    <row r="2013" spans="2:19" x14ac:dyDescent="0.25">
      <c r="B2013" s="1" t="s">
        <v>1479</v>
      </c>
      <c r="C2013" s="1" t="s">
        <v>1481</v>
      </c>
      <c r="D2013" s="4" t="e">
        <f>VLOOKUP(A2013,المعطيات!$A$1:$J$3500,5,0)</f>
        <v>#N/A</v>
      </c>
      <c r="E2013" s="1" t="s">
        <v>1482</v>
      </c>
      <c r="F2013" s="5">
        <f t="shared" si="93"/>
        <v>0</v>
      </c>
      <c r="G2013" s="5" t="s">
        <v>1483</v>
      </c>
      <c r="H2013" s="4" t="e">
        <f>VLOOKUP(A2013,المعطيات!$A$1:$J$3500,3,0)</f>
        <v>#N/A</v>
      </c>
      <c r="I2013" s="1" t="s">
        <v>1484</v>
      </c>
      <c r="J2013" s="1" t="s">
        <v>1485</v>
      </c>
      <c r="K2013" s="4" t="e">
        <f>VLOOKUP(A2013,المعطيات!$A$1:$J$3500,6,0)</f>
        <v>#N/A</v>
      </c>
      <c r="L2013" s="1" t="s">
        <v>1486</v>
      </c>
      <c r="M2013" s="1" t="s">
        <v>1487</v>
      </c>
      <c r="N2013" s="4" t="e">
        <f t="shared" si="94"/>
        <v>#N/A</v>
      </c>
      <c r="O2013" s="1" t="s">
        <v>1488</v>
      </c>
      <c r="P2013" s="4" t="e">
        <f>VLOOKUP(A2013,المعطيات!$A$1:$J$3500,4,0)</f>
        <v>#N/A</v>
      </c>
      <c r="Q2013" s="1" t="s">
        <v>1489</v>
      </c>
      <c r="R2013" s="1" t="s">
        <v>1480</v>
      </c>
      <c r="S2013" s="6" t="e">
        <f t="shared" si="95"/>
        <v>#N/A</v>
      </c>
    </row>
    <row r="2014" spans="2:19" x14ac:dyDescent="0.25">
      <c r="B2014" s="1" t="s">
        <v>1479</v>
      </c>
      <c r="C2014" s="1" t="s">
        <v>1481</v>
      </c>
      <c r="D2014" s="4" t="e">
        <f>VLOOKUP(A2014,المعطيات!$A$1:$J$3500,5,0)</f>
        <v>#N/A</v>
      </c>
      <c r="E2014" s="1" t="s">
        <v>1482</v>
      </c>
      <c r="F2014" s="5">
        <f t="shared" si="93"/>
        <v>0</v>
      </c>
      <c r="G2014" s="5" t="s">
        <v>1483</v>
      </c>
      <c r="H2014" s="4" t="e">
        <f>VLOOKUP(A2014,المعطيات!$A$1:$J$3500,3,0)</f>
        <v>#N/A</v>
      </c>
      <c r="I2014" s="1" t="s">
        <v>1484</v>
      </c>
      <c r="J2014" s="1" t="s">
        <v>1485</v>
      </c>
      <c r="K2014" s="4" t="e">
        <f>VLOOKUP(A2014,المعطيات!$A$1:$J$3500,6,0)</f>
        <v>#N/A</v>
      </c>
      <c r="L2014" s="1" t="s">
        <v>1486</v>
      </c>
      <c r="M2014" s="1" t="s">
        <v>1487</v>
      </c>
      <c r="N2014" s="4" t="e">
        <f t="shared" si="94"/>
        <v>#N/A</v>
      </c>
      <c r="O2014" s="1" t="s">
        <v>1488</v>
      </c>
      <c r="P2014" s="4" t="e">
        <f>VLOOKUP(A2014,المعطيات!$A$1:$J$3500,4,0)</f>
        <v>#N/A</v>
      </c>
      <c r="Q2014" s="1" t="s">
        <v>1489</v>
      </c>
      <c r="R2014" s="1" t="s">
        <v>1480</v>
      </c>
      <c r="S2014" s="6" t="e">
        <f t="shared" si="95"/>
        <v>#N/A</v>
      </c>
    </row>
    <row r="2015" spans="2:19" x14ac:dyDescent="0.25">
      <c r="B2015" s="1" t="s">
        <v>1479</v>
      </c>
      <c r="C2015" s="1" t="s">
        <v>1481</v>
      </c>
      <c r="D2015" s="4" t="e">
        <f>VLOOKUP(A2015,المعطيات!$A$1:$J$3500,5,0)</f>
        <v>#N/A</v>
      </c>
      <c r="E2015" s="1" t="s">
        <v>1482</v>
      </c>
      <c r="F2015" s="5">
        <f t="shared" si="93"/>
        <v>0</v>
      </c>
      <c r="G2015" s="5" t="s">
        <v>1483</v>
      </c>
      <c r="H2015" s="4" t="e">
        <f>VLOOKUP(A2015,المعطيات!$A$1:$J$3500,3,0)</f>
        <v>#N/A</v>
      </c>
      <c r="I2015" s="1" t="s">
        <v>1484</v>
      </c>
      <c r="J2015" s="1" t="s">
        <v>1485</v>
      </c>
      <c r="K2015" s="4" t="e">
        <f>VLOOKUP(A2015,المعطيات!$A$1:$J$3500,6,0)</f>
        <v>#N/A</v>
      </c>
      <c r="L2015" s="1" t="s">
        <v>1486</v>
      </c>
      <c r="M2015" s="1" t="s">
        <v>1487</v>
      </c>
      <c r="N2015" s="4" t="e">
        <f t="shared" si="94"/>
        <v>#N/A</v>
      </c>
      <c r="O2015" s="1" t="s">
        <v>1488</v>
      </c>
      <c r="P2015" s="4" t="e">
        <f>VLOOKUP(A2015,المعطيات!$A$1:$J$3500,4,0)</f>
        <v>#N/A</v>
      </c>
      <c r="Q2015" s="1" t="s">
        <v>1489</v>
      </c>
      <c r="R2015" s="1" t="s">
        <v>1480</v>
      </c>
      <c r="S2015" s="6" t="e">
        <f t="shared" si="95"/>
        <v>#N/A</v>
      </c>
    </row>
    <row r="2016" spans="2:19" x14ac:dyDescent="0.25">
      <c r="B2016" s="1" t="s">
        <v>1479</v>
      </c>
      <c r="C2016" s="1" t="s">
        <v>1481</v>
      </c>
      <c r="D2016" s="4" t="e">
        <f>VLOOKUP(A2016,المعطيات!$A$1:$J$3500,5,0)</f>
        <v>#N/A</v>
      </c>
      <c r="E2016" s="1" t="s">
        <v>1482</v>
      </c>
      <c r="F2016" s="5">
        <f t="shared" si="93"/>
        <v>0</v>
      </c>
      <c r="G2016" s="5" t="s">
        <v>1483</v>
      </c>
      <c r="H2016" s="4" t="e">
        <f>VLOOKUP(A2016,المعطيات!$A$1:$J$3500,3,0)</f>
        <v>#N/A</v>
      </c>
      <c r="I2016" s="1" t="s">
        <v>1484</v>
      </c>
      <c r="J2016" s="1" t="s">
        <v>1485</v>
      </c>
      <c r="K2016" s="4" t="e">
        <f>VLOOKUP(A2016,المعطيات!$A$1:$J$3500,6,0)</f>
        <v>#N/A</v>
      </c>
      <c r="L2016" s="1" t="s">
        <v>1486</v>
      </c>
      <c r="M2016" s="1" t="s">
        <v>1487</v>
      </c>
      <c r="N2016" s="4" t="e">
        <f t="shared" si="94"/>
        <v>#N/A</v>
      </c>
      <c r="O2016" s="1" t="s">
        <v>1488</v>
      </c>
      <c r="P2016" s="4" t="e">
        <f>VLOOKUP(A2016,المعطيات!$A$1:$J$3500,4,0)</f>
        <v>#N/A</v>
      </c>
      <c r="Q2016" s="1" t="s">
        <v>1489</v>
      </c>
      <c r="R2016" s="1" t="s">
        <v>1480</v>
      </c>
      <c r="S2016" s="6" t="e">
        <f t="shared" si="95"/>
        <v>#N/A</v>
      </c>
    </row>
    <row r="2017" spans="2:19" x14ac:dyDescent="0.25">
      <c r="B2017" s="1" t="s">
        <v>1479</v>
      </c>
      <c r="C2017" s="1" t="s">
        <v>1481</v>
      </c>
      <c r="D2017" s="4" t="e">
        <f>VLOOKUP(A2017,المعطيات!$A$1:$J$3500,5,0)</f>
        <v>#N/A</v>
      </c>
      <c r="E2017" s="1" t="s">
        <v>1482</v>
      </c>
      <c r="F2017" s="5">
        <f t="shared" si="93"/>
        <v>0</v>
      </c>
      <c r="G2017" s="5" t="s">
        <v>1483</v>
      </c>
      <c r="H2017" s="4" t="e">
        <f>VLOOKUP(A2017,المعطيات!$A$1:$J$3500,3,0)</f>
        <v>#N/A</v>
      </c>
      <c r="I2017" s="1" t="s">
        <v>1484</v>
      </c>
      <c r="J2017" s="1" t="s">
        <v>1485</v>
      </c>
      <c r="K2017" s="4" t="e">
        <f>VLOOKUP(A2017,المعطيات!$A$1:$J$3500,6,0)</f>
        <v>#N/A</v>
      </c>
      <c r="L2017" s="1" t="s">
        <v>1486</v>
      </c>
      <c r="M2017" s="1" t="s">
        <v>1487</v>
      </c>
      <c r="N2017" s="4" t="e">
        <f t="shared" si="94"/>
        <v>#N/A</v>
      </c>
      <c r="O2017" s="1" t="s">
        <v>1488</v>
      </c>
      <c r="P2017" s="4" t="e">
        <f>VLOOKUP(A2017,المعطيات!$A$1:$J$3500,4,0)</f>
        <v>#N/A</v>
      </c>
      <c r="Q2017" s="1" t="s">
        <v>1489</v>
      </c>
      <c r="R2017" s="1" t="s">
        <v>1480</v>
      </c>
      <c r="S2017" s="6" t="e">
        <f t="shared" si="95"/>
        <v>#N/A</v>
      </c>
    </row>
    <row r="2018" spans="2:19" x14ac:dyDescent="0.25">
      <c r="B2018" s="1" t="s">
        <v>1479</v>
      </c>
      <c r="C2018" s="1" t="s">
        <v>1481</v>
      </c>
      <c r="D2018" s="4" t="e">
        <f>VLOOKUP(A2018,المعطيات!$A$1:$J$3500,5,0)</f>
        <v>#N/A</v>
      </c>
      <c r="E2018" s="1" t="s">
        <v>1482</v>
      </c>
      <c r="F2018" s="5">
        <f t="shared" si="93"/>
        <v>0</v>
      </c>
      <c r="G2018" s="5" t="s">
        <v>1483</v>
      </c>
      <c r="H2018" s="4" t="e">
        <f>VLOOKUP(A2018,المعطيات!$A$1:$J$3500,3,0)</f>
        <v>#N/A</v>
      </c>
      <c r="I2018" s="1" t="s">
        <v>1484</v>
      </c>
      <c r="J2018" s="1" t="s">
        <v>1485</v>
      </c>
      <c r="K2018" s="4" t="e">
        <f>VLOOKUP(A2018,المعطيات!$A$1:$J$3500,6,0)</f>
        <v>#N/A</v>
      </c>
      <c r="L2018" s="1" t="s">
        <v>1486</v>
      </c>
      <c r="M2018" s="1" t="s">
        <v>1487</v>
      </c>
      <c r="N2018" s="4" t="e">
        <f t="shared" si="94"/>
        <v>#N/A</v>
      </c>
      <c r="O2018" s="1" t="s">
        <v>1488</v>
      </c>
      <c r="P2018" s="4" t="e">
        <f>VLOOKUP(A2018,المعطيات!$A$1:$J$3500,4,0)</f>
        <v>#N/A</v>
      </c>
      <c r="Q2018" s="1" t="s">
        <v>1489</v>
      </c>
      <c r="R2018" s="1" t="s">
        <v>1480</v>
      </c>
      <c r="S2018" s="6" t="e">
        <f t="shared" si="95"/>
        <v>#N/A</v>
      </c>
    </row>
    <row r="2019" spans="2:19" x14ac:dyDescent="0.25">
      <c r="B2019" s="1" t="s">
        <v>1479</v>
      </c>
      <c r="C2019" s="1" t="s">
        <v>1481</v>
      </c>
      <c r="D2019" s="4" t="e">
        <f>VLOOKUP(A2019,المعطيات!$A$1:$J$3500,5,0)</f>
        <v>#N/A</v>
      </c>
      <c r="E2019" s="1" t="s">
        <v>1482</v>
      </c>
      <c r="F2019" s="5">
        <f t="shared" si="93"/>
        <v>0</v>
      </c>
      <c r="G2019" s="5" t="s">
        <v>1483</v>
      </c>
      <c r="H2019" s="4" t="e">
        <f>VLOOKUP(A2019,المعطيات!$A$1:$J$3500,3,0)</f>
        <v>#N/A</v>
      </c>
      <c r="I2019" s="1" t="s">
        <v>1484</v>
      </c>
      <c r="J2019" s="1" t="s">
        <v>1485</v>
      </c>
      <c r="K2019" s="4" t="e">
        <f>VLOOKUP(A2019,المعطيات!$A$1:$J$3500,6,0)</f>
        <v>#N/A</v>
      </c>
      <c r="L2019" s="1" t="s">
        <v>1486</v>
      </c>
      <c r="M2019" s="1" t="s">
        <v>1487</v>
      </c>
      <c r="N2019" s="4" t="e">
        <f t="shared" si="94"/>
        <v>#N/A</v>
      </c>
      <c r="O2019" s="1" t="s">
        <v>1488</v>
      </c>
      <c r="P2019" s="4" t="e">
        <f>VLOOKUP(A2019,المعطيات!$A$1:$J$3500,4,0)</f>
        <v>#N/A</v>
      </c>
      <c r="Q2019" s="1" t="s">
        <v>1489</v>
      </c>
      <c r="R2019" s="1" t="s">
        <v>1480</v>
      </c>
      <c r="S2019" s="6" t="e">
        <f t="shared" si="95"/>
        <v>#N/A</v>
      </c>
    </row>
    <row r="2020" spans="2:19" x14ac:dyDescent="0.25">
      <c r="B2020" s="1" t="s">
        <v>1479</v>
      </c>
      <c r="C2020" s="1" t="s">
        <v>1481</v>
      </c>
      <c r="D2020" s="4" t="e">
        <f>VLOOKUP(A2020,المعطيات!$A$1:$J$3500,5,0)</f>
        <v>#N/A</v>
      </c>
      <c r="E2020" s="1" t="s">
        <v>1482</v>
      </c>
      <c r="F2020" s="5">
        <f t="shared" si="93"/>
        <v>0</v>
      </c>
      <c r="G2020" s="5" t="s">
        <v>1483</v>
      </c>
      <c r="H2020" s="4" t="e">
        <f>VLOOKUP(A2020,المعطيات!$A$1:$J$3500,3,0)</f>
        <v>#N/A</v>
      </c>
      <c r="I2020" s="1" t="s">
        <v>1484</v>
      </c>
      <c r="J2020" s="1" t="s">
        <v>1485</v>
      </c>
      <c r="K2020" s="4" t="e">
        <f>VLOOKUP(A2020,المعطيات!$A$1:$J$3500,6,0)</f>
        <v>#N/A</v>
      </c>
      <c r="L2020" s="1" t="s">
        <v>1486</v>
      </c>
      <c r="M2020" s="1" t="s">
        <v>1487</v>
      </c>
      <c r="N2020" s="4" t="e">
        <f t="shared" si="94"/>
        <v>#N/A</v>
      </c>
      <c r="O2020" s="1" t="s">
        <v>1488</v>
      </c>
      <c r="P2020" s="4" t="e">
        <f>VLOOKUP(A2020,المعطيات!$A$1:$J$3500,4,0)</f>
        <v>#N/A</v>
      </c>
      <c r="Q2020" s="1" t="s">
        <v>1489</v>
      </c>
      <c r="R2020" s="1" t="s">
        <v>1480</v>
      </c>
      <c r="S2020" s="6" t="e">
        <f t="shared" si="95"/>
        <v>#N/A</v>
      </c>
    </row>
    <row r="2021" spans="2:19" x14ac:dyDescent="0.25">
      <c r="B2021" s="1" t="s">
        <v>1479</v>
      </c>
      <c r="C2021" s="1" t="s">
        <v>1481</v>
      </c>
      <c r="D2021" s="4" t="e">
        <f>VLOOKUP(A2021,المعطيات!$A$1:$J$3500,5,0)</f>
        <v>#N/A</v>
      </c>
      <c r="E2021" s="1" t="s">
        <v>1482</v>
      </c>
      <c r="F2021" s="5">
        <f t="shared" si="93"/>
        <v>0</v>
      </c>
      <c r="G2021" s="5" t="s">
        <v>1483</v>
      </c>
      <c r="H2021" s="4" t="e">
        <f>VLOOKUP(A2021,المعطيات!$A$1:$J$3500,3,0)</f>
        <v>#N/A</v>
      </c>
      <c r="I2021" s="1" t="s">
        <v>1484</v>
      </c>
      <c r="J2021" s="1" t="s">
        <v>1485</v>
      </c>
      <c r="K2021" s="4" t="e">
        <f>VLOOKUP(A2021,المعطيات!$A$1:$J$3500,6,0)</f>
        <v>#N/A</v>
      </c>
      <c r="L2021" s="1" t="s">
        <v>1486</v>
      </c>
      <c r="M2021" s="1" t="s">
        <v>1487</v>
      </c>
      <c r="N2021" s="4" t="e">
        <f t="shared" si="94"/>
        <v>#N/A</v>
      </c>
      <c r="O2021" s="1" t="s">
        <v>1488</v>
      </c>
      <c r="P2021" s="4" t="e">
        <f>VLOOKUP(A2021,المعطيات!$A$1:$J$3500,4,0)</f>
        <v>#N/A</v>
      </c>
      <c r="Q2021" s="1" t="s">
        <v>1489</v>
      </c>
      <c r="R2021" s="1" t="s">
        <v>1480</v>
      </c>
      <c r="S2021" s="6" t="e">
        <f t="shared" si="95"/>
        <v>#N/A</v>
      </c>
    </row>
    <row r="2022" spans="2:19" x14ac:dyDescent="0.25">
      <c r="B2022" s="1" t="s">
        <v>1479</v>
      </c>
      <c r="C2022" s="1" t="s">
        <v>1481</v>
      </c>
      <c r="D2022" s="4" t="e">
        <f>VLOOKUP(A2022,المعطيات!$A$1:$J$3500,5,0)</f>
        <v>#N/A</v>
      </c>
      <c r="E2022" s="1" t="s">
        <v>1482</v>
      </c>
      <c r="F2022" s="5">
        <f t="shared" si="93"/>
        <v>0</v>
      </c>
      <c r="G2022" s="5" t="s">
        <v>1483</v>
      </c>
      <c r="H2022" s="4" t="e">
        <f>VLOOKUP(A2022,المعطيات!$A$1:$J$3500,3,0)</f>
        <v>#N/A</v>
      </c>
      <c r="I2022" s="1" t="s">
        <v>1484</v>
      </c>
      <c r="J2022" s="1" t="s">
        <v>1485</v>
      </c>
      <c r="K2022" s="4" t="e">
        <f>VLOOKUP(A2022,المعطيات!$A$1:$J$3500,6,0)</f>
        <v>#N/A</v>
      </c>
      <c r="L2022" s="1" t="s">
        <v>1486</v>
      </c>
      <c r="M2022" s="1" t="s">
        <v>1487</v>
      </c>
      <c r="N2022" s="4" t="e">
        <f t="shared" si="94"/>
        <v>#N/A</v>
      </c>
      <c r="O2022" s="1" t="s">
        <v>1488</v>
      </c>
      <c r="P2022" s="4" t="e">
        <f>VLOOKUP(A2022,المعطيات!$A$1:$J$3500,4,0)</f>
        <v>#N/A</v>
      </c>
      <c r="Q2022" s="1" t="s">
        <v>1489</v>
      </c>
      <c r="R2022" s="1" t="s">
        <v>1480</v>
      </c>
      <c r="S2022" s="6" t="e">
        <f t="shared" si="95"/>
        <v>#N/A</v>
      </c>
    </row>
    <row r="2023" spans="2:19" x14ac:dyDescent="0.25">
      <c r="B2023" s="1" t="s">
        <v>1479</v>
      </c>
      <c r="C2023" s="1" t="s">
        <v>1481</v>
      </c>
      <c r="D2023" s="4" t="e">
        <f>VLOOKUP(A2023,المعطيات!$A$1:$J$3500,5,0)</f>
        <v>#N/A</v>
      </c>
      <c r="E2023" s="1" t="s">
        <v>1482</v>
      </c>
      <c r="F2023" s="5">
        <f t="shared" si="93"/>
        <v>0</v>
      </c>
      <c r="G2023" s="5" t="s">
        <v>1483</v>
      </c>
      <c r="H2023" s="4" t="e">
        <f>VLOOKUP(A2023,المعطيات!$A$1:$J$3500,3,0)</f>
        <v>#N/A</v>
      </c>
      <c r="I2023" s="1" t="s">
        <v>1484</v>
      </c>
      <c r="J2023" s="1" t="s">
        <v>1485</v>
      </c>
      <c r="K2023" s="4" t="e">
        <f>VLOOKUP(A2023,المعطيات!$A$1:$J$3500,6,0)</f>
        <v>#N/A</v>
      </c>
      <c r="L2023" s="1" t="s">
        <v>1486</v>
      </c>
      <c r="M2023" s="1" t="s">
        <v>1487</v>
      </c>
      <c r="N2023" s="4" t="e">
        <f t="shared" si="94"/>
        <v>#N/A</v>
      </c>
      <c r="O2023" s="1" t="s">
        <v>1488</v>
      </c>
      <c r="P2023" s="4" t="e">
        <f>VLOOKUP(A2023,المعطيات!$A$1:$J$3500,4,0)</f>
        <v>#N/A</v>
      </c>
      <c r="Q2023" s="1" t="s">
        <v>1489</v>
      </c>
      <c r="R2023" s="1" t="s">
        <v>1480</v>
      </c>
      <c r="S2023" s="6" t="e">
        <f t="shared" si="95"/>
        <v>#N/A</v>
      </c>
    </row>
    <row r="2024" spans="2:19" x14ac:dyDescent="0.25">
      <c r="B2024" s="1" t="s">
        <v>1479</v>
      </c>
      <c r="C2024" s="1" t="s">
        <v>1481</v>
      </c>
      <c r="D2024" s="4" t="e">
        <f>VLOOKUP(A2024,المعطيات!$A$1:$J$3500,5,0)</f>
        <v>#N/A</v>
      </c>
      <c r="E2024" s="1" t="s">
        <v>1482</v>
      </c>
      <c r="F2024" s="5">
        <f t="shared" si="93"/>
        <v>0</v>
      </c>
      <c r="G2024" s="5" t="s">
        <v>1483</v>
      </c>
      <c r="H2024" s="4" t="e">
        <f>VLOOKUP(A2024,المعطيات!$A$1:$J$3500,3,0)</f>
        <v>#N/A</v>
      </c>
      <c r="I2024" s="1" t="s">
        <v>1484</v>
      </c>
      <c r="J2024" s="1" t="s">
        <v>1485</v>
      </c>
      <c r="K2024" s="4" t="e">
        <f>VLOOKUP(A2024,المعطيات!$A$1:$J$3500,6,0)</f>
        <v>#N/A</v>
      </c>
      <c r="L2024" s="1" t="s">
        <v>1486</v>
      </c>
      <c r="M2024" s="1" t="s">
        <v>1487</v>
      </c>
      <c r="N2024" s="4" t="e">
        <f t="shared" si="94"/>
        <v>#N/A</v>
      </c>
      <c r="O2024" s="1" t="s">
        <v>1488</v>
      </c>
      <c r="P2024" s="4" t="e">
        <f>VLOOKUP(A2024,المعطيات!$A$1:$J$3500,4,0)</f>
        <v>#N/A</v>
      </c>
      <c r="Q2024" s="1" t="s">
        <v>1489</v>
      </c>
      <c r="R2024" s="1" t="s">
        <v>1480</v>
      </c>
      <c r="S2024" s="6" t="e">
        <f t="shared" si="95"/>
        <v>#N/A</v>
      </c>
    </row>
    <row r="2025" spans="2:19" x14ac:dyDescent="0.25">
      <c r="B2025" s="1" t="s">
        <v>1479</v>
      </c>
      <c r="C2025" s="1" t="s">
        <v>1481</v>
      </c>
      <c r="D2025" s="4" t="e">
        <f>VLOOKUP(A2025,المعطيات!$A$1:$J$3500,5,0)</f>
        <v>#N/A</v>
      </c>
      <c r="E2025" s="1" t="s">
        <v>1482</v>
      </c>
      <c r="F2025" s="5">
        <f t="shared" si="93"/>
        <v>0</v>
      </c>
      <c r="G2025" s="5" t="s">
        <v>1483</v>
      </c>
      <c r="H2025" s="4" t="e">
        <f>VLOOKUP(A2025,المعطيات!$A$1:$J$3500,3,0)</f>
        <v>#N/A</v>
      </c>
      <c r="I2025" s="1" t="s">
        <v>1484</v>
      </c>
      <c r="J2025" s="1" t="s">
        <v>1485</v>
      </c>
      <c r="K2025" s="4" t="e">
        <f>VLOOKUP(A2025,المعطيات!$A$1:$J$3500,6,0)</f>
        <v>#N/A</v>
      </c>
      <c r="L2025" s="1" t="s">
        <v>1486</v>
      </c>
      <c r="M2025" s="1" t="s">
        <v>1487</v>
      </c>
      <c r="N2025" s="4" t="e">
        <f t="shared" si="94"/>
        <v>#N/A</v>
      </c>
      <c r="O2025" s="1" t="s">
        <v>1488</v>
      </c>
      <c r="P2025" s="4" t="e">
        <f>VLOOKUP(A2025,المعطيات!$A$1:$J$3500,4,0)</f>
        <v>#N/A</v>
      </c>
      <c r="Q2025" s="1" t="s">
        <v>1489</v>
      </c>
      <c r="R2025" s="1" t="s">
        <v>1480</v>
      </c>
      <c r="S2025" s="6" t="e">
        <f t="shared" si="95"/>
        <v>#N/A</v>
      </c>
    </row>
    <row r="2026" spans="2:19" x14ac:dyDescent="0.25">
      <c r="B2026" s="1" t="s">
        <v>1479</v>
      </c>
      <c r="C2026" s="1" t="s">
        <v>1481</v>
      </c>
      <c r="D2026" s="4" t="e">
        <f>VLOOKUP(A2026,المعطيات!$A$1:$J$3500,5,0)</f>
        <v>#N/A</v>
      </c>
      <c r="E2026" s="1" t="s">
        <v>1482</v>
      </c>
      <c r="F2026" s="5">
        <f t="shared" si="93"/>
        <v>0</v>
      </c>
      <c r="G2026" s="5" t="s">
        <v>1483</v>
      </c>
      <c r="H2026" s="4" t="e">
        <f>VLOOKUP(A2026,المعطيات!$A$1:$J$3500,3,0)</f>
        <v>#N/A</v>
      </c>
      <c r="I2026" s="1" t="s">
        <v>1484</v>
      </c>
      <c r="J2026" s="1" t="s">
        <v>1485</v>
      </c>
      <c r="K2026" s="4" t="e">
        <f>VLOOKUP(A2026,المعطيات!$A$1:$J$3500,6,0)</f>
        <v>#N/A</v>
      </c>
      <c r="L2026" s="1" t="s">
        <v>1486</v>
      </c>
      <c r="M2026" s="1" t="s">
        <v>1487</v>
      </c>
      <c r="N2026" s="4" t="e">
        <f t="shared" si="94"/>
        <v>#N/A</v>
      </c>
      <c r="O2026" s="1" t="s">
        <v>1488</v>
      </c>
      <c r="P2026" s="4" t="e">
        <f>VLOOKUP(A2026,المعطيات!$A$1:$J$3500,4,0)</f>
        <v>#N/A</v>
      </c>
      <c r="Q2026" s="1" t="s">
        <v>1489</v>
      </c>
      <c r="R2026" s="1" t="s">
        <v>1480</v>
      </c>
      <c r="S2026" s="6" t="e">
        <f t="shared" si="95"/>
        <v>#N/A</v>
      </c>
    </row>
    <row r="2027" spans="2:19" x14ac:dyDescent="0.25">
      <c r="B2027" s="1" t="s">
        <v>1479</v>
      </c>
      <c r="C2027" s="1" t="s">
        <v>1481</v>
      </c>
      <c r="D2027" s="4" t="e">
        <f>VLOOKUP(A2027,المعطيات!$A$1:$J$3500,5,0)</f>
        <v>#N/A</v>
      </c>
      <c r="E2027" s="1" t="s">
        <v>1482</v>
      </c>
      <c r="F2027" s="5">
        <f t="shared" si="93"/>
        <v>0</v>
      </c>
      <c r="G2027" s="5" t="s">
        <v>1483</v>
      </c>
      <c r="H2027" s="4" t="e">
        <f>VLOOKUP(A2027,المعطيات!$A$1:$J$3500,3,0)</f>
        <v>#N/A</v>
      </c>
      <c r="I2027" s="1" t="s">
        <v>1484</v>
      </c>
      <c r="J2027" s="1" t="s">
        <v>1485</v>
      </c>
      <c r="K2027" s="4" t="e">
        <f>VLOOKUP(A2027,المعطيات!$A$1:$J$3500,6,0)</f>
        <v>#N/A</v>
      </c>
      <c r="L2027" s="1" t="s">
        <v>1486</v>
      </c>
      <c r="M2027" s="1" t="s">
        <v>1487</v>
      </c>
      <c r="N2027" s="4" t="e">
        <f t="shared" si="94"/>
        <v>#N/A</v>
      </c>
      <c r="O2027" s="1" t="s">
        <v>1488</v>
      </c>
      <c r="P2027" s="4" t="e">
        <f>VLOOKUP(A2027,المعطيات!$A$1:$J$3500,4,0)</f>
        <v>#N/A</v>
      </c>
      <c r="Q2027" s="1" t="s">
        <v>1489</v>
      </c>
      <c r="R2027" s="1" t="s">
        <v>1480</v>
      </c>
      <c r="S2027" s="6" t="e">
        <f t="shared" si="95"/>
        <v>#N/A</v>
      </c>
    </row>
    <row r="2028" spans="2:19" x14ac:dyDescent="0.25">
      <c r="B2028" s="1" t="s">
        <v>1479</v>
      </c>
      <c r="C2028" s="1" t="s">
        <v>1481</v>
      </c>
      <c r="D2028" s="4" t="e">
        <f>VLOOKUP(A2028,المعطيات!$A$1:$J$3500,5,0)</f>
        <v>#N/A</v>
      </c>
      <c r="E2028" s="1" t="s">
        <v>1482</v>
      </c>
      <c r="F2028" s="5">
        <f t="shared" si="93"/>
        <v>0</v>
      </c>
      <c r="G2028" s="5" t="s">
        <v>1483</v>
      </c>
      <c r="H2028" s="4" t="e">
        <f>VLOOKUP(A2028,المعطيات!$A$1:$J$3500,3,0)</f>
        <v>#N/A</v>
      </c>
      <c r="I2028" s="1" t="s">
        <v>1484</v>
      </c>
      <c r="J2028" s="1" t="s">
        <v>1485</v>
      </c>
      <c r="K2028" s="4" t="e">
        <f>VLOOKUP(A2028,المعطيات!$A$1:$J$3500,6,0)</f>
        <v>#N/A</v>
      </c>
      <c r="L2028" s="1" t="s">
        <v>1486</v>
      </c>
      <c r="M2028" s="1" t="s">
        <v>1487</v>
      </c>
      <c r="N2028" s="4" t="e">
        <f t="shared" si="94"/>
        <v>#N/A</v>
      </c>
      <c r="O2028" s="1" t="s">
        <v>1488</v>
      </c>
      <c r="P2028" s="4" t="e">
        <f>VLOOKUP(A2028,المعطيات!$A$1:$J$3500,4,0)</f>
        <v>#N/A</v>
      </c>
      <c r="Q2028" s="1" t="s">
        <v>1489</v>
      </c>
      <c r="R2028" s="1" t="s">
        <v>1480</v>
      </c>
      <c r="S2028" s="6" t="e">
        <f t="shared" si="95"/>
        <v>#N/A</v>
      </c>
    </row>
    <row r="2029" spans="2:19" x14ac:dyDescent="0.25">
      <c r="B2029" s="1" t="s">
        <v>1479</v>
      </c>
      <c r="C2029" s="1" t="s">
        <v>1481</v>
      </c>
      <c r="D2029" s="4" t="e">
        <f>VLOOKUP(A2029,المعطيات!$A$1:$J$3500,5,0)</f>
        <v>#N/A</v>
      </c>
      <c r="E2029" s="1" t="s">
        <v>1482</v>
      </c>
      <c r="F2029" s="5">
        <f t="shared" si="93"/>
        <v>0</v>
      </c>
      <c r="G2029" s="5" t="s">
        <v>1483</v>
      </c>
      <c r="H2029" s="4" t="e">
        <f>VLOOKUP(A2029,المعطيات!$A$1:$J$3500,3,0)</f>
        <v>#N/A</v>
      </c>
      <c r="I2029" s="1" t="s">
        <v>1484</v>
      </c>
      <c r="J2029" s="1" t="s">
        <v>1485</v>
      </c>
      <c r="K2029" s="4" t="e">
        <f>VLOOKUP(A2029,المعطيات!$A$1:$J$3500,6,0)</f>
        <v>#N/A</v>
      </c>
      <c r="L2029" s="1" t="s">
        <v>1486</v>
      </c>
      <c r="M2029" s="1" t="s">
        <v>1487</v>
      </c>
      <c r="N2029" s="4" t="e">
        <f t="shared" si="94"/>
        <v>#N/A</v>
      </c>
      <c r="O2029" s="1" t="s">
        <v>1488</v>
      </c>
      <c r="P2029" s="4" t="e">
        <f>VLOOKUP(A2029,المعطيات!$A$1:$J$3500,4,0)</f>
        <v>#N/A</v>
      </c>
      <c r="Q2029" s="1" t="s">
        <v>1489</v>
      </c>
      <c r="R2029" s="1" t="s">
        <v>1480</v>
      </c>
      <c r="S2029" s="6" t="e">
        <f t="shared" si="95"/>
        <v>#N/A</v>
      </c>
    </row>
    <row r="2030" spans="2:19" x14ac:dyDescent="0.25">
      <c r="B2030" s="1" t="s">
        <v>1479</v>
      </c>
      <c r="C2030" s="1" t="s">
        <v>1481</v>
      </c>
      <c r="D2030" s="4" t="e">
        <f>VLOOKUP(A2030,المعطيات!$A$1:$J$3500,5,0)</f>
        <v>#N/A</v>
      </c>
      <c r="E2030" s="1" t="s">
        <v>1482</v>
      </c>
      <c r="F2030" s="5">
        <f t="shared" si="93"/>
        <v>0</v>
      </c>
      <c r="G2030" s="5" t="s">
        <v>1483</v>
      </c>
      <c r="H2030" s="4" t="e">
        <f>VLOOKUP(A2030,المعطيات!$A$1:$J$3500,3,0)</f>
        <v>#N/A</v>
      </c>
      <c r="I2030" s="1" t="s">
        <v>1484</v>
      </c>
      <c r="J2030" s="1" t="s">
        <v>1485</v>
      </c>
      <c r="K2030" s="4" t="e">
        <f>VLOOKUP(A2030,المعطيات!$A$1:$J$3500,6,0)</f>
        <v>#N/A</v>
      </c>
      <c r="L2030" s="1" t="s">
        <v>1486</v>
      </c>
      <c r="M2030" s="1" t="s">
        <v>1487</v>
      </c>
      <c r="N2030" s="4" t="e">
        <f t="shared" si="94"/>
        <v>#N/A</v>
      </c>
      <c r="O2030" s="1" t="s">
        <v>1488</v>
      </c>
      <c r="P2030" s="4" t="e">
        <f>VLOOKUP(A2030,المعطيات!$A$1:$J$3500,4,0)</f>
        <v>#N/A</v>
      </c>
      <c r="Q2030" s="1" t="s">
        <v>1489</v>
      </c>
      <c r="R2030" s="1" t="s">
        <v>1480</v>
      </c>
      <c r="S2030" s="6" t="e">
        <f t="shared" si="95"/>
        <v>#N/A</v>
      </c>
    </row>
    <row r="2031" spans="2:19" x14ac:dyDescent="0.25">
      <c r="B2031" s="1" t="s">
        <v>1479</v>
      </c>
      <c r="C2031" s="1" t="s">
        <v>1481</v>
      </c>
      <c r="D2031" s="4" t="e">
        <f>VLOOKUP(A2031,المعطيات!$A$1:$J$3500,5,0)</f>
        <v>#N/A</v>
      </c>
      <c r="E2031" s="1" t="s">
        <v>1482</v>
      </c>
      <c r="F2031" s="5">
        <f t="shared" si="93"/>
        <v>0</v>
      </c>
      <c r="G2031" s="5" t="s">
        <v>1483</v>
      </c>
      <c r="H2031" s="4" t="e">
        <f>VLOOKUP(A2031,المعطيات!$A$1:$J$3500,3,0)</f>
        <v>#N/A</v>
      </c>
      <c r="I2031" s="1" t="s">
        <v>1484</v>
      </c>
      <c r="J2031" s="1" t="s">
        <v>1485</v>
      </c>
      <c r="K2031" s="4" t="e">
        <f>VLOOKUP(A2031,المعطيات!$A$1:$J$3500,6,0)</f>
        <v>#N/A</v>
      </c>
      <c r="L2031" s="1" t="s">
        <v>1486</v>
      </c>
      <c r="M2031" s="1" t="s">
        <v>1487</v>
      </c>
      <c r="N2031" s="4" t="e">
        <f t="shared" si="94"/>
        <v>#N/A</v>
      </c>
      <c r="O2031" s="1" t="s">
        <v>1488</v>
      </c>
      <c r="P2031" s="4" t="e">
        <f>VLOOKUP(A2031,المعطيات!$A$1:$J$3500,4,0)</f>
        <v>#N/A</v>
      </c>
      <c r="Q2031" s="1" t="s">
        <v>1489</v>
      </c>
      <c r="R2031" s="1" t="s">
        <v>1480</v>
      </c>
      <c r="S2031" s="6" t="e">
        <f t="shared" si="95"/>
        <v>#N/A</v>
      </c>
    </row>
    <row r="2032" spans="2:19" x14ac:dyDescent="0.25">
      <c r="B2032" s="1" t="s">
        <v>1479</v>
      </c>
      <c r="C2032" s="1" t="s">
        <v>1481</v>
      </c>
      <c r="D2032" s="4" t="e">
        <f>VLOOKUP(A2032,المعطيات!$A$1:$J$3500,5,0)</f>
        <v>#N/A</v>
      </c>
      <c r="E2032" s="1" t="s">
        <v>1482</v>
      </c>
      <c r="F2032" s="5">
        <f t="shared" si="93"/>
        <v>0</v>
      </c>
      <c r="G2032" s="5" t="s">
        <v>1483</v>
      </c>
      <c r="H2032" s="4" t="e">
        <f>VLOOKUP(A2032,المعطيات!$A$1:$J$3500,3,0)</f>
        <v>#N/A</v>
      </c>
      <c r="I2032" s="1" t="s">
        <v>1484</v>
      </c>
      <c r="J2032" s="1" t="s">
        <v>1485</v>
      </c>
      <c r="K2032" s="4" t="e">
        <f>VLOOKUP(A2032,المعطيات!$A$1:$J$3500,6,0)</f>
        <v>#N/A</v>
      </c>
      <c r="L2032" s="1" t="s">
        <v>1486</v>
      </c>
      <c r="M2032" s="1" t="s">
        <v>1487</v>
      </c>
      <c r="N2032" s="4" t="e">
        <f t="shared" si="94"/>
        <v>#N/A</v>
      </c>
      <c r="O2032" s="1" t="s">
        <v>1488</v>
      </c>
      <c r="P2032" s="4" t="e">
        <f>VLOOKUP(A2032,المعطيات!$A$1:$J$3500,4,0)</f>
        <v>#N/A</v>
      </c>
      <c r="Q2032" s="1" t="s">
        <v>1489</v>
      </c>
      <c r="R2032" s="1" t="s">
        <v>1480</v>
      </c>
      <c r="S2032" s="6" t="e">
        <f t="shared" si="95"/>
        <v>#N/A</v>
      </c>
    </row>
    <row r="2033" spans="2:19" x14ac:dyDescent="0.25">
      <c r="B2033" s="1" t="s">
        <v>1479</v>
      </c>
      <c r="C2033" s="1" t="s">
        <v>1481</v>
      </c>
      <c r="D2033" s="4" t="e">
        <f>VLOOKUP(A2033,المعطيات!$A$1:$J$3500,5,0)</f>
        <v>#N/A</v>
      </c>
      <c r="E2033" s="1" t="s">
        <v>1482</v>
      </c>
      <c r="F2033" s="5">
        <f t="shared" si="93"/>
        <v>0</v>
      </c>
      <c r="G2033" s="5" t="s">
        <v>1483</v>
      </c>
      <c r="H2033" s="4" t="e">
        <f>VLOOKUP(A2033,المعطيات!$A$1:$J$3500,3,0)</f>
        <v>#N/A</v>
      </c>
      <c r="I2033" s="1" t="s">
        <v>1484</v>
      </c>
      <c r="J2033" s="1" t="s">
        <v>1485</v>
      </c>
      <c r="K2033" s="4" t="e">
        <f>VLOOKUP(A2033,المعطيات!$A$1:$J$3500,6,0)</f>
        <v>#N/A</v>
      </c>
      <c r="L2033" s="1" t="s">
        <v>1486</v>
      </c>
      <c r="M2033" s="1" t="s">
        <v>1487</v>
      </c>
      <c r="N2033" s="4" t="e">
        <f t="shared" si="94"/>
        <v>#N/A</v>
      </c>
      <c r="O2033" s="1" t="s">
        <v>1488</v>
      </c>
      <c r="P2033" s="4" t="e">
        <f>VLOOKUP(A2033,المعطيات!$A$1:$J$3500,4,0)</f>
        <v>#N/A</v>
      </c>
      <c r="Q2033" s="1" t="s">
        <v>1489</v>
      </c>
      <c r="R2033" s="1" t="s">
        <v>1480</v>
      </c>
      <c r="S2033" s="6" t="e">
        <f t="shared" si="95"/>
        <v>#N/A</v>
      </c>
    </row>
    <row r="2034" spans="2:19" x14ac:dyDescent="0.25">
      <c r="B2034" s="1" t="s">
        <v>1479</v>
      </c>
      <c r="C2034" s="1" t="s">
        <v>1481</v>
      </c>
      <c r="D2034" s="4" t="e">
        <f>VLOOKUP(A2034,المعطيات!$A$1:$J$3500,5,0)</f>
        <v>#N/A</v>
      </c>
      <c r="E2034" s="1" t="s">
        <v>1482</v>
      </c>
      <c r="F2034" s="5">
        <f t="shared" si="93"/>
        <v>0</v>
      </c>
      <c r="G2034" s="5" t="s">
        <v>1483</v>
      </c>
      <c r="H2034" s="4" t="e">
        <f>VLOOKUP(A2034,المعطيات!$A$1:$J$3500,3,0)</f>
        <v>#N/A</v>
      </c>
      <c r="I2034" s="1" t="s">
        <v>1484</v>
      </c>
      <c r="J2034" s="1" t="s">
        <v>1485</v>
      </c>
      <c r="K2034" s="4" t="e">
        <f>VLOOKUP(A2034,المعطيات!$A$1:$J$3500,6,0)</f>
        <v>#N/A</v>
      </c>
      <c r="L2034" s="1" t="s">
        <v>1486</v>
      </c>
      <c r="M2034" s="1" t="s">
        <v>1487</v>
      </c>
      <c r="N2034" s="4" t="e">
        <f t="shared" si="94"/>
        <v>#N/A</v>
      </c>
      <c r="O2034" s="1" t="s">
        <v>1488</v>
      </c>
      <c r="P2034" s="4" t="e">
        <f>VLOOKUP(A2034,المعطيات!$A$1:$J$3500,4,0)</f>
        <v>#N/A</v>
      </c>
      <c r="Q2034" s="1" t="s">
        <v>1489</v>
      </c>
      <c r="R2034" s="1" t="s">
        <v>1480</v>
      </c>
      <c r="S2034" s="6" t="e">
        <f t="shared" si="95"/>
        <v>#N/A</v>
      </c>
    </row>
    <row r="2035" spans="2:19" x14ac:dyDescent="0.25">
      <c r="B2035" s="1" t="s">
        <v>1479</v>
      </c>
      <c r="C2035" s="1" t="s">
        <v>1481</v>
      </c>
      <c r="D2035" s="4" t="e">
        <f>VLOOKUP(A2035,المعطيات!$A$1:$J$3500,5,0)</f>
        <v>#N/A</v>
      </c>
      <c r="E2035" s="1" t="s">
        <v>1482</v>
      </c>
      <c r="F2035" s="5">
        <f t="shared" si="93"/>
        <v>0</v>
      </c>
      <c r="G2035" s="5" t="s">
        <v>1483</v>
      </c>
      <c r="H2035" s="4" t="e">
        <f>VLOOKUP(A2035,المعطيات!$A$1:$J$3500,3,0)</f>
        <v>#N/A</v>
      </c>
      <c r="I2035" s="1" t="s">
        <v>1484</v>
      </c>
      <c r="J2035" s="1" t="s">
        <v>1485</v>
      </c>
      <c r="K2035" s="4" t="e">
        <f>VLOOKUP(A2035,المعطيات!$A$1:$J$3500,6,0)</f>
        <v>#N/A</v>
      </c>
      <c r="L2035" s="1" t="s">
        <v>1486</v>
      </c>
      <c r="M2035" s="1" t="s">
        <v>1487</v>
      </c>
      <c r="N2035" s="4" t="e">
        <f t="shared" si="94"/>
        <v>#N/A</v>
      </c>
      <c r="O2035" s="1" t="s">
        <v>1488</v>
      </c>
      <c r="P2035" s="4" t="e">
        <f>VLOOKUP(A2035,المعطيات!$A$1:$J$3500,4,0)</f>
        <v>#N/A</v>
      </c>
      <c r="Q2035" s="1" t="s">
        <v>1489</v>
      </c>
      <c r="R2035" s="1" t="s">
        <v>1480</v>
      </c>
      <c r="S2035" s="6" t="e">
        <f t="shared" si="95"/>
        <v>#N/A</v>
      </c>
    </row>
    <row r="2036" spans="2:19" x14ac:dyDescent="0.25">
      <c r="B2036" s="1" t="s">
        <v>1479</v>
      </c>
      <c r="C2036" s="1" t="s">
        <v>1481</v>
      </c>
      <c r="D2036" s="4" t="e">
        <f>VLOOKUP(A2036,المعطيات!$A$1:$J$3500,5,0)</f>
        <v>#N/A</v>
      </c>
      <c r="E2036" s="1" t="s">
        <v>1482</v>
      </c>
      <c r="F2036" s="5">
        <f t="shared" si="93"/>
        <v>0</v>
      </c>
      <c r="G2036" s="5" t="s">
        <v>1483</v>
      </c>
      <c r="H2036" s="4" t="e">
        <f>VLOOKUP(A2036,المعطيات!$A$1:$J$3500,3,0)</f>
        <v>#N/A</v>
      </c>
      <c r="I2036" s="1" t="s">
        <v>1484</v>
      </c>
      <c r="J2036" s="1" t="s">
        <v>1485</v>
      </c>
      <c r="K2036" s="4" t="e">
        <f>VLOOKUP(A2036,المعطيات!$A$1:$J$3500,6,0)</f>
        <v>#N/A</v>
      </c>
      <c r="L2036" s="1" t="s">
        <v>1486</v>
      </c>
      <c r="M2036" s="1" t="s">
        <v>1487</v>
      </c>
      <c r="N2036" s="4" t="e">
        <f t="shared" si="94"/>
        <v>#N/A</v>
      </c>
      <c r="O2036" s="1" t="s">
        <v>1488</v>
      </c>
      <c r="P2036" s="4" t="e">
        <f>VLOOKUP(A2036,المعطيات!$A$1:$J$3500,4,0)</f>
        <v>#N/A</v>
      </c>
      <c r="Q2036" s="1" t="s">
        <v>1489</v>
      </c>
      <c r="R2036" s="1" t="s">
        <v>1480</v>
      </c>
      <c r="S2036" s="6" t="e">
        <f t="shared" si="95"/>
        <v>#N/A</v>
      </c>
    </row>
    <row r="2037" spans="2:19" x14ac:dyDescent="0.25">
      <c r="B2037" s="1" t="s">
        <v>1479</v>
      </c>
      <c r="C2037" s="1" t="s">
        <v>1481</v>
      </c>
      <c r="D2037" s="4" t="e">
        <f>VLOOKUP(A2037,المعطيات!$A$1:$J$3500,5,0)</f>
        <v>#N/A</v>
      </c>
      <c r="E2037" s="1" t="s">
        <v>1482</v>
      </c>
      <c r="F2037" s="5">
        <f t="shared" si="93"/>
        <v>0</v>
      </c>
      <c r="G2037" s="5" t="s">
        <v>1483</v>
      </c>
      <c r="H2037" s="4" t="e">
        <f>VLOOKUP(A2037,المعطيات!$A$1:$J$3500,3,0)</f>
        <v>#N/A</v>
      </c>
      <c r="I2037" s="1" t="s">
        <v>1484</v>
      </c>
      <c r="J2037" s="1" t="s">
        <v>1485</v>
      </c>
      <c r="K2037" s="4" t="e">
        <f>VLOOKUP(A2037,المعطيات!$A$1:$J$3500,6,0)</f>
        <v>#N/A</v>
      </c>
      <c r="L2037" s="1" t="s">
        <v>1486</v>
      </c>
      <c r="M2037" s="1" t="s">
        <v>1487</v>
      </c>
      <c r="N2037" s="4" t="e">
        <f t="shared" si="94"/>
        <v>#N/A</v>
      </c>
      <c r="O2037" s="1" t="s">
        <v>1488</v>
      </c>
      <c r="P2037" s="4" t="e">
        <f>VLOOKUP(A2037,المعطيات!$A$1:$J$3500,4,0)</f>
        <v>#N/A</v>
      </c>
      <c r="Q2037" s="1" t="s">
        <v>1489</v>
      </c>
      <c r="R2037" s="1" t="s">
        <v>1480</v>
      </c>
      <c r="S2037" s="6" t="e">
        <f t="shared" si="95"/>
        <v>#N/A</v>
      </c>
    </row>
    <row r="2038" spans="2:19" x14ac:dyDescent="0.25">
      <c r="B2038" s="1" t="s">
        <v>1479</v>
      </c>
      <c r="C2038" s="1" t="s">
        <v>1481</v>
      </c>
      <c r="D2038" s="4" t="e">
        <f>VLOOKUP(A2038,المعطيات!$A$1:$J$3500,5,0)</f>
        <v>#N/A</v>
      </c>
      <c r="E2038" s="1" t="s">
        <v>1482</v>
      </c>
      <c r="F2038" s="5">
        <f t="shared" si="93"/>
        <v>0</v>
      </c>
      <c r="G2038" s="5" t="s">
        <v>1483</v>
      </c>
      <c r="H2038" s="4" t="e">
        <f>VLOOKUP(A2038,المعطيات!$A$1:$J$3500,3,0)</f>
        <v>#N/A</v>
      </c>
      <c r="I2038" s="1" t="s">
        <v>1484</v>
      </c>
      <c r="J2038" s="1" t="s">
        <v>1485</v>
      </c>
      <c r="K2038" s="4" t="e">
        <f>VLOOKUP(A2038,المعطيات!$A$1:$J$3500,6,0)</f>
        <v>#N/A</v>
      </c>
      <c r="L2038" s="1" t="s">
        <v>1486</v>
      </c>
      <c r="M2038" s="1" t="s">
        <v>1487</v>
      </c>
      <c r="N2038" s="4" t="e">
        <f t="shared" si="94"/>
        <v>#N/A</v>
      </c>
      <c r="O2038" s="1" t="s">
        <v>1488</v>
      </c>
      <c r="P2038" s="4" t="e">
        <f>VLOOKUP(A2038,المعطيات!$A$1:$J$3500,4,0)</f>
        <v>#N/A</v>
      </c>
      <c r="Q2038" s="1" t="s">
        <v>1489</v>
      </c>
      <c r="R2038" s="1" t="s">
        <v>1480</v>
      </c>
      <c r="S2038" s="6" t="e">
        <f t="shared" si="95"/>
        <v>#N/A</v>
      </c>
    </row>
    <row r="2039" spans="2:19" x14ac:dyDescent="0.25">
      <c r="B2039" s="1" t="s">
        <v>1479</v>
      </c>
      <c r="C2039" s="1" t="s">
        <v>1481</v>
      </c>
      <c r="D2039" s="4" t="e">
        <f>VLOOKUP(A2039,المعطيات!$A$1:$J$3500,5,0)</f>
        <v>#N/A</v>
      </c>
      <c r="E2039" s="1" t="s">
        <v>1482</v>
      </c>
      <c r="F2039" s="5">
        <f t="shared" si="93"/>
        <v>0</v>
      </c>
      <c r="G2039" s="5" t="s">
        <v>1483</v>
      </c>
      <c r="H2039" s="4" t="e">
        <f>VLOOKUP(A2039,المعطيات!$A$1:$J$3500,3,0)</f>
        <v>#N/A</v>
      </c>
      <c r="I2039" s="1" t="s">
        <v>1484</v>
      </c>
      <c r="J2039" s="1" t="s">
        <v>1485</v>
      </c>
      <c r="K2039" s="4" t="e">
        <f>VLOOKUP(A2039,المعطيات!$A$1:$J$3500,6,0)</f>
        <v>#N/A</v>
      </c>
      <c r="L2039" s="1" t="s">
        <v>1486</v>
      </c>
      <c r="M2039" s="1" t="s">
        <v>1487</v>
      </c>
      <c r="N2039" s="4" t="e">
        <f t="shared" si="94"/>
        <v>#N/A</v>
      </c>
      <c r="O2039" s="1" t="s">
        <v>1488</v>
      </c>
      <c r="P2039" s="4" t="e">
        <f>VLOOKUP(A2039,المعطيات!$A$1:$J$3500,4,0)</f>
        <v>#N/A</v>
      </c>
      <c r="Q2039" s="1" t="s">
        <v>1489</v>
      </c>
      <c r="R2039" s="1" t="s">
        <v>1480</v>
      </c>
      <c r="S2039" s="6" t="e">
        <f t="shared" si="95"/>
        <v>#N/A</v>
      </c>
    </row>
    <row r="2040" spans="2:19" x14ac:dyDescent="0.25">
      <c r="B2040" s="1" t="s">
        <v>1479</v>
      </c>
      <c r="C2040" s="1" t="s">
        <v>1481</v>
      </c>
      <c r="D2040" s="4" t="e">
        <f>VLOOKUP(A2040,المعطيات!$A$1:$J$3500,5,0)</f>
        <v>#N/A</v>
      </c>
      <c r="E2040" s="1" t="s">
        <v>1482</v>
      </c>
      <c r="F2040" s="5">
        <f t="shared" si="93"/>
        <v>0</v>
      </c>
      <c r="G2040" s="5" t="s">
        <v>1483</v>
      </c>
      <c r="H2040" s="4" t="e">
        <f>VLOOKUP(A2040,المعطيات!$A$1:$J$3500,3,0)</f>
        <v>#N/A</v>
      </c>
      <c r="I2040" s="1" t="s">
        <v>1484</v>
      </c>
      <c r="J2040" s="1" t="s">
        <v>1485</v>
      </c>
      <c r="K2040" s="4" t="e">
        <f>VLOOKUP(A2040,المعطيات!$A$1:$J$3500,6,0)</f>
        <v>#N/A</v>
      </c>
      <c r="L2040" s="1" t="s">
        <v>1486</v>
      </c>
      <c r="M2040" s="1" t="s">
        <v>1487</v>
      </c>
      <c r="N2040" s="4" t="e">
        <f t="shared" si="94"/>
        <v>#N/A</v>
      </c>
      <c r="O2040" s="1" t="s">
        <v>1488</v>
      </c>
      <c r="P2040" s="4" t="e">
        <f>VLOOKUP(A2040,المعطيات!$A$1:$J$3500,4,0)</f>
        <v>#N/A</v>
      </c>
      <c r="Q2040" s="1" t="s">
        <v>1489</v>
      </c>
      <c r="R2040" s="1" t="s">
        <v>1480</v>
      </c>
      <c r="S2040" s="6" t="e">
        <f t="shared" si="95"/>
        <v>#N/A</v>
      </c>
    </row>
    <row r="2041" spans="2:19" x14ac:dyDescent="0.25">
      <c r="B2041" s="1" t="s">
        <v>1479</v>
      </c>
      <c r="C2041" s="1" t="s">
        <v>1481</v>
      </c>
      <c r="D2041" s="4" t="e">
        <f>VLOOKUP(A2041,المعطيات!$A$1:$J$3500,5,0)</f>
        <v>#N/A</v>
      </c>
      <c r="E2041" s="1" t="s">
        <v>1482</v>
      </c>
      <c r="F2041" s="5">
        <f t="shared" si="93"/>
        <v>0</v>
      </c>
      <c r="G2041" s="5" t="s">
        <v>1483</v>
      </c>
      <c r="H2041" s="4" t="e">
        <f>VLOOKUP(A2041,المعطيات!$A$1:$J$3500,3,0)</f>
        <v>#N/A</v>
      </c>
      <c r="I2041" s="1" t="s">
        <v>1484</v>
      </c>
      <c r="J2041" s="1" t="s">
        <v>1485</v>
      </c>
      <c r="K2041" s="4" t="e">
        <f>VLOOKUP(A2041,المعطيات!$A$1:$J$3500,6,0)</f>
        <v>#N/A</v>
      </c>
      <c r="L2041" s="1" t="s">
        <v>1486</v>
      </c>
      <c r="M2041" s="1" t="s">
        <v>1487</v>
      </c>
      <c r="N2041" s="4" t="e">
        <f t="shared" si="94"/>
        <v>#N/A</v>
      </c>
      <c r="O2041" s="1" t="s">
        <v>1488</v>
      </c>
      <c r="P2041" s="4" t="e">
        <f>VLOOKUP(A2041,المعطيات!$A$1:$J$3500,4,0)</f>
        <v>#N/A</v>
      </c>
      <c r="Q2041" s="1" t="s">
        <v>1489</v>
      </c>
      <c r="R2041" s="1" t="s">
        <v>1480</v>
      </c>
      <c r="S2041" s="6" t="e">
        <f t="shared" si="95"/>
        <v>#N/A</v>
      </c>
    </row>
    <row r="2042" spans="2:19" x14ac:dyDescent="0.25">
      <c r="B2042" s="1" t="s">
        <v>1479</v>
      </c>
      <c r="C2042" s="1" t="s">
        <v>1481</v>
      </c>
      <c r="D2042" s="4" t="e">
        <f>VLOOKUP(A2042,المعطيات!$A$1:$J$3500,5,0)</f>
        <v>#N/A</v>
      </c>
      <c r="E2042" s="1" t="s">
        <v>1482</v>
      </c>
      <c r="F2042" s="5">
        <f t="shared" si="93"/>
        <v>0</v>
      </c>
      <c r="G2042" s="5" t="s">
        <v>1483</v>
      </c>
      <c r="H2042" s="4" t="e">
        <f>VLOOKUP(A2042,المعطيات!$A$1:$J$3500,3,0)</f>
        <v>#N/A</v>
      </c>
      <c r="I2042" s="1" t="s">
        <v>1484</v>
      </c>
      <c r="J2042" s="1" t="s">
        <v>1485</v>
      </c>
      <c r="K2042" s="4" t="e">
        <f>VLOOKUP(A2042,المعطيات!$A$1:$J$3500,6,0)</f>
        <v>#N/A</v>
      </c>
      <c r="L2042" s="1" t="s">
        <v>1486</v>
      </c>
      <c r="M2042" s="1" t="s">
        <v>1487</v>
      </c>
      <c r="N2042" s="4" t="e">
        <f t="shared" si="94"/>
        <v>#N/A</v>
      </c>
      <c r="O2042" s="1" t="s">
        <v>1488</v>
      </c>
      <c r="P2042" s="4" t="e">
        <f>VLOOKUP(A2042,المعطيات!$A$1:$J$3500,4,0)</f>
        <v>#N/A</v>
      </c>
      <c r="Q2042" s="1" t="s">
        <v>1489</v>
      </c>
      <c r="R2042" s="1" t="s">
        <v>1480</v>
      </c>
      <c r="S2042" s="6" t="e">
        <f t="shared" si="95"/>
        <v>#N/A</v>
      </c>
    </row>
    <row r="2043" spans="2:19" x14ac:dyDescent="0.25">
      <c r="B2043" s="1" t="s">
        <v>1479</v>
      </c>
      <c r="C2043" s="1" t="s">
        <v>1481</v>
      </c>
      <c r="D2043" s="4" t="e">
        <f>VLOOKUP(A2043,المعطيات!$A$1:$J$3500,5,0)</f>
        <v>#N/A</v>
      </c>
      <c r="E2043" s="1" t="s">
        <v>1482</v>
      </c>
      <c r="F2043" s="5">
        <f t="shared" si="93"/>
        <v>0</v>
      </c>
      <c r="G2043" s="5" t="s">
        <v>1483</v>
      </c>
      <c r="H2043" s="4" t="e">
        <f>VLOOKUP(A2043,المعطيات!$A$1:$J$3500,3,0)</f>
        <v>#N/A</v>
      </c>
      <c r="I2043" s="1" t="s">
        <v>1484</v>
      </c>
      <c r="J2043" s="1" t="s">
        <v>1485</v>
      </c>
      <c r="K2043" s="4" t="e">
        <f>VLOOKUP(A2043,المعطيات!$A$1:$J$3500,6,0)</f>
        <v>#N/A</v>
      </c>
      <c r="L2043" s="1" t="s">
        <v>1486</v>
      </c>
      <c r="M2043" s="1" t="s">
        <v>1487</v>
      </c>
      <c r="N2043" s="4" t="e">
        <f t="shared" si="94"/>
        <v>#N/A</v>
      </c>
      <c r="O2043" s="1" t="s">
        <v>1488</v>
      </c>
      <c r="P2043" s="4" t="e">
        <f>VLOOKUP(A2043,المعطيات!$A$1:$J$3500,4,0)</f>
        <v>#N/A</v>
      </c>
      <c r="Q2043" s="1" t="s">
        <v>1489</v>
      </c>
      <c r="R2043" s="1" t="s">
        <v>1480</v>
      </c>
      <c r="S2043" s="6" t="e">
        <f t="shared" si="95"/>
        <v>#N/A</v>
      </c>
    </row>
    <row r="2044" spans="2:19" x14ac:dyDescent="0.25">
      <c r="B2044" s="1" t="s">
        <v>1479</v>
      </c>
      <c r="C2044" s="1" t="s">
        <v>1481</v>
      </c>
      <c r="D2044" s="4" t="e">
        <f>VLOOKUP(A2044,المعطيات!$A$1:$J$3500,5,0)</f>
        <v>#N/A</v>
      </c>
      <c r="E2044" s="1" t="s">
        <v>1482</v>
      </c>
      <c r="F2044" s="5">
        <f t="shared" si="93"/>
        <v>0</v>
      </c>
      <c r="G2044" s="5" t="s">
        <v>1483</v>
      </c>
      <c r="H2044" s="4" t="e">
        <f>VLOOKUP(A2044,المعطيات!$A$1:$J$3500,3,0)</f>
        <v>#N/A</v>
      </c>
      <c r="I2044" s="1" t="s">
        <v>1484</v>
      </c>
      <c r="J2044" s="1" t="s">
        <v>1485</v>
      </c>
      <c r="K2044" s="4" t="e">
        <f>VLOOKUP(A2044,المعطيات!$A$1:$J$3500,6,0)</f>
        <v>#N/A</v>
      </c>
      <c r="L2044" s="1" t="s">
        <v>1486</v>
      </c>
      <c r="M2044" s="1" t="s">
        <v>1487</v>
      </c>
      <c r="N2044" s="4" t="e">
        <f t="shared" si="94"/>
        <v>#N/A</v>
      </c>
      <c r="O2044" s="1" t="s">
        <v>1488</v>
      </c>
      <c r="P2044" s="4" t="e">
        <f>VLOOKUP(A2044,المعطيات!$A$1:$J$3500,4,0)</f>
        <v>#N/A</v>
      </c>
      <c r="Q2044" s="1" t="s">
        <v>1489</v>
      </c>
      <c r="R2044" s="1" t="s">
        <v>1480</v>
      </c>
      <c r="S2044" s="6" t="e">
        <f t="shared" si="95"/>
        <v>#N/A</v>
      </c>
    </row>
    <row r="2045" spans="2:19" x14ac:dyDescent="0.25">
      <c r="B2045" s="1" t="s">
        <v>1479</v>
      </c>
      <c r="C2045" s="1" t="s">
        <v>1481</v>
      </c>
      <c r="D2045" s="4" t="e">
        <f>VLOOKUP(A2045,المعطيات!$A$1:$J$3500,5,0)</f>
        <v>#N/A</v>
      </c>
      <c r="E2045" s="1" t="s">
        <v>1482</v>
      </c>
      <c r="F2045" s="5">
        <f t="shared" si="93"/>
        <v>0</v>
      </c>
      <c r="G2045" s="5" t="s">
        <v>1483</v>
      </c>
      <c r="H2045" s="4" t="e">
        <f>VLOOKUP(A2045,المعطيات!$A$1:$J$3500,3,0)</f>
        <v>#N/A</v>
      </c>
      <c r="I2045" s="1" t="s">
        <v>1484</v>
      </c>
      <c r="J2045" s="1" t="s">
        <v>1485</v>
      </c>
      <c r="K2045" s="4" t="e">
        <f>VLOOKUP(A2045,المعطيات!$A$1:$J$3500,6,0)</f>
        <v>#N/A</v>
      </c>
      <c r="L2045" s="1" t="s">
        <v>1486</v>
      </c>
      <c r="M2045" s="1" t="s">
        <v>1487</v>
      </c>
      <c r="N2045" s="4" t="e">
        <f t="shared" si="94"/>
        <v>#N/A</v>
      </c>
      <c r="O2045" s="1" t="s">
        <v>1488</v>
      </c>
      <c r="P2045" s="4" t="e">
        <f>VLOOKUP(A2045,المعطيات!$A$1:$J$3500,4,0)</f>
        <v>#N/A</v>
      </c>
      <c r="Q2045" s="1" t="s">
        <v>1489</v>
      </c>
      <c r="R2045" s="1" t="s">
        <v>1480</v>
      </c>
      <c r="S2045" s="6" t="e">
        <f t="shared" si="95"/>
        <v>#N/A</v>
      </c>
    </row>
    <row r="2046" spans="2:19" x14ac:dyDescent="0.25">
      <c r="B2046" s="1" t="s">
        <v>1479</v>
      </c>
      <c r="C2046" s="1" t="s">
        <v>1481</v>
      </c>
      <c r="D2046" s="4" t="e">
        <f>VLOOKUP(A2046,المعطيات!$A$1:$J$3500,5,0)</f>
        <v>#N/A</v>
      </c>
      <c r="E2046" s="1" t="s">
        <v>1482</v>
      </c>
      <c r="F2046" s="5">
        <f t="shared" si="93"/>
        <v>0</v>
      </c>
      <c r="G2046" s="5" t="s">
        <v>1483</v>
      </c>
      <c r="H2046" s="4" t="e">
        <f>VLOOKUP(A2046,المعطيات!$A$1:$J$3500,3,0)</f>
        <v>#N/A</v>
      </c>
      <c r="I2046" s="1" t="s">
        <v>1484</v>
      </c>
      <c r="J2046" s="1" t="s">
        <v>1485</v>
      </c>
      <c r="K2046" s="4" t="e">
        <f>VLOOKUP(A2046,المعطيات!$A$1:$J$3500,6,0)</f>
        <v>#N/A</v>
      </c>
      <c r="L2046" s="1" t="s">
        <v>1486</v>
      </c>
      <c r="M2046" s="1" t="s">
        <v>1487</v>
      </c>
      <c r="N2046" s="4" t="e">
        <f t="shared" si="94"/>
        <v>#N/A</v>
      </c>
      <c r="O2046" s="1" t="s">
        <v>1488</v>
      </c>
      <c r="P2046" s="4" t="e">
        <f>VLOOKUP(A2046,المعطيات!$A$1:$J$3500,4,0)</f>
        <v>#N/A</v>
      </c>
      <c r="Q2046" s="1" t="s">
        <v>1489</v>
      </c>
      <c r="R2046" s="1" t="s">
        <v>1480</v>
      </c>
      <c r="S2046" s="6" t="e">
        <f t="shared" si="95"/>
        <v>#N/A</v>
      </c>
    </row>
    <row r="2047" spans="2:19" x14ac:dyDescent="0.25">
      <c r="B2047" s="1" t="s">
        <v>1479</v>
      </c>
      <c r="C2047" s="1" t="s">
        <v>1481</v>
      </c>
      <c r="D2047" s="4" t="e">
        <f>VLOOKUP(A2047,المعطيات!$A$1:$J$3500,5,0)</f>
        <v>#N/A</v>
      </c>
      <c r="E2047" s="1" t="s">
        <v>1482</v>
      </c>
      <c r="F2047" s="5">
        <f t="shared" si="93"/>
        <v>0</v>
      </c>
      <c r="G2047" s="5" t="s">
        <v>1483</v>
      </c>
      <c r="H2047" s="4" t="e">
        <f>VLOOKUP(A2047,المعطيات!$A$1:$J$3500,3,0)</f>
        <v>#N/A</v>
      </c>
      <c r="I2047" s="1" t="s">
        <v>1484</v>
      </c>
      <c r="J2047" s="1" t="s">
        <v>1485</v>
      </c>
      <c r="K2047" s="4" t="e">
        <f>VLOOKUP(A2047,المعطيات!$A$1:$J$3500,6,0)</f>
        <v>#N/A</v>
      </c>
      <c r="L2047" s="1" t="s">
        <v>1486</v>
      </c>
      <c r="M2047" s="1" t="s">
        <v>1487</v>
      </c>
      <c r="N2047" s="4" t="e">
        <f t="shared" si="94"/>
        <v>#N/A</v>
      </c>
      <c r="O2047" s="1" t="s">
        <v>1488</v>
      </c>
      <c r="P2047" s="4" t="e">
        <f>VLOOKUP(A2047,المعطيات!$A$1:$J$3500,4,0)</f>
        <v>#N/A</v>
      </c>
      <c r="Q2047" s="1" t="s">
        <v>1489</v>
      </c>
      <c r="R2047" s="1" t="s">
        <v>1480</v>
      </c>
      <c r="S2047" s="6" t="e">
        <f t="shared" si="95"/>
        <v>#N/A</v>
      </c>
    </row>
    <row r="2048" spans="2:19" x14ac:dyDescent="0.25">
      <c r="B2048" s="1" t="s">
        <v>1479</v>
      </c>
      <c r="C2048" s="1" t="s">
        <v>1481</v>
      </c>
      <c r="D2048" s="4" t="e">
        <f>VLOOKUP(A2048,المعطيات!$A$1:$J$3500,5,0)</f>
        <v>#N/A</v>
      </c>
      <c r="E2048" s="1" t="s">
        <v>1482</v>
      </c>
      <c r="F2048" s="5">
        <f t="shared" si="93"/>
        <v>0</v>
      </c>
      <c r="G2048" s="5" t="s">
        <v>1483</v>
      </c>
      <c r="H2048" s="4" t="e">
        <f>VLOOKUP(A2048,المعطيات!$A$1:$J$3500,3,0)</f>
        <v>#N/A</v>
      </c>
      <c r="I2048" s="1" t="s">
        <v>1484</v>
      </c>
      <c r="J2048" s="1" t="s">
        <v>1485</v>
      </c>
      <c r="K2048" s="4" t="e">
        <f>VLOOKUP(A2048,المعطيات!$A$1:$J$3500,6,0)</f>
        <v>#N/A</v>
      </c>
      <c r="L2048" s="1" t="s">
        <v>1486</v>
      </c>
      <c r="M2048" s="1" t="s">
        <v>1487</v>
      </c>
      <c r="N2048" s="4" t="e">
        <f t="shared" si="94"/>
        <v>#N/A</v>
      </c>
      <c r="O2048" s="1" t="s">
        <v>1488</v>
      </c>
      <c r="P2048" s="4" t="e">
        <f>VLOOKUP(A2048,المعطيات!$A$1:$J$3500,4,0)</f>
        <v>#N/A</v>
      </c>
      <c r="Q2048" s="1" t="s">
        <v>1489</v>
      </c>
      <c r="R2048" s="1" t="s">
        <v>1480</v>
      </c>
      <c r="S2048" s="6" t="e">
        <f t="shared" si="95"/>
        <v>#N/A</v>
      </c>
    </row>
    <row r="2049" spans="2:19" x14ac:dyDescent="0.25">
      <c r="B2049" s="1" t="s">
        <v>1479</v>
      </c>
      <c r="C2049" s="1" t="s">
        <v>1481</v>
      </c>
      <c r="D2049" s="4" t="e">
        <f>VLOOKUP(A2049,المعطيات!$A$1:$J$3500,5,0)</f>
        <v>#N/A</v>
      </c>
      <c r="E2049" s="1" t="s">
        <v>1482</v>
      </c>
      <c r="F2049" s="5">
        <f t="shared" si="93"/>
        <v>0</v>
      </c>
      <c r="G2049" s="5" t="s">
        <v>1483</v>
      </c>
      <c r="H2049" s="4" t="e">
        <f>VLOOKUP(A2049,المعطيات!$A$1:$J$3500,3,0)</f>
        <v>#N/A</v>
      </c>
      <c r="I2049" s="1" t="s">
        <v>1484</v>
      </c>
      <c r="J2049" s="1" t="s">
        <v>1485</v>
      </c>
      <c r="K2049" s="4" t="e">
        <f>VLOOKUP(A2049,المعطيات!$A$1:$J$3500,6,0)</f>
        <v>#N/A</v>
      </c>
      <c r="L2049" s="1" t="s">
        <v>1486</v>
      </c>
      <c r="M2049" s="1" t="s">
        <v>1487</v>
      </c>
      <c r="N2049" s="4" t="e">
        <f t="shared" si="94"/>
        <v>#N/A</v>
      </c>
      <c r="O2049" s="1" t="s">
        <v>1488</v>
      </c>
      <c r="P2049" s="4" t="e">
        <f>VLOOKUP(A2049,المعطيات!$A$1:$J$3500,4,0)</f>
        <v>#N/A</v>
      </c>
      <c r="Q2049" s="1" t="s">
        <v>1489</v>
      </c>
      <c r="R2049" s="1" t="s">
        <v>1480</v>
      </c>
      <c r="S2049" s="6" t="e">
        <f t="shared" si="95"/>
        <v>#N/A</v>
      </c>
    </row>
    <row r="2050" spans="2:19" x14ac:dyDescent="0.25">
      <c r="B2050" s="1" t="s">
        <v>1479</v>
      </c>
      <c r="C2050" s="1" t="s">
        <v>1481</v>
      </c>
      <c r="D2050" s="4" t="e">
        <f>VLOOKUP(A2050,المعطيات!$A$1:$J$3500,5,0)</f>
        <v>#N/A</v>
      </c>
      <c r="E2050" s="1" t="s">
        <v>1482</v>
      </c>
      <c r="F2050" s="5">
        <f t="shared" ref="F2050:F2092" si="96">A2050</f>
        <v>0</v>
      </c>
      <c r="G2050" s="5" t="s">
        <v>1483</v>
      </c>
      <c r="H2050" s="4" t="e">
        <f>VLOOKUP(A2050,المعطيات!$A$1:$J$3500,3,0)</f>
        <v>#N/A</v>
      </c>
      <c r="I2050" s="1" t="s">
        <v>1484</v>
      </c>
      <c r="J2050" s="1" t="s">
        <v>1485</v>
      </c>
      <c r="K2050" s="4" t="e">
        <f>VLOOKUP(A2050,المعطيات!$A$1:$J$3500,6,0)</f>
        <v>#N/A</v>
      </c>
      <c r="L2050" s="1" t="s">
        <v>1486</v>
      </c>
      <c r="M2050" s="1" t="s">
        <v>1487</v>
      </c>
      <c r="N2050" s="4" t="e">
        <f t="shared" ref="N2050:N2092" si="97">D2050</f>
        <v>#N/A</v>
      </c>
      <c r="O2050" s="1" t="s">
        <v>1488</v>
      </c>
      <c r="P2050" s="4" t="e">
        <f>VLOOKUP(A2050,المعطيات!$A$1:$J$3500,4,0)</f>
        <v>#N/A</v>
      </c>
      <c r="Q2050" s="1" t="s">
        <v>1489</v>
      </c>
      <c r="R2050" s="1" t="s">
        <v>1480</v>
      </c>
      <c r="S2050" s="6" t="e">
        <f t="shared" ref="S2050:S2092" si="98">B2050&amp;""&amp;C2050&amp;""&amp;D2050&amp;""&amp;E2050&amp;""&amp;F2050&amp;""&amp;G2050&amp;""&amp;H2050&amp;""&amp;I2050&amp;""&amp;J2050&amp;""&amp;K2050&amp;""&amp;L2050&amp;""&amp;M2050&amp;""&amp;N2050&amp;""&amp;O2050&amp;""&amp;P2050&amp;""&amp;Q2050&amp;""&amp;R2050</f>
        <v>#N/A</v>
      </c>
    </row>
    <row r="2051" spans="2:19" x14ac:dyDescent="0.25">
      <c r="B2051" s="1" t="s">
        <v>1479</v>
      </c>
      <c r="C2051" s="1" t="s">
        <v>1481</v>
      </c>
      <c r="D2051" s="4" t="e">
        <f>VLOOKUP(A2051,المعطيات!$A$1:$J$3500,5,0)</f>
        <v>#N/A</v>
      </c>
      <c r="E2051" s="1" t="s">
        <v>1482</v>
      </c>
      <c r="F2051" s="5">
        <f t="shared" si="96"/>
        <v>0</v>
      </c>
      <c r="G2051" s="5" t="s">
        <v>1483</v>
      </c>
      <c r="H2051" s="4" t="e">
        <f>VLOOKUP(A2051,المعطيات!$A$1:$J$3500,3,0)</f>
        <v>#N/A</v>
      </c>
      <c r="I2051" s="1" t="s">
        <v>1484</v>
      </c>
      <c r="J2051" s="1" t="s">
        <v>1485</v>
      </c>
      <c r="K2051" s="4" t="e">
        <f>VLOOKUP(A2051,المعطيات!$A$1:$J$3500,6,0)</f>
        <v>#N/A</v>
      </c>
      <c r="L2051" s="1" t="s">
        <v>1486</v>
      </c>
      <c r="M2051" s="1" t="s">
        <v>1487</v>
      </c>
      <c r="N2051" s="4" t="e">
        <f t="shared" si="97"/>
        <v>#N/A</v>
      </c>
      <c r="O2051" s="1" t="s">
        <v>1488</v>
      </c>
      <c r="P2051" s="4" t="e">
        <f>VLOOKUP(A2051,المعطيات!$A$1:$J$3500,4,0)</f>
        <v>#N/A</v>
      </c>
      <c r="Q2051" s="1" t="s">
        <v>1489</v>
      </c>
      <c r="R2051" s="1" t="s">
        <v>1480</v>
      </c>
      <c r="S2051" s="6" t="e">
        <f t="shared" si="98"/>
        <v>#N/A</v>
      </c>
    </row>
    <row r="2052" spans="2:19" x14ac:dyDescent="0.25">
      <c r="B2052" s="1" t="s">
        <v>1479</v>
      </c>
      <c r="C2052" s="1" t="s">
        <v>1481</v>
      </c>
      <c r="D2052" s="4" t="e">
        <f>VLOOKUP(A2052,المعطيات!$A$1:$J$3500,5,0)</f>
        <v>#N/A</v>
      </c>
      <c r="E2052" s="1" t="s">
        <v>1482</v>
      </c>
      <c r="F2052" s="5">
        <f t="shared" si="96"/>
        <v>0</v>
      </c>
      <c r="G2052" s="5" t="s">
        <v>1483</v>
      </c>
      <c r="H2052" s="4" t="e">
        <f>VLOOKUP(A2052,المعطيات!$A$1:$J$3500,3,0)</f>
        <v>#N/A</v>
      </c>
      <c r="I2052" s="1" t="s">
        <v>1484</v>
      </c>
      <c r="J2052" s="1" t="s">
        <v>1485</v>
      </c>
      <c r="K2052" s="4" t="e">
        <f>VLOOKUP(A2052,المعطيات!$A$1:$J$3500,6,0)</f>
        <v>#N/A</v>
      </c>
      <c r="L2052" s="1" t="s">
        <v>1486</v>
      </c>
      <c r="M2052" s="1" t="s">
        <v>1487</v>
      </c>
      <c r="N2052" s="4" t="e">
        <f t="shared" si="97"/>
        <v>#N/A</v>
      </c>
      <c r="O2052" s="1" t="s">
        <v>1488</v>
      </c>
      <c r="P2052" s="4" t="e">
        <f>VLOOKUP(A2052,المعطيات!$A$1:$J$3500,4,0)</f>
        <v>#N/A</v>
      </c>
      <c r="Q2052" s="1" t="s">
        <v>1489</v>
      </c>
      <c r="R2052" s="1" t="s">
        <v>1480</v>
      </c>
      <c r="S2052" s="6" t="e">
        <f t="shared" si="98"/>
        <v>#N/A</v>
      </c>
    </row>
    <row r="2053" spans="2:19" x14ac:dyDescent="0.25">
      <c r="B2053" s="1" t="s">
        <v>1479</v>
      </c>
      <c r="C2053" s="1" t="s">
        <v>1481</v>
      </c>
      <c r="D2053" s="4" t="e">
        <f>VLOOKUP(A2053,المعطيات!$A$1:$J$3500,5,0)</f>
        <v>#N/A</v>
      </c>
      <c r="E2053" s="1" t="s">
        <v>1482</v>
      </c>
      <c r="F2053" s="5">
        <f t="shared" si="96"/>
        <v>0</v>
      </c>
      <c r="G2053" s="5" t="s">
        <v>1483</v>
      </c>
      <c r="H2053" s="4" t="e">
        <f>VLOOKUP(A2053,المعطيات!$A$1:$J$3500,3,0)</f>
        <v>#N/A</v>
      </c>
      <c r="I2053" s="1" t="s">
        <v>1484</v>
      </c>
      <c r="J2053" s="1" t="s">
        <v>1485</v>
      </c>
      <c r="K2053" s="4" t="e">
        <f>VLOOKUP(A2053,المعطيات!$A$1:$J$3500,6,0)</f>
        <v>#N/A</v>
      </c>
      <c r="L2053" s="1" t="s">
        <v>1486</v>
      </c>
      <c r="M2053" s="1" t="s">
        <v>1487</v>
      </c>
      <c r="N2053" s="4" t="e">
        <f t="shared" si="97"/>
        <v>#N/A</v>
      </c>
      <c r="O2053" s="1" t="s">
        <v>1488</v>
      </c>
      <c r="P2053" s="4" t="e">
        <f>VLOOKUP(A2053,المعطيات!$A$1:$J$3500,4,0)</f>
        <v>#N/A</v>
      </c>
      <c r="Q2053" s="1" t="s">
        <v>1489</v>
      </c>
      <c r="R2053" s="1" t="s">
        <v>1480</v>
      </c>
      <c r="S2053" s="6" t="e">
        <f t="shared" si="98"/>
        <v>#N/A</v>
      </c>
    </row>
    <row r="2054" spans="2:19" x14ac:dyDescent="0.25">
      <c r="B2054" s="1" t="s">
        <v>1479</v>
      </c>
      <c r="C2054" s="1" t="s">
        <v>1481</v>
      </c>
      <c r="D2054" s="4" t="e">
        <f>VLOOKUP(A2054,المعطيات!$A$1:$J$3500,5,0)</f>
        <v>#N/A</v>
      </c>
      <c r="E2054" s="1" t="s">
        <v>1482</v>
      </c>
      <c r="F2054" s="5">
        <f t="shared" si="96"/>
        <v>0</v>
      </c>
      <c r="G2054" s="5" t="s">
        <v>1483</v>
      </c>
      <c r="H2054" s="4" t="e">
        <f>VLOOKUP(A2054,المعطيات!$A$1:$J$3500,3,0)</f>
        <v>#N/A</v>
      </c>
      <c r="I2054" s="1" t="s">
        <v>1484</v>
      </c>
      <c r="J2054" s="1" t="s">
        <v>1485</v>
      </c>
      <c r="K2054" s="4" t="e">
        <f>VLOOKUP(A2054,المعطيات!$A$1:$J$3500,6,0)</f>
        <v>#N/A</v>
      </c>
      <c r="L2054" s="1" t="s">
        <v>1486</v>
      </c>
      <c r="M2054" s="1" t="s">
        <v>1487</v>
      </c>
      <c r="N2054" s="4" t="e">
        <f t="shared" si="97"/>
        <v>#N/A</v>
      </c>
      <c r="O2054" s="1" t="s">
        <v>1488</v>
      </c>
      <c r="P2054" s="4" t="e">
        <f>VLOOKUP(A2054,المعطيات!$A$1:$J$3500,4,0)</f>
        <v>#N/A</v>
      </c>
      <c r="Q2054" s="1" t="s">
        <v>1489</v>
      </c>
      <c r="R2054" s="1" t="s">
        <v>1480</v>
      </c>
      <c r="S2054" s="6" t="e">
        <f t="shared" si="98"/>
        <v>#N/A</v>
      </c>
    </row>
    <row r="2055" spans="2:19" x14ac:dyDescent="0.25">
      <c r="B2055" s="1" t="s">
        <v>1479</v>
      </c>
      <c r="C2055" s="1" t="s">
        <v>1481</v>
      </c>
      <c r="D2055" s="4" t="e">
        <f>VLOOKUP(A2055,المعطيات!$A$1:$J$3500,5,0)</f>
        <v>#N/A</v>
      </c>
      <c r="E2055" s="1" t="s">
        <v>1482</v>
      </c>
      <c r="F2055" s="5">
        <f t="shared" si="96"/>
        <v>0</v>
      </c>
      <c r="G2055" s="5" t="s">
        <v>1483</v>
      </c>
      <c r="H2055" s="4" t="e">
        <f>VLOOKUP(A2055,المعطيات!$A$1:$J$3500,3,0)</f>
        <v>#N/A</v>
      </c>
      <c r="I2055" s="1" t="s">
        <v>1484</v>
      </c>
      <c r="J2055" s="1" t="s">
        <v>1485</v>
      </c>
      <c r="K2055" s="4" t="e">
        <f>VLOOKUP(A2055,المعطيات!$A$1:$J$3500,6,0)</f>
        <v>#N/A</v>
      </c>
      <c r="L2055" s="1" t="s">
        <v>1486</v>
      </c>
      <c r="M2055" s="1" t="s">
        <v>1487</v>
      </c>
      <c r="N2055" s="4" t="e">
        <f t="shared" si="97"/>
        <v>#N/A</v>
      </c>
      <c r="O2055" s="1" t="s">
        <v>1488</v>
      </c>
      <c r="P2055" s="4" t="e">
        <f>VLOOKUP(A2055,المعطيات!$A$1:$J$3500,4,0)</f>
        <v>#N/A</v>
      </c>
      <c r="Q2055" s="1" t="s">
        <v>1489</v>
      </c>
      <c r="R2055" s="1" t="s">
        <v>1480</v>
      </c>
      <c r="S2055" s="6" t="e">
        <f t="shared" si="98"/>
        <v>#N/A</v>
      </c>
    </row>
    <row r="2056" spans="2:19" x14ac:dyDescent="0.25">
      <c r="B2056" s="1" t="s">
        <v>1479</v>
      </c>
      <c r="C2056" s="1" t="s">
        <v>1481</v>
      </c>
      <c r="D2056" s="4" t="e">
        <f>VLOOKUP(A2056,المعطيات!$A$1:$J$3500,5,0)</f>
        <v>#N/A</v>
      </c>
      <c r="E2056" s="1" t="s">
        <v>1482</v>
      </c>
      <c r="F2056" s="5">
        <f t="shared" si="96"/>
        <v>0</v>
      </c>
      <c r="G2056" s="5" t="s">
        <v>1483</v>
      </c>
      <c r="H2056" s="4" t="e">
        <f>VLOOKUP(A2056,المعطيات!$A$1:$J$3500,3,0)</f>
        <v>#N/A</v>
      </c>
      <c r="I2056" s="1" t="s">
        <v>1484</v>
      </c>
      <c r="J2056" s="1" t="s">
        <v>1485</v>
      </c>
      <c r="K2056" s="4" t="e">
        <f>VLOOKUP(A2056,المعطيات!$A$1:$J$3500,6,0)</f>
        <v>#N/A</v>
      </c>
      <c r="L2056" s="1" t="s">
        <v>1486</v>
      </c>
      <c r="M2056" s="1" t="s">
        <v>1487</v>
      </c>
      <c r="N2056" s="4" t="e">
        <f t="shared" si="97"/>
        <v>#N/A</v>
      </c>
      <c r="O2056" s="1" t="s">
        <v>1488</v>
      </c>
      <c r="P2056" s="4" t="e">
        <f>VLOOKUP(A2056,المعطيات!$A$1:$J$3500,4,0)</f>
        <v>#N/A</v>
      </c>
      <c r="Q2056" s="1" t="s">
        <v>1489</v>
      </c>
      <c r="R2056" s="1" t="s">
        <v>1480</v>
      </c>
      <c r="S2056" s="6" t="e">
        <f t="shared" si="98"/>
        <v>#N/A</v>
      </c>
    </row>
    <row r="2057" spans="2:19" x14ac:dyDescent="0.25">
      <c r="B2057" s="1" t="s">
        <v>1479</v>
      </c>
      <c r="C2057" s="1" t="s">
        <v>1481</v>
      </c>
      <c r="D2057" s="4" t="e">
        <f>VLOOKUP(A2057,المعطيات!$A$1:$J$3500,5,0)</f>
        <v>#N/A</v>
      </c>
      <c r="E2057" s="1" t="s">
        <v>1482</v>
      </c>
      <c r="F2057" s="5">
        <f t="shared" si="96"/>
        <v>0</v>
      </c>
      <c r="G2057" s="5" t="s">
        <v>1483</v>
      </c>
      <c r="H2057" s="4" t="e">
        <f>VLOOKUP(A2057,المعطيات!$A$1:$J$3500,3,0)</f>
        <v>#N/A</v>
      </c>
      <c r="I2057" s="1" t="s">
        <v>1484</v>
      </c>
      <c r="J2057" s="1" t="s">
        <v>1485</v>
      </c>
      <c r="K2057" s="4" t="e">
        <f>VLOOKUP(A2057,المعطيات!$A$1:$J$3500,6,0)</f>
        <v>#N/A</v>
      </c>
      <c r="L2057" s="1" t="s">
        <v>1486</v>
      </c>
      <c r="M2057" s="1" t="s">
        <v>1487</v>
      </c>
      <c r="N2057" s="4" t="e">
        <f t="shared" si="97"/>
        <v>#N/A</v>
      </c>
      <c r="O2057" s="1" t="s">
        <v>1488</v>
      </c>
      <c r="P2057" s="4" t="e">
        <f>VLOOKUP(A2057,المعطيات!$A$1:$J$3500,4,0)</f>
        <v>#N/A</v>
      </c>
      <c r="Q2057" s="1" t="s">
        <v>1489</v>
      </c>
      <c r="R2057" s="1" t="s">
        <v>1480</v>
      </c>
      <c r="S2057" s="6" t="e">
        <f t="shared" si="98"/>
        <v>#N/A</v>
      </c>
    </row>
    <row r="2058" spans="2:19" x14ac:dyDescent="0.25">
      <c r="B2058" s="1" t="s">
        <v>1479</v>
      </c>
      <c r="C2058" s="1" t="s">
        <v>1481</v>
      </c>
      <c r="D2058" s="4" t="e">
        <f>VLOOKUP(A2058,المعطيات!$A$1:$J$3500,5,0)</f>
        <v>#N/A</v>
      </c>
      <c r="E2058" s="1" t="s">
        <v>1482</v>
      </c>
      <c r="F2058" s="5">
        <f t="shared" si="96"/>
        <v>0</v>
      </c>
      <c r="G2058" s="5" t="s">
        <v>1483</v>
      </c>
      <c r="H2058" s="4" t="e">
        <f>VLOOKUP(A2058,المعطيات!$A$1:$J$3500,3,0)</f>
        <v>#N/A</v>
      </c>
      <c r="I2058" s="1" t="s">
        <v>1484</v>
      </c>
      <c r="J2058" s="1" t="s">
        <v>1485</v>
      </c>
      <c r="K2058" s="4" t="e">
        <f>VLOOKUP(A2058,المعطيات!$A$1:$J$3500,6,0)</f>
        <v>#N/A</v>
      </c>
      <c r="L2058" s="1" t="s">
        <v>1486</v>
      </c>
      <c r="M2058" s="1" t="s">
        <v>1487</v>
      </c>
      <c r="N2058" s="4" t="e">
        <f t="shared" si="97"/>
        <v>#N/A</v>
      </c>
      <c r="O2058" s="1" t="s">
        <v>1488</v>
      </c>
      <c r="P2058" s="4" t="e">
        <f>VLOOKUP(A2058,المعطيات!$A$1:$J$3500,4,0)</f>
        <v>#N/A</v>
      </c>
      <c r="Q2058" s="1" t="s">
        <v>1489</v>
      </c>
      <c r="R2058" s="1" t="s">
        <v>1480</v>
      </c>
      <c r="S2058" s="6" t="e">
        <f t="shared" si="98"/>
        <v>#N/A</v>
      </c>
    </row>
    <row r="2059" spans="2:19" x14ac:dyDescent="0.25">
      <c r="B2059" s="1" t="s">
        <v>1479</v>
      </c>
      <c r="C2059" s="1" t="s">
        <v>1481</v>
      </c>
      <c r="D2059" s="4" t="e">
        <f>VLOOKUP(A2059,المعطيات!$A$1:$J$3500,5,0)</f>
        <v>#N/A</v>
      </c>
      <c r="E2059" s="1" t="s">
        <v>1482</v>
      </c>
      <c r="F2059" s="5">
        <f t="shared" si="96"/>
        <v>0</v>
      </c>
      <c r="G2059" s="5" t="s">
        <v>1483</v>
      </c>
      <c r="H2059" s="4" t="e">
        <f>VLOOKUP(A2059,المعطيات!$A$1:$J$3500,3,0)</f>
        <v>#N/A</v>
      </c>
      <c r="I2059" s="1" t="s">
        <v>1484</v>
      </c>
      <c r="J2059" s="1" t="s">
        <v>1485</v>
      </c>
      <c r="K2059" s="4" t="e">
        <f>VLOOKUP(A2059,المعطيات!$A$1:$J$3500,6,0)</f>
        <v>#N/A</v>
      </c>
      <c r="L2059" s="1" t="s">
        <v>1486</v>
      </c>
      <c r="M2059" s="1" t="s">
        <v>1487</v>
      </c>
      <c r="N2059" s="4" t="e">
        <f t="shared" si="97"/>
        <v>#N/A</v>
      </c>
      <c r="O2059" s="1" t="s">
        <v>1488</v>
      </c>
      <c r="P2059" s="4" t="e">
        <f>VLOOKUP(A2059,المعطيات!$A$1:$J$3500,4,0)</f>
        <v>#N/A</v>
      </c>
      <c r="Q2059" s="1" t="s">
        <v>1489</v>
      </c>
      <c r="R2059" s="1" t="s">
        <v>1480</v>
      </c>
      <c r="S2059" s="6" t="e">
        <f t="shared" si="98"/>
        <v>#N/A</v>
      </c>
    </row>
    <row r="2060" spans="2:19" x14ac:dyDescent="0.25">
      <c r="B2060" s="1" t="s">
        <v>1479</v>
      </c>
      <c r="C2060" s="1" t="s">
        <v>1481</v>
      </c>
      <c r="D2060" s="4" t="e">
        <f>VLOOKUP(A2060,المعطيات!$A$1:$J$3500,5,0)</f>
        <v>#N/A</v>
      </c>
      <c r="E2060" s="1" t="s">
        <v>1482</v>
      </c>
      <c r="F2060" s="5">
        <f t="shared" si="96"/>
        <v>0</v>
      </c>
      <c r="G2060" s="5" t="s">
        <v>1483</v>
      </c>
      <c r="H2060" s="4" t="e">
        <f>VLOOKUP(A2060,المعطيات!$A$1:$J$3500,3,0)</f>
        <v>#N/A</v>
      </c>
      <c r="I2060" s="1" t="s">
        <v>1484</v>
      </c>
      <c r="J2060" s="1" t="s">
        <v>1485</v>
      </c>
      <c r="K2060" s="4" t="e">
        <f>VLOOKUP(A2060,المعطيات!$A$1:$J$3500,6,0)</f>
        <v>#N/A</v>
      </c>
      <c r="L2060" s="1" t="s">
        <v>1486</v>
      </c>
      <c r="M2060" s="1" t="s">
        <v>1487</v>
      </c>
      <c r="N2060" s="4" t="e">
        <f t="shared" si="97"/>
        <v>#N/A</v>
      </c>
      <c r="O2060" s="1" t="s">
        <v>1488</v>
      </c>
      <c r="P2060" s="4" t="e">
        <f>VLOOKUP(A2060,المعطيات!$A$1:$J$3500,4,0)</f>
        <v>#N/A</v>
      </c>
      <c r="Q2060" s="1" t="s">
        <v>1489</v>
      </c>
      <c r="R2060" s="1" t="s">
        <v>1480</v>
      </c>
      <c r="S2060" s="6" t="e">
        <f t="shared" si="98"/>
        <v>#N/A</v>
      </c>
    </row>
    <row r="2061" spans="2:19" x14ac:dyDescent="0.25">
      <c r="B2061" s="1" t="s">
        <v>1479</v>
      </c>
      <c r="C2061" s="1" t="s">
        <v>1481</v>
      </c>
      <c r="D2061" s="4" t="e">
        <f>VLOOKUP(A2061,المعطيات!$A$1:$J$3500,5,0)</f>
        <v>#N/A</v>
      </c>
      <c r="E2061" s="1" t="s">
        <v>1482</v>
      </c>
      <c r="F2061" s="5">
        <f t="shared" si="96"/>
        <v>0</v>
      </c>
      <c r="G2061" s="5" t="s">
        <v>1483</v>
      </c>
      <c r="H2061" s="4" t="e">
        <f>VLOOKUP(A2061,المعطيات!$A$1:$J$3500,3,0)</f>
        <v>#N/A</v>
      </c>
      <c r="I2061" s="1" t="s">
        <v>1484</v>
      </c>
      <c r="J2061" s="1" t="s">
        <v>1485</v>
      </c>
      <c r="K2061" s="4" t="e">
        <f>VLOOKUP(A2061,المعطيات!$A$1:$J$3500,6,0)</f>
        <v>#N/A</v>
      </c>
      <c r="L2061" s="1" t="s">
        <v>1486</v>
      </c>
      <c r="M2061" s="1" t="s">
        <v>1487</v>
      </c>
      <c r="N2061" s="4" t="e">
        <f t="shared" si="97"/>
        <v>#N/A</v>
      </c>
      <c r="O2061" s="1" t="s">
        <v>1488</v>
      </c>
      <c r="P2061" s="4" t="e">
        <f>VLOOKUP(A2061,المعطيات!$A$1:$J$3500,4,0)</f>
        <v>#N/A</v>
      </c>
      <c r="Q2061" s="1" t="s">
        <v>1489</v>
      </c>
      <c r="R2061" s="1" t="s">
        <v>1480</v>
      </c>
      <c r="S2061" s="6" t="e">
        <f t="shared" si="98"/>
        <v>#N/A</v>
      </c>
    </row>
    <row r="2062" spans="2:19" x14ac:dyDescent="0.25">
      <c r="B2062" s="1" t="s">
        <v>1479</v>
      </c>
      <c r="C2062" s="1" t="s">
        <v>1481</v>
      </c>
      <c r="D2062" s="4" t="e">
        <f>VLOOKUP(A2062,المعطيات!$A$1:$J$3500,5,0)</f>
        <v>#N/A</v>
      </c>
      <c r="E2062" s="1" t="s">
        <v>1482</v>
      </c>
      <c r="F2062" s="5">
        <f t="shared" si="96"/>
        <v>0</v>
      </c>
      <c r="G2062" s="5" t="s">
        <v>1483</v>
      </c>
      <c r="H2062" s="4" t="e">
        <f>VLOOKUP(A2062,المعطيات!$A$1:$J$3500,3,0)</f>
        <v>#N/A</v>
      </c>
      <c r="I2062" s="1" t="s">
        <v>1484</v>
      </c>
      <c r="J2062" s="1" t="s">
        <v>1485</v>
      </c>
      <c r="K2062" s="4" t="e">
        <f>VLOOKUP(A2062,المعطيات!$A$1:$J$3500,6,0)</f>
        <v>#N/A</v>
      </c>
      <c r="L2062" s="1" t="s">
        <v>1486</v>
      </c>
      <c r="M2062" s="1" t="s">
        <v>1487</v>
      </c>
      <c r="N2062" s="4" t="e">
        <f t="shared" si="97"/>
        <v>#N/A</v>
      </c>
      <c r="O2062" s="1" t="s">
        <v>1488</v>
      </c>
      <c r="P2062" s="4" t="e">
        <f>VLOOKUP(A2062,المعطيات!$A$1:$J$3500,4,0)</f>
        <v>#N/A</v>
      </c>
      <c r="Q2062" s="1" t="s">
        <v>1489</v>
      </c>
      <c r="R2062" s="1" t="s">
        <v>1480</v>
      </c>
      <c r="S2062" s="6" t="e">
        <f t="shared" si="98"/>
        <v>#N/A</v>
      </c>
    </row>
    <row r="2063" spans="2:19" x14ac:dyDescent="0.25">
      <c r="B2063" s="1" t="s">
        <v>1479</v>
      </c>
      <c r="C2063" s="1" t="s">
        <v>1481</v>
      </c>
      <c r="D2063" s="4" t="e">
        <f>VLOOKUP(A2063,المعطيات!$A$1:$J$3500,5,0)</f>
        <v>#N/A</v>
      </c>
      <c r="E2063" s="1" t="s">
        <v>1482</v>
      </c>
      <c r="F2063" s="5">
        <f t="shared" si="96"/>
        <v>0</v>
      </c>
      <c r="G2063" s="5" t="s">
        <v>1483</v>
      </c>
      <c r="H2063" s="4" t="e">
        <f>VLOOKUP(A2063,المعطيات!$A$1:$J$3500,3,0)</f>
        <v>#N/A</v>
      </c>
      <c r="I2063" s="1" t="s">
        <v>1484</v>
      </c>
      <c r="J2063" s="1" t="s">
        <v>1485</v>
      </c>
      <c r="K2063" s="4" t="e">
        <f>VLOOKUP(A2063,المعطيات!$A$1:$J$3500,6,0)</f>
        <v>#N/A</v>
      </c>
      <c r="L2063" s="1" t="s">
        <v>1486</v>
      </c>
      <c r="M2063" s="1" t="s">
        <v>1487</v>
      </c>
      <c r="N2063" s="4" t="e">
        <f t="shared" si="97"/>
        <v>#N/A</v>
      </c>
      <c r="O2063" s="1" t="s">
        <v>1488</v>
      </c>
      <c r="P2063" s="4" t="e">
        <f>VLOOKUP(A2063,المعطيات!$A$1:$J$3500,4,0)</f>
        <v>#N/A</v>
      </c>
      <c r="Q2063" s="1" t="s">
        <v>1489</v>
      </c>
      <c r="R2063" s="1" t="s">
        <v>1480</v>
      </c>
      <c r="S2063" s="6" t="e">
        <f t="shared" si="98"/>
        <v>#N/A</v>
      </c>
    </row>
    <row r="2064" spans="2:19" x14ac:dyDescent="0.25">
      <c r="B2064" s="1" t="s">
        <v>1479</v>
      </c>
      <c r="C2064" s="1" t="s">
        <v>1481</v>
      </c>
      <c r="D2064" s="4" t="e">
        <f>VLOOKUP(A2064,المعطيات!$A$1:$J$3500,5,0)</f>
        <v>#N/A</v>
      </c>
      <c r="E2064" s="1" t="s">
        <v>1482</v>
      </c>
      <c r="F2064" s="5">
        <f t="shared" si="96"/>
        <v>0</v>
      </c>
      <c r="G2064" s="5" t="s">
        <v>1483</v>
      </c>
      <c r="H2064" s="4" t="e">
        <f>VLOOKUP(A2064,المعطيات!$A$1:$J$3500,3,0)</f>
        <v>#N/A</v>
      </c>
      <c r="I2064" s="1" t="s">
        <v>1484</v>
      </c>
      <c r="J2064" s="1" t="s">
        <v>1485</v>
      </c>
      <c r="K2064" s="4" t="e">
        <f>VLOOKUP(A2064,المعطيات!$A$1:$J$3500,6,0)</f>
        <v>#N/A</v>
      </c>
      <c r="L2064" s="1" t="s">
        <v>1486</v>
      </c>
      <c r="M2064" s="1" t="s">
        <v>1487</v>
      </c>
      <c r="N2064" s="4" t="e">
        <f t="shared" si="97"/>
        <v>#N/A</v>
      </c>
      <c r="O2064" s="1" t="s">
        <v>1488</v>
      </c>
      <c r="P2064" s="4" t="e">
        <f>VLOOKUP(A2064,المعطيات!$A$1:$J$3500,4,0)</f>
        <v>#N/A</v>
      </c>
      <c r="Q2064" s="1" t="s">
        <v>1489</v>
      </c>
      <c r="R2064" s="1" t="s">
        <v>1480</v>
      </c>
      <c r="S2064" s="6" t="e">
        <f t="shared" si="98"/>
        <v>#N/A</v>
      </c>
    </row>
    <row r="2065" spans="2:19" x14ac:dyDescent="0.25">
      <c r="B2065" s="1" t="s">
        <v>1479</v>
      </c>
      <c r="C2065" s="1" t="s">
        <v>1481</v>
      </c>
      <c r="D2065" s="4" t="e">
        <f>VLOOKUP(A2065,المعطيات!$A$1:$J$3500,5,0)</f>
        <v>#N/A</v>
      </c>
      <c r="E2065" s="1" t="s">
        <v>1482</v>
      </c>
      <c r="F2065" s="5">
        <f t="shared" si="96"/>
        <v>0</v>
      </c>
      <c r="G2065" s="5" t="s">
        <v>1483</v>
      </c>
      <c r="H2065" s="4" t="e">
        <f>VLOOKUP(A2065,المعطيات!$A$1:$J$3500,3,0)</f>
        <v>#N/A</v>
      </c>
      <c r="I2065" s="1" t="s">
        <v>1484</v>
      </c>
      <c r="J2065" s="1" t="s">
        <v>1485</v>
      </c>
      <c r="K2065" s="4" t="e">
        <f>VLOOKUP(A2065,المعطيات!$A$1:$J$3500,6,0)</f>
        <v>#N/A</v>
      </c>
      <c r="L2065" s="1" t="s">
        <v>1486</v>
      </c>
      <c r="M2065" s="1" t="s">
        <v>1487</v>
      </c>
      <c r="N2065" s="4" t="e">
        <f t="shared" si="97"/>
        <v>#N/A</v>
      </c>
      <c r="O2065" s="1" t="s">
        <v>1488</v>
      </c>
      <c r="P2065" s="4" t="e">
        <f>VLOOKUP(A2065,المعطيات!$A$1:$J$3500,4,0)</f>
        <v>#N/A</v>
      </c>
      <c r="Q2065" s="1" t="s">
        <v>1489</v>
      </c>
      <c r="R2065" s="1" t="s">
        <v>1480</v>
      </c>
      <c r="S2065" s="6" t="e">
        <f t="shared" si="98"/>
        <v>#N/A</v>
      </c>
    </row>
    <row r="2066" spans="2:19" x14ac:dyDescent="0.25">
      <c r="B2066" s="1" t="s">
        <v>1479</v>
      </c>
      <c r="C2066" s="1" t="s">
        <v>1481</v>
      </c>
      <c r="D2066" s="4" t="e">
        <f>VLOOKUP(A2066,المعطيات!$A$1:$J$3500,5,0)</f>
        <v>#N/A</v>
      </c>
      <c r="E2066" s="1" t="s">
        <v>1482</v>
      </c>
      <c r="F2066" s="5">
        <f t="shared" si="96"/>
        <v>0</v>
      </c>
      <c r="G2066" s="5" t="s">
        <v>1483</v>
      </c>
      <c r="H2066" s="4" t="e">
        <f>VLOOKUP(A2066,المعطيات!$A$1:$J$3500,3,0)</f>
        <v>#N/A</v>
      </c>
      <c r="I2066" s="1" t="s">
        <v>1484</v>
      </c>
      <c r="J2066" s="1" t="s">
        <v>1485</v>
      </c>
      <c r="K2066" s="4" t="e">
        <f>VLOOKUP(A2066,المعطيات!$A$1:$J$3500,6,0)</f>
        <v>#N/A</v>
      </c>
      <c r="L2066" s="1" t="s">
        <v>1486</v>
      </c>
      <c r="M2066" s="1" t="s">
        <v>1487</v>
      </c>
      <c r="N2066" s="4" t="e">
        <f t="shared" si="97"/>
        <v>#N/A</v>
      </c>
      <c r="O2066" s="1" t="s">
        <v>1488</v>
      </c>
      <c r="P2066" s="4" t="e">
        <f>VLOOKUP(A2066,المعطيات!$A$1:$J$3500,4,0)</f>
        <v>#N/A</v>
      </c>
      <c r="Q2066" s="1" t="s">
        <v>1489</v>
      </c>
      <c r="R2066" s="1" t="s">
        <v>1480</v>
      </c>
      <c r="S2066" s="6" t="e">
        <f t="shared" si="98"/>
        <v>#N/A</v>
      </c>
    </row>
    <row r="2067" spans="2:19" x14ac:dyDescent="0.25">
      <c r="B2067" s="1" t="s">
        <v>1479</v>
      </c>
      <c r="C2067" s="1" t="s">
        <v>1481</v>
      </c>
      <c r="D2067" s="4" t="e">
        <f>VLOOKUP(A2067,المعطيات!$A$1:$J$3500,5,0)</f>
        <v>#N/A</v>
      </c>
      <c r="E2067" s="1" t="s">
        <v>1482</v>
      </c>
      <c r="F2067" s="5">
        <f t="shared" si="96"/>
        <v>0</v>
      </c>
      <c r="G2067" s="5" t="s">
        <v>1483</v>
      </c>
      <c r="H2067" s="4" t="e">
        <f>VLOOKUP(A2067,المعطيات!$A$1:$J$3500,3,0)</f>
        <v>#N/A</v>
      </c>
      <c r="I2067" s="1" t="s">
        <v>1484</v>
      </c>
      <c r="J2067" s="1" t="s">
        <v>1485</v>
      </c>
      <c r="K2067" s="4" t="e">
        <f>VLOOKUP(A2067,المعطيات!$A$1:$J$3500,6,0)</f>
        <v>#N/A</v>
      </c>
      <c r="L2067" s="1" t="s">
        <v>1486</v>
      </c>
      <c r="M2067" s="1" t="s">
        <v>1487</v>
      </c>
      <c r="N2067" s="4" t="e">
        <f t="shared" si="97"/>
        <v>#N/A</v>
      </c>
      <c r="O2067" s="1" t="s">
        <v>1488</v>
      </c>
      <c r="P2067" s="4" t="e">
        <f>VLOOKUP(A2067,المعطيات!$A$1:$J$3500,4,0)</f>
        <v>#N/A</v>
      </c>
      <c r="Q2067" s="1" t="s">
        <v>1489</v>
      </c>
      <c r="R2067" s="1" t="s">
        <v>1480</v>
      </c>
      <c r="S2067" s="6" t="e">
        <f t="shared" si="98"/>
        <v>#N/A</v>
      </c>
    </row>
    <row r="2068" spans="2:19" x14ac:dyDescent="0.25">
      <c r="B2068" s="1" t="s">
        <v>1479</v>
      </c>
      <c r="C2068" s="1" t="s">
        <v>1481</v>
      </c>
      <c r="D2068" s="4" t="e">
        <f>VLOOKUP(A2068,المعطيات!$A$1:$J$3500,5,0)</f>
        <v>#N/A</v>
      </c>
      <c r="E2068" s="1" t="s">
        <v>1482</v>
      </c>
      <c r="F2068" s="5">
        <f t="shared" si="96"/>
        <v>0</v>
      </c>
      <c r="G2068" s="5" t="s">
        <v>1483</v>
      </c>
      <c r="H2068" s="4" t="e">
        <f>VLOOKUP(A2068,المعطيات!$A$1:$J$3500,3,0)</f>
        <v>#N/A</v>
      </c>
      <c r="I2068" s="1" t="s">
        <v>1484</v>
      </c>
      <c r="J2068" s="1" t="s">
        <v>1485</v>
      </c>
      <c r="K2068" s="4" t="e">
        <f>VLOOKUP(A2068,المعطيات!$A$1:$J$3500,6,0)</f>
        <v>#N/A</v>
      </c>
      <c r="L2068" s="1" t="s">
        <v>1486</v>
      </c>
      <c r="M2068" s="1" t="s">
        <v>1487</v>
      </c>
      <c r="N2068" s="4" t="e">
        <f t="shared" si="97"/>
        <v>#N/A</v>
      </c>
      <c r="O2068" s="1" t="s">
        <v>1488</v>
      </c>
      <c r="P2068" s="4" t="e">
        <f>VLOOKUP(A2068,المعطيات!$A$1:$J$3500,4,0)</f>
        <v>#N/A</v>
      </c>
      <c r="Q2068" s="1" t="s">
        <v>1489</v>
      </c>
      <c r="R2068" s="1" t="s">
        <v>1480</v>
      </c>
      <c r="S2068" s="6" t="e">
        <f t="shared" si="98"/>
        <v>#N/A</v>
      </c>
    </row>
    <row r="2069" spans="2:19" x14ac:dyDescent="0.25">
      <c r="B2069" s="1" t="s">
        <v>1479</v>
      </c>
      <c r="C2069" s="1" t="s">
        <v>1481</v>
      </c>
      <c r="D2069" s="4" t="e">
        <f>VLOOKUP(A2069,المعطيات!$A$1:$J$3500,5,0)</f>
        <v>#N/A</v>
      </c>
      <c r="E2069" s="1" t="s">
        <v>1482</v>
      </c>
      <c r="F2069" s="5">
        <f t="shared" si="96"/>
        <v>0</v>
      </c>
      <c r="G2069" s="5" t="s">
        <v>1483</v>
      </c>
      <c r="H2069" s="4" t="e">
        <f>VLOOKUP(A2069,المعطيات!$A$1:$J$3500,3,0)</f>
        <v>#N/A</v>
      </c>
      <c r="I2069" s="1" t="s">
        <v>1484</v>
      </c>
      <c r="J2069" s="1" t="s">
        <v>1485</v>
      </c>
      <c r="K2069" s="4" t="e">
        <f>VLOOKUP(A2069,المعطيات!$A$1:$J$3500,6,0)</f>
        <v>#N/A</v>
      </c>
      <c r="L2069" s="1" t="s">
        <v>1486</v>
      </c>
      <c r="M2069" s="1" t="s">
        <v>1487</v>
      </c>
      <c r="N2069" s="4" t="e">
        <f t="shared" si="97"/>
        <v>#N/A</v>
      </c>
      <c r="O2069" s="1" t="s">
        <v>1488</v>
      </c>
      <c r="P2069" s="4" t="e">
        <f>VLOOKUP(A2069,المعطيات!$A$1:$J$3500,4,0)</f>
        <v>#N/A</v>
      </c>
      <c r="Q2069" s="1" t="s">
        <v>1489</v>
      </c>
      <c r="R2069" s="1" t="s">
        <v>1480</v>
      </c>
      <c r="S2069" s="6" t="e">
        <f t="shared" si="98"/>
        <v>#N/A</v>
      </c>
    </row>
    <row r="2070" spans="2:19" x14ac:dyDescent="0.25">
      <c r="B2070" s="1" t="s">
        <v>1479</v>
      </c>
      <c r="C2070" s="1" t="s">
        <v>1481</v>
      </c>
      <c r="D2070" s="4" t="e">
        <f>VLOOKUP(A2070,المعطيات!$A$1:$J$3500,5,0)</f>
        <v>#N/A</v>
      </c>
      <c r="E2070" s="1" t="s">
        <v>1482</v>
      </c>
      <c r="F2070" s="5">
        <f t="shared" si="96"/>
        <v>0</v>
      </c>
      <c r="G2070" s="5" t="s">
        <v>1483</v>
      </c>
      <c r="H2070" s="4" t="e">
        <f>VLOOKUP(A2070,المعطيات!$A$1:$J$3500,3,0)</f>
        <v>#N/A</v>
      </c>
      <c r="I2070" s="1" t="s">
        <v>1484</v>
      </c>
      <c r="J2070" s="1" t="s">
        <v>1485</v>
      </c>
      <c r="K2070" s="4" t="e">
        <f>VLOOKUP(A2070,المعطيات!$A$1:$J$3500,6,0)</f>
        <v>#N/A</v>
      </c>
      <c r="L2070" s="1" t="s">
        <v>1486</v>
      </c>
      <c r="M2070" s="1" t="s">
        <v>1487</v>
      </c>
      <c r="N2070" s="4" t="e">
        <f t="shared" si="97"/>
        <v>#N/A</v>
      </c>
      <c r="O2070" s="1" t="s">
        <v>1488</v>
      </c>
      <c r="P2070" s="4" t="e">
        <f>VLOOKUP(A2070,المعطيات!$A$1:$J$3500,4,0)</f>
        <v>#N/A</v>
      </c>
      <c r="Q2070" s="1" t="s">
        <v>1489</v>
      </c>
      <c r="R2070" s="1" t="s">
        <v>1480</v>
      </c>
      <c r="S2070" s="6" t="e">
        <f t="shared" si="98"/>
        <v>#N/A</v>
      </c>
    </row>
    <row r="2071" spans="2:19" x14ac:dyDescent="0.25">
      <c r="B2071" s="1" t="s">
        <v>1479</v>
      </c>
      <c r="C2071" s="1" t="s">
        <v>1481</v>
      </c>
      <c r="D2071" s="4" t="e">
        <f>VLOOKUP(A2071,المعطيات!$A$1:$J$3500,5,0)</f>
        <v>#N/A</v>
      </c>
      <c r="E2071" s="1" t="s">
        <v>1482</v>
      </c>
      <c r="F2071" s="5">
        <f t="shared" si="96"/>
        <v>0</v>
      </c>
      <c r="G2071" s="5" t="s">
        <v>1483</v>
      </c>
      <c r="H2071" s="4" t="e">
        <f>VLOOKUP(A2071,المعطيات!$A$1:$J$3500,3,0)</f>
        <v>#N/A</v>
      </c>
      <c r="I2071" s="1" t="s">
        <v>1484</v>
      </c>
      <c r="J2071" s="1" t="s">
        <v>1485</v>
      </c>
      <c r="K2071" s="4" t="e">
        <f>VLOOKUP(A2071,المعطيات!$A$1:$J$3500,6,0)</f>
        <v>#N/A</v>
      </c>
      <c r="L2071" s="1" t="s">
        <v>1486</v>
      </c>
      <c r="M2071" s="1" t="s">
        <v>1487</v>
      </c>
      <c r="N2071" s="4" t="e">
        <f t="shared" si="97"/>
        <v>#N/A</v>
      </c>
      <c r="O2071" s="1" t="s">
        <v>1488</v>
      </c>
      <c r="P2071" s="4" t="e">
        <f>VLOOKUP(A2071,المعطيات!$A$1:$J$3500,4,0)</f>
        <v>#N/A</v>
      </c>
      <c r="Q2071" s="1" t="s">
        <v>1489</v>
      </c>
      <c r="R2071" s="1" t="s">
        <v>1480</v>
      </c>
      <c r="S2071" s="6" t="e">
        <f t="shared" si="98"/>
        <v>#N/A</v>
      </c>
    </row>
    <row r="2072" spans="2:19" x14ac:dyDescent="0.25">
      <c r="B2072" s="1" t="s">
        <v>1479</v>
      </c>
      <c r="C2072" s="1" t="s">
        <v>1481</v>
      </c>
      <c r="D2072" s="4" t="e">
        <f>VLOOKUP(A2072,المعطيات!$A$1:$J$3500,5,0)</f>
        <v>#N/A</v>
      </c>
      <c r="E2072" s="1" t="s">
        <v>1482</v>
      </c>
      <c r="F2072" s="5">
        <f t="shared" si="96"/>
        <v>0</v>
      </c>
      <c r="G2072" s="5" t="s">
        <v>1483</v>
      </c>
      <c r="H2072" s="4" t="e">
        <f>VLOOKUP(A2072,المعطيات!$A$1:$J$3500,3,0)</f>
        <v>#N/A</v>
      </c>
      <c r="I2072" s="1" t="s">
        <v>1484</v>
      </c>
      <c r="J2072" s="1" t="s">
        <v>1485</v>
      </c>
      <c r="K2072" s="4" t="e">
        <f>VLOOKUP(A2072,المعطيات!$A$1:$J$3500,6,0)</f>
        <v>#N/A</v>
      </c>
      <c r="L2072" s="1" t="s">
        <v>1486</v>
      </c>
      <c r="M2072" s="1" t="s">
        <v>1487</v>
      </c>
      <c r="N2072" s="4" t="e">
        <f t="shared" si="97"/>
        <v>#N/A</v>
      </c>
      <c r="O2072" s="1" t="s">
        <v>1488</v>
      </c>
      <c r="P2072" s="4" t="e">
        <f>VLOOKUP(A2072,المعطيات!$A$1:$J$3500,4,0)</f>
        <v>#N/A</v>
      </c>
      <c r="Q2072" s="1" t="s">
        <v>1489</v>
      </c>
      <c r="R2072" s="1" t="s">
        <v>1480</v>
      </c>
      <c r="S2072" s="6" t="e">
        <f t="shared" si="98"/>
        <v>#N/A</v>
      </c>
    </row>
    <row r="2073" spans="2:19" x14ac:dyDescent="0.25">
      <c r="B2073" s="1" t="s">
        <v>1479</v>
      </c>
      <c r="C2073" s="1" t="s">
        <v>1481</v>
      </c>
      <c r="D2073" s="4" t="e">
        <f>VLOOKUP(A2073,المعطيات!$A$1:$J$3500,5,0)</f>
        <v>#N/A</v>
      </c>
      <c r="E2073" s="1" t="s">
        <v>1482</v>
      </c>
      <c r="F2073" s="5">
        <f t="shared" si="96"/>
        <v>0</v>
      </c>
      <c r="G2073" s="5" t="s">
        <v>1483</v>
      </c>
      <c r="H2073" s="4" t="e">
        <f>VLOOKUP(A2073,المعطيات!$A$1:$J$3500,3,0)</f>
        <v>#N/A</v>
      </c>
      <c r="I2073" s="1" t="s">
        <v>1484</v>
      </c>
      <c r="J2073" s="1" t="s">
        <v>1485</v>
      </c>
      <c r="K2073" s="4" t="e">
        <f>VLOOKUP(A2073,المعطيات!$A$1:$J$3500,6,0)</f>
        <v>#N/A</v>
      </c>
      <c r="L2073" s="1" t="s">
        <v>1486</v>
      </c>
      <c r="M2073" s="1" t="s">
        <v>1487</v>
      </c>
      <c r="N2073" s="4" t="e">
        <f t="shared" si="97"/>
        <v>#N/A</v>
      </c>
      <c r="O2073" s="1" t="s">
        <v>1488</v>
      </c>
      <c r="P2073" s="4" t="e">
        <f>VLOOKUP(A2073,المعطيات!$A$1:$J$3500,4,0)</f>
        <v>#N/A</v>
      </c>
      <c r="Q2073" s="1" t="s">
        <v>1489</v>
      </c>
      <c r="R2073" s="1" t="s">
        <v>1480</v>
      </c>
      <c r="S2073" s="6" t="e">
        <f t="shared" si="98"/>
        <v>#N/A</v>
      </c>
    </row>
    <row r="2074" spans="2:19" x14ac:dyDescent="0.25">
      <c r="B2074" s="1" t="s">
        <v>1479</v>
      </c>
      <c r="C2074" s="1" t="s">
        <v>1481</v>
      </c>
      <c r="D2074" s="4" t="e">
        <f>VLOOKUP(A2074,المعطيات!$A$1:$J$3500,5,0)</f>
        <v>#N/A</v>
      </c>
      <c r="E2074" s="1" t="s">
        <v>1482</v>
      </c>
      <c r="F2074" s="5">
        <f t="shared" si="96"/>
        <v>0</v>
      </c>
      <c r="G2074" s="5" t="s">
        <v>1483</v>
      </c>
      <c r="H2074" s="4" t="e">
        <f>VLOOKUP(A2074,المعطيات!$A$1:$J$3500,3,0)</f>
        <v>#N/A</v>
      </c>
      <c r="I2074" s="1" t="s">
        <v>1484</v>
      </c>
      <c r="J2074" s="1" t="s">
        <v>1485</v>
      </c>
      <c r="K2074" s="4" t="e">
        <f>VLOOKUP(A2074,المعطيات!$A$1:$J$3500,6,0)</f>
        <v>#N/A</v>
      </c>
      <c r="L2074" s="1" t="s">
        <v>1486</v>
      </c>
      <c r="M2074" s="1" t="s">
        <v>1487</v>
      </c>
      <c r="N2074" s="4" t="e">
        <f t="shared" si="97"/>
        <v>#N/A</v>
      </c>
      <c r="O2074" s="1" t="s">
        <v>1488</v>
      </c>
      <c r="P2074" s="4" t="e">
        <f>VLOOKUP(A2074,المعطيات!$A$1:$J$3500,4,0)</f>
        <v>#N/A</v>
      </c>
      <c r="Q2074" s="1" t="s">
        <v>1489</v>
      </c>
      <c r="R2074" s="1" t="s">
        <v>1480</v>
      </c>
      <c r="S2074" s="6" t="e">
        <f t="shared" si="98"/>
        <v>#N/A</v>
      </c>
    </row>
    <row r="2075" spans="2:19" x14ac:dyDescent="0.25">
      <c r="B2075" s="1" t="s">
        <v>1479</v>
      </c>
      <c r="C2075" s="1" t="s">
        <v>1481</v>
      </c>
      <c r="D2075" s="4" t="e">
        <f>VLOOKUP(A2075,المعطيات!$A$1:$J$3500,5,0)</f>
        <v>#N/A</v>
      </c>
      <c r="E2075" s="1" t="s">
        <v>1482</v>
      </c>
      <c r="F2075" s="5">
        <f t="shared" si="96"/>
        <v>0</v>
      </c>
      <c r="G2075" s="5" t="s">
        <v>1483</v>
      </c>
      <c r="H2075" s="4" t="e">
        <f>VLOOKUP(A2075,المعطيات!$A$1:$J$3500,3,0)</f>
        <v>#N/A</v>
      </c>
      <c r="I2075" s="1" t="s">
        <v>1484</v>
      </c>
      <c r="J2075" s="1" t="s">
        <v>1485</v>
      </c>
      <c r="K2075" s="4" t="e">
        <f>VLOOKUP(A2075,المعطيات!$A$1:$J$3500,6,0)</f>
        <v>#N/A</v>
      </c>
      <c r="L2075" s="1" t="s">
        <v>1486</v>
      </c>
      <c r="M2075" s="1" t="s">
        <v>1487</v>
      </c>
      <c r="N2075" s="4" t="e">
        <f t="shared" si="97"/>
        <v>#N/A</v>
      </c>
      <c r="O2075" s="1" t="s">
        <v>1488</v>
      </c>
      <c r="P2075" s="4" t="e">
        <f>VLOOKUP(A2075,المعطيات!$A$1:$J$3500,4,0)</f>
        <v>#N/A</v>
      </c>
      <c r="Q2075" s="1" t="s">
        <v>1489</v>
      </c>
      <c r="R2075" s="1" t="s">
        <v>1480</v>
      </c>
      <c r="S2075" s="6" t="e">
        <f t="shared" si="98"/>
        <v>#N/A</v>
      </c>
    </row>
    <row r="2076" spans="2:19" x14ac:dyDescent="0.25">
      <c r="B2076" s="1" t="s">
        <v>1479</v>
      </c>
      <c r="C2076" s="1" t="s">
        <v>1481</v>
      </c>
      <c r="D2076" s="4" t="e">
        <f>VLOOKUP(A2076,المعطيات!$A$1:$J$3500,5,0)</f>
        <v>#N/A</v>
      </c>
      <c r="E2076" s="1" t="s">
        <v>1482</v>
      </c>
      <c r="F2076" s="5">
        <f t="shared" si="96"/>
        <v>0</v>
      </c>
      <c r="G2076" s="5" t="s">
        <v>1483</v>
      </c>
      <c r="H2076" s="4" t="e">
        <f>VLOOKUP(A2076,المعطيات!$A$1:$J$3500,3,0)</f>
        <v>#N/A</v>
      </c>
      <c r="I2076" s="1" t="s">
        <v>1484</v>
      </c>
      <c r="J2076" s="1" t="s">
        <v>1485</v>
      </c>
      <c r="K2076" s="4" t="e">
        <f>VLOOKUP(A2076,المعطيات!$A$1:$J$3500,6,0)</f>
        <v>#N/A</v>
      </c>
      <c r="L2076" s="1" t="s">
        <v>1486</v>
      </c>
      <c r="M2076" s="1" t="s">
        <v>1487</v>
      </c>
      <c r="N2076" s="4" t="e">
        <f t="shared" si="97"/>
        <v>#N/A</v>
      </c>
      <c r="O2076" s="1" t="s">
        <v>1488</v>
      </c>
      <c r="P2076" s="4" t="e">
        <f>VLOOKUP(A2076,المعطيات!$A$1:$J$3500,4,0)</f>
        <v>#N/A</v>
      </c>
      <c r="Q2076" s="1" t="s">
        <v>1489</v>
      </c>
      <c r="R2076" s="1" t="s">
        <v>1480</v>
      </c>
      <c r="S2076" s="6" t="e">
        <f t="shared" si="98"/>
        <v>#N/A</v>
      </c>
    </row>
    <row r="2077" spans="2:19" x14ac:dyDescent="0.25">
      <c r="B2077" s="1" t="s">
        <v>1479</v>
      </c>
      <c r="C2077" s="1" t="s">
        <v>1481</v>
      </c>
      <c r="D2077" s="4" t="e">
        <f>VLOOKUP(A2077,المعطيات!$A$1:$J$3500,5,0)</f>
        <v>#N/A</v>
      </c>
      <c r="E2077" s="1" t="s">
        <v>1482</v>
      </c>
      <c r="F2077" s="5">
        <f t="shared" si="96"/>
        <v>0</v>
      </c>
      <c r="G2077" s="5" t="s">
        <v>1483</v>
      </c>
      <c r="H2077" s="4" t="e">
        <f>VLOOKUP(A2077,المعطيات!$A$1:$J$3500,3,0)</f>
        <v>#N/A</v>
      </c>
      <c r="I2077" s="1" t="s">
        <v>1484</v>
      </c>
      <c r="J2077" s="1" t="s">
        <v>1485</v>
      </c>
      <c r="K2077" s="4" t="e">
        <f>VLOOKUP(A2077,المعطيات!$A$1:$J$3500,6,0)</f>
        <v>#N/A</v>
      </c>
      <c r="L2077" s="1" t="s">
        <v>1486</v>
      </c>
      <c r="M2077" s="1" t="s">
        <v>1487</v>
      </c>
      <c r="N2077" s="4" t="e">
        <f t="shared" si="97"/>
        <v>#N/A</v>
      </c>
      <c r="O2077" s="1" t="s">
        <v>1488</v>
      </c>
      <c r="P2077" s="4" t="e">
        <f>VLOOKUP(A2077,المعطيات!$A$1:$J$3500,4,0)</f>
        <v>#N/A</v>
      </c>
      <c r="Q2077" s="1" t="s">
        <v>1489</v>
      </c>
      <c r="R2077" s="1" t="s">
        <v>1480</v>
      </c>
      <c r="S2077" s="6" t="e">
        <f t="shared" si="98"/>
        <v>#N/A</v>
      </c>
    </row>
    <row r="2078" spans="2:19" x14ac:dyDescent="0.25">
      <c r="B2078" s="1" t="s">
        <v>1479</v>
      </c>
      <c r="C2078" s="1" t="s">
        <v>1481</v>
      </c>
      <c r="D2078" s="4" t="e">
        <f>VLOOKUP(A2078,المعطيات!$A$1:$J$3500,5,0)</f>
        <v>#N/A</v>
      </c>
      <c r="E2078" s="1" t="s">
        <v>1482</v>
      </c>
      <c r="F2078" s="5">
        <f t="shared" si="96"/>
        <v>0</v>
      </c>
      <c r="G2078" s="5" t="s">
        <v>1483</v>
      </c>
      <c r="H2078" s="4" t="e">
        <f>VLOOKUP(A2078,المعطيات!$A$1:$J$3500,3,0)</f>
        <v>#N/A</v>
      </c>
      <c r="I2078" s="1" t="s">
        <v>1484</v>
      </c>
      <c r="J2078" s="1" t="s">
        <v>1485</v>
      </c>
      <c r="K2078" s="4" t="e">
        <f>VLOOKUP(A2078,المعطيات!$A$1:$J$3500,6,0)</f>
        <v>#N/A</v>
      </c>
      <c r="L2078" s="1" t="s">
        <v>1486</v>
      </c>
      <c r="M2078" s="1" t="s">
        <v>1487</v>
      </c>
      <c r="N2078" s="4" t="e">
        <f t="shared" si="97"/>
        <v>#N/A</v>
      </c>
      <c r="O2078" s="1" t="s">
        <v>1488</v>
      </c>
      <c r="P2078" s="4" t="e">
        <f>VLOOKUP(A2078,المعطيات!$A$1:$J$3500,4,0)</f>
        <v>#N/A</v>
      </c>
      <c r="Q2078" s="1" t="s">
        <v>1489</v>
      </c>
      <c r="R2078" s="1" t="s">
        <v>1480</v>
      </c>
      <c r="S2078" s="6" t="e">
        <f t="shared" si="98"/>
        <v>#N/A</v>
      </c>
    </row>
    <row r="2079" spans="2:19" x14ac:dyDescent="0.25">
      <c r="B2079" s="1" t="s">
        <v>1479</v>
      </c>
      <c r="C2079" s="1" t="s">
        <v>1481</v>
      </c>
      <c r="D2079" s="4" t="e">
        <f>VLOOKUP(A2079,المعطيات!$A$1:$J$3500,5,0)</f>
        <v>#N/A</v>
      </c>
      <c r="E2079" s="1" t="s">
        <v>1482</v>
      </c>
      <c r="F2079" s="5">
        <f t="shared" si="96"/>
        <v>0</v>
      </c>
      <c r="G2079" s="5" t="s">
        <v>1483</v>
      </c>
      <c r="H2079" s="4" t="e">
        <f>VLOOKUP(A2079,المعطيات!$A$1:$J$3500,3,0)</f>
        <v>#N/A</v>
      </c>
      <c r="I2079" s="1" t="s">
        <v>1484</v>
      </c>
      <c r="J2079" s="1" t="s">
        <v>1485</v>
      </c>
      <c r="K2079" s="4" t="e">
        <f>VLOOKUP(A2079,المعطيات!$A$1:$J$3500,6,0)</f>
        <v>#N/A</v>
      </c>
      <c r="L2079" s="1" t="s">
        <v>1486</v>
      </c>
      <c r="M2079" s="1" t="s">
        <v>1487</v>
      </c>
      <c r="N2079" s="4" t="e">
        <f t="shared" si="97"/>
        <v>#N/A</v>
      </c>
      <c r="O2079" s="1" t="s">
        <v>1488</v>
      </c>
      <c r="P2079" s="4" t="e">
        <f>VLOOKUP(A2079,المعطيات!$A$1:$J$3500,4,0)</f>
        <v>#N/A</v>
      </c>
      <c r="Q2079" s="1" t="s">
        <v>1489</v>
      </c>
      <c r="R2079" s="1" t="s">
        <v>1480</v>
      </c>
      <c r="S2079" s="6" t="e">
        <f t="shared" si="98"/>
        <v>#N/A</v>
      </c>
    </row>
    <row r="2080" spans="2:19" x14ac:dyDescent="0.25">
      <c r="B2080" s="1" t="s">
        <v>1479</v>
      </c>
      <c r="C2080" s="1" t="s">
        <v>1481</v>
      </c>
      <c r="D2080" s="4" t="e">
        <f>VLOOKUP(A2080,المعطيات!$A$1:$J$3500,5,0)</f>
        <v>#N/A</v>
      </c>
      <c r="E2080" s="1" t="s">
        <v>1482</v>
      </c>
      <c r="F2080" s="5">
        <f t="shared" si="96"/>
        <v>0</v>
      </c>
      <c r="G2080" s="5" t="s">
        <v>1483</v>
      </c>
      <c r="H2080" s="4" t="e">
        <f>VLOOKUP(A2080,المعطيات!$A$1:$J$3500,3,0)</f>
        <v>#N/A</v>
      </c>
      <c r="I2080" s="1" t="s">
        <v>1484</v>
      </c>
      <c r="J2080" s="1" t="s">
        <v>1485</v>
      </c>
      <c r="K2080" s="4" t="e">
        <f>VLOOKUP(A2080,المعطيات!$A$1:$J$3500,6,0)</f>
        <v>#N/A</v>
      </c>
      <c r="L2080" s="1" t="s">
        <v>1486</v>
      </c>
      <c r="M2080" s="1" t="s">
        <v>1487</v>
      </c>
      <c r="N2080" s="4" t="e">
        <f t="shared" si="97"/>
        <v>#N/A</v>
      </c>
      <c r="O2080" s="1" t="s">
        <v>1488</v>
      </c>
      <c r="P2080" s="4" t="e">
        <f>VLOOKUP(A2080,المعطيات!$A$1:$J$3500,4,0)</f>
        <v>#N/A</v>
      </c>
      <c r="Q2080" s="1" t="s">
        <v>1489</v>
      </c>
      <c r="R2080" s="1" t="s">
        <v>1480</v>
      </c>
      <c r="S2080" s="6" t="e">
        <f t="shared" si="98"/>
        <v>#N/A</v>
      </c>
    </row>
    <row r="2081" spans="2:19" x14ac:dyDescent="0.25">
      <c r="B2081" s="1" t="s">
        <v>1479</v>
      </c>
      <c r="C2081" s="1" t="s">
        <v>1481</v>
      </c>
      <c r="D2081" s="4" t="e">
        <f>VLOOKUP(A2081,المعطيات!$A$1:$J$3500,5,0)</f>
        <v>#N/A</v>
      </c>
      <c r="E2081" s="1" t="s">
        <v>1482</v>
      </c>
      <c r="F2081" s="5">
        <f t="shared" si="96"/>
        <v>0</v>
      </c>
      <c r="G2081" s="5" t="s">
        <v>1483</v>
      </c>
      <c r="H2081" s="4" t="e">
        <f>VLOOKUP(A2081,المعطيات!$A$1:$J$3500,3,0)</f>
        <v>#N/A</v>
      </c>
      <c r="I2081" s="1" t="s">
        <v>1484</v>
      </c>
      <c r="J2081" s="1" t="s">
        <v>1485</v>
      </c>
      <c r="K2081" s="4" t="e">
        <f>VLOOKUP(A2081,المعطيات!$A$1:$J$3500,6,0)</f>
        <v>#N/A</v>
      </c>
      <c r="L2081" s="1" t="s">
        <v>1486</v>
      </c>
      <c r="M2081" s="1" t="s">
        <v>1487</v>
      </c>
      <c r="N2081" s="4" t="e">
        <f t="shared" si="97"/>
        <v>#N/A</v>
      </c>
      <c r="O2081" s="1" t="s">
        <v>1488</v>
      </c>
      <c r="P2081" s="4" t="e">
        <f>VLOOKUP(A2081,المعطيات!$A$1:$J$3500,4,0)</f>
        <v>#N/A</v>
      </c>
      <c r="Q2081" s="1" t="s">
        <v>1489</v>
      </c>
      <c r="R2081" s="1" t="s">
        <v>1480</v>
      </c>
      <c r="S2081" s="6" t="e">
        <f t="shared" si="98"/>
        <v>#N/A</v>
      </c>
    </row>
    <row r="2082" spans="2:19" x14ac:dyDescent="0.25">
      <c r="B2082" s="1" t="s">
        <v>1479</v>
      </c>
      <c r="C2082" s="1" t="s">
        <v>1481</v>
      </c>
      <c r="D2082" s="4" t="e">
        <f>VLOOKUP(A2082,المعطيات!$A$1:$J$3500,5,0)</f>
        <v>#N/A</v>
      </c>
      <c r="E2082" s="1" t="s">
        <v>1482</v>
      </c>
      <c r="F2082" s="5">
        <f t="shared" si="96"/>
        <v>0</v>
      </c>
      <c r="G2082" s="5" t="s">
        <v>1483</v>
      </c>
      <c r="H2082" s="4" t="e">
        <f>VLOOKUP(A2082,المعطيات!$A$1:$J$3500,3,0)</f>
        <v>#N/A</v>
      </c>
      <c r="I2082" s="1" t="s">
        <v>1484</v>
      </c>
      <c r="J2082" s="1" t="s">
        <v>1485</v>
      </c>
      <c r="K2082" s="4" t="e">
        <f>VLOOKUP(A2082,المعطيات!$A$1:$J$3500,6,0)</f>
        <v>#N/A</v>
      </c>
      <c r="L2082" s="1" t="s">
        <v>1486</v>
      </c>
      <c r="M2082" s="1" t="s">
        <v>1487</v>
      </c>
      <c r="N2082" s="4" t="e">
        <f t="shared" si="97"/>
        <v>#N/A</v>
      </c>
      <c r="O2082" s="1" t="s">
        <v>1488</v>
      </c>
      <c r="P2082" s="4" t="e">
        <f>VLOOKUP(A2082,المعطيات!$A$1:$J$3500,4,0)</f>
        <v>#N/A</v>
      </c>
      <c r="Q2082" s="1" t="s">
        <v>1489</v>
      </c>
      <c r="R2082" s="1" t="s">
        <v>1480</v>
      </c>
      <c r="S2082" s="6" t="e">
        <f t="shared" si="98"/>
        <v>#N/A</v>
      </c>
    </row>
    <row r="2083" spans="2:19" x14ac:dyDescent="0.25">
      <c r="B2083" s="1" t="s">
        <v>1479</v>
      </c>
      <c r="C2083" s="1" t="s">
        <v>1481</v>
      </c>
      <c r="D2083" s="4" t="e">
        <f>VLOOKUP(A2083,المعطيات!$A$1:$J$3500,5,0)</f>
        <v>#N/A</v>
      </c>
      <c r="E2083" s="1" t="s">
        <v>1482</v>
      </c>
      <c r="F2083" s="5">
        <f t="shared" si="96"/>
        <v>0</v>
      </c>
      <c r="G2083" s="5" t="s">
        <v>1483</v>
      </c>
      <c r="H2083" s="4" t="e">
        <f>VLOOKUP(A2083,المعطيات!$A$1:$J$3500,3,0)</f>
        <v>#N/A</v>
      </c>
      <c r="I2083" s="1" t="s">
        <v>1484</v>
      </c>
      <c r="J2083" s="1" t="s">
        <v>1485</v>
      </c>
      <c r="K2083" s="4" t="e">
        <f>VLOOKUP(A2083,المعطيات!$A$1:$J$3500,6,0)</f>
        <v>#N/A</v>
      </c>
      <c r="L2083" s="1" t="s">
        <v>1486</v>
      </c>
      <c r="M2083" s="1" t="s">
        <v>1487</v>
      </c>
      <c r="N2083" s="4" t="e">
        <f t="shared" si="97"/>
        <v>#N/A</v>
      </c>
      <c r="O2083" s="1" t="s">
        <v>1488</v>
      </c>
      <c r="P2083" s="4" t="e">
        <f>VLOOKUP(A2083,المعطيات!$A$1:$J$3500,4,0)</f>
        <v>#N/A</v>
      </c>
      <c r="Q2083" s="1" t="s">
        <v>1489</v>
      </c>
      <c r="R2083" s="1" t="s">
        <v>1480</v>
      </c>
      <c r="S2083" s="6" t="e">
        <f t="shared" si="98"/>
        <v>#N/A</v>
      </c>
    </row>
    <row r="2084" spans="2:19" x14ac:dyDescent="0.25">
      <c r="B2084" s="1" t="s">
        <v>1479</v>
      </c>
      <c r="C2084" s="1" t="s">
        <v>1481</v>
      </c>
      <c r="D2084" s="4" t="e">
        <f>VLOOKUP(A2084,المعطيات!$A$1:$J$3500,5,0)</f>
        <v>#N/A</v>
      </c>
      <c r="E2084" s="1" t="s">
        <v>1482</v>
      </c>
      <c r="F2084" s="5">
        <f t="shared" si="96"/>
        <v>0</v>
      </c>
      <c r="G2084" s="5" t="s">
        <v>1483</v>
      </c>
      <c r="H2084" s="4" t="e">
        <f>VLOOKUP(A2084,المعطيات!$A$1:$J$3500,3,0)</f>
        <v>#N/A</v>
      </c>
      <c r="I2084" s="1" t="s">
        <v>1484</v>
      </c>
      <c r="J2084" s="1" t="s">
        <v>1485</v>
      </c>
      <c r="K2084" s="4" t="e">
        <f>VLOOKUP(A2084,المعطيات!$A$1:$J$3500,6,0)</f>
        <v>#N/A</v>
      </c>
      <c r="L2084" s="1" t="s">
        <v>1486</v>
      </c>
      <c r="M2084" s="1" t="s">
        <v>1487</v>
      </c>
      <c r="N2084" s="4" t="e">
        <f t="shared" si="97"/>
        <v>#N/A</v>
      </c>
      <c r="O2084" s="1" t="s">
        <v>1488</v>
      </c>
      <c r="P2084" s="4" t="e">
        <f>VLOOKUP(A2084,المعطيات!$A$1:$J$3500,4,0)</f>
        <v>#N/A</v>
      </c>
      <c r="Q2084" s="1" t="s">
        <v>1489</v>
      </c>
      <c r="R2084" s="1" t="s">
        <v>1480</v>
      </c>
      <c r="S2084" s="6" t="e">
        <f t="shared" si="98"/>
        <v>#N/A</v>
      </c>
    </row>
    <row r="2085" spans="2:19" x14ac:dyDescent="0.25">
      <c r="B2085" s="1" t="s">
        <v>1479</v>
      </c>
      <c r="C2085" s="1" t="s">
        <v>1481</v>
      </c>
      <c r="D2085" s="4" t="e">
        <f>VLOOKUP(A2085,المعطيات!$A$1:$J$3500,5,0)</f>
        <v>#N/A</v>
      </c>
      <c r="E2085" s="1" t="s">
        <v>1482</v>
      </c>
      <c r="F2085" s="5">
        <f t="shared" si="96"/>
        <v>0</v>
      </c>
      <c r="G2085" s="5" t="s">
        <v>1483</v>
      </c>
      <c r="H2085" s="4" t="e">
        <f>VLOOKUP(A2085,المعطيات!$A$1:$J$3500,3,0)</f>
        <v>#N/A</v>
      </c>
      <c r="I2085" s="1" t="s">
        <v>1484</v>
      </c>
      <c r="J2085" s="1" t="s">
        <v>1485</v>
      </c>
      <c r="K2085" s="4" t="e">
        <f>VLOOKUP(A2085,المعطيات!$A$1:$J$3500,6,0)</f>
        <v>#N/A</v>
      </c>
      <c r="L2085" s="1" t="s">
        <v>1486</v>
      </c>
      <c r="M2085" s="1" t="s">
        <v>1487</v>
      </c>
      <c r="N2085" s="4" t="e">
        <f t="shared" si="97"/>
        <v>#N/A</v>
      </c>
      <c r="O2085" s="1" t="s">
        <v>1488</v>
      </c>
      <c r="P2085" s="4" t="e">
        <f>VLOOKUP(A2085,المعطيات!$A$1:$J$3500,4,0)</f>
        <v>#N/A</v>
      </c>
      <c r="Q2085" s="1" t="s">
        <v>1489</v>
      </c>
      <c r="R2085" s="1" t="s">
        <v>1480</v>
      </c>
      <c r="S2085" s="6" t="e">
        <f t="shared" si="98"/>
        <v>#N/A</v>
      </c>
    </row>
    <row r="2086" spans="2:19" x14ac:dyDescent="0.25">
      <c r="B2086" s="1" t="s">
        <v>1479</v>
      </c>
      <c r="C2086" s="1" t="s">
        <v>1481</v>
      </c>
      <c r="D2086" s="4" t="e">
        <f>VLOOKUP(A2086,المعطيات!$A$1:$J$3500,5,0)</f>
        <v>#N/A</v>
      </c>
      <c r="E2086" s="1" t="s">
        <v>1482</v>
      </c>
      <c r="F2086" s="5">
        <f t="shared" si="96"/>
        <v>0</v>
      </c>
      <c r="G2086" s="5" t="s">
        <v>1483</v>
      </c>
      <c r="H2086" s="4" t="e">
        <f>VLOOKUP(A2086,المعطيات!$A$1:$J$3500,3,0)</f>
        <v>#N/A</v>
      </c>
      <c r="I2086" s="1" t="s">
        <v>1484</v>
      </c>
      <c r="J2086" s="1" t="s">
        <v>1485</v>
      </c>
      <c r="K2086" s="4" t="e">
        <f>VLOOKUP(A2086,المعطيات!$A$1:$J$3500,6,0)</f>
        <v>#N/A</v>
      </c>
      <c r="L2086" s="1" t="s">
        <v>1486</v>
      </c>
      <c r="M2086" s="1" t="s">
        <v>1487</v>
      </c>
      <c r="N2086" s="4" t="e">
        <f t="shared" si="97"/>
        <v>#N/A</v>
      </c>
      <c r="O2086" s="1" t="s">
        <v>1488</v>
      </c>
      <c r="P2086" s="4" t="e">
        <f>VLOOKUP(A2086,المعطيات!$A$1:$J$3500,4,0)</f>
        <v>#N/A</v>
      </c>
      <c r="Q2086" s="1" t="s">
        <v>1489</v>
      </c>
      <c r="R2086" s="1" t="s">
        <v>1480</v>
      </c>
      <c r="S2086" s="6" t="e">
        <f t="shared" si="98"/>
        <v>#N/A</v>
      </c>
    </row>
    <row r="2087" spans="2:19" x14ac:dyDescent="0.25">
      <c r="B2087" s="1" t="s">
        <v>1479</v>
      </c>
      <c r="C2087" s="1" t="s">
        <v>1481</v>
      </c>
      <c r="D2087" s="4" t="e">
        <f>VLOOKUP(A2087,المعطيات!$A$1:$J$3500,5,0)</f>
        <v>#N/A</v>
      </c>
      <c r="E2087" s="1" t="s">
        <v>1482</v>
      </c>
      <c r="F2087" s="5">
        <f t="shared" si="96"/>
        <v>0</v>
      </c>
      <c r="G2087" s="5" t="s">
        <v>1483</v>
      </c>
      <c r="H2087" s="4" t="e">
        <f>VLOOKUP(A2087,المعطيات!$A$1:$J$3500,3,0)</f>
        <v>#N/A</v>
      </c>
      <c r="I2087" s="1" t="s">
        <v>1484</v>
      </c>
      <c r="J2087" s="1" t="s">
        <v>1485</v>
      </c>
      <c r="K2087" s="4" t="e">
        <f>VLOOKUP(A2087,المعطيات!$A$1:$J$3500,6,0)</f>
        <v>#N/A</v>
      </c>
      <c r="L2087" s="1" t="s">
        <v>1486</v>
      </c>
      <c r="M2087" s="1" t="s">
        <v>1487</v>
      </c>
      <c r="N2087" s="4" t="e">
        <f t="shared" si="97"/>
        <v>#N/A</v>
      </c>
      <c r="O2087" s="1" t="s">
        <v>1488</v>
      </c>
      <c r="P2087" s="4" t="e">
        <f>VLOOKUP(A2087,المعطيات!$A$1:$J$3500,4,0)</f>
        <v>#N/A</v>
      </c>
      <c r="Q2087" s="1" t="s">
        <v>1489</v>
      </c>
      <c r="R2087" s="1" t="s">
        <v>1480</v>
      </c>
      <c r="S2087" s="6" t="e">
        <f t="shared" si="98"/>
        <v>#N/A</v>
      </c>
    </row>
    <row r="2088" spans="2:19" x14ac:dyDescent="0.25">
      <c r="B2088" s="1" t="s">
        <v>1479</v>
      </c>
      <c r="C2088" s="1" t="s">
        <v>1481</v>
      </c>
      <c r="D2088" s="4" t="e">
        <f>VLOOKUP(A2088,المعطيات!$A$1:$J$3500,5,0)</f>
        <v>#N/A</v>
      </c>
      <c r="E2088" s="1" t="s">
        <v>1482</v>
      </c>
      <c r="F2088" s="5">
        <f t="shared" si="96"/>
        <v>0</v>
      </c>
      <c r="G2088" s="5" t="s">
        <v>1483</v>
      </c>
      <c r="H2088" s="4" t="e">
        <f>VLOOKUP(A2088,المعطيات!$A$1:$J$3500,3,0)</f>
        <v>#N/A</v>
      </c>
      <c r="I2088" s="1" t="s">
        <v>1484</v>
      </c>
      <c r="J2088" s="1" t="s">
        <v>1485</v>
      </c>
      <c r="K2088" s="4" t="e">
        <f>VLOOKUP(A2088,المعطيات!$A$1:$J$3500,6,0)</f>
        <v>#N/A</v>
      </c>
      <c r="L2088" s="1" t="s">
        <v>1486</v>
      </c>
      <c r="M2088" s="1" t="s">
        <v>1487</v>
      </c>
      <c r="N2088" s="4" t="e">
        <f t="shared" si="97"/>
        <v>#N/A</v>
      </c>
      <c r="O2088" s="1" t="s">
        <v>1488</v>
      </c>
      <c r="P2088" s="4" t="e">
        <f>VLOOKUP(A2088,المعطيات!$A$1:$J$3500,4,0)</f>
        <v>#N/A</v>
      </c>
      <c r="Q2088" s="1" t="s">
        <v>1489</v>
      </c>
      <c r="R2088" s="1" t="s">
        <v>1480</v>
      </c>
      <c r="S2088" s="6" t="e">
        <f t="shared" si="98"/>
        <v>#N/A</v>
      </c>
    </row>
    <row r="2089" spans="2:19" x14ac:dyDescent="0.25">
      <c r="B2089" s="1" t="s">
        <v>1479</v>
      </c>
      <c r="C2089" s="1" t="s">
        <v>1481</v>
      </c>
      <c r="D2089" s="4" t="e">
        <f>VLOOKUP(A2089,المعطيات!$A$1:$J$3500,5,0)</f>
        <v>#N/A</v>
      </c>
      <c r="E2089" s="1" t="s">
        <v>1482</v>
      </c>
      <c r="F2089" s="5">
        <f t="shared" si="96"/>
        <v>0</v>
      </c>
      <c r="G2089" s="5" t="s">
        <v>1483</v>
      </c>
      <c r="H2089" s="4" t="e">
        <f>VLOOKUP(A2089,المعطيات!$A$1:$J$3500,3,0)</f>
        <v>#N/A</v>
      </c>
      <c r="I2089" s="1" t="s">
        <v>1484</v>
      </c>
      <c r="J2089" s="1" t="s">
        <v>1485</v>
      </c>
      <c r="K2089" s="4" t="e">
        <f>VLOOKUP(A2089,المعطيات!$A$1:$J$3500,6,0)</f>
        <v>#N/A</v>
      </c>
      <c r="L2089" s="1" t="s">
        <v>1486</v>
      </c>
      <c r="M2089" s="1" t="s">
        <v>1487</v>
      </c>
      <c r="N2089" s="4" t="e">
        <f t="shared" si="97"/>
        <v>#N/A</v>
      </c>
      <c r="O2089" s="1" t="s">
        <v>1488</v>
      </c>
      <c r="P2089" s="4" t="e">
        <f>VLOOKUP(A2089,المعطيات!$A$1:$J$3500,4,0)</f>
        <v>#N/A</v>
      </c>
      <c r="Q2089" s="1" t="s">
        <v>1489</v>
      </c>
      <c r="R2089" s="1" t="s">
        <v>1480</v>
      </c>
      <c r="S2089" s="6" t="e">
        <f t="shared" si="98"/>
        <v>#N/A</v>
      </c>
    </row>
    <row r="2090" spans="2:19" x14ac:dyDescent="0.25">
      <c r="B2090" s="1" t="s">
        <v>1479</v>
      </c>
      <c r="C2090" s="1" t="s">
        <v>1481</v>
      </c>
      <c r="D2090" s="4" t="e">
        <f>VLOOKUP(A2090,المعطيات!$A$1:$J$3500,5,0)</f>
        <v>#N/A</v>
      </c>
      <c r="E2090" s="1" t="s">
        <v>1482</v>
      </c>
      <c r="F2090" s="5">
        <f t="shared" si="96"/>
        <v>0</v>
      </c>
      <c r="G2090" s="5" t="s">
        <v>1483</v>
      </c>
      <c r="H2090" s="4" t="e">
        <f>VLOOKUP(A2090,المعطيات!$A$1:$J$3500,3,0)</f>
        <v>#N/A</v>
      </c>
      <c r="I2090" s="1" t="s">
        <v>1484</v>
      </c>
      <c r="J2090" s="1" t="s">
        <v>1485</v>
      </c>
      <c r="K2090" s="4" t="e">
        <f>VLOOKUP(A2090,المعطيات!$A$1:$J$3500,6,0)</f>
        <v>#N/A</v>
      </c>
      <c r="L2090" s="1" t="s">
        <v>1486</v>
      </c>
      <c r="M2090" s="1" t="s">
        <v>1487</v>
      </c>
      <c r="N2090" s="4" t="e">
        <f t="shared" si="97"/>
        <v>#N/A</v>
      </c>
      <c r="O2090" s="1" t="s">
        <v>1488</v>
      </c>
      <c r="P2090" s="4" t="e">
        <f>VLOOKUP(A2090,المعطيات!$A$1:$J$3500,4,0)</f>
        <v>#N/A</v>
      </c>
      <c r="Q2090" s="1" t="s">
        <v>1489</v>
      </c>
      <c r="R2090" s="1" t="s">
        <v>1480</v>
      </c>
      <c r="S2090" s="6" t="e">
        <f t="shared" si="98"/>
        <v>#N/A</v>
      </c>
    </row>
    <row r="2091" spans="2:19" x14ac:dyDescent="0.25">
      <c r="B2091" s="1" t="s">
        <v>1479</v>
      </c>
      <c r="C2091" s="1" t="s">
        <v>1481</v>
      </c>
      <c r="D2091" s="4" t="e">
        <f>VLOOKUP(A2091,المعطيات!$A$1:$J$3500,5,0)</f>
        <v>#N/A</v>
      </c>
      <c r="E2091" s="1" t="s">
        <v>1482</v>
      </c>
      <c r="F2091" s="5">
        <f t="shared" si="96"/>
        <v>0</v>
      </c>
      <c r="G2091" s="5" t="s">
        <v>1483</v>
      </c>
      <c r="H2091" s="4" t="e">
        <f>VLOOKUP(A2091,المعطيات!$A$1:$J$3500,3,0)</f>
        <v>#N/A</v>
      </c>
      <c r="I2091" s="1" t="s">
        <v>1484</v>
      </c>
      <c r="J2091" s="1" t="s">
        <v>1485</v>
      </c>
      <c r="K2091" s="4" t="e">
        <f>VLOOKUP(A2091,المعطيات!$A$1:$J$3500,6,0)</f>
        <v>#N/A</v>
      </c>
      <c r="L2091" s="1" t="s">
        <v>1486</v>
      </c>
      <c r="M2091" s="1" t="s">
        <v>1487</v>
      </c>
      <c r="N2091" s="4" t="e">
        <f t="shared" si="97"/>
        <v>#N/A</v>
      </c>
      <c r="O2091" s="1" t="s">
        <v>1488</v>
      </c>
      <c r="P2091" s="4" t="e">
        <f>VLOOKUP(A2091,المعطيات!$A$1:$J$3500,4,0)</f>
        <v>#N/A</v>
      </c>
      <c r="Q2091" s="1" t="s">
        <v>1489</v>
      </c>
      <c r="R2091" s="1" t="s">
        <v>1480</v>
      </c>
      <c r="S2091" s="6" t="e">
        <f t="shared" si="98"/>
        <v>#N/A</v>
      </c>
    </row>
    <row r="2092" spans="2:19" x14ac:dyDescent="0.25">
      <c r="B2092" s="1" t="s">
        <v>1479</v>
      </c>
      <c r="C2092" s="1" t="s">
        <v>1481</v>
      </c>
      <c r="D2092" s="4" t="e">
        <f>VLOOKUP(A2092,المعطيات!$A$1:$J$3500,5,0)</f>
        <v>#N/A</v>
      </c>
      <c r="E2092" s="1" t="s">
        <v>1482</v>
      </c>
      <c r="F2092" s="5">
        <f t="shared" si="96"/>
        <v>0</v>
      </c>
      <c r="G2092" s="5" t="s">
        <v>1483</v>
      </c>
      <c r="H2092" s="4" t="e">
        <f>VLOOKUP(A2092,المعطيات!$A$1:$J$3500,3,0)</f>
        <v>#N/A</v>
      </c>
      <c r="I2092" s="1" t="s">
        <v>1484</v>
      </c>
      <c r="J2092" s="1" t="s">
        <v>1485</v>
      </c>
      <c r="K2092" s="4" t="e">
        <f>VLOOKUP(A2092,المعطيات!$A$1:$J$3500,6,0)</f>
        <v>#N/A</v>
      </c>
      <c r="L2092" s="1" t="s">
        <v>1486</v>
      </c>
      <c r="M2092" s="1" t="s">
        <v>1487</v>
      </c>
      <c r="N2092" s="4" t="e">
        <f t="shared" si="97"/>
        <v>#N/A</v>
      </c>
      <c r="O2092" s="1" t="s">
        <v>1488</v>
      </c>
      <c r="P2092" s="4" t="e">
        <f>VLOOKUP(A2092,المعطيات!$A$1:$J$3500,4,0)</f>
        <v>#N/A</v>
      </c>
      <c r="Q2092" s="1" t="s">
        <v>1489</v>
      </c>
      <c r="R2092" s="1" t="s">
        <v>1480</v>
      </c>
      <c r="S2092" s="6" t="e">
        <f t="shared" si="98"/>
        <v>#N/A</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4"/>
  <dimension ref="A1:N129"/>
  <sheetViews>
    <sheetView topLeftCell="A115" workbookViewId="0">
      <selection activeCell="H129" sqref="H2:H129"/>
    </sheetView>
  </sheetViews>
  <sheetFormatPr defaultRowHeight="15" x14ac:dyDescent="0.25"/>
  <cols>
    <col min="1" max="1" width="35" customWidth="1"/>
    <col min="2" max="2" width="21.7109375" style="4" customWidth="1"/>
    <col min="3" max="3" width="30.28515625" style="1" customWidth="1"/>
    <col min="4" max="4" width="21.7109375" style="4" customWidth="1"/>
    <col min="5" max="6" width="21.7109375" style="1" customWidth="1"/>
    <col min="7" max="7" width="13.7109375" style="1" customWidth="1"/>
    <col min="8" max="8" width="54.42578125" style="1" customWidth="1"/>
    <col min="9" max="9" width="4" style="1" customWidth="1"/>
    <col min="10" max="10" width="32.5703125" style="1" customWidth="1"/>
    <col min="11" max="11" width="4" style="1" customWidth="1"/>
    <col min="12" max="12" width="14.85546875" style="1" customWidth="1"/>
    <col min="13" max="13" width="4" style="1" customWidth="1"/>
    <col min="14" max="14" width="9.140625" style="7"/>
  </cols>
  <sheetData>
    <row r="1" spans="1:8" x14ac:dyDescent="0.25">
      <c r="A1" s="2"/>
      <c r="B1" s="8"/>
      <c r="C1" s="2"/>
      <c r="D1" s="8"/>
      <c r="E1" s="2"/>
      <c r="F1" s="2"/>
      <c r="G1" s="2"/>
    </row>
    <row r="2" spans="1:8" x14ac:dyDescent="0.25">
      <c r="A2" t="s">
        <v>1491</v>
      </c>
      <c r="B2" s="4" t="s">
        <v>1498</v>
      </c>
      <c r="C2" t="s">
        <v>1492</v>
      </c>
      <c r="D2" s="1" t="s">
        <v>1499</v>
      </c>
      <c r="E2" t="s">
        <v>1493</v>
      </c>
      <c r="F2" s="4" t="s">
        <v>1776</v>
      </c>
      <c r="G2" t="s">
        <v>1490</v>
      </c>
      <c r="H2" s="1" t="str">
        <f>A2&amp;""&amp;B2&amp;""&amp;C2&amp;""&amp;D2&amp;""&amp;E2&amp;""&amp;F2&amp;""&amp;G2</f>
        <v xml:space="preserve"> &lt;a class="new" target="_blank" href="https://www.slideshare.net/aleydasolis/mobilefirst-seo-the-marketers-edition-3xedigital"&gt;&lt;img title="Join coinpayu to earn!" alt="coinpayu"  src="https://cdn.slidesharecdn.com/ss_thumbnails/seoinamobilefirsteramarktetersedition-170209083920-thumbnail.jpg?width=560&amp;fit=bounds"&gt;&lt;span class="new_title"&gt;Mobile-First SEO - The Marketers Edition #3XEDigital by Aleyda Solís&lt;/span&gt; &lt;/a&gt;</v>
      </c>
    </row>
    <row r="3" spans="1:8" x14ac:dyDescent="0.25">
      <c r="A3" s="1" t="s">
        <v>1491</v>
      </c>
      <c r="B3" s="4" t="s">
        <v>1500</v>
      </c>
      <c r="C3" s="1" t="s">
        <v>1492</v>
      </c>
      <c r="D3" s="1" t="s">
        <v>1501</v>
      </c>
      <c r="E3" s="1" t="s">
        <v>1493</v>
      </c>
      <c r="F3" s="4" t="s">
        <v>1777</v>
      </c>
      <c r="G3" s="1" t="s">
        <v>1490</v>
      </c>
      <c r="H3" s="1" t="str">
        <f t="shared" ref="H3:H66" si="0">A3&amp;""&amp;B3&amp;""&amp;C3&amp;""&amp;D3&amp;""&amp;E3&amp;""&amp;F3&amp;""&amp;G3</f>
        <v xml:space="preserve"> &lt;a class="new" target="_blank" href="https://www.slideshare.net/a16z/mobile-is-eating-the-world-2016"&gt;&lt;img title="Join coinpayu to earn!" alt="coinpayu"  src="https://cdn.slidesharecdn.com/ss_thumbnails/mew2016bevansa16z-160329150243-thumbnail.jpg?width=560&amp;fit=bounds"&gt;&lt;span class="new_title"&gt;Mobile Is Eating the World (2016) by a16z&lt;/span&gt; &lt;/a&gt;</v>
      </c>
    </row>
    <row r="4" spans="1:8" x14ac:dyDescent="0.25">
      <c r="A4" s="1" t="s">
        <v>1491</v>
      </c>
      <c r="B4" s="4" t="s">
        <v>1502</v>
      </c>
      <c r="C4" s="1" t="s">
        <v>1492</v>
      </c>
      <c r="D4" s="1" t="s">
        <v>1503</v>
      </c>
      <c r="E4" s="1" t="s">
        <v>1493</v>
      </c>
      <c r="F4" s="4" t="s">
        <v>1778</v>
      </c>
      <c r="G4" s="1" t="s">
        <v>1490</v>
      </c>
      <c r="H4" s="1" t="str">
        <f t="shared" si="0"/>
        <v xml:space="preserve"> &lt;a class="new" target="_blank" href="https://www.slideshare.net/liamboogar/audience-4-keys-to-the-future-of-mobile-video"&gt;&lt;img title="Join coinpayu to earn!" alt="coinpayu"  src="https://cdn.slidesharecdn.com/ss_thumbnails/4keystothefutureofmobilevideo-smrtr-160316161032-thumbnail.jpg?width=560&amp;fit=bounds"&gt;&lt;span class="new_title"&gt;AUDIENCE - 4 Keys to the Future of Mobile Video  by Liam Boogar-Azoulay&lt;/span&gt; &lt;/a&gt;</v>
      </c>
    </row>
    <row r="5" spans="1:8" x14ac:dyDescent="0.25">
      <c r="A5" s="1" t="s">
        <v>1491</v>
      </c>
      <c r="B5" s="4" t="s">
        <v>1504</v>
      </c>
      <c r="C5" s="1" t="s">
        <v>1492</v>
      </c>
      <c r="D5" s="1" t="s">
        <v>1505</v>
      </c>
      <c r="E5" s="1" t="s">
        <v>1493</v>
      </c>
      <c r="F5" s="4" t="s">
        <v>1779</v>
      </c>
      <c r="G5" s="1" t="s">
        <v>1490</v>
      </c>
      <c r="H5" s="1" t="str">
        <f t="shared" si="0"/>
        <v xml:space="preserve"> &lt;a class="new" target="_blank" href="https://www.slideshare.net/Localytics/8-ways-to-personalize-your-app-in-under-30-minutes"&gt;&lt;img title="Join coinpayu to earn!" alt="coinpayu"  src="https://cdn.slidesharecdn.com/ss_thumbnails/personalizeyourapp-160303184824-thumbnail.jpg?width=560&amp;fit=bounds"&gt;&lt;span class="new_title"&gt;8 Ways to Personalize Your App (in Under 30 Minutes) by Localytics&lt;/span&gt; &lt;/a&gt;</v>
      </c>
    </row>
    <row r="6" spans="1:8" x14ac:dyDescent="0.25">
      <c r="A6" s="1" t="s">
        <v>1491</v>
      </c>
      <c r="B6" s="4" t="s">
        <v>1506</v>
      </c>
      <c r="C6" s="1" t="s">
        <v>1492</v>
      </c>
      <c r="D6" s="1" t="s">
        <v>1507</v>
      </c>
      <c r="E6" s="1" t="s">
        <v>1493</v>
      </c>
      <c r="F6" s="4" t="s">
        <v>1780</v>
      </c>
      <c r="G6" s="1" t="s">
        <v>1490</v>
      </c>
      <c r="H6" s="1" t="str">
        <f t="shared" si="0"/>
        <v xml:space="preserve"> &lt;a class="new" target="_blank" href="https://www.slideshare.net/YRGlobal/david-sable-on-mobile-disruptoin"&gt;&lt;img title="Join coinpayu to earn!" alt="coinpayu"  src="https://cdn.slidesharecdn.com/ss_thumbnails/mobiledisruption2-160229150955-thumbnail.jpg?width=560&amp;fit=bounds"&gt;&lt;span class="new_title"&gt;Y&amp;R Global CEO David Sable on Mobile Disruption at 2016 Mobile World Congress by Young &amp; Rubicam&lt;/span&gt; &lt;/a&gt;</v>
      </c>
    </row>
    <row r="7" spans="1:8" x14ac:dyDescent="0.25">
      <c r="A7" s="1" t="s">
        <v>1491</v>
      </c>
      <c r="B7" s="4" t="s">
        <v>1508</v>
      </c>
      <c r="C7" s="1" t="s">
        <v>1492</v>
      </c>
      <c r="D7" s="1" t="s">
        <v>1509</v>
      </c>
      <c r="E7" s="1" t="s">
        <v>1493</v>
      </c>
      <c r="F7" s="4" t="s">
        <v>1781</v>
      </c>
      <c r="G7" s="1" t="s">
        <v>1490</v>
      </c>
      <c r="H7" s="1" t="str">
        <f t="shared" si="0"/>
        <v xml:space="preserve"> &lt;a class="new" target="_blank" href="https://www.slideshare.net/AppAnnie/next-horizonemergingappmarketsen"&gt;&lt;img title="Join coinpayu to earn!" alt="coinpayu"  src="https://cdn.slidesharecdn.com/ss_thumbnails/next-horizon-emerging-app-markets-en-160226220440-thumbnail.jpg?width=560&amp;fit=bounds"&gt;&lt;span class="new_title"&gt;The Next Horizon of Emerging App Markets by App Annie&lt;/span&gt; &lt;/a&gt;</v>
      </c>
    </row>
    <row r="8" spans="1:8" x14ac:dyDescent="0.25">
      <c r="A8" s="1" t="s">
        <v>1491</v>
      </c>
      <c r="B8" s="4" t="s">
        <v>1510</v>
      </c>
      <c r="C8" s="1" t="s">
        <v>1492</v>
      </c>
      <c r="D8" s="1" t="s">
        <v>1511</v>
      </c>
      <c r="E8" s="1" t="s">
        <v>1493</v>
      </c>
      <c r="F8" s="4" t="s">
        <v>1782</v>
      </c>
      <c r="G8" s="1" t="s">
        <v>1490</v>
      </c>
      <c r="H8" s="1" t="str">
        <f t="shared" si="0"/>
        <v xml:space="preserve"> &lt;a class="new" target="_blank" href="https://www.slideshare.net/goldengekko/dmi-top-10-trends-at-mwc16-58767449"&gt;&lt;img title="Join coinpayu to earn!" alt="coinpayu"  src="https://cdn.slidesharecdn.com/ss_thumbnails/dmitop10trendsatmwc16-160226171552-thumbnail.jpg?width=560&amp;fit=bounds"&gt;&lt;span class="new_title"&gt;Top 10 Trends at MWC16 by DMI&lt;/span&gt; &lt;/a&gt;</v>
      </c>
    </row>
    <row r="9" spans="1:8" x14ac:dyDescent="0.25">
      <c r="A9" s="1" t="s">
        <v>1491</v>
      </c>
      <c r="B9" s="4" t="s">
        <v>1512</v>
      </c>
      <c r="C9" s="1" t="s">
        <v>1492</v>
      </c>
      <c r="D9" s="1" t="s">
        <v>1513</v>
      </c>
      <c r="E9" s="1" t="s">
        <v>1493</v>
      </c>
      <c r="F9" s="4" t="s">
        <v>1783</v>
      </c>
      <c r="G9" s="1" t="s">
        <v>1490</v>
      </c>
      <c r="H9" s="1" t="str">
        <f t="shared" si="0"/>
        <v xml:space="preserve"> &lt;a class="new" target="_blank" href="https://www.slideshare.net/AppAnnie/chinese-new-year-reaches-mobile-tipping-point-58566690"&gt;&lt;img title="Join coinpayu to earn!" alt="coinpayu"  src="https://cdn.slidesharecdn.com/ss_thumbnails/cmktmobileappsbringgreatercheertochinesenewyear1-160222172620-thumbnail.jpg?width=560&amp;fit=bounds"&gt;&lt;span class="new_title"&gt;Chinese New Year Reaches Mobile Tipping Point by App Annie&lt;/span&gt; &lt;/a&gt;</v>
      </c>
    </row>
    <row r="10" spans="1:8" x14ac:dyDescent="0.25">
      <c r="A10" s="1" t="s">
        <v>1491</v>
      </c>
      <c r="B10" s="4" t="s">
        <v>1514</v>
      </c>
      <c r="C10" s="1" t="s">
        <v>1492</v>
      </c>
      <c r="D10" s="1" t="s">
        <v>1515</v>
      </c>
      <c r="E10" s="1" t="s">
        <v>1493</v>
      </c>
      <c r="F10" s="4" t="s">
        <v>1784</v>
      </c>
      <c r="G10" s="1" t="s">
        <v>1490</v>
      </c>
      <c r="H10" s="1" t="str">
        <f t="shared" si="0"/>
        <v xml:space="preserve"> &lt;a class="new" target="_blank" href="https://www.slideshare.net/geoffreydorne/how-instagram-onboards-new-users"&gt;&lt;img title="Join coinpayu to earn!" alt="coinpayu"  src="https://cdn.slidesharecdn.com/ss_thumbnails/insta-160218081401-thumbnail.jpg?width=560&amp;fit=bounds"&gt;&lt;span class="new_title"&gt;How Instagram Onboards New Users by Geoffrey Dorne&lt;/span&gt; &lt;/a&gt;</v>
      </c>
    </row>
    <row r="11" spans="1:8" x14ac:dyDescent="0.25">
      <c r="A11" s="1" t="s">
        <v>1491</v>
      </c>
      <c r="B11" s="4" t="s">
        <v>1516</v>
      </c>
      <c r="C11" s="1" t="s">
        <v>1492</v>
      </c>
      <c r="D11" s="1" t="s">
        <v>1517</v>
      </c>
      <c r="E11" s="1" t="s">
        <v>1493</v>
      </c>
      <c r="F11" s="4" t="s">
        <v>1785</v>
      </c>
      <c r="G11" s="1" t="s">
        <v>1490</v>
      </c>
      <c r="H11" s="1" t="str">
        <f t="shared" si="0"/>
        <v xml:space="preserve"> &lt;a class="new" target="_blank" href="https://www.slideshare.net/geoffreydorne/how-apple-music-onboards-new-users"&gt;&lt;img title="Join coinpayu to earn!" alt="coinpayu"  src="https://cdn.slidesharecdn.com/ss_thumbnails/apple-160218080941-thumbnail.jpg?width=560&amp;fit=bounds"&gt;&lt;span class="new_title"&gt;How Apple Music Onboards New Users by Geoffrey Dorne&lt;/span&gt; &lt;/a&gt;</v>
      </c>
    </row>
    <row r="12" spans="1:8" x14ac:dyDescent="0.25">
      <c r="A12" s="1" t="s">
        <v>1491</v>
      </c>
      <c r="B12" s="4" t="s">
        <v>1518</v>
      </c>
      <c r="C12" s="1" t="s">
        <v>1492</v>
      </c>
      <c r="D12" s="1" t="s">
        <v>1519</v>
      </c>
      <c r="E12" s="1" t="s">
        <v>1493</v>
      </c>
      <c r="F12" s="4" t="s">
        <v>1786</v>
      </c>
      <c r="G12" s="1" t="s">
        <v>1490</v>
      </c>
      <c r="H12" s="1" t="str">
        <f t="shared" si="0"/>
        <v xml:space="preserve"> &lt;a class="new" target="_blank" href="https://www.slideshare.net/mmikowska/the-future-of-mobile-apps"&gt;&lt;img title="Join coinpayu to earn!" alt="coinpayu"  src="https://cdn.slidesharecdn.com/ss_thumbnails/thefutureofmobileapps-160217201958-thumbnail.jpg?width=560&amp;fit=bounds"&gt;&lt;span class="new_title"&gt;The future of mobile apps by Monika Mikowska&lt;/span&gt; &lt;/a&gt;</v>
      </c>
    </row>
    <row r="13" spans="1:8" x14ac:dyDescent="0.25">
      <c r="A13" s="1" t="s">
        <v>1491</v>
      </c>
      <c r="B13" s="4" t="s">
        <v>1520</v>
      </c>
      <c r="C13" s="1" t="s">
        <v>1492</v>
      </c>
      <c r="D13" s="1" t="s">
        <v>1521</v>
      </c>
      <c r="E13" s="1" t="s">
        <v>1493</v>
      </c>
      <c r="F13" s="4" t="s">
        <v>1787</v>
      </c>
      <c r="G13" s="1" t="s">
        <v>1490</v>
      </c>
      <c r="H13" s="1" t="str">
        <f t="shared" si="0"/>
        <v xml:space="preserve"> &lt;a class="new" target="_blank" href="https://www.slideshare.net/mobify/m-dot-extinction-the-next-evolution-of-mobile-web"&gt;&lt;img title="Join coinpayu to earn!" alt="coinpayu"  src="https://cdn.slidesharecdn.com/ss_thumbnails/ebook1602dino-160216005655-thumbnail.jpg?width=560&amp;fit=bounds"&gt;&lt;span class="new_title"&gt;M Dot Extinction: The Next Evolution of Mobile Web by Mobify&lt;/span&gt; &lt;/a&gt;</v>
      </c>
    </row>
    <row r="14" spans="1:8" x14ac:dyDescent="0.25">
      <c r="A14" s="1" t="s">
        <v>1491</v>
      </c>
      <c r="B14" s="4" t="s">
        <v>1522</v>
      </c>
      <c r="C14" s="1" t="s">
        <v>1492</v>
      </c>
      <c r="D14" s="1" t="s">
        <v>1523</v>
      </c>
      <c r="E14" s="1" t="s">
        <v>1493</v>
      </c>
      <c r="F14" s="4" t="s">
        <v>1788</v>
      </c>
      <c r="G14" s="1" t="s">
        <v>1490</v>
      </c>
      <c r="H14" s="1" t="str">
        <f t="shared" si="0"/>
        <v xml:space="preserve"> &lt;a class="new" target="_blank" href="https://www.slideshare.net/LitmusApp/go-beyond-opens-clicks-using-data-to-optimize-your-clients-campaigns"&gt;&lt;img title="Join coinpayu to earn!" alt="coinpayu"  src="https://cdn.slidesharecdn.com/ss_thumbnails/digital-agency-day-go-beyond-opens-clicks-160204144811-thumbnail.jpg?width=560&amp;fit=bounds"&gt;&lt;span class="new_title"&gt;Go Beyond Opens &amp; Clicks: Using Data to Optimize Your Client's Campaigns by Litmus&lt;/span&gt; &lt;/a&gt;</v>
      </c>
    </row>
    <row r="15" spans="1:8" x14ac:dyDescent="0.25">
      <c r="A15" s="1" t="s">
        <v>1491</v>
      </c>
      <c r="B15" s="4" t="s">
        <v>1524</v>
      </c>
      <c r="C15" s="1" t="s">
        <v>1492</v>
      </c>
      <c r="D15" s="1" t="s">
        <v>1525</v>
      </c>
      <c r="E15" s="1" t="s">
        <v>1493</v>
      </c>
      <c r="F15" s="4" t="s">
        <v>1789</v>
      </c>
      <c r="G15" s="1" t="s">
        <v>1490</v>
      </c>
      <c r="H15" s="1" t="str">
        <f t="shared" si="0"/>
        <v xml:space="preserve"> &lt;a class="new" target="_blank" href="https://www.slideshare.net/KyleSherman/ios-scroll-performance"&gt;&lt;img title="Join coinpayu to earn!" alt="coinpayu"  src="https://cdn.slidesharecdn.com/ss_thumbnails/iosscrollperformance-160203222139-thumbnail.jpg?width=560&amp;fit=bounds"&gt;&lt;span class="new_title"&gt;iOS Scroll Performance by Kyle Sherman&lt;/span&gt; &lt;/a&gt;</v>
      </c>
    </row>
    <row r="16" spans="1:8" x14ac:dyDescent="0.25">
      <c r="A16" s="1" t="s">
        <v>1491</v>
      </c>
      <c r="B16" s="4" t="s">
        <v>1526</v>
      </c>
      <c r="C16" s="1" t="s">
        <v>1492</v>
      </c>
      <c r="D16" s="1" t="s">
        <v>1527</v>
      </c>
      <c r="E16" s="1" t="s">
        <v>1493</v>
      </c>
      <c r="F16" s="4" t="s">
        <v>1790</v>
      </c>
      <c r="G16" s="1" t="s">
        <v>1490</v>
      </c>
      <c r="H16" s="1" t="str">
        <f t="shared" si="0"/>
        <v xml:space="preserve"> &lt;a class="new" target="_blank" href="https://www.slideshare.net/DeloitteUS/2015-us-global-mobile-consumer-survey"&gt;&lt;img title="Join coinpayu to earn!" alt="coinpayu"  src="https://cdn.slidesharecdn.com/ss_thumbnails/2015-us-global-mobile-consumer-92de25b0-1b19-43d1-a8f7-d1fdc5e33fa6-1132500893-160202141502-thumbnail.jpg?width=560&amp;fit=bounds"&gt;&lt;span class="new_title"&gt;2015 US Global Mobile Consumer Survey by Deloitte United States&lt;/span&gt; &lt;/a&gt;</v>
      </c>
    </row>
    <row r="17" spans="1:8" x14ac:dyDescent="0.25">
      <c r="A17" s="1" t="s">
        <v>1491</v>
      </c>
      <c r="B17" s="4" t="s">
        <v>1528</v>
      </c>
      <c r="C17" s="1" t="s">
        <v>1492</v>
      </c>
      <c r="D17" s="1" t="s">
        <v>1529</v>
      </c>
      <c r="E17" s="1" t="s">
        <v>1493</v>
      </c>
      <c r="F17" s="4" t="s">
        <v>1791</v>
      </c>
      <c r="G17" s="1" t="s">
        <v>1490</v>
      </c>
      <c r="H17" s="1" t="str">
        <f t="shared" si="0"/>
        <v xml:space="preserve"> &lt;a class="new" target="_blank" href="https://www.slideshare.net/mmikowska/2015-year-in-review-mobile"&gt;&lt;img title="Join coinpayu to earn!" alt="coinpayu"  src="https://cdn.slidesharecdn.com/ss_thumbnails/mobile2015yearinreview-160130012200-thumbnail.jpg?width=560&amp;fit=bounds"&gt;&lt;span class="new_title"&gt;2015 YEAR IN REVIEW: MOBILE by Monika Mikowska&lt;/span&gt; &lt;/a&gt;</v>
      </c>
    </row>
    <row r="18" spans="1:8" x14ac:dyDescent="0.25">
      <c r="A18" s="1" t="s">
        <v>1491</v>
      </c>
      <c r="B18" s="4" t="s">
        <v>1530</v>
      </c>
      <c r="C18" s="1" t="s">
        <v>1492</v>
      </c>
      <c r="D18" s="1" t="s">
        <v>1531</v>
      </c>
      <c r="E18" s="1" t="s">
        <v>1493</v>
      </c>
      <c r="F18" s="4" t="s">
        <v>1792</v>
      </c>
      <c r="G18" s="1" t="s">
        <v>1490</v>
      </c>
      <c r="H18" s="1" t="str">
        <f t="shared" si="0"/>
        <v xml:space="preserve"> &lt;a class="new" target="_blank" href="https://www.slideshare.net/scott.gardner/to-swift-2and-beyond-57645605"&gt;&lt;img title="Join coinpayu to earn!" alt="coinpayu"  src="https://cdn.slidesharecdn.com/ss_thumbnails/toswift2-160129125007-thumbnail.jpg?width=560&amp;fit=bounds"&gt;&lt;span class="new_title"&gt;To Swift 2...and Beyond! by Scott Gardner&lt;/span&gt; &lt;/a&gt;</v>
      </c>
    </row>
    <row r="19" spans="1:8" x14ac:dyDescent="0.25">
      <c r="A19" s="1" t="s">
        <v>1491</v>
      </c>
      <c r="B19" s="4" t="s">
        <v>1532</v>
      </c>
      <c r="C19" s="1" t="s">
        <v>1492</v>
      </c>
      <c r="D19" s="1" t="s">
        <v>1533</v>
      </c>
      <c r="E19" s="1" t="s">
        <v>1493</v>
      </c>
      <c r="F19" s="4" t="s">
        <v>1793</v>
      </c>
      <c r="G19" s="1" t="s">
        <v>1490</v>
      </c>
      <c r="H19" s="1" t="str">
        <f t="shared" si="0"/>
        <v xml:space="preserve"> &lt;a class="new" target="_blank" href="https://www.slideshare.net/QuickHealPPTs/7-simple-tips-to-take-care-of-your-new-android-phone"&gt;&lt;img title="Join coinpayu to earn!" alt="coinpayu"  src="https://cdn.slidesharecdn.com/ss_thumbnails/7simpletipstotakecareofyournewandroidphone-160129094834-thumbnail.jpg?width=560&amp;fit=bounds"&gt;&lt;span class="new_title"&gt;7 Simple Tips to Take Care of your New Android Phone by Quick Heal Technologies Ltd.&lt;/span&gt; &lt;/a&gt;</v>
      </c>
    </row>
    <row r="20" spans="1:8" x14ac:dyDescent="0.25">
      <c r="A20" s="1" t="s">
        <v>1491</v>
      </c>
      <c r="B20" s="4" t="s">
        <v>1534</v>
      </c>
      <c r="C20" s="1" t="s">
        <v>1492</v>
      </c>
      <c r="D20" s="1" t="s">
        <v>1535</v>
      </c>
      <c r="E20" s="1" t="s">
        <v>1493</v>
      </c>
      <c r="F20" s="4" t="s">
        <v>1794</v>
      </c>
      <c r="G20" s="1" t="s">
        <v>1490</v>
      </c>
      <c r="H20" s="1" t="str">
        <f t="shared" si="0"/>
        <v xml:space="preserve"> &lt;a class="new" target="_blank" href="https://www.slideshare.net/Blogging4jobs/mobile-recruiting-best-practices"&gt;&lt;img title="Join coinpayu to earn!" alt="coinpayu"  src="https://cdn.slidesharecdn.com/ss_thumbnails/mobile-recruiting-best-practices-2016-realmatch-160126124302-thumbnail.jpg?width=560&amp;fit=bounds"&gt;&lt;span class="new_title"&gt;Mobile Recruiting Best Practices by Workology&lt;/span&gt; &lt;/a&gt;</v>
      </c>
    </row>
    <row r="21" spans="1:8" x14ac:dyDescent="0.25">
      <c r="A21" s="1" t="s">
        <v>1491</v>
      </c>
      <c r="B21" s="4" t="s">
        <v>1536</v>
      </c>
      <c r="C21" s="1" t="s">
        <v>1492</v>
      </c>
      <c r="D21" s="1" t="s">
        <v>1537</v>
      </c>
      <c r="E21" s="1" t="s">
        <v>1493</v>
      </c>
      <c r="F21" s="4" t="s">
        <v>1795</v>
      </c>
      <c r="G21" s="1" t="s">
        <v>1490</v>
      </c>
      <c r="H21" s="1" t="str">
        <f t="shared" si="0"/>
        <v xml:space="preserve"> &lt;a class="new" target="_blank" href="https://www.slideshare.net/mmikowska/the-best-of-mobile-marketing-2015"&gt;&lt;img title="Join coinpayu to earn!" alt="coinpayu"  src="https://cdn.slidesharecdn.com/ss_thumbnails/thebestofmobilemarketing2015-160125203626-thumbnail.jpg?width=560&amp;fit=bounds"&gt;&lt;span class="new_title"&gt;The best of mobile marketing 2015 by Monika Mikowska&lt;/span&gt; &lt;/a&gt;</v>
      </c>
    </row>
    <row r="22" spans="1:8" x14ac:dyDescent="0.25">
      <c r="A22" s="1" t="s">
        <v>1491</v>
      </c>
      <c r="B22" s="4" t="s">
        <v>1538</v>
      </c>
      <c r="C22" s="1" t="s">
        <v>1492</v>
      </c>
      <c r="D22" s="1" t="s">
        <v>1539</v>
      </c>
      <c r="E22" s="1" t="s">
        <v>1493</v>
      </c>
      <c r="F22" s="4" t="s">
        <v>1796</v>
      </c>
      <c r="G22" s="1" t="s">
        <v>1490</v>
      </c>
      <c r="H22" s="1" t="str">
        <f t="shared" si="0"/>
        <v xml:space="preserve"> &lt;a class="new" target="_blank" href="https://www.slideshare.net/EdithYeung/mobile-investment-outlook-2016-edith-yeung"&gt;&lt;img title="Join coinpayu to earn!" alt="coinpayu"  src="https://cdn.slidesharecdn.com/ss_thumbnails/mobileinvestmentoutlook2016-edithyeung-january2016-160123040255-thumbnail.jpg?width=560&amp;fit=bounds"&gt;&lt;span class="new_title"&gt;Mobile Investment Outlook 2016  - Edith Yeung by Edith Yeung&lt;/span&gt; &lt;/a&gt;</v>
      </c>
    </row>
    <row r="23" spans="1:8" x14ac:dyDescent="0.25">
      <c r="A23" s="1" t="s">
        <v>1491</v>
      </c>
      <c r="B23" s="4" t="s">
        <v>1540</v>
      </c>
      <c r="C23" s="1" t="s">
        <v>1492</v>
      </c>
      <c r="D23" s="1" t="s">
        <v>1541</v>
      </c>
      <c r="E23" s="1" t="s">
        <v>1493</v>
      </c>
      <c r="F23" s="4" t="s">
        <v>1797</v>
      </c>
      <c r="G23" s="1" t="s">
        <v>1490</v>
      </c>
      <c r="H23" s="1" t="str">
        <f t="shared" si="0"/>
        <v xml:space="preserve"> &lt;a class="new" target="_blank" href="https://www.slideshare.net/Blogging4jobs/why-mobile-is-essential-in-tech-recruiting"&gt;&lt;img title="Join coinpayu to earn!" alt="coinpayu"  src="https://cdn.slidesharecdn.com/ss_thumbnails/mobile-recruiting-presentation-2016-160121163447-thumbnail.jpg?width=560&amp;fit=bounds"&gt;&lt;span class="new_title"&gt;Why Mobile is Essential in Tech Recruiting  by Workology&lt;/span&gt; &lt;/a&gt;</v>
      </c>
    </row>
    <row r="24" spans="1:8" x14ac:dyDescent="0.25">
      <c r="A24" s="1" t="s">
        <v>1491</v>
      </c>
      <c r="B24" s="4" t="s">
        <v>1542</v>
      </c>
      <c r="C24" s="1" t="s">
        <v>1492</v>
      </c>
      <c r="D24" s="1" t="s">
        <v>1543</v>
      </c>
      <c r="E24" s="1" t="s">
        <v>1493</v>
      </c>
      <c r="F24" s="4" t="s">
        <v>1798</v>
      </c>
      <c r="G24" s="1" t="s">
        <v>1490</v>
      </c>
      <c r="H24" s="1" t="str">
        <f t="shared" si="0"/>
        <v xml:space="preserve"> &lt;a class="new" target="_blank" href="https://www.slideshare.net/GGVCapital/ggv-capital-mobile-trends-review"&gt;&lt;img title="Join coinpayu to earn!" alt="coinpayu"  src="https://cdn.slidesharecdn.com/ss_thumbnails/ggvpovmobiletrends-160112231333-thumbnail.jpg?width=560&amp;fit=bounds"&gt;&lt;span class="new_title"&gt;GGV Capital Mobile Trends Review by GGV Capital&lt;/span&gt; &lt;/a&gt;</v>
      </c>
    </row>
    <row r="25" spans="1:8" x14ac:dyDescent="0.25">
      <c r="A25" s="1" t="s">
        <v>1491</v>
      </c>
      <c r="B25" s="4" t="s">
        <v>1544</v>
      </c>
      <c r="C25" s="1" t="s">
        <v>1492</v>
      </c>
      <c r="D25" s="1" t="s">
        <v>1545</v>
      </c>
      <c r="E25" s="1" t="s">
        <v>1493</v>
      </c>
      <c r="F25" s="4" t="s">
        <v>1799</v>
      </c>
      <c r="G25" s="1" t="s">
        <v>1490</v>
      </c>
      <c r="H25" s="1" t="str">
        <f t="shared" si="0"/>
        <v xml:space="preserve"> &lt;a class="new" target="_blank" href="https://www.slideshare.net/InfoQ/scaling-uber"&gt;&lt;img title="Join coinpayu to earn!" alt="coinpayu"  src="https://cdn.slidesharecdn.com/ss_thumbnails/untitled-160111091757-thumbnail.jpg?width=560&amp;fit=bounds"&gt;&lt;span class="new_title"&gt;Scaling Uber by C4Media&lt;/span&gt; &lt;/a&gt;</v>
      </c>
    </row>
    <row r="26" spans="1:8" x14ac:dyDescent="0.25">
      <c r="A26" s="1" t="s">
        <v>1491</v>
      </c>
      <c r="B26" s="4" t="s">
        <v>1546</v>
      </c>
      <c r="C26" s="1" t="s">
        <v>1492</v>
      </c>
      <c r="D26" s="1" t="s">
        <v>1547</v>
      </c>
      <c r="E26" s="1" t="s">
        <v>1493</v>
      </c>
      <c r="F26" s="4" t="s">
        <v>1800</v>
      </c>
      <c r="G26" s="1" t="s">
        <v>1490</v>
      </c>
      <c r="H26" s="1" t="str">
        <f t="shared" si="0"/>
        <v xml:space="preserve"> &lt;a class="new" target="_blank" href="https://www.slideshare.net/goldengekko/dmi-top-10-mobile-trends-2016"&gt;&lt;img title="Join coinpayu to earn!" alt="coinpayu"  src="https://cdn.slidesharecdn.com/ss_thumbnails/dmitop10mobiletrends2016-151214122650-thumbnail.jpg?width=560&amp;fit=bounds"&gt;&lt;span class="new_title"&gt;Top 10 Trends for Winners in Mobile 2016 by DMI&lt;/span&gt; &lt;/a&gt;</v>
      </c>
    </row>
    <row r="27" spans="1:8" x14ac:dyDescent="0.25">
      <c r="A27" s="1" t="s">
        <v>1491</v>
      </c>
      <c r="B27" s="4" t="s">
        <v>1548</v>
      </c>
      <c r="C27" s="1" t="s">
        <v>1492</v>
      </c>
      <c r="D27" s="1" t="s">
        <v>1549</v>
      </c>
      <c r="E27" s="1" t="s">
        <v>1493</v>
      </c>
      <c r="F27" s="4" t="s">
        <v>1801</v>
      </c>
      <c r="G27" s="1" t="s">
        <v>1490</v>
      </c>
      <c r="H27" s="1" t="str">
        <f t="shared" si="0"/>
        <v xml:space="preserve"> &lt;a class="new" target="_blank" href="https://www.slideshare.net/EdithYeung/mobile-is-eating-the-world-by-edith-yeung"&gt;&lt;img title="Join coinpayu to earn!" alt="coinpayu"  src="https://cdn.slidesharecdn.com/ss_thumbnails/mobileiseatingtheworld-november2015-151212134115-thumbnail.jpg?width=560&amp;fit=bounds"&gt;&lt;span class="new_title"&gt;Messaging is Eating the World (by Edith Yeung) by Edith Yeung&lt;/span&gt; &lt;/a&gt;</v>
      </c>
    </row>
    <row r="28" spans="1:8" x14ac:dyDescent="0.25">
      <c r="A28" s="1" t="s">
        <v>1491</v>
      </c>
      <c r="B28" s="4" t="s">
        <v>1550</v>
      </c>
      <c r="C28" s="1" t="s">
        <v>1492</v>
      </c>
      <c r="D28" s="1" t="s">
        <v>1551</v>
      </c>
      <c r="E28" s="1" t="s">
        <v>1493</v>
      </c>
      <c r="F28" s="4" t="s">
        <v>1802</v>
      </c>
      <c r="G28" s="1" t="s">
        <v>1490</v>
      </c>
      <c r="H28" s="1" t="str">
        <f t="shared" si="0"/>
        <v xml:space="preserve"> &lt;a class="new" target="_blank" href="https://www.slideshare.net/joshclark/significant-glances-meaningful-interaction-on-the-wrist-56064946"&gt;&lt;img title="Join coinpayu to earn!" alt="coinpayu"  src="https://cdn.slidesharecdn.com/ss_thumbnails/apple-watch-151211191756-thumbnail.jpg?width=560&amp;fit=bounds"&gt;&lt;span class="new_title"&gt;Significant Glances: Meaningful Interaction on the Wrist by Josh Clark&lt;/span&gt; &lt;/a&gt;</v>
      </c>
    </row>
    <row r="29" spans="1:8" x14ac:dyDescent="0.25">
      <c r="A29" s="1" t="s">
        <v>1491</v>
      </c>
      <c r="B29" s="4" t="s">
        <v>1552</v>
      </c>
      <c r="C29" s="1" t="s">
        <v>1492</v>
      </c>
      <c r="D29" s="1" t="s">
        <v>1553</v>
      </c>
      <c r="E29" s="1" t="s">
        <v>1493</v>
      </c>
      <c r="F29" s="4" t="s">
        <v>1803</v>
      </c>
      <c r="G29" s="1" t="s">
        <v>1490</v>
      </c>
      <c r="H29" s="1" t="str">
        <f t="shared" si="0"/>
        <v xml:space="preserve"> &lt;a class="new" target="_blank" href="https://www.slideshare.net/SamsungBusinessUSA/seven-steps-to-an-effective-mobile-app-strategy"&gt;&lt;img title="Join coinpayu to earn!" alt="coinpayu"  src="https://cdn.slidesharecdn.com/ss_thumbnails/sevenstepstoaneffectivemobileappstrategy-151210164048-thumbnail.jpg?width=560&amp;fit=bounds"&gt;&lt;span class="new_title"&gt;Seven Steps to an Effective Mobile App Strategy by Samsung Business USA&lt;/span&gt; &lt;/a&gt;</v>
      </c>
    </row>
    <row r="30" spans="1:8" x14ac:dyDescent="0.25">
      <c r="A30" s="1" t="s">
        <v>1491</v>
      </c>
      <c r="B30" s="4" t="s">
        <v>1554</v>
      </c>
      <c r="C30" s="1" t="s">
        <v>1492</v>
      </c>
      <c r="D30" s="1" t="s">
        <v>1555</v>
      </c>
      <c r="E30" s="1" t="s">
        <v>1493</v>
      </c>
      <c r="F30" s="4" t="s">
        <v>1804</v>
      </c>
      <c r="G30" s="1" t="s">
        <v>1490</v>
      </c>
      <c r="H30" s="1" t="str">
        <f t="shared" si="0"/>
        <v xml:space="preserve"> &lt;a class="new" target="_blank" href="https://www.slideshare.net/INBOUND/joel-comm-the-live-streaming-revolution"&gt;&lt;img title="Join coinpayu to earn!" alt="coinpayu"  src="https://cdn.slidesharecdn.com/ss_thumbnails/joelcomm-inbound15-streamingvideo-151209213746-lva1-app6891-thumbnail.jpg?width=560&amp;fit=bounds"&gt;&lt;span class="new_title"&gt;Joel Comm - The Live Streaming Revolution by INBOUND&lt;/span&gt; &lt;/a&gt;</v>
      </c>
    </row>
    <row r="31" spans="1:8" x14ac:dyDescent="0.25">
      <c r="A31" s="1" t="s">
        <v>1491</v>
      </c>
      <c r="B31" s="4" t="s">
        <v>1556</v>
      </c>
      <c r="C31" s="1" t="s">
        <v>1492</v>
      </c>
      <c r="D31" s="1" t="s">
        <v>1557</v>
      </c>
      <c r="E31" s="1" t="s">
        <v>1493</v>
      </c>
      <c r="F31" s="4" t="s">
        <v>1805</v>
      </c>
      <c r="G31" s="1" t="s">
        <v>1490</v>
      </c>
      <c r="H31" s="1" t="str">
        <f t="shared" si="0"/>
        <v xml:space="preserve"> &lt;a class="new" target="_blank" href="https://www.slideshare.net/generalassembly/the-android-revolution-55937852"&gt;&lt;img title="Join coinpayu to earn!" alt="coinpayu"  src="https://cdn.slidesharecdn.com/ss_thumbnails/androidrevfinalv03-151208151929-lva1-app6892-thumbnail.jpg?width=560&amp;fit=bounds"&gt;&lt;span class="new_title"&gt;The Android Revolution  by General Assembly&lt;/span&gt; &lt;/a&gt;</v>
      </c>
    </row>
    <row r="32" spans="1:8" x14ac:dyDescent="0.25">
      <c r="A32" s="1" t="s">
        <v>1491</v>
      </c>
      <c r="B32" s="4" t="s">
        <v>1558</v>
      </c>
      <c r="C32" s="1" t="s">
        <v>1492</v>
      </c>
      <c r="D32" s="1" t="s">
        <v>1559</v>
      </c>
      <c r="E32" s="1" t="s">
        <v>1493</v>
      </c>
      <c r="F32" s="4" t="s">
        <v>1806</v>
      </c>
      <c r="G32" s="1" t="s">
        <v>1490</v>
      </c>
      <c r="H32" s="1" t="str">
        <f t="shared" si="0"/>
        <v xml:space="preserve"> &lt;a class="new" target="_blank" href="https://www.slideshare.net/techahead/10-mobile-app-design-principles"&gt;&lt;img title="Join coinpayu to earn!" alt="coinpayu"  src="https://cdn.slidesharecdn.com/ss_thumbnails/slidesharemobileappdesignprinciples-151208130710-lva1-app6891-thumbnail.jpg?width=560&amp;fit=bounds"&gt;&lt;span class="new_title"&gt;10 Principles of Mobile App Design by TechAhead&lt;/span&gt; &lt;/a&gt;</v>
      </c>
    </row>
    <row r="33" spans="1:8" x14ac:dyDescent="0.25">
      <c r="A33" s="1" t="s">
        <v>1491</v>
      </c>
      <c r="B33" s="4" t="s">
        <v>1560</v>
      </c>
      <c r="C33" s="1" t="s">
        <v>1492</v>
      </c>
      <c r="D33" s="1" t="s">
        <v>1561</v>
      </c>
      <c r="E33" s="1" t="s">
        <v>1493</v>
      </c>
      <c r="F33" s="4" t="s">
        <v>1807</v>
      </c>
      <c r="G33" s="1" t="s">
        <v>1490</v>
      </c>
      <c r="H33" s="1" t="str">
        <f t="shared" si="0"/>
        <v xml:space="preserve"> &lt;a class="new" target="_blank" href="https://www.slideshare.net/500startups/premoney-mena-2015-500-startups-edith-yeungdialing-up-returns-the-complete-guide-to-evaluating-mobile-startups"&gt;&lt;img title="Join coinpayu to earn!" alt="coinpayu"  src="https://cdn.slidesharecdn.com/ss_thumbnails/9tvo10l4sgarrdahzkbi-signature-509e38f284dbf8630eeef5bb32c36869f5e8403f416289e9cfa4c580d0b84e6c-poli-151206033113-lva1-app6892-thumbnail.jpg?width=560&amp;fit=bounds"&gt;&lt;span class="new_title"&gt;[PreMoney MENA 2015] 500 Startups &gt;&gt; Edith Yeung,"		DIALING UP RETURNS: The Complete Guide To Evaluating Mobile Startups" by 500 Startups&lt;/span&gt; &lt;/a&gt;</v>
      </c>
    </row>
    <row r="34" spans="1:8" x14ac:dyDescent="0.25">
      <c r="A34" s="1" t="s">
        <v>1491</v>
      </c>
      <c r="B34" s="4" t="s">
        <v>1562</v>
      </c>
      <c r="C34" s="1" t="s">
        <v>1492</v>
      </c>
      <c r="D34" s="1" t="s">
        <v>1563</v>
      </c>
      <c r="E34" s="1" t="s">
        <v>1493</v>
      </c>
      <c r="F34" s="4" t="s">
        <v>1808</v>
      </c>
      <c r="G34" s="1" t="s">
        <v>1490</v>
      </c>
      <c r="H34" s="1" t="str">
        <f t="shared" si="0"/>
        <v xml:space="preserve"> &lt;a class="new" target="_blank" href="https://www.slideshare.net/LogoDesignGuru/identifying-millennial-buying-behavior-on-mobile"&gt;&lt;img title="Join coinpayu to earn!" alt="coinpayu"  src="https://cdn.slidesharecdn.com/ss_thumbnails/identifyingbuyingbehavioronmobileforthenewyear-151203125110-lva1-app6892-thumbnail.jpg?width=560&amp;fit=bounds"&gt;&lt;span class="new_title"&gt;Identifying Millennial Buying Behavior On Mobile  by Logo Design Guru&lt;/span&gt; &lt;/a&gt;</v>
      </c>
    </row>
    <row r="35" spans="1:8" x14ac:dyDescent="0.25">
      <c r="A35" s="1" t="s">
        <v>1491</v>
      </c>
      <c r="B35" s="4" t="s">
        <v>1564</v>
      </c>
      <c r="C35" s="1" t="s">
        <v>1492</v>
      </c>
      <c r="D35" s="1" t="s">
        <v>1565</v>
      </c>
      <c r="E35" s="1" t="s">
        <v>1493</v>
      </c>
      <c r="F35" s="4" t="s">
        <v>1809</v>
      </c>
      <c r="G35" s="1" t="s">
        <v>1490</v>
      </c>
      <c r="H35" s="1" t="str">
        <f t="shared" si="0"/>
        <v xml:space="preserve"> &lt;a class="new" target="_blank" href="https://www.slideshare.net/BloombergLP/apps-help-restaurants-counter-social-media-shifts"&gt;&lt;img title="Join coinpayu to earn!" alt="coinpayu"  src="https://cdn.slidesharecdn.com/ss_thumbnails/restaurantsocialslideshare-151202182156-lva1-app6892-thumbnail.jpg?width=560&amp;fit=bounds"&gt;&lt;span class="new_title"&gt;Apps help restaurants counter social media shifts by Bloomberg LP&lt;/span&gt; &lt;/a&gt;</v>
      </c>
    </row>
    <row r="36" spans="1:8" x14ac:dyDescent="0.25">
      <c r="A36" s="1" t="s">
        <v>1491</v>
      </c>
      <c r="B36" s="4" t="s">
        <v>1566</v>
      </c>
      <c r="C36" s="1" t="s">
        <v>1492</v>
      </c>
      <c r="D36" s="1" t="s">
        <v>1568</v>
      </c>
      <c r="E36" s="1" t="s">
        <v>1493</v>
      </c>
      <c r="F36" s="4" t="s">
        <v>1567</v>
      </c>
      <c r="G36" s="1" t="s">
        <v>1490</v>
      </c>
      <c r="H36" s="1" t="str">
        <f t="shared" si="0"/>
        <v xml:space="preserve"> &lt;a class="new" target="_blank" href="https://www.slideshare.net/LaurenHand/best-practices-for-push-notifications"&gt;&lt;img title="Join coinpayu to earn!" alt="coinpayu"  src="https://cdn.slidesharecdn.com/ss_thumbnails/clientcollateral-pnbestpractices-151130215526-lva1-app6891-thumbnail.jpg?width=560&amp;fit=bounds"&gt;&lt;span class="new_title"&gt;Best Practices for Push Notifications by GPShopper, a Synchrony solution&lt;/span&gt; &lt;/a&gt;</v>
      </c>
    </row>
    <row r="37" spans="1:8" x14ac:dyDescent="0.25">
      <c r="A37" s="1" t="s">
        <v>1491</v>
      </c>
      <c r="B37" s="4" t="s">
        <v>1569</v>
      </c>
      <c r="C37" s="1" t="s">
        <v>1492</v>
      </c>
      <c r="D37" s="1" t="s">
        <v>1570</v>
      </c>
      <c r="E37" s="1" t="s">
        <v>1493</v>
      </c>
      <c r="F37" s="4" t="s">
        <v>1810</v>
      </c>
      <c r="G37" s="1" t="s">
        <v>1490</v>
      </c>
      <c r="H37" s="1" t="str">
        <f t="shared" si="0"/>
        <v xml:space="preserve"> &lt;a class="new" target="_blank" href="https://www.slideshare.net/socialogilvy/15-years-of-shazam"&gt;&lt;img title="Join coinpayu to earn!" alt="coinpayu"  src="https://cdn.slidesharecdn.com/ss_thumbnails/wefkfwcttbcvh8t8uk6z-signature-643396c55095f1a937ef29d52f3d6d3551ec0046dbccc98fe04130e9f516f749-poli-151130210047-lva1-app6892-thumbnail.jpg?width=560&amp;fit=bounds"&gt;&lt;span class="new_title"&gt;15 years of Shazam by Ogilvy Consulting&lt;/span&gt; &lt;/a&gt;</v>
      </c>
    </row>
    <row r="38" spans="1:8" x14ac:dyDescent="0.25">
      <c r="A38" s="1" t="s">
        <v>1491</v>
      </c>
      <c r="B38" s="4" t="s">
        <v>1571</v>
      </c>
      <c r="C38" s="1" t="s">
        <v>1492</v>
      </c>
      <c r="D38" s="1" t="s">
        <v>1572</v>
      </c>
      <c r="E38" s="1" t="s">
        <v>1493</v>
      </c>
      <c r="F38" s="4" t="s">
        <v>1811</v>
      </c>
      <c r="G38" s="1" t="s">
        <v>1490</v>
      </c>
      <c r="H38" s="1" t="str">
        <f t="shared" si="0"/>
        <v xml:space="preserve"> &lt;a class="new" target="_blank" href="https://www.slideshare.net/Localytics/driving-app-growth-how-to-leverage-firstparty-data-to-drive-a-360-degree-app-marketing-strategy-across-the-lifecycle"&gt;&lt;img title="Join coinpayu to earn!" alt="coinpayu"  src="https://cdn.slidesharecdn.com/ss_thumbnails/appgrowth-applift-localytics-1-151130204748-lva1-app6891-thumbnail.jpg?width=560&amp;fit=bounds"&gt;&lt;span class="new_title"&gt;Driving App Growth: How to Leverage First-Party Data to Drive a 360 Degree App Marketing Strategy Across the Lifecycle  by Localytics&lt;/span&gt; &lt;/a&gt;</v>
      </c>
    </row>
    <row r="39" spans="1:8" x14ac:dyDescent="0.25">
      <c r="A39" s="1" t="s">
        <v>1491</v>
      </c>
      <c r="B39" s="4" t="s">
        <v>1573</v>
      </c>
      <c r="C39" s="1" t="s">
        <v>1492</v>
      </c>
      <c r="D39" s="1" t="s">
        <v>1574</v>
      </c>
      <c r="E39" s="1" t="s">
        <v>1493</v>
      </c>
      <c r="F39" s="4" t="s">
        <v>1812</v>
      </c>
      <c r="G39" s="1" t="s">
        <v>1490</v>
      </c>
      <c r="H39" s="1" t="str">
        <f t="shared" si="0"/>
        <v xml:space="preserve"> &lt;a class="new" target="_blank" href="https://www.slideshare.net/inmobi/decoding-monetization-methods-for-dating-apps"&gt;&lt;img title="Join coinpayu to earn!" alt="coinpayu"  src="https://cdn.slidesharecdn.com/ss_thumbnails/decodingmonetizationmethodsfordatingappsinmobi1-151123132141-lva1-app6892-thumbnail.jpg?width=560&amp;fit=bounds"&gt;&lt;span class="new_title"&gt;Decoding Monetization Methods For Dating Apps by InMobi&lt;/span&gt; &lt;/a&gt;</v>
      </c>
    </row>
    <row r="40" spans="1:8" x14ac:dyDescent="0.25">
      <c r="A40" s="1" t="s">
        <v>1491</v>
      </c>
      <c r="B40" s="4" t="s">
        <v>1575</v>
      </c>
      <c r="C40" s="1" t="s">
        <v>1492</v>
      </c>
      <c r="D40" s="1" t="s">
        <v>1576</v>
      </c>
      <c r="E40" s="1" t="s">
        <v>1493</v>
      </c>
      <c r="F40" s="4" t="s">
        <v>1813</v>
      </c>
      <c r="G40" s="1" t="s">
        <v>1490</v>
      </c>
      <c r="H40" s="1" t="str">
        <f t="shared" si="0"/>
        <v xml:space="preserve"> &lt;a class="new" target="_blank" href="https://www.slideshare.net/ShellTerrell/mobile-research-notetaking-and-bookmarking"&gt;&lt;img title="Join coinpayu to earn!" alt="coinpayu"  src="https://cdn.slidesharecdn.com/ss_thumbnails/notetakingimages-151118091634-lva1-app6891-thumbnail.jpg?width=560&amp;fit=bounds"&gt;&lt;span class="new_title"&gt;Mobile Research: Notetaking and Bookmarking by Shelly Sanchez Terrell&lt;/span&gt; &lt;/a&gt;</v>
      </c>
    </row>
    <row r="41" spans="1:8" x14ac:dyDescent="0.25">
      <c r="A41" s="1" t="s">
        <v>1491</v>
      </c>
      <c r="B41" s="4" t="s">
        <v>1577</v>
      </c>
      <c r="C41" s="1" t="s">
        <v>1492</v>
      </c>
      <c r="D41" s="1" t="s">
        <v>1578</v>
      </c>
      <c r="E41" s="1" t="s">
        <v>1493</v>
      </c>
      <c r="F41" s="4" t="s">
        <v>1814</v>
      </c>
      <c r="G41" s="1" t="s">
        <v>1490</v>
      </c>
      <c r="H41" s="1" t="str">
        <f t="shared" si="0"/>
        <v xml:space="preserve"> &lt;a class="new" target="_blank" href="https://www.slideshare.net/ErinSagin/dominating-mobile-ppc-3-tips-to-3x-your-conversions-smx-east"&gt;&lt;img title="Join coinpayu to earn!" alt="coinpayu"  src="https://cdn.slidesharecdn.com/ss_thumbnails/newestpresentation-151117010541-lva1-app6892-thumbnail.jpg?width=560&amp;fit=bounds"&gt;&lt;span class="new_title"&gt;Dominating Mobile PPC: 3 Tips to 3X Your Conversions - SMX East by Erin Sagin&lt;/span&gt; &lt;/a&gt;</v>
      </c>
    </row>
    <row r="42" spans="1:8" x14ac:dyDescent="0.25">
      <c r="A42" s="1" t="s">
        <v>1491</v>
      </c>
      <c r="B42" s="4" t="s">
        <v>1579</v>
      </c>
      <c r="C42" s="1" t="s">
        <v>1492</v>
      </c>
      <c r="D42" s="1" t="s">
        <v>1581</v>
      </c>
      <c r="E42" s="1" t="s">
        <v>1493</v>
      </c>
      <c r="F42" s="4" t="s">
        <v>1580</v>
      </c>
      <c r="G42" s="1" t="s">
        <v>1490</v>
      </c>
      <c r="H42" s="1" t="str">
        <f t="shared" si="0"/>
        <v xml:space="preserve"> &lt;a class="new" target="_blank" href="https://www.slideshare.net/Vebology/state-of-mobile-commerce-in-uk-2015"&gt;&lt;img title="Join coinpayu to earn!" alt="coinpayu"  src="https://cdn.slidesharecdn.com/ss_thumbnails/stateofmobilecommerceinuk2015-151113144834-lva1-app6892-thumbnail.jpg?width=560&amp;fit=bounds"&gt;&lt;span class="new_title"&gt;State of Mobile Commerce in UK 2015 by Vebology Store&lt;/span&gt; &lt;/a&gt;</v>
      </c>
    </row>
    <row r="43" spans="1:8" x14ac:dyDescent="0.25">
      <c r="A43" s="1" t="s">
        <v>1491</v>
      </c>
      <c r="B43" s="4" t="s">
        <v>1582</v>
      </c>
      <c r="C43" s="1" t="s">
        <v>1492</v>
      </c>
      <c r="D43" s="1" t="s">
        <v>1583</v>
      </c>
      <c r="E43" s="1" t="s">
        <v>1493</v>
      </c>
      <c r="F43" s="4" t="s">
        <v>1815</v>
      </c>
      <c r="G43" s="1" t="s">
        <v>1490</v>
      </c>
      <c r="H43" s="1" t="str">
        <f t="shared" si="0"/>
        <v xml:space="preserve"> &lt;a class="new" target="_blank" href="https://www.slideshare.net/natashatherobot/protocoloriented-mvvm"&gt;&lt;img title="Join coinpayu to earn!" alt="coinpayu"  src="https://cdn.slidesharecdn.com/ss_thumbnails/pomvvm-151110092655-lva1-app6891-thumbnail.jpg?width=560&amp;fit=bounds"&gt;&lt;span class="new_title"&gt;Protocol-Oriented MVVM by Natasha Murashev&lt;/span&gt; &lt;/a&gt;</v>
      </c>
    </row>
    <row r="44" spans="1:8" x14ac:dyDescent="0.25">
      <c r="A44" s="1" t="s">
        <v>1491</v>
      </c>
      <c r="B44" s="4" t="s">
        <v>1584</v>
      </c>
      <c r="C44" s="1" t="s">
        <v>1492</v>
      </c>
      <c r="D44" s="1" t="s">
        <v>1585</v>
      </c>
      <c r="E44" s="1" t="s">
        <v>1493</v>
      </c>
      <c r="F44" s="4" t="s">
        <v>1816</v>
      </c>
      <c r="G44" s="1" t="s">
        <v>1490</v>
      </c>
      <c r="H44" s="1" t="str">
        <f t="shared" si="0"/>
        <v xml:space="preserve"> &lt;a class="new" target="_blank" href="https://www.slideshare.net/CELLULAR_GmbH/cellulars-apple-tv-guidelines"&gt;&lt;img title="Join coinpayu to earn!" alt="coinpayu"  src="https://cdn.slidesharecdn.com/ss_thumbnails/appletvguidelinesfinal-151106105841-lva1-app6892-thumbnail.jpg?width=560&amp;fit=bounds"&gt;&lt;span class="new_title"&gt;Apple TV UX: 8 Guidelines for greater Apps  by CELLULAR&lt;/span&gt; &lt;/a&gt;</v>
      </c>
    </row>
    <row r="45" spans="1:8" x14ac:dyDescent="0.25">
      <c r="A45" s="1" t="s">
        <v>1491</v>
      </c>
      <c r="B45" s="4" t="s">
        <v>1586</v>
      </c>
      <c r="C45" s="1" t="s">
        <v>1492</v>
      </c>
      <c r="D45" s="1" t="s">
        <v>1587</v>
      </c>
      <c r="E45" s="1" t="s">
        <v>1493</v>
      </c>
      <c r="F45" s="4" t="s">
        <v>1817</v>
      </c>
      <c r="G45" s="1" t="s">
        <v>1490</v>
      </c>
      <c r="H45" s="1" t="str">
        <f t="shared" si="0"/>
        <v xml:space="preserve"> &lt;a class="new" target="_blank" href="https://www.slideshare.net/LookoutInc/5-ways-to-protect-your-mobile-security"&gt;&lt;img title="Join coinpayu to earn!" alt="coinpayu"  src="https://cdn.slidesharecdn.com/ss_thumbnails/cybersecurityawareness-151104180756-lva1-app6892-thumbnail.jpg?width=560&amp;fit=bounds"&gt;&lt;span class="new_title"&gt;5 Ways to Protect your Mobile Security by Lookout&lt;/span&gt; &lt;/a&gt;</v>
      </c>
    </row>
    <row r="46" spans="1:8" x14ac:dyDescent="0.25">
      <c r="A46" s="1" t="s">
        <v>1491</v>
      </c>
      <c r="B46" s="4" t="s">
        <v>1588</v>
      </c>
      <c r="C46" s="1" t="s">
        <v>1492</v>
      </c>
      <c r="D46" s="1" t="s">
        <v>1589</v>
      </c>
      <c r="E46" s="1" t="s">
        <v>1493</v>
      </c>
      <c r="F46" s="4" t="s">
        <v>1818</v>
      </c>
      <c r="G46" s="1" t="s">
        <v>1490</v>
      </c>
      <c r="H46" s="1" t="str">
        <f t="shared" si="0"/>
        <v xml:space="preserve"> &lt;a class="new" target="_blank" href="https://www.slideshare.net/victorhernandez9/mobile-me-programming-for-wearables"&gt;&lt;img title="Join coinpayu to earn!" alt="coinpayu"  src="https://cdn.slidesharecdn.com/ss_thumbnails/mobileme-151029161059-lva1-app6891-thumbnail.jpg?width=560&amp;fit=bounds"&gt;&lt;span class="new_title"&gt;Mobile Me: Programming for Wearables by Victor Hernandez&lt;/span&gt; &lt;/a&gt;</v>
      </c>
    </row>
    <row r="47" spans="1:8" x14ac:dyDescent="0.25">
      <c r="A47" s="1" t="s">
        <v>1491</v>
      </c>
      <c r="B47" s="4" t="s">
        <v>1590</v>
      </c>
      <c r="C47" s="1" t="s">
        <v>1492</v>
      </c>
      <c r="D47" s="1" t="s">
        <v>1591</v>
      </c>
      <c r="E47" s="1" t="s">
        <v>1493</v>
      </c>
      <c r="F47" s="4" t="s">
        <v>1819</v>
      </c>
      <c r="G47" s="1" t="s">
        <v>1490</v>
      </c>
      <c r="H47" s="1" t="str">
        <f t="shared" si="0"/>
        <v xml:space="preserve"> &lt;a class="new" target="_blank" href="https://www.slideshare.net/AndyDavies/making-mobile-sites-faster-54376499"&gt;&lt;img title="Join coinpayu to earn!" alt="coinpayu"  src="https://cdn.slidesharecdn.com/ss_thumbnails/makingmobilesitesfaster-151026101720-lva1-app6891-thumbnail.jpg?width=560&amp;fit=bounds"&gt;&lt;span class="new_title"&gt;Making Mobile Sites Faster by Andy Davies&lt;/span&gt; &lt;/a&gt;</v>
      </c>
    </row>
    <row r="48" spans="1:8" x14ac:dyDescent="0.25">
      <c r="A48" s="1" t="s">
        <v>1491</v>
      </c>
      <c r="B48" s="4" t="s">
        <v>1592</v>
      </c>
      <c r="C48" s="1" t="s">
        <v>1492</v>
      </c>
      <c r="D48" s="1" t="s">
        <v>1593</v>
      </c>
      <c r="E48" s="1" t="s">
        <v>1493</v>
      </c>
      <c r="F48" s="4" t="s">
        <v>1820</v>
      </c>
      <c r="G48" s="1" t="s">
        <v>1490</v>
      </c>
      <c r="H48" s="1" t="str">
        <f t="shared" si="0"/>
        <v xml:space="preserve"> &lt;a class="new" target="_blank" href="https://www.slideshare.net/FollowAnalytics/mapping-the-omnichannel-customer-journey-how-to-engage-people-in-a-mobile-first-world"&gt;&lt;img title="Join coinpayu to earn!" alt="coinpayu"  src="https://cdn.slidesharecdn.com/ss_thumbnails/followanalyticsforresterset2-151022164709-lva1-app6891-thumbnail.jpg?width=560&amp;fit=bounds"&gt;&lt;span class="new_title"&gt;Mapping the Omnichannel Customer Journey: How to Engage People in a Mobile First World by FollowAnalytics&lt;/span&gt; &lt;/a&gt;</v>
      </c>
    </row>
    <row r="49" spans="1:8" x14ac:dyDescent="0.25">
      <c r="A49" s="1" t="s">
        <v>1491</v>
      </c>
      <c r="B49" s="4" t="s">
        <v>1594</v>
      </c>
      <c r="C49" s="1" t="s">
        <v>1492</v>
      </c>
      <c r="D49" s="1" t="s">
        <v>1595</v>
      </c>
      <c r="E49" s="1" t="s">
        <v>1493</v>
      </c>
      <c r="F49" s="4" t="s">
        <v>1821</v>
      </c>
      <c r="G49" s="1" t="s">
        <v>1490</v>
      </c>
      <c r="H49" s="1" t="str">
        <f t="shared" si="0"/>
        <v xml:space="preserve"> &lt;a class="new" target="_blank" href="https://www.slideshare.net/inmobi/the-future-of-brand-marketing-inapp-mobile-video"&gt;&lt;img title="Join coinpayu to earn!" alt="coinpayu"  src="https://cdn.slidesharecdn.com/ss_thumbnails/mmainmobiwebinar100615-151020091820-lva1-app6892-thumbnail.jpg?width=560&amp;fit=bounds"&gt;&lt;span class="new_title"&gt;The Future of Brand Marketing = In-App Mobile Video by InMobi&lt;/span&gt; &lt;/a&gt;</v>
      </c>
    </row>
    <row r="50" spans="1:8" x14ac:dyDescent="0.25">
      <c r="A50" s="1" t="s">
        <v>1491</v>
      </c>
      <c r="B50" s="4" t="s">
        <v>1596</v>
      </c>
      <c r="C50" s="1" t="s">
        <v>1492</v>
      </c>
      <c r="D50" s="1" t="s">
        <v>1597</v>
      </c>
      <c r="E50" s="1" t="s">
        <v>1493</v>
      </c>
      <c r="F50" s="4" t="s">
        <v>1822</v>
      </c>
      <c r="G50" s="1" t="s">
        <v>1490</v>
      </c>
      <c r="H50" s="1" t="str">
        <f t="shared" si="0"/>
        <v xml:space="preserve"> &lt;a class="new" target="_blank" href="https://www.slideshare.net/socialcops/building-for-the-next-billion-an-android-developers-guide"&gt;&lt;img title="Join coinpayu to earn!" alt="coinpayu"  src="https://cdn.slidesharecdn.com/ss_thumbnails/droidconpptrevised-151015172452-lva1-app6892-thumbnail.jpg?width=560&amp;fit=bounds"&gt;&lt;span class="new_title"&gt;Building for the Next Billion: An Android Developer's Guide by SocialCops&lt;/span&gt; &lt;/a&gt;</v>
      </c>
    </row>
    <row r="51" spans="1:8" x14ac:dyDescent="0.25">
      <c r="A51" s="1" t="s">
        <v>1491</v>
      </c>
      <c r="B51" s="4" t="s">
        <v>1598</v>
      </c>
      <c r="C51" s="1" t="s">
        <v>1492</v>
      </c>
      <c r="D51" s="1" t="s">
        <v>1599</v>
      </c>
      <c r="E51" s="1" t="s">
        <v>1493</v>
      </c>
      <c r="F51" s="4" t="s">
        <v>1823</v>
      </c>
      <c r="G51" s="1" t="s">
        <v>1490</v>
      </c>
      <c r="H51" s="1" t="str">
        <f t="shared" si="0"/>
        <v xml:space="preserve"> &lt;a class="new" target="_blank" href="https://www.slideshare.net/hamutsi/im-a-smartphone-addict"&gt;&lt;img title="Join coinpayu to earn!" alt="coinpayu"  src="https://cdn.slidesharecdn.com/ss_thumbnails/imasmartphoneaddict-151015163204-lva1-app6892-thumbnail.jpg?width=560&amp;fit=bounds"&gt;&lt;span class="new_title"&gt;I'm a smartphone addict by Lior Frenkel&lt;/span&gt; &lt;/a&gt;</v>
      </c>
    </row>
    <row r="52" spans="1:8" x14ac:dyDescent="0.25">
      <c r="A52" s="1" t="s">
        <v>1491</v>
      </c>
      <c r="B52" s="4" t="s">
        <v>1600</v>
      </c>
      <c r="C52" s="1" t="s">
        <v>1492</v>
      </c>
      <c r="D52" s="1" t="s">
        <v>1602</v>
      </c>
      <c r="E52" s="1" t="s">
        <v>1493</v>
      </c>
      <c r="F52" s="4" t="s">
        <v>1601</v>
      </c>
      <c r="G52" s="1" t="s">
        <v>1490</v>
      </c>
      <c r="H52" s="1" t="str">
        <f t="shared" si="0"/>
        <v xml:space="preserve"> &lt;a class="new" target="_blank" href="https://www.slideshare.net/EdithYeung/7-tips-for-scaling-mobile-users-in-china-what-can-we-learn-from-uber-launch-scale-october-2015"&gt;&lt;img title="Join coinpayu to earn!" alt="coinpayu"  src="https://cdn.slidesharecdn.com/ss_thumbnails/7tipsforscalingmobileusersinchina-151014134944-lva1-app6891-thumbnail.jpg?width=560&amp;fit=bounds"&gt;&lt;span class="new_title"&gt;7 Tips for Scaling Mobile Users in China. What can we learn from Uber @ Launch Scale - October 2015  by Edith Yeung&lt;/span&gt; &lt;/a&gt;</v>
      </c>
    </row>
    <row r="53" spans="1:8" x14ac:dyDescent="0.25">
      <c r="A53" s="1" t="s">
        <v>1491</v>
      </c>
      <c r="B53" s="4" t="s">
        <v>1603</v>
      </c>
      <c r="C53" s="1" t="s">
        <v>1492</v>
      </c>
      <c r="D53" s="1" t="s">
        <v>1604</v>
      </c>
      <c r="E53" s="1" t="s">
        <v>1493</v>
      </c>
      <c r="F53" s="4" t="s">
        <v>1824</v>
      </c>
      <c r="G53" s="1" t="s">
        <v>1490</v>
      </c>
      <c r="H53" s="1" t="str">
        <f t="shared" si="0"/>
        <v xml:space="preserve"> &lt;a class="new" target="_blank" href="https://www.slideshare.net/usersnap/mobile-first-how-to-approach-mobile-testing"&gt;&lt;img title="Join coinpayu to earn!" alt="coinpayu"  src="https://cdn.slidesharecdn.com/ss_thumbnails/mobile-first-how-to-approach-mobile-testing-responsive-web-design-151012135938-lva1-app6892-thumbnail.jpg?width=560&amp;fit=bounds"&gt;&lt;span class="new_title"&gt;Mobile First: How To Approach Mobile Testing! by Usersnap&lt;/span&gt; &lt;/a&gt;</v>
      </c>
    </row>
    <row r="54" spans="1:8" x14ac:dyDescent="0.25">
      <c r="A54" s="1" t="s">
        <v>1491</v>
      </c>
      <c r="B54" s="4" t="s">
        <v>1605</v>
      </c>
      <c r="C54" s="1" t="s">
        <v>1492</v>
      </c>
      <c r="D54" s="1" t="s">
        <v>1606</v>
      </c>
      <c r="E54" s="1" t="s">
        <v>1493</v>
      </c>
      <c r="F54" s="4" t="s">
        <v>1825</v>
      </c>
      <c r="G54" s="1" t="s">
        <v>1490</v>
      </c>
      <c r="H54" s="1" t="str">
        <f t="shared" si="0"/>
        <v xml:space="preserve"> &lt;a class="new" target="_blank" href="https://www.slideshare.net/TABInsights/8-things-uber-can-teach-you"&gt;&lt;img title="Join coinpayu to earn!" alt="coinpayu"  src="https://cdn.slidesharecdn.com/ss_thumbnails/tab8lessonsfromuber-151009083040-lva1-app6891-thumbnail.jpg?width=560&amp;fit=bounds"&gt;&lt;span class="new_title"&gt;8 Things Uber Can Teach You by The App Business&lt;/span&gt; &lt;/a&gt;</v>
      </c>
    </row>
    <row r="55" spans="1:8" x14ac:dyDescent="0.25">
      <c r="A55" s="1" t="s">
        <v>1491</v>
      </c>
      <c r="B55" s="4" t="s">
        <v>1607</v>
      </c>
      <c r="C55" s="1" t="s">
        <v>1492</v>
      </c>
      <c r="D55" s="1" t="s">
        <v>1608</v>
      </c>
      <c r="E55" s="1" t="s">
        <v>1493</v>
      </c>
      <c r="F55" s="4" t="s">
        <v>1826</v>
      </c>
      <c r="G55" s="1" t="s">
        <v>1490</v>
      </c>
      <c r="H55" s="1" t="str">
        <f t="shared" si="0"/>
        <v xml:space="preserve"> &lt;a class="new" target="_blank" href="https://www.slideshare.net/CynthiaJohnson2/tips-for-surviving-social-media-in-a-mobile-world"&gt;&lt;img title="Join coinpayu to earn!" alt="coinpayu"  src="https://cdn.slidesharecdn.com/ss_thumbnails/cjohnsonsocialmediainamobileworldpubconlasvegas2015-151007233014-lva1-app6891-thumbnail.jpg?width=560&amp;fit=bounds"&gt;&lt;span class="new_title"&gt;Tips for Surviving Social Media in a Mobile World by Cynthia Johnson&lt;/span&gt; &lt;/a&gt;</v>
      </c>
    </row>
    <row r="56" spans="1:8" x14ac:dyDescent="0.25">
      <c r="A56" s="1" t="s">
        <v>1491</v>
      </c>
      <c r="B56" s="4" t="s">
        <v>1609</v>
      </c>
      <c r="C56" s="1" t="s">
        <v>1492</v>
      </c>
      <c r="D56" s="1" t="s">
        <v>1610</v>
      </c>
      <c r="E56" s="1" t="s">
        <v>1493</v>
      </c>
      <c r="F56" s="4" t="s">
        <v>1827</v>
      </c>
      <c r="G56" s="1" t="s">
        <v>1490</v>
      </c>
      <c r="H56" s="1" t="str">
        <f t="shared" si="0"/>
        <v xml:space="preserve"> &lt;a class="new" target="_blank" href="https://www.slideshare.net/jjwu6266/introducing-apple-iphone-6s"&gt;&lt;img title="Join coinpayu to earn!" alt="coinpayu"  src="https://cdn.slidesharecdn.com/ss_thumbnails/appleiphone6s-151007134141-lva1-app6892-thumbnail.jpg?width=560&amp;fit=bounds"&gt;&lt;span class="new_title"&gt;Introducing Apple iPhone 6s by JJ Wu&lt;/span&gt; &lt;/a&gt;</v>
      </c>
    </row>
    <row r="57" spans="1:8" x14ac:dyDescent="0.25">
      <c r="A57" s="1" t="s">
        <v>1491</v>
      </c>
      <c r="B57" s="4" t="s">
        <v>1611</v>
      </c>
      <c r="C57" s="1" t="s">
        <v>1492</v>
      </c>
      <c r="D57" s="1" t="s">
        <v>1613</v>
      </c>
      <c r="E57" s="1" t="s">
        <v>1493</v>
      </c>
      <c r="F57" s="4" t="s">
        <v>1612</v>
      </c>
      <c r="G57" s="1" t="s">
        <v>1490</v>
      </c>
      <c r="H57" s="1" t="str">
        <f t="shared" si="0"/>
        <v xml:space="preserve"> &lt;a class="new" target="_blank" href="https://www.slideshare.net/IQGroup/nexus-6p-vs-iphone-6s-plus-infographic"&gt;&lt;img title="Join coinpayu to earn!" alt="coinpayu"  src="https://cdn.slidesharecdn.com/ss_thumbnails/iqtelecom-infographic-6pvs6splus-v0-151007090447-lva1-app6892-thumbnail.jpg?width=560&amp;fit=bounds"&gt;&lt;span class="new_title"&gt;Nexus 6P vs. iPhone 6s Plus (Infographic) by InterQuest Group&lt;/span&gt; &lt;/a&gt;</v>
      </c>
    </row>
    <row r="58" spans="1:8" x14ac:dyDescent="0.25">
      <c r="A58" s="1" t="s">
        <v>1491</v>
      </c>
      <c r="B58" s="4" t="s">
        <v>1614</v>
      </c>
      <c r="C58" s="1" t="s">
        <v>1492</v>
      </c>
      <c r="D58" s="1" t="s">
        <v>1615</v>
      </c>
      <c r="E58" s="1" t="s">
        <v>1493</v>
      </c>
      <c r="F58" s="4" t="s">
        <v>1828</v>
      </c>
      <c r="G58" s="1" t="s">
        <v>1490</v>
      </c>
      <c r="H58" s="1" t="str">
        <f t="shared" si="0"/>
        <v xml:space="preserve"> &lt;a class="new" target="_blank" href="https://www.slideshare.net/dalloyd/pubcon-2015-mobile-and-app-store-optimization-dave-lloyd"&gt;&lt;img title="Join coinpayu to earn!" alt="coinpayu"  src="https://cdn.slidesharecdn.com/ss_thumbnails/pubcon2015appstoreoptimization-davelloyd-final-151006165848-lva1-app6892-thumbnail.jpg?width=560&amp;fit=bounds"&gt;&lt;span class="new_title"&gt;Pubcon 2015 – Mobile and App Store Optimization – Dave Lloyd by Dave Lloyd&lt;/span&gt; &lt;/a&gt;</v>
      </c>
    </row>
    <row r="59" spans="1:8" x14ac:dyDescent="0.25">
      <c r="A59" s="1" t="s">
        <v>1491</v>
      </c>
      <c r="B59" s="4" t="s">
        <v>1616</v>
      </c>
      <c r="C59" s="1" t="s">
        <v>1492</v>
      </c>
      <c r="D59" s="1" t="s">
        <v>1617</v>
      </c>
      <c r="E59" s="1" t="s">
        <v>1493</v>
      </c>
      <c r="F59" s="4" t="s">
        <v>1829</v>
      </c>
      <c r="G59" s="1" t="s">
        <v>1490</v>
      </c>
      <c r="H59" s="1" t="str">
        <f t="shared" si="0"/>
        <v xml:space="preserve"> &lt;a class="new" target="_blank" href="https://www.slideshare.net/techahead/10-conditions-for-cost-estimation-of-an-ios-application"&gt;&lt;img title="Join coinpayu to earn!" alt="coinpayu"  src="https://cdn.slidesharecdn.com/ss_thumbnails/criteriaforcostestimationofaniosapp-151006100422-lva1-app6891-thumbnail.jpg?width=560&amp;fit=bounds"&gt;&lt;span class="new_title"&gt;10 Conditions_x000B_ for Cost Estimation of an _x000B_iOS Application by TechAhead&lt;/span&gt; &lt;/a&gt;</v>
      </c>
    </row>
    <row r="60" spans="1:8" x14ac:dyDescent="0.25">
      <c r="A60" s="1" t="s">
        <v>1491</v>
      </c>
      <c r="B60" s="4" t="s">
        <v>1618</v>
      </c>
      <c r="C60" s="1" t="s">
        <v>1492</v>
      </c>
      <c r="D60" s="1" t="s">
        <v>1619</v>
      </c>
      <c r="E60" s="1" t="s">
        <v>1493</v>
      </c>
      <c r="F60" s="4" t="s">
        <v>1830</v>
      </c>
      <c r="G60" s="1" t="s">
        <v>1490</v>
      </c>
      <c r="H60" s="1" t="str">
        <f t="shared" si="0"/>
        <v xml:space="preserve"> &lt;a class="new" target="_blank" href="https://www.slideshare.net/mercurious/nycml15-mobile-live-streaming-new-paradigm-or-fading-fad"&gt;&lt;img title="Join coinpayu to earn!" alt="coinpayu"  src="https://cdn.slidesharecdn.com/ss_thumbnails/nycml15livestreamingwkshp-150929165645-lva1-app6891-thumbnail.jpg?width=560&amp;fit=bounds"&gt;&lt;span class="new_title"&gt;#NYCML15 Mobile Live Streaming: New Paradigm or Fading Fad by David Carroll&lt;/span&gt; &lt;/a&gt;</v>
      </c>
    </row>
    <row r="61" spans="1:8" x14ac:dyDescent="0.25">
      <c r="A61" s="1" t="s">
        <v>1491</v>
      </c>
      <c r="B61" s="4" t="s">
        <v>1620</v>
      </c>
      <c r="C61" s="1" t="s">
        <v>1492</v>
      </c>
      <c r="D61" s="1" t="s">
        <v>1621</v>
      </c>
      <c r="E61" s="1" t="s">
        <v>1493</v>
      </c>
      <c r="F61" s="4" t="s">
        <v>1831</v>
      </c>
      <c r="G61" s="1" t="s">
        <v>1490</v>
      </c>
      <c r="H61" s="1" t="str">
        <f t="shared" si="0"/>
        <v xml:space="preserve"> &lt;a class="new" target="_blank" href="https://www.slideshare.net/newsworks/the-mobile-influencer"&gt;&lt;img title="Join coinpayu to earn!" alt="coinpayu"  src="https://cdn.slidesharecdn.com/ss_thumbnails/mobileinfluencer-150929134542-lva1-app6891-thumbnail.jpg?width=560&amp;fit=bounds"&gt;&lt;span class="new_title"&gt;The Mobile influencer by Newsworks&lt;/span&gt; &lt;/a&gt;</v>
      </c>
    </row>
    <row r="62" spans="1:8" x14ac:dyDescent="0.25">
      <c r="A62" s="1" t="s">
        <v>1491</v>
      </c>
      <c r="B62" s="4" t="s">
        <v>1622</v>
      </c>
      <c r="C62" s="1" t="s">
        <v>1492</v>
      </c>
      <c r="D62" s="1" t="s">
        <v>1623</v>
      </c>
      <c r="E62" s="1" t="s">
        <v>1493</v>
      </c>
      <c r="F62" s="4" t="s">
        <v>1832</v>
      </c>
      <c r="G62" s="1" t="s">
        <v>1490</v>
      </c>
      <c r="H62" s="1" t="str">
        <f t="shared" si="0"/>
        <v xml:space="preserve"> &lt;a class="new" target="_blank" href="https://www.slideshare.net/SamsungBusinessUSA/guide-to-mobile-healthcare-technology"&gt;&lt;img title="Join coinpayu to earn!" alt="coinpayu"  src="https://cdn.slidesharecdn.com/ss_thumbnails/guidetomobilehealthcaretechnology-150928182114-lva1-app6891-thumbnail.jpg?width=560&amp;fit=bounds"&gt;&lt;span class="new_title"&gt;Guide to Mobile Healthcare Technology by Samsung Business USA&lt;/span&gt; &lt;/a&gt;</v>
      </c>
    </row>
    <row r="63" spans="1:8" x14ac:dyDescent="0.25">
      <c r="A63" s="1" t="s">
        <v>1491</v>
      </c>
      <c r="B63" s="4" t="s">
        <v>1624</v>
      </c>
      <c r="C63" s="1" t="s">
        <v>1492</v>
      </c>
      <c r="D63" s="1" t="s">
        <v>1625</v>
      </c>
      <c r="E63" s="1" t="s">
        <v>1493</v>
      </c>
      <c r="F63" s="4" t="s">
        <v>1833</v>
      </c>
      <c r="G63" s="1" t="s">
        <v>1490</v>
      </c>
      <c r="H63" s="1" t="str">
        <f t="shared" si="0"/>
        <v xml:space="preserve"> &lt;a class="new" target="_blank" href="https://www.slideshare.net/zenithoptimedia/5-key-mobile-trends-for-marketers-dmexco-2015"&gt;&lt;img title="Join coinpayu to earn!" alt="coinpayu"  src="https://cdn.slidesharecdn.com/ss_thumbnails/5keymobiletrendsformarketersdmexcofinalwithnotesandlogov3-150923093140-lva1-app6892-thumbnail.jpg?width=560&amp;fit=bounds"&gt;&lt;span class="new_title"&gt;5 Key Mobile Trends for Marketers - dmexco 2015 by ZenithOptimedia&lt;/span&gt; &lt;/a&gt;</v>
      </c>
    </row>
    <row r="64" spans="1:8" x14ac:dyDescent="0.25">
      <c r="A64" s="1" t="s">
        <v>1491</v>
      </c>
      <c r="B64" s="4" t="s">
        <v>1626</v>
      </c>
      <c r="C64" s="1" t="s">
        <v>1492</v>
      </c>
      <c r="D64" s="1" t="s">
        <v>1627</v>
      </c>
      <c r="E64" s="1" t="s">
        <v>1493</v>
      </c>
      <c r="F64" s="4" t="s">
        <v>1834</v>
      </c>
      <c r="G64" s="1" t="s">
        <v>1490</v>
      </c>
      <c r="H64" s="1" t="str">
        <f t="shared" si="0"/>
        <v xml:space="preserve"> &lt;a class="new" target="_blank" href="https://www.slideshare.net/donnamoritz/21-periscope-tips-for-winning-broadcasts"&gt;&lt;img title="Join coinpayu to earn!" alt="coinpayu"  src="https://cdn.slidesharecdn.com/ss_thumbnails/diveintoperiscope-21periscopetipsforwinningbroadcasts-150923065257-lva1-app6891-thumbnail.jpg?width=560&amp;fit=bounds"&gt;&lt;span class="new_title"&gt;21 Periscope Tips for Winning Broadcasts by Donna Moritz&lt;/span&gt; &lt;/a&gt;</v>
      </c>
    </row>
    <row r="65" spans="1:8" x14ac:dyDescent="0.25">
      <c r="A65" s="1" t="s">
        <v>1491</v>
      </c>
      <c r="B65" s="4" t="s">
        <v>1628</v>
      </c>
      <c r="C65" s="1" t="s">
        <v>1492</v>
      </c>
      <c r="D65" s="1" t="s">
        <v>1629</v>
      </c>
      <c r="E65" s="1" t="s">
        <v>1493</v>
      </c>
      <c r="F65" s="4" t="s">
        <v>1835</v>
      </c>
      <c r="G65" s="1" t="s">
        <v>1490</v>
      </c>
      <c r="H65" s="1" t="str">
        <f t="shared" si="0"/>
        <v xml:space="preserve"> &lt;a class="new" target="_blank" href="https://www.slideshare.net/ShellTerrell/15-digital-research-apps"&gt;&lt;img title="Join coinpayu to earn!" alt="coinpayu"  src="https://cdn.slidesharecdn.com/ss_thumbnails/digitalresearchapps2015-150921212813-lva1-app6891-thumbnail.jpg?width=560&amp;fit=bounds"&gt;&lt;span class="new_title"&gt;Mobile Research: 20+ Mobile Apps by Shelly Sanchez Terrell&lt;/span&gt; &lt;/a&gt;</v>
      </c>
    </row>
    <row r="66" spans="1:8" x14ac:dyDescent="0.25">
      <c r="A66" s="1" t="s">
        <v>1491</v>
      </c>
      <c r="B66" s="4" t="s">
        <v>1630</v>
      </c>
      <c r="C66" s="1" t="s">
        <v>1492</v>
      </c>
      <c r="D66" s="1" t="s">
        <v>1631</v>
      </c>
      <c r="E66" s="1" t="s">
        <v>1493</v>
      </c>
      <c r="F66" s="4" t="s">
        <v>1836</v>
      </c>
      <c r="G66" s="1" t="s">
        <v>1490</v>
      </c>
      <c r="H66" s="1" t="str">
        <f t="shared" si="0"/>
        <v xml:space="preserve"> &lt;a class="new" target="_blank" href="https://www.slideshare.net/EasyBib/app-smashing-for-educators-leveraging-tools-to-maximize-communication"&gt;&lt;img title="Join coinpayu to earn!" alt="coinpayu"  src="https://cdn.slidesharecdn.com/ss_thumbnails/appsmashingforeducators-150921173010-lva1-app6892-thumbnail.jpg?width=560&amp;fit=bounds"&gt;&lt;span class="new_title"&gt;App Smashing for Educators: Leveraging Tools To Maximize Communication by Imagine Easy Solutions&lt;/span&gt; &lt;/a&gt;</v>
      </c>
    </row>
    <row r="67" spans="1:8" x14ac:dyDescent="0.25">
      <c r="A67" s="1" t="s">
        <v>1491</v>
      </c>
      <c r="B67" s="4" t="s">
        <v>1632</v>
      </c>
      <c r="C67" s="1" t="s">
        <v>1492</v>
      </c>
      <c r="D67" s="1" t="s">
        <v>1634</v>
      </c>
      <c r="E67" s="1" t="s">
        <v>1493</v>
      </c>
      <c r="F67" s="4" t="s">
        <v>1633</v>
      </c>
      <c r="G67" s="1" t="s">
        <v>1490</v>
      </c>
      <c r="H67" s="1" t="str">
        <f t="shared" ref="H67:H129" si="1">A67&amp;""&amp;B67&amp;""&amp;C67&amp;""&amp;D67&amp;""&amp;E67&amp;""&amp;F67&amp;""&amp;G67</f>
        <v xml:space="preserve"> &lt;a class="new" target="_blank" href="https://www.slideshare.net/techugo_ss/ios-9-new-features-at-a-glance-52885157"&gt;&lt;img title="Join coinpayu to earn!" alt="coinpayu"  src="https://cdn.slidesharecdn.com/ss_thumbnails/ios9newfeatures-150917105216-lva1-app6891-thumbnail.jpg?width=560&amp;fit=bounds"&gt;&lt;span class="new_title"&gt;iOS 9 - New Features at a Glance by techugo&lt;/span&gt; &lt;/a&gt;</v>
      </c>
    </row>
    <row r="68" spans="1:8" x14ac:dyDescent="0.25">
      <c r="A68" s="1" t="s">
        <v>1491</v>
      </c>
      <c r="B68" s="4" t="s">
        <v>1635</v>
      </c>
      <c r="C68" s="1" t="s">
        <v>1492</v>
      </c>
      <c r="D68" s="1" t="s">
        <v>1636</v>
      </c>
      <c r="E68" s="1" t="s">
        <v>1493</v>
      </c>
      <c r="F68" s="4" t="s">
        <v>1837</v>
      </c>
      <c r="G68" s="1" t="s">
        <v>1490</v>
      </c>
      <c r="H68" s="1" t="str">
        <f t="shared" si="1"/>
        <v xml:space="preserve"> &lt;a class="new" target="_blank" href="https://www.slideshare.net/wiley/slideshare-identifying-data-leaks-in-ios-applications"&gt;&lt;img title="Join coinpayu to earn!" alt="coinpayu"  src="https://cdn.slidesharecdn.com/ss_thumbnails/mobile-8-ios-leaks-slide-061415a-150909193045-lva1-app6892-thumbnail.jpg?width=560&amp;fit=bounds"&gt;&lt;span class="new_title"&gt;Identifying Data Leaks in iOS Applications by Wiley&lt;/span&gt; &lt;/a&gt;</v>
      </c>
    </row>
    <row r="69" spans="1:8" x14ac:dyDescent="0.25">
      <c r="A69" s="1" t="s">
        <v>1491</v>
      </c>
      <c r="B69" s="4" t="s">
        <v>1637</v>
      </c>
      <c r="C69" s="1" t="s">
        <v>1492</v>
      </c>
      <c r="D69" s="1" t="s">
        <v>1639</v>
      </c>
      <c r="E69" s="1" t="s">
        <v>1493</v>
      </c>
      <c r="F69" s="4" t="s">
        <v>1638</v>
      </c>
      <c r="G69" s="1" t="s">
        <v>1490</v>
      </c>
      <c r="H69" s="1" t="str">
        <f t="shared" si="1"/>
        <v xml:space="preserve"> &lt;a class="new" target="_blank" href="https://www.slideshare.net/EmergenceCapital/mobile-enterprise-trends-2015-emergence-capital"&gt;&lt;img title="Join coinpayu to earn!" alt="coinpayu"  src="https://cdn.slidesharecdn.com/ss_thumbnails/emcapmobilereport20159-150904190254-lva1-app6892-thumbnail.jpg?width=560&amp;fit=bounds"&gt;&lt;span class="new_title"&gt;Mobile Enterprise Trends 2015 - Emergence Capital by Emergence Capital&lt;/span&gt; &lt;/a&gt;</v>
      </c>
    </row>
    <row r="70" spans="1:8" x14ac:dyDescent="0.25">
      <c r="A70" s="1" t="s">
        <v>1491</v>
      </c>
      <c r="B70" s="4" t="s">
        <v>1640</v>
      </c>
      <c r="C70" s="1" t="s">
        <v>1492</v>
      </c>
      <c r="D70" s="1" t="s">
        <v>1642</v>
      </c>
      <c r="E70" s="1" t="s">
        <v>1493</v>
      </c>
      <c r="F70" s="4" t="s">
        <v>1641</v>
      </c>
      <c r="G70" s="1" t="s">
        <v>1490</v>
      </c>
      <c r="H70" s="1" t="str">
        <f t="shared" si="1"/>
        <v xml:space="preserve"> &lt;a class="new" target="_blank" href="https://www.slideshare.net/Localytics/app-value-101-how-i-learned-to-avoid-bombarding-users-with-disruptive-messages-september-2015-version"&gt;&lt;img title="Join coinpayu to earn!" alt="coinpayu"  src="https://cdn.slidesharecdn.com/ss_thumbnails/appvalue101webinar-finalsept-150901181932-lva1-app6892-thumbnail.jpg?width=560&amp;fit=bounds"&gt;&lt;span class="new_title"&gt;App Value 101: How I Learned to Avoid Bombarding Users with Disruptive Messages (September 2015 Version) by Localytics&lt;/span&gt; &lt;/a&gt;</v>
      </c>
    </row>
    <row r="71" spans="1:8" x14ac:dyDescent="0.25">
      <c r="A71" s="1" t="s">
        <v>1491</v>
      </c>
      <c r="B71" s="4" t="s">
        <v>1643</v>
      </c>
      <c r="C71" s="1" t="s">
        <v>1492</v>
      </c>
      <c r="D71" s="1" t="s">
        <v>1644</v>
      </c>
      <c r="E71" s="1" t="s">
        <v>1493</v>
      </c>
      <c r="F71" s="4" t="s">
        <v>1838</v>
      </c>
      <c r="G71" s="1" t="s">
        <v>1490</v>
      </c>
      <c r="H71" s="1" t="str">
        <f t="shared" si="1"/>
        <v xml:space="preserve"> &lt;a class="new" target="_blank" href="https://www.slideshare.net/bizmonster/9-crucial-things-to-test-before-your-app-goes-live"&gt;&lt;img title="Join coinpayu to earn!" alt="coinpayu"  src="https://cdn.slidesharecdn.com/ss_thumbnails/9crucialthingstotestbeforeyourappgoesliveslideshare-150831174611-lva1-app6892-thumbnail.jpg?width=560&amp;fit=bounds"&gt;&lt;span class="new_title"&gt;9 Crucial Things to Test Before Your App Goes Live by Amanda Collette&lt;/span&gt; &lt;/a&gt;</v>
      </c>
    </row>
    <row r="72" spans="1:8" x14ac:dyDescent="0.25">
      <c r="A72" s="1" t="s">
        <v>1491</v>
      </c>
      <c r="B72" s="4" t="s">
        <v>1645</v>
      </c>
      <c r="C72" s="1" t="s">
        <v>1492</v>
      </c>
      <c r="D72" s="1" t="s">
        <v>1646</v>
      </c>
      <c r="E72" s="1" t="s">
        <v>1493</v>
      </c>
      <c r="F72" s="4" t="s">
        <v>1839</v>
      </c>
      <c r="G72" s="1" t="s">
        <v>1490</v>
      </c>
      <c r="H72" s="1" t="str">
        <f t="shared" si="1"/>
        <v xml:space="preserve"> &lt;a class="new" target="_blank" href="https://www.slideshare.net/SaraQuinnPoynter/2-mobile-marketingpros-and-cons-michael-hanley"&gt;&lt;img title="Join coinpayu to earn!" alt="coinpayu"  src="https://cdn.slidesharecdn.com/ss_thumbnails/2mobilemarketingprosandconsmichaelhanley-150830163358-lva1-app6892-thumbnail.jpg?width=560&amp;fit=bounds"&gt;&lt;span class="new_title"&gt;Mobile Marketing: Pros and Cons_Michael Hanley by Sara Quinn&lt;/span&gt; &lt;/a&gt;</v>
      </c>
    </row>
    <row r="73" spans="1:8" x14ac:dyDescent="0.25">
      <c r="A73" s="1" t="s">
        <v>1491</v>
      </c>
      <c r="B73" s="4" t="s">
        <v>1647</v>
      </c>
      <c r="C73" s="1" t="s">
        <v>1492</v>
      </c>
      <c r="D73" s="1" t="s">
        <v>1648</v>
      </c>
      <c r="E73" s="1" t="s">
        <v>1493</v>
      </c>
      <c r="F73" s="4" t="s">
        <v>1840</v>
      </c>
      <c r="G73" s="1" t="s">
        <v>1490</v>
      </c>
      <c r="H73" s="1" t="str">
        <f t="shared" si="1"/>
        <v xml:space="preserve"> &lt;a class="new" target="_blank" href="https://www.slideshare.net/SaraQuinnPoynter/designing-for-a-small-screen-mobile"&gt;&lt;img title="Join coinpayu to earn!" alt="coinpayu"  src="https://cdn.slidesharecdn.com/ss_thumbnails/designingforthesmallscreenmobiledesign-150830150609-lva1-app6891-thumbnail.jpg?width=560&amp;fit=bounds"&gt;&lt;span class="new_title"&gt;Designing for a Small Screen: Mobile by Sara Quinn&lt;/span&gt; &lt;/a&gt;</v>
      </c>
    </row>
    <row r="74" spans="1:8" x14ac:dyDescent="0.25">
      <c r="A74" s="1" t="s">
        <v>1491</v>
      </c>
      <c r="B74" s="4" t="s">
        <v>1649</v>
      </c>
      <c r="C74" s="1" t="s">
        <v>1492</v>
      </c>
      <c r="D74" s="1" t="s">
        <v>1650</v>
      </c>
      <c r="E74" s="1" t="s">
        <v>1493</v>
      </c>
      <c r="F74" s="4" t="s">
        <v>1841</v>
      </c>
      <c r="G74" s="1" t="s">
        <v>1490</v>
      </c>
      <c r="H74" s="1" t="str">
        <f t="shared" si="1"/>
        <v xml:space="preserve"> &lt;a class="new" target="_blank" href="https://www.slideshare.net/SaraQuinnPoynter/whats-so-special-about-mobile-52221953"&gt;&lt;img title="Join coinpayu to earn!" alt="coinpayu"  src="https://cdn.slidesharecdn.com/ss_thumbnails/whatssospecialaboutmobile-150830150324-lva1-app6892-thumbnail.jpg?width=560&amp;fit=bounds"&gt;&lt;span class="new_title"&gt;What's So Special About Mobile? by Sara Quinn&lt;/span&gt; &lt;/a&gt;</v>
      </c>
    </row>
    <row r="75" spans="1:8" x14ac:dyDescent="0.25">
      <c r="A75" s="1" t="s">
        <v>1491</v>
      </c>
      <c r="B75" s="4" t="s">
        <v>1651</v>
      </c>
      <c r="C75" s="1" t="s">
        <v>1492</v>
      </c>
      <c r="D75" s="1" t="s">
        <v>1652</v>
      </c>
      <c r="E75" s="1" t="s">
        <v>1493</v>
      </c>
      <c r="F75" s="4" t="s">
        <v>1842</v>
      </c>
      <c r="G75" s="1" t="s">
        <v>1490</v>
      </c>
      <c r="H75" s="1" t="str">
        <f t="shared" si="1"/>
        <v xml:space="preserve"> &lt;a class="new" target="_blank" href="https://www.slideshare.net/Localytics/app-lifecycle-engagement"&gt;&lt;img title="Join coinpayu to earn!" alt="coinpayu"  src="https://cdn.slidesharecdn.com/ss_thumbnails/applifecycleengagement-150827210059-lva1-app6892-thumbnail.jpg?width=560&amp;fit=bounds"&gt;&lt;span class="new_title"&gt;App Lifecycle Engagement by Localytics&lt;/span&gt; &lt;/a&gt;</v>
      </c>
    </row>
    <row r="76" spans="1:8" x14ac:dyDescent="0.25">
      <c r="A76" s="1" t="s">
        <v>1491</v>
      </c>
      <c r="B76" s="4" t="s">
        <v>1653</v>
      </c>
      <c r="C76" s="1" t="s">
        <v>1492</v>
      </c>
      <c r="D76" s="1" t="s">
        <v>1654</v>
      </c>
      <c r="E76" s="1" t="s">
        <v>1493</v>
      </c>
      <c r="F76" s="4" t="s">
        <v>1843</v>
      </c>
      <c r="G76" s="1" t="s">
        <v>1490</v>
      </c>
      <c r="H76" s="1" t="str">
        <f t="shared" si="1"/>
        <v xml:space="preserve"> &lt;a class="new" target="_blank" href="https://www.slideshare.net/rharbridge/the-social-enterprise-in-a-cloud-first-and-mobile-first-world-sptechcon"&gt;&lt;img title="Join coinpayu to earn!" alt="coinpayu"  src="https://cdn.slidesharecdn.com/ss_thumbnails/thesocialenterpriseinacloudfirstandmobilefirstworld-compressed-150826170102-lva1-app6892-thumbnail.jpg?width=560&amp;fit=bounds"&gt;&lt;span class="new_title"&gt;The Social Enterprise In A Cloud First And Mobile First World - SPTechCon by Richard Harbridge&lt;/span&gt; &lt;/a&gt;</v>
      </c>
    </row>
    <row r="77" spans="1:8" x14ac:dyDescent="0.25">
      <c r="A77" s="1" t="s">
        <v>1491</v>
      </c>
      <c r="B77" s="4" t="s">
        <v>1655</v>
      </c>
      <c r="C77" s="1" t="s">
        <v>1492</v>
      </c>
      <c r="D77" s="1" t="s">
        <v>1656</v>
      </c>
      <c r="E77" s="1" t="s">
        <v>1493</v>
      </c>
      <c r="F77" s="4" t="s">
        <v>1844</v>
      </c>
      <c r="G77" s="1" t="s">
        <v>1490</v>
      </c>
      <c r="H77" s="1" t="str">
        <f t="shared" si="1"/>
        <v xml:space="preserve"> &lt;a class="new" target="_blank" href="https://www.slideshare.net/amontcoudiol/mobile-growth-marketing-strategy-hacks-tools"&gt;&lt;img title="Join coinpayu to earn!" alt="coinpayu"  src="https://cdn.slidesharecdn.com/ss_thumbnails/mobilegrowthmarketing-150825115135-lva1-app6891-thumbnail.jpg?width=560&amp;fit=bounds"&gt;&lt;span class="new_title"&gt;Mobile Growth Marketing: Strategy, Hacks and Tools by Adrien Montcoudiol&lt;/span&gt; &lt;/a&gt;</v>
      </c>
    </row>
    <row r="78" spans="1:8" x14ac:dyDescent="0.25">
      <c r="A78" s="1" t="s">
        <v>1491</v>
      </c>
      <c r="B78" s="4" t="s">
        <v>1657</v>
      </c>
      <c r="C78" s="1" t="s">
        <v>1492</v>
      </c>
      <c r="D78" s="1" t="s">
        <v>1658</v>
      </c>
      <c r="E78" s="1" t="s">
        <v>1493</v>
      </c>
      <c r="F78" s="4" t="s">
        <v>1845</v>
      </c>
      <c r="G78" s="1" t="s">
        <v>1490</v>
      </c>
      <c r="H78" s="1" t="str">
        <f t="shared" si="1"/>
        <v xml:space="preserve"> &lt;a class="new" target="_blank" href="https://www.slideshare.net/inmobi/inmobis-report-preview-of-the-role-of-mobile-and-its-influence-on-back-to-school-shopping-in-usa"&gt;&lt;img title="Join coinpayu to earn!" alt="coinpayu"  src="https://cdn.slidesharecdn.com/ss_thumbnails/inmobisreportpreviewoftheroleofmobileanditsinfluenceonbacktoschoolshoppinginusa-150825052103-lva1-app6891-thumbnail.jpg?width=560&amp;fit=bounds"&gt;&lt;span class="new_title"&gt;InMobi's report preview of The Role of Mobile And Its Influence On Back To School Shopping in the United States by InMobi&lt;/span&gt; &lt;/a&gt;</v>
      </c>
    </row>
    <row r="79" spans="1:8" x14ac:dyDescent="0.25">
      <c r="A79" s="1" t="s">
        <v>1491</v>
      </c>
      <c r="B79" s="4" t="s">
        <v>1659</v>
      </c>
      <c r="C79" s="1" t="s">
        <v>1492</v>
      </c>
      <c r="D79" s="1" t="s">
        <v>1661</v>
      </c>
      <c r="E79" s="1" t="s">
        <v>1493</v>
      </c>
      <c r="F79" s="4" t="s">
        <v>1660</v>
      </c>
      <c r="G79" s="1" t="s">
        <v>1490</v>
      </c>
      <c r="H79" s="1" t="str">
        <f t="shared" si="1"/>
        <v xml:space="preserve"> &lt;a class="new" target="_blank" href="https://www.slideshare.net/inmobi/inmobiinfographic-on-the-role-of-mobile-and-its-influence-on-back-to-school-shopping"&gt;&lt;img title="Join coinpayu to earn!" alt="coinpayu"  src="https://cdn.slidesharecdn.com/ss_thumbnails/infographicstheroleofmobileitsinfluenceonbacktoschoolshoppinginmobiinsights-150825044453-lva1-app6892-thumbnail.jpg?width=560&amp;fit=bounds"&gt;&lt;span class="new_title"&gt;InMobi_Infographic on The role of mobile and it's influence on back to school shopping USA by InMobi&lt;/span&gt; &lt;/a&gt;</v>
      </c>
    </row>
    <row r="80" spans="1:8" x14ac:dyDescent="0.25">
      <c r="A80" s="1" t="s">
        <v>1491</v>
      </c>
      <c r="B80" s="4" t="s">
        <v>1662</v>
      </c>
      <c r="C80" s="1" t="s">
        <v>1492</v>
      </c>
      <c r="D80" s="1" t="s">
        <v>1663</v>
      </c>
      <c r="E80" s="1" t="s">
        <v>1493</v>
      </c>
      <c r="F80" s="4" t="s">
        <v>1846</v>
      </c>
      <c r="G80" s="1" t="s">
        <v>1490</v>
      </c>
      <c r="H80" s="1" t="str">
        <f t="shared" si="1"/>
        <v xml:space="preserve"> &lt;a class="new" target="_blank" href="https://www.slideshare.net/WeAreMRY/the-new-micro-leisure-redefining-downtime-in-a-connected-world"&gt;&lt;img title="Join coinpayu to earn!" alt="coinpayu"  src="https://cdn.slidesharecdn.com/ss_thumbnails/thenewmicroleisure-150824205618-lva1-app6892-thumbnail.jpg?width=560&amp;fit=bounds"&gt;&lt;span class="new_title"&gt;The New (Micro) Leisure: Redefining Downtime in a Connected World by MRY&lt;/span&gt; &lt;/a&gt;</v>
      </c>
    </row>
    <row r="81" spans="1:8" x14ac:dyDescent="0.25">
      <c r="A81" s="1" t="s">
        <v>1491</v>
      </c>
      <c r="B81" s="4" t="s">
        <v>1664</v>
      </c>
      <c r="C81" s="1" t="s">
        <v>1492</v>
      </c>
      <c r="D81" s="1" t="s">
        <v>1665</v>
      </c>
      <c r="E81" s="1" t="s">
        <v>1493</v>
      </c>
      <c r="F81" s="4" t="s">
        <v>1847</v>
      </c>
      <c r="G81" s="1" t="s">
        <v>1490</v>
      </c>
      <c r="H81" s="1" t="str">
        <f t="shared" si="1"/>
        <v xml:space="preserve"> &lt;a class="new" target="_blank" href="https://www.slideshare.net/wearesocialsg/digital-social-mobile-in-china-in-2015"&gt;&lt;img title="Join coinpayu to earn!" alt="coinpayu"  src="https://cdn.slidesharecdn.com/ss_thumbnails/wearesocial20150816digitalsocialmobileinchinaaug2015v01-150818010337-lva1-app6892-thumbnail.jpg?width=560&amp;fit=bounds"&gt;&lt;span class="new_title"&gt;Digital, Social &amp; Mobile in China in 2015 by We Are Social Singapore&lt;/span&gt; &lt;/a&gt;</v>
      </c>
    </row>
    <row r="82" spans="1:8" x14ac:dyDescent="0.25">
      <c r="A82" s="1" t="s">
        <v>1491</v>
      </c>
      <c r="B82" s="4" t="s">
        <v>1666</v>
      </c>
      <c r="C82" s="1" t="s">
        <v>1492</v>
      </c>
      <c r="D82" s="1" t="s">
        <v>1667</v>
      </c>
      <c r="E82" s="1" t="s">
        <v>1493</v>
      </c>
      <c r="F82" s="4" t="s">
        <v>1848</v>
      </c>
      <c r="G82" s="1" t="s">
        <v>1490</v>
      </c>
      <c r="H82" s="1" t="str">
        <f t="shared" si="1"/>
        <v xml:space="preserve"> &lt;a class="new" target="_blank" href="https://www.slideshare.net/bradrosen1/drync-uberization-of-wine"&gt;&lt;img title="Join coinpayu to earn!" alt="coinpayu"  src="https://cdn.slidesharecdn.com/ss_thumbnails/dryncuberizationofwine-150813172648-lva1-app6892-thumbnail.jpg?width=560&amp;fit=bounds"&gt;&lt;span class="new_title"&gt;Drync uberization of wine by Brad Rosen&lt;/span&gt; &lt;/a&gt;</v>
      </c>
    </row>
    <row r="83" spans="1:8" x14ac:dyDescent="0.25">
      <c r="A83" s="1" t="s">
        <v>1491</v>
      </c>
      <c r="B83" s="4" t="s">
        <v>1668</v>
      </c>
      <c r="C83" s="1" t="s">
        <v>1492</v>
      </c>
      <c r="D83" s="1" t="s">
        <v>1669</v>
      </c>
      <c r="E83" s="1" t="s">
        <v>1493</v>
      </c>
      <c r="F83" s="4" t="s">
        <v>1849</v>
      </c>
      <c r="G83" s="1" t="s">
        <v>1490</v>
      </c>
      <c r="H83" s="1" t="str">
        <f t="shared" si="1"/>
        <v xml:space="preserve"> &lt;a class="new" target="_blank" href="https://www.slideshare.net/lainians/mo-pub-marketplacereportq22015final"&gt;&lt;img title="Join coinpayu to earn!" alt="coinpayu"  src="https://cdn.slidesharecdn.com/ss_thumbnails/mopubmarketplacereportq22015final-150810181532-lva1-app6892-thumbnail.jpg?width=560&amp;fit=bounds"&gt;&lt;span class="new_title"&gt;MoPub Marketplace Report Q2 2015 by Elain Szu&lt;/span&gt; &lt;/a&gt;</v>
      </c>
    </row>
    <row r="84" spans="1:8" x14ac:dyDescent="0.25">
      <c r="A84" s="1" t="s">
        <v>1491</v>
      </c>
      <c r="B84" s="4" t="s">
        <v>1670</v>
      </c>
      <c r="C84" s="1" t="s">
        <v>1492</v>
      </c>
      <c r="D84" s="1" t="s">
        <v>1671</v>
      </c>
      <c r="E84" s="1" t="s">
        <v>1493</v>
      </c>
      <c r="F84" s="4" t="s">
        <v>1850</v>
      </c>
      <c r="G84" s="1" t="s">
        <v>1490</v>
      </c>
      <c r="H84" s="1" t="str">
        <f t="shared" si="1"/>
        <v xml:space="preserve"> &lt;a class="new" target="_blank" href="https://www.slideshare.net/Yokomark/deep-inside-android-hacks"&gt;&lt;img title="Join coinpayu to earn!" alt="coinpayu"  src="https://cdn.slidesharecdn.com/ss_thumbnails/1-150810083847-lva1-app6891-thumbnail.jpg?width=560&amp;fit=bounds"&gt;&lt;span class="new_title"&gt;Deep Inside Android Hacks by Keishin Yokomaku&lt;/span&gt; &lt;/a&gt;</v>
      </c>
    </row>
    <row r="85" spans="1:8" x14ac:dyDescent="0.25">
      <c r="A85" s="1" t="s">
        <v>1491</v>
      </c>
      <c r="B85" s="4" t="s">
        <v>1672</v>
      </c>
      <c r="C85" s="1" t="s">
        <v>1492</v>
      </c>
      <c r="D85" s="1" t="s">
        <v>1674</v>
      </c>
      <c r="E85" s="1" t="s">
        <v>1493</v>
      </c>
      <c r="F85" s="4" t="s">
        <v>1673</v>
      </c>
      <c r="G85" s="1" t="s">
        <v>1490</v>
      </c>
      <c r="H85" s="1" t="str">
        <f t="shared" si="1"/>
        <v xml:space="preserve"> &lt;a class="new" target="_blank" href="https://www.slideshare.net/ncicero0/snapchat-is-a-burrito"&gt;&lt;img title="Join coinpayu to earn!" alt="coinpayu"  src="https://cdn.slidesharecdn.com/ss_thumbnails/snapchatisaburrito-150809200457-lva1-app6891-thumbnail.jpg?width=560&amp;fit=bounds"&gt;&lt;span class="new_title"&gt;Snapchat is a Burrito by Nick Cicero&lt;/span&gt; &lt;/a&gt;</v>
      </c>
    </row>
    <row r="86" spans="1:8" x14ac:dyDescent="0.25">
      <c r="A86" s="1" t="s">
        <v>1491</v>
      </c>
      <c r="B86" s="4" t="s">
        <v>1675</v>
      </c>
      <c r="C86" s="1" t="s">
        <v>1492</v>
      </c>
      <c r="D86" s="1" t="s">
        <v>1677</v>
      </c>
      <c r="E86" s="1" t="s">
        <v>1493</v>
      </c>
      <c r="F86" s="4" t="s">
        <v>1676</v>
      </c>
      <c r="G86" s="1" t="s">
        <v>1490</v>
      </c>
      <c r="H86" s="1" t="str">
        <f t="shared" si="1"/>
        <v xml:space="preserve"> &lt;a class="new" target="_blank" href="https://www.slideshare.net/briansolis/altimeter-mobile-cx-final"&gt;&lt;img title="Join coinpayu to earn!" alt="coinpayu"  src="https://cdn.slidesharecdn.com/ss_thumbnails/altimetermobilecxfinal-150804142447-lva1-app6891-thumbnail.jpg?width=560&amp;fit=bounds"&gt;&lt;span class="new_title"&gt;The Inevitability of a Mobile-Only Customer Experience by Brian Solis&lt;/span&gt; &lt;/a&gt;</v>
      </c>
    </row>
    <row r="87" spans="1:8" x14ac:dyDescent="0.25">
      <c r="A87" s="1" t="s">
        <v>1491</v>
      </c>
      <c r="B87" s="4" t="s">
        <v>1678</v>
      </c>
      <c r="C87" s="1" t="s">
        <v>1492</v>
      </c>
      <c r="D87" s="1" t="s">
        <v>1680</v>
      </c>
      <c r="E87" s="1" t="s">
        <v>1493</v>
      </c>
      <c r="F87" s="4" t="s">
        <v>1679</v>
      </c>
      <c r="G87" s="1" t="s">
        <v>1490</v>
      </c>
      <c r="H87" s="1" t="str">
        <f t="shared" si="1"/>
        <v xml:space="preserve"> &lt;a class="new" target="_blank" href="https://www.slideshare.net/OnDevice/insights-into-the-app-economy-in-mena"&gt;&lt;img title="Join coinpayu to earn!" alt="coinpayu"  src="https://cdn.slidesharecdn.com/ss_thumbnails/arabnetpres-v2-final-final-150803175456-lva1-app6892-thumbnail.jpg?width=560&amp;fit=bounds"&gt;&lt;span class="new_title"&gt;Insights into the App Economy in MENA by On Device Research&lt;/span&gt; &lt;/a&gt;</v>
      </c>
    </row>
    <row r="88" spans="1:8" x14ac:dyDescent="0.25">
      <c r="A88" s="1" t="s">
        <v>1491</v>
      </c>
      <c r="B88" s="4" t="s">
        <v>1681</v>
      </c>
      <c r="C88" s="1" t="s">
        <v>1492</v>
      </c>
      <c r="D88" s="1" t="s">
        <v>1683</v>
      </c>
      <c r="E88" s="1" t="s">
        <v>1493</v>
      </c>
      <c r="F88" s="4" t="s">
        <v>1682</v>
      </c>
      <c r="G88" s="1" t="s">
        <v>1490</v>
      </c>
      <c r="H88" s="1" t="str">
        <f t="shared" si="1"/>
        <v xml:space="preserve"> &lt;a class="new" target="_blank" href="https://www.slideshare.net/nigelmarkdias/mobile-search-moments-from-google-nielsen"&gt;&lt;img title="Join coinpayu to earn!" alt="coinpayu"  src="https://cdn.slidesharecdn.com/ss_thumbnails/creating-moments-that-matterresearch-studies1-150802023638-lva1-app6891-thumbnail.jpg?width=560&amp;fit=bounds"&gt;&lt;span class="new_title"&gt;Mobile Search Moments from Google &amp; Nielsen by Nigel Mark Dias&lt;/span&gt; &lt;/a&gt;</v>
      </c>
    </row>
    <row r="89" spans="1:8" x14ac:dyDescent="0.25">
      <c r="A89" s="1" t="s">
        <v>1491</v>
      </c>
      <c r="B89" s="4" t="s">
        <v>1684</v>
      </c>
      <c r="C89" s="1" t="s">
        <v>1492</v>
      </c>
      <c r="D89" s="1" t="s">
        <v>1686</v>
      </c>
      <c r="E89" s="1" t="s">
        <v>1493</v>
      </c>
      <c r="F89" s="4" t="s">
        <v>1685</v>
      </c>
      <c r="G89" s="1" t="s">
        <v>1490</v>
      </c>
      <c r="H89" s="1" t="str">
        <f t="shared" si="1"/>
        <v xml:space="preserve"> &lt;a class="new" target="_blank" href="https://www.slideshare.net/Localytics/unlocking-app-success-how-to-turn-your-app-into-a-mobile-growth-engine"&gt;&lt;img title="Join coinpayu to earn!" alt="coinpayu"  src="https://cdn.slidesharecdn.com/ss_thumbnails/pdfv2slidedeck-unlockingappsuccesswithbranchmetrics-150730210549-lva1-app6892-thumbnail.jpg?width=560&amp;fit=bounds"&gt;&lt;span class="new_title"&gt;Unlocking App Success: How to Turn Your App Into a Mobile Growth Engine by Localytics&lt;/span&gt; &lt;/a&gt;</v>
      </c>
    </row>
    <row r="90" spans="1:8" x14ac:dyDescent="0.25">
      <c r="A90" s="1" t="s">
        <v>1491</v>
      </c>
      <c r="B90" s="4" t="s">
        <v>1687</v>
      </c>
      <c r="C90" s="1" t="s">
        <v>1492</v>
      </c>
      <c r="D90" s="1" t="s">
        <v>1688</v>
      </c>
      <c r="E90" s="1" t="s">
        <v>1493</v>
      </c>
      <c r="F90" s="4" t="s">
        <v>1851</v>
      </c>
      <c r="G90" s="1" t="s">
        <v>1490</v>
      </c>
      <c r="H90" s="1" t="str">
        <f t="shared" si="1"/>
        <v xml:space="preserve"> &lt;a class="new" target="_blank" href="https://www.slideshare.net/spocto/drive-potential-customers-with-effective-mobile-marketing"&gt;&lt;img title="Join coinpayu to earn!" alt="coinpayu"  src="https://cdn.slidesharecdn.com/ss_thumbnails/drivepotentialcustomerswitheffectivemobilemarketing-150729090054-lva1-app6892-thumbnail.jpg?width=560&amp;fit=bounds"&gt;&lt;span class="new_title"&gt;Drive Potential Customers With Effective Mobile Marketing by spocto&lt;/span&gt; &lt;/a&gt;</v>
      </c>
    </row>
    <row r="91" spans="1:8" x14ac:dyDescent="0.25">
      <c r="A91" s="1" t="s">
        <v>1491</v>
      </c>
      <c r="B91" s="4" t="s">
        <v>1689</v>
      </c>
      <c r="C91" s="1" t="s">
        <v>1492</v>
      </c>
      <c r="D91" s="1" t="s">
        <v>1690</v>
      </c>
      <c r="E91" s="1" t="s">
        <v>1493</v>
      </c>
      <c r="F91" s="4" t="s">
        <v>1852</v>
      </c>
      <c r="G91" s="1" t="s">
        <v>1490</v>
      </c>
      <c r="H91" s="1" t="str">
        <f t="shared" si="1"/>
        <v xml:space="preserve"> &lt;a class="new" target="_blank" href="https://www.slideshare.net/Invoca/are-you-in-the-mobilemindset"&gt;&lt;img title="Join coinpayu to earn!" alt="coinpayu"  src="https://cdn.slidesharecdn.com/ss_thumbnails/fzvgzmimtwmeyspk393o-signature-53ee76fda9c0d5b8ad3f7c2413d9a283db23fc29e9a8418bb19381441c505bfa-poli-150728213505-lva1-app6892-thumbnail.jpg?width=560&amp;fit=bounds"&gt;&lt;span class="new_title"&gt;Are You in the #MobileMindset? by Invoca&lt;/span&gt; &lt;/a&gt;</v>
      </c>
    </row>
    <row r="92" spans="1:8" x14ac:dyDescent="0.25">
      <c r="A92" s="1" t="s">
        <v>1491</v>
      </c>
      <c r="B92" s="4" t="s">
        <v>1691</v>
      </c>
      <c r="C92" s="1" t="s">
        <v>1492</v>
      </c>
      <c r="D92" s="1" t="s">
        <v>1692</v>
      </c>
      <c r="E92" s="1" t="s">
        <v>1493</v>
      </c>
      <c r="F92" s="4" t="s">
        <v>1853</v>
      </c>
      <c r="G92" s="1" t="s">
        <v>1490</v>
      </c>
      <c r="H92" s="1" t="str">
        <f t="shared" si="1"/>
        <v xml:space="preserve"> &lt;a class="new" target="_blank" href="https://www.slideshare.net/PollenVC/the-funding-gap"&gt;&lt;img title="Join coinpayu to earn!" alt="coinpayu"  src="https://cdn.slidesharecdn.com/ss_thumbnails/thefundinggap-150728141637-lva1-app6891-thumbnail.jpg?width=560&amp;fit=bounds"&gt;&lt;span class="new_title"&gt;The Funding Gap by Pollen VC&lt;/span&gt; &lt;/a&gt;</v>
      </c>
    </row>
    <row r="93" spans="1:8" x14ac:dyDescent="0.25">
      <c r="A93" s="1" t="s">
        <v>1491</v>
      </c>
      <c r="B93" s="4" t="s">
        <v>1693</v>
      </c>
      <c r="C93" s="1" t="s">
        <v>1492</v>
      </c>
      <c r="D93" s="1" t="s">
        <v>1694</v>
      </c>
      <c r="E93" s="1" t="s">
        <v>1493</v>
      </c>
      <c r="F93" s="4" t="s">
        <v>1854</v>
      </c>
      <c r="G93" s="1" t="s">
        <v>1490</v>
      </c>
      <c r="H93" s="1" t="str">
        <f t="shared" si="1"/>
        <v xml:space="preserve"> &lt;a class="new" target="_blank" href="https://www.slideshare.net/johnkoetsier/to-win-in-mobile-is-to-win-period"&gt;&lt;img title="Join coinpayu to earn!" alt="coinpayu"  src="https://cdn.slidesharecdn.com/ss_thumbnails/mb-1-150720163635-lva1-app6891-thumbnail.jpg?width=560&amp;fit=bounds"&gt;&lt;span class="new_title"&gt;To win in mobile is to win. Period by John Koetsier&lt;/span&gt; &lt;/a&gt;</v>
      </c>
    </row>
    <row r="94" spans="1:8" x14ac:dyDescent="0.25">
      <c r="A94" s="1" t="s">
        <v>1491</v>
      </c>
      <c r="B94" s="4" t="s">
        <v>1695</v>
      </c>
      <c r="C94" s="1" t="s">
        <v>1492</v>
      </c>
      <c r="D94" s="1" t="s">
        <v>1697</v>
      </c>
      <c r="E94" s="1" t="s">
        <v>1493</v>
      </c>
      <c r="F94" s="4" t="s">
        <v>1696</v>
      </c>
      <c r="G94" s="1" t="s">
        <v>1490</v>
      </c>
      <c r="H94" s="1" t="str">
        <f t="shared" si="1"/>
        <v xml:space="preserve"> &lt;a class="new" target="_blank" href="https://www.slideshare.net/JamesDennin/tinder-science-analaysisfinal"&gt;&lt;img title="Join coinpayu to earn!" alt="coinpayu"  src="https://cdn.slidesharecdn.com/ss_thumbnails/tinderscienceanalaysisfinal-150714172543-lva1-app6891-thumbnail.jpg?width=560&amp;fit=bounds"&gt;&lt;span class="new_title"&gt;If Tinder pursues multiple monetization strategies: analysis of outcomes by James Dennin&lt;/span&gt; &lt;/a&gt;</v>
      </c>
    </row>
    <row r="95" spans="1:8" x14ac:dyDescent="0.25">
      <c r="A95" s="1" t="s">
        <v>1491</v>
      </c>
      <c r="B95" s="4" t="s">
        <v>1698</v>
      </c>
      <c r="C95" s="1" t="s">
        <v>1492</v>
      </c>
      <c r="D95" s="1" t="s">
        <v>1700</v>
      </c>
      <c r="E95" s="1" t="s">
        <v>1493</v>
      </c>
      <c r="F95" s="4" t="s">
        <v>1699</v>
      </c>
      <c r="G95" s="1" t="s">
        <v>1490</v>
      </c>
      <c r="H95" s="1" t="str">
        <f t="shared" si="1"/>
        <v xml:space="preserve"> &lt;a class="new" target="_blank" href="https://www.slideshare.net/Suzzicks/mozcon-mobilegeddon"&gt;&lt;img title="Join coinpayu to earn!" alt="coinpayu"  src="https://cdn.slidesharecdn.com/ss_thumbnails/mobile-friendly-final-150714144545-lva1-app6892-thumbnail.jpg?width=560&amp;fit=bounds"&gt;&lt;span class="new_title"&gt;MozCon - Mobilegeddon by Suzzicks&lt;/span&gt; &lt;/a&gt;</v>
      </c>
    </row>
    <row r="96" spans="1:8" x14ac:dyDescent="0.25">
      <c r="A96" s="1" t="s">
        <v>1491</v>
      </c>
      <c r="B96" s="4" t="s">
        <v>1701</v>
      </c>
      <c r="C96" s="1" t="s">
        <v>1492</v>
      </c>
      <c r="D96" s="1" t="s">
        <v>1703</v>
      </c>
      <c r="E96" s="1" t="s">
        <v>1493</v>
      </c>
      <c r="F96" s="4" t="s">
        <v>1702</v>
      </c>
      <c r="G96" s="1" t="s">
        <v>1490</v>
      </c>
      <c r="H96" s="1" t="str">
        <f t="shared" si="1"/>
        <v xml:space="preserve"> &lt;a class="new" target="_blank" href="https://www.slideshare.net/UpsideLearning/why-mobile-learning-is-the-future-of-workplace-learning"&gt;&lt;img title="Join coinpayu to earn!" alt="coinpayu"  src="https://cdn.slidesharecdn.com/ss_thumbnails/whymobilelearningisthefutureofworkplacelearning-150708101249-lva1-app6891-thumbnail.jpg?width=560&amp;fit=bounds"&gt;&lt;span class="new_title"&gt;Why Mobile Learning Is The Future Of Workplace Learning (Infographic) by Upside Learning Solutions&lt;/span&gt; &lt;/a&gt;</v>
      </c>
    </row>
    <row r="97" spans="1:8" x14ac:dyDescent="0.25">
      <c r="A97" s="1" t="s">
        <v>1491</v>
      </c>
      <c r="B97" s="4" t="s">
        <v>1704</v>
      </c>
      <c r="C97" s="1" t="s">
        <v>1492</v>
      </c>
      <c r="D97" s="1" t="s">
        <v>1706</v>
      </c>
      <c r="E97" s="1" t="s">
        <v>1493</v>
      </c>
      <c r="F97" s="4" t="s">
        <v>1705</v>
      </c>
      <c r="G97" s="1" t="s">
        <v>1490</v>
      </c>
      <c r="H97" s="1" t="str">
        <f t="shared" si="1"/>
        <v xml:space="preserve"> &lt;a class="new" target="_blank" href="https://www.slideshare.net/KyleLacy/15-stats-every-b2b-marketer-should-know-about-mobile-retention"&gt;&lt;img title="Join coinpayu to earn!" alt="coinpayu"  src="https://cdn.slidesharecdn.com/ss_thumbnails/mobileadoptionslideshare-150701175513-lva1-app6892-thumbnail.jpg?width=560&amp;fit=bounds"&gt;&lt;span class="new_title"&gt;15 Stats Every B2B Marketer Should Know About Mobile Retention by Kyle Lacy&lt;/span&gt; &lt;/a&gt;</v>
      </c>
    </row>
    <row r="98" spans="1:8" x14ac:dyDescent="0.25">
      <c r="A98" s="1" t="s">
        <v>1491</v>
      </c>
      <c r="B98" s="4" t="s">
        <v>1707</v>
      </c>
      <c r="C98" s="1" t="s">
        <v>1492</v>
      </c>
      <c r="D98" s="1" t="s">
        <v>1709</v>
      </c>
      <c r="E98" s="1" t="s">
        <v>1493</v>
      </c>
      <c r="F98" s="4" t="s">
        <v>1708</v>
      </c>
      <c r="G98" s="1" t="s">
        <v>1490</v>
      </c>
      <c r="H98" s="1" t="str">
        <f t="shared" si="1"/>
        <v xml:space="preserve"> &lt;a class="new" target="_blank" href="https://www.slideshare.net/goldengekko/mobile-application-security-by-design"&gt;&lt;img title="Join coinpayu to earn!" alt="coinpayu"  src="https://cdn.slidesharecdn.com/ss_thumbnails/mobileapplicationsecuritybydesign-150630082949-lva1-app6892-thumbnail.jpg?width=560&amp;fit=bounds"&gt;&lt;span class="new_title"&gt;Mobile Application Security by Design by DMI&lt;/span&gt; &lt;/a&gt;</v>
      </c>
    </row>
    <row r="99" spans="1:8" x14ac:dyDescent="0.25">
      <c r="A99" s="1" t="s">
        <v>1491</v>
      </c>
      <c r="B99" s="4" t="s">
        <v>1710</v>
      </c>
      <c r="C99" s="1" t="s">
        <v>1492</v>
      </c>
      <c r="D99" s="1" t="s">
        <v>1712</v>
      </c>
      <c r="E99" s="1" t="s">
        <v>1493</v>
      </c>
      <c r="F99" s="4" t="s">
        <v>1711</v>
      </c>
      <c r="G99" s="1" t="s">
        <v>1490</v>
      </c>
      <c r="H99" s="1" t="str">
        <f t="shared" si="1"/>
        <v xml:space="preserve"> &lt;a class="new" target="_blank" href="https://www.slideshare.net/vinaygaba/optimizing-your-apps-for-emerging-markets-droidcon-montreal-2015"&gt;&lt;img title="Join coinpayu to earn!" alt="coinpayu"  src="https://cdn.slidesharecdn.com/ss_thumbnails/optimizingyourappsforemergingmarketsslideshare-150629190303-lva1-app6892-thumbnail.jpg?width=560&amp;fit=bounds"&gt;&lt;span class="new_title"&gt;Optimizing Your Apps For Emerging Markets - Droidcon Montreal 2015 by Vinay Gaba&lt;/span&gt; &lt;/a&gt;</v>
      </c>
    </row>
    <row r="100" spans="1:8" x14ac:dyDescent="0.25">
      <c r="A100" s="1" t="s">
        <v>1491</v>
      </c>
      <c r="B100" s="4" t="s">
        <v>1713</v>
      </c>
      <c r="C100" s="1" t="s">
        <v>1492</v>
      </c>
      <c r="D100" s="1" t="s">
        <v>1715</v>
      </c>
      <c r="E100" s="1" t="s">
        <v>1493</v>
      </c>
      <c r="F100" s="4" t="s">
        <v>1714</v>
      </c>
      <c r="G100" s="1" t="s">
        <v>1490</v>
      </c>
      <c r="H100" s="1" t="str">
        <f t="shared" si="1"/>
        <v xml:space="preserve"> &lt;a class="new" target="_blank" href="https://www.slideshare.net/inmobi/report-the-role-of-mobile-in-the-path-to-purchase-of-fmcgretail-products-australia"&gt;&lt;img title="Join coinpayu to earn!" alt="coinpayu"  src="https://cdn.slidesharecdn.com/ss_thumbnails/inmobitheroleofmobilepathtopurchaseoffmcgretailproductsslideshare-150629151832-lva1-app6891-thumbnail.jpg?width=560&amp;fit=bounds"&gt;&lt;span class="new_title"&gt;[REPORT] The Role of Mobile in the Path to Purchase of FMCG/Retail Products - Australia  by InMobi&lt;/span&gt; &lt;/a&gt;</v>
      </c>
    </row>
    <row r="101" spans="1:8" x14ac:dyDescent="0.25">
      <c r="A101" s="1" t="s">
        <v>1491</v>
      </c>
      <c r="B101" s="4" t="s">
        <v>1716</v>
      </c>
      <c r="C101" s="1" t="s">
        <v>1492</v>
      </c>
      <c r="D101" s="1" t="s">
        <v>1718</v>
      </c>
      <c r="E101" s="1" t="s">
        <v>1493</v>
      </c>
      <c r="F101" s="4" t="s">
        <v>1717</v>
      </c>
      <c r="G101" s="1" t="s">
        <v>1490</v>
      </c>
      <c r="H101" s="1" t="str">
        <f t="shared" si="1"/>
        <v xml:space="preserve"> &lt;a class="new" target="_blank" href="https://www.slideshare.net/jeremylv/dribbble-meetup-paris"&gt;&lt;img title="Join coinpayu to earn!" alt="coinpayu"  src="https://cdn.slidesharecdn.com/ss_thumbnails/dribbblemeetupparis-150629132633-lva1-app6892-thumbnail.jpg?width=560&amp;fit=bounds"&gt;&lt;span class="new_title"&gt;Dribbble Meetup Paris by Jeremy Le Van&lt;/span&gt; &lt;/a&gt;</v>
      </c>
    </row>
    <row r="102" spans="1:8" x14ac:dyDescent="0.25">
      <c r="A102" s="1" t="s">
        <v>1491</v>
      </c>
      <c r="B102" s="4" t="s">
        <v>1719</v>
      </c>
      <c r="C102" s="1" t="s">
        <v>1492</v>
      </c>
      <c r="D102" s="1"/>
      <c r="E102" s="1" t="s">
        <v>1493</v>
      </c>
      <c r="F102" s="4" t="s">
        <v>1720</v>
      </c>
      <c r="G102" s="1" t="s">
        <v>1490</v>
      </c>
      <c r="H102" s="1" t="str">
        <f t="shared" si="1"/>
        <v xml:space="preserve"> &lt;a class="new" target="_blank" href="https://www.slideshare.net/gsamman/the-future-of-mobile-beyond-payments-becoming-your-own-bank"&gt;&lt;img title="Join coinpayu to earn!" alt="coinpayu"  src=""&gt;&lt;span class="new_title"&gt;The Future of Mobile: Beyond Payments, Becoming Your Own Bank by George Samuel Samman&lt;/span&gt; &lt;/a&gt;</v>
      </c>
    </row>
    <row r="103" spans="1:8" x14ac:dyDescent="0.25">
      <c r="A103" s="1" t="s">
        <v>1491</v>
      </c>
      <c r="B103" s="4" t="s">
        <v>1721</v>
      </c>
      <c r="C103" s="1" t="s">
        <v>1492</v>
      </c>
      <c r="D103" s="1"/>
      <c r="E103" s="1" t="s">
        <v>1493</v>
      </c>
      <c r="F103" s="4" t="s">
        <v>1722</v>
      </c>
      <c r="G103" s="1" t="s">
        <v>1490</v>
      </c>
      <c r="H103" s="1" t="str">
        <f t="shared" si="1"/>
        <v xml:space="preserve"> &lt;a class="new" target="_blank" href="https://www.slideshare.net/spocto/the-future-of-mobile-marketing-with-smartphones"&gt;&lt;img title="Join coinpayu to earn!" alt="coinpayu"  src=""&gt;&lt;span class="new_title"&gt;The Future Of Mobile Marketing With Smartphones by spocto&lt;/span&gt; &lt;/a&gt;</v>
      </c>
    </row>
    <row r="104" spans="1:8" x14ac:dyDescent="0.25">
      <c r="A104" s="1" t="s">
        <v>1491</v>
      </c>
      <c r="B104" s="4" t="s">
        <v>1723</v>
      </c>
      <c r="C104" s="1" t="s">
        <v>1492</v>
      </c>
      <c r="D104" s="1"/>
      <c r="E104" s="1" t="s">
        <v>1493</v>
      </c>
      <c r="F104" s="4" t="s">
        <v>1724</v>
      </c>
      <c r="G104" s="1" t="s">
        <v>1490</v>
      </c>
      <c r="H104" s="1" t="str">
        <f t="shared" si="1"/>
        <v xml:space="preserve"> &lt;a class="new" target="_blank" href="https://www.slideshare.net/Freedactics/state-of-mobile-education"&gt;&lt;img title="Join coinpayu to earn!" alt="coinpayu"  src=""&gt;&lt;span class="new_title"&gt;State of Mobile Education by Freedactics&lt;/span&gt; &lt;/a&gt;</v>
      </c>
    </row>
    <row r="105" spans="1:8" x14ac:dyDescent="0.25">
      <c r="A105" s="1" t="s">
        <v>1491</v>
      </c>
      <c r="B105" s="4" t="s">
        <v>1725</v>
      </c>
      <c r="C105" s="1" t="s">
        <v>1492</v>
      </c>
      <c r="D105" s="1"/>
      <c r="E105" s="1" t="s">
        <v>1493</v>
      </c>
      <c r="F105" s="4" t="s">
        <v>1726</v>
      </c>
      <c r="G105" s="1" t="s">
        <v>1490</v>
      </c>
      <c r="H105" s="1" t="str">
        <f t="shared" si="1"/>
        <v xml:space="preserve"> &lt;a class="new" target="_blank" href="https://www.slideshare.net/shoobe01/phones-arent-flat-designing-for-people-data-ecosystems"&gt;&lt;img title="Join coinpayu to earn!" alt="coinpayu"  src=""&gt;&lt;span class="new_title"&gt;Phones Aren’t Flat: Designing for People, Data &amp; Ecosystems by Steven Hoober&lt;/span&gt; &lt;/a&gt;</v>
      </c>
    </row>
    <row r="106" spans="1:8" x14ac:dyDescent="0.25">
      <c r="A106" s="1" t="s">
        <v>1491</v>
      </c>
      <c r="B106" s="4" t="s">
        <v>1727</v>
      </c>
      <c r="C106" s="1" t="s">
        <v>1492</v>
      </c>
      <c r="D106" s="1" t="s">
        <v>1728</v>
      </c>
      <c r="E106" s="1" t="s">
        <v>1493</v>
      </c>
      <c r="F106" s="4" t="s">
        <v>1855</v>
      </c>
      <c r="G106" s="1" t="s">
        <v>1490</v>
      </c>
      <c r="H106" s="1" t="str">
        <f t="shared" si="1"/>
        <v xml:space="preserve"> &lt;a class="new" target="_blank" href="https://www.slideshare.net/SM4nonprofits/mobile-get-it-or-get-out"&gt;&lt;img title="Join coinpayu to earn!" alt="coinpayu"  src="https://cdn.slidesharecdn.com/ss_thumbnails/1-bencoitfinal-150619174241-lva1-app6891-thumbnail.jpg?width=560&amp;fit=bounds"&gt;&lt;span class="new_title"&gt;Mobile: Get It or Get Out by Social Media for Nonprofits&lt;/span&gt; &lt;/a&gt;</v>
      </c>
    </row>
    <row r="107" spans="1:8" x14ac:dyDescent="0.25">
      <c r="A107" s="1" t="s">
        <v>1491</v>
      </c>
      <c r="B107" s="4" t="s">
        <v>1729</v>
      </c>
      <c r="C107" s="1" t="s">
        <v>1492</v>
      </c>
      <c r="D107" s="1" t="s">
        <v>1730</v>
      </c>
      <c r="E107" s="1" t="s">
        <v>1493</v>
      </c>
      <c r="F107" s="4" t="s">
        <v>1856</v>
      </c>
      <c r="G107" s="1" t="s">
        <v>1490</v>
      </c>
      <c r="H107" s="1" t="str">
        <f t="shared" si="1"/>
        <v xml:space="preserve"> &lt;a class="new" target="_blank" href="https://www.slideshare.net/a16z/mew-a16z"&gt;&lt;img title="Join coinpayu to earn!" alt="coinpayu"  src="https://cdn.slidesharecdn.com/ss_thumbnails/mewa16z-150619153942-lva1-app6892-thumbnail.jpg?width=560&amp;fit=bounds"&gt;&lt;span class="new_title"&gt;Mobile Is Eating the World (2015) by a16z&lt;/span&gt; &lt;/a&gt;</v>
      </c>
    </row>
    <row r="108" spans="1:8" x14ac:dyDescent="0.25">
      <c r="A108" s="1" t="s">
        <v>1491</v>
      </c>
      <c r="B108" s="4" t="s">
        <v>1731</v>
      </c>
      <c r="C108" s="1" t="s">
        <v>1492</v>
      </c>
      <c r="D108" s="1" t="s">
        <v>1732</v>
      </c>
      <c r="E108" s="1" t="s">
        <v>1493</v>
      </c>
      <c r="F108" s="4" t="s">
        <v>1857</v>
      </c>
      <c r="G108" s="1" t="s">
        <v>1490</v>
      </c>
      <c r="H108" s="1" t="str">
        <f t="shared" si="1"/>
        <v xml:space="preserve"> &lt;a class="new" target="_blank" href="https://www.slideshare.net/LookoutInc/mobile-security-the-5-questions-modern-organizations-are-asking"&gt;&lt;img title="Join coinpayu to earn!" alt="coinpayu"  src="https://cdn.slidesharecdn.com/ss_thumbnails/whymobilesecurity-150617164452-lva1-app6891-thumbnail.jpg?width=560&amp;fit=bounds"&gt;&lt;span class="new_title"&gt;Mobile Security: The 5 Questions Modern Organizations Are Asking by Lookout&lt;/span&gt; &lt;/a&gt;</v>
      </c>
    </row>
    <row r="109" spans="1:8" x14ac:dyDescent="0.25">
      <c r="A109" s="1" t="s">
        <v>1491</v>
      </c>
      <c r="B109" s="4" t="s">
        <v>1733</v>
      </c>
      <c r="C109" s="1" t="s">
        <v>1492</v>
      </c>
      <c r="D109" s="1" t="s">
        <v>1734</v>
      </c>
      <c r="E109" s="1" t="s">
        <v>1493</v>
      </c>
      <c r="F109" s="4" t="s">
        <v>1858</v>
      </c>
      <c r="G109" s="1" t="s">
        <v>1490</v>
      </c>
      <c r="H109" s="1" t="str">
        <f t="shared" si="1"/>
        <v xml:space="preserve"> &lt;a class="new" target="_blank" href="https://www.slideshare.net/spocto/beginners-guide-to-mobile-marketing"&gt;&lt;img title="Join coinpayu to earn!" alt="coinpayu"  src="https://cdn.slidesharecdn.com/ss_thumbnails/beginnersguidetomobilemarketing-150617091121-lva1-app6891-thumbnail.jpg?width=560&amp;fit=bounds"&gt;&lt;span class="new_title"&gt;Beginner's Guide To Mobile Marketing by spocto&lt;/span&gt; &lt;/a&gt;</v>
      </c>
    </row>
    <row r="110" spans="1:8" x14ac:dyDescent="0.25">
      <c r="A110" s="1" t="s">
        <v>1491</v>
      </c>
      <c r="B110" s="4" t="s">
        <v>1735</v>
      </c>
      <c r="C110" s="1" t="s">
        <v>1492</v>
      </c>
      <c r="D110" s="1" t="s">
        <v>1737</v>
      </c>
      <c r="E110" s="1" t="s">
        <v>1493</v>
      </c>
      <c r="F110" s="4" t="s">
        <v>1736</v>
      </c>
      <c r="G110" s="1" t="s">
        <v>1490</v>
      </c>
      <c r="H110" s="1" t="str">
        <f t="shared" si="1"/>
        <v xml:space="preserve"> &lt;a class="new" target="_blank" href="https://www.slideshare.net/dmalenko/future-of-the-apps-what-startups-need-to-know"&gt;&lt;img title="Join coinpayu to earn!" alt="coinpayu"  src="https://cdn.slidesharecdn.com/ss_thumbnails/future-of-the-apps-150614202935-lva1-app6891-thumbnail.jpg?width=560&amp;fit=bounds"&gt;&lt;span class="new_title"&gt;Future of the Apps: what startups need to know by Dima Malenko&lt;/span&gt; &lt;/a&gt;</v>
      </c>
    </row>
    <row r="111" spans="1:8" x14ac:dyDescent="0.25">
      <c r="A111" s="1" t="s">
        <v>1491</v>
      </c>
      <c r="B111" s="4" t="s">
        <v>1738</v>
      </c>
      <c r="C111" s="1" t="s">
        <v>1492</v>
      </c>
      <c r="D111" s="1" t="s">
        <v>1739</v>
      </c>
      <c r="E111" s="1" t="s">
        <v>1493</v>
      </c>
      <c r="F111" s="4" t="s">
        <v>1859</v>
      </c>
      <c r="G111" s="1" t="s">
        <v>1490</v>
      </c>
      <c r="H111" s="1" t="str">
        <f t="shared" si="1"/>
        <v xml:space="preserve"> &lt;a class="new" target="_blank" href="https://www.slideshare.net/jjwu6266/introducing-apple-watch"&gt;&lt;img title="Join coinpayu to earn!" alt="coinpayu"  src="https://cdn.slidesharecdn.com/ss_thumbnails/applewatch-150614144921-lva1-app6892-thumbnail.jpg?width=560&amp;fit=bounds"&gt;&lt;span class="new_title"&gt;Introducing Apple Watch by JJ Wu&lt;/span&gt; &lt;/a&gt;</v>
      </c>
    </row>
    <row r="112" spans="1:8" x14ac:dyDescent="0.25">
      <c r="A112" s="1" t="s">
        <v>1491</v>
      </c>
      <c r="B112" s="4" t="s">
        <v>1740</v>
      </c>
      <c r="C112" s="1" t="s">
        <v>1492</v>
      </c>
      <c r="D112" s="1" t="s">
        <v>1742</v>
      </c>
      <c r="E112" s="1" t="s">
        <v>1493</v>
      </c>
      <c r="F112" s="4" t="s">
        <v>1741</v>
      </c>
      <c r="G112" s="1" t="s">
        <v>1490</v>
      </c>
      <c r="H112" s="1" t="str">
        <f t="shared" si="1"/>
        <v xml:space="preserve"> &lt;a class="new" target="_blank" href="https://www.slideshare.net/TimMesserschmidt/the-anatomy-of-invisible-apps"&gt;&lt;img title="Join coinpayu to earn!" alt="coinpayu"  src="https://cdn.slidesharecdn.com/ss_thumbnails/invisible-150613071841-lva1-app6892-thumbnail.jpg?width=560&amp;fit=bounds"&gt;&lt;span class="new_title"&gt;The Anatomy of Invisible Apps by Tim Messerschmidt&lt;/span&gt; &lt;/a&gt;</v>
      </c>
    </row>
    <row r="113" spans="1:8" x14ac:dyDescent="0.25">
      <c r="A113" s="1" t="s">
        <v>1491</v>
      </c>
      <c r="B113" s="4" t="s">
        <v>1743</v>
      </c>
      <c r="C113" s="1" t="s">
        <v>1492</v>
      </c>
      <c r="D113" s="1" t="s">
        <v>1744</v>
      </c>
      <c r="E113" s="1" t="s">
        <v>1493</v>
      </c>
      <c r="F113" s="4" t="s">
        <v>1860</v>
      </c>
      <c r="G113" s="1" t="s">
        <v>1490</v>
      </c>
      <c r="H113" s="1" t="str">
        <f t="shared" si="1"/>
        <v xml:space="preserve"> &lt;a class="new" target="_blank" href="https://www.slideshare.net/13np/mobile-marketing-49309090"&gt;&lt;img title="Join coinpayu to earn!" alt="coinpayu"  src="https://cdn.slidesharecdn.com/ss_thumbnails/natalieprsaflipbook-150612104319-lva1-app6891-thumbnail.jpg?width=560&amp;fit=bounds"&gt;&lt;span class="new_title"&gt;Flipbook Digital Media: Mobile Marketing  by 13np&lt;/span&gt; &lt;/a&gt;</v>
      </c>
    </row>
    <row r="114" spans="1:8" x14ac:dyDescent="0.25">
      <c r="A114" s="1" t="s">
        <v>1491</v>
      </c>
      <c r="B114" s="4" t="s">
        <v>1745</v>
      </c>
      <c r="C114" s="1" t="s">
        <v>1492</v>
      </c>
      <c r="D114" s="1" t="s">
        <v>1746</v>
      </c>
      <c r="E114" s="1" t="s">
        <v>1493</v>
      </c>
      <c r="F114" s="4" t="s">
        <v>1861</v>
      </c>
      <c r="G114" s="1" t="s">
        <v>1490</v>
      </c>
      <c r="H114" s="1" t="str">
        <f t="shared" si="1"/>
        <v xml:space="preserve"> &lt;a class="new" target="_blank" href="https://www.slideshare.net/fidelman/10-mobile-marketing-campaigns-that-went-viral-and-made-millions"&gt;&lt;img title="Join coinpayu to earn!" alt="coinpayu"  src="https://cdn.slidesharecdn.com/ss_thumbnails/mobilemarketingpresentationforslideshare-150612071449-lva1-app6892-thumbnail.jpg?width=560&amp;fit=bounds"&gt;&lt;span class="new_title"&gt;10 Mobile Marketing Campaigns That Went Viral and Made Millions by Mark Fidelman&lt;/span&gt; &lt;/a&gt;</v>
      </c>
    </row>
    <row r="115" spans="1:8" x14ac:dyDescent="0.25">
      <c r="A115" s="1" t="s">
        <v>1491</v>
      </c>
      <c r="B115" s="4" t="s">
        <v>1747</v>
      </c>
      <c r="C115" s="1" t="s">
        <v>1492</v>
      </c>
      <c r="D115" s="1" t="s">
        <v>1748</v>
      </c>
      <c r="E115" s="1" t="s">
        <v>1493</v>
      </c>
      <c r="F115" s="4" t="s">
        <v>1862</v>
      </c>
      <c r="G115" s="1" t="s">
        <v>1490</v>
      </c>
      <c r="H115" s="1" t="str">
        <f t="shared" si="1"/>
        <v xml:space="preserve"> &lt;a class="new" target="_blank" href="https://www.slideshare.net/aiurchenko/iforum-iurchenkoux-eng"&gt;&lt;img title="Join coinpayu to earn!" alt="coinpayu"  src="https://cdn.slidesharecdn.com/ss_thumbnails/iforum-iurchenko-uxeng-150611210152-lva1-app6891-thumbnail.jpg?width=560&amp;fit=bounds"&gt;&lt;span class="new_title"&gt;UX  Research in mobile by Anna Iurchenko&lt;/span&gt; &lt;/a&gt;</v>
      </c>
    </row>
    <row r="116" spans="1:8" x14ac:dyDescent="0.25">
      <c r="A116" s="1" t="s">
        <v>1491</v>
      </c>
      <c r="B116" s="4" t="s">
        <v>1749</v>
      </c>
      <c r="C116" s="1" t="s">
        <v>1492</v>
      </c>
      <c r="D116" s="1" t="s">
        <v>1750</v>
      </c>
      <c r="E116" s="1" t="s">
        <v>1493</v>
      </c>
      <c r="F116" s="4" t="s">
        <v>1863</v>
      </c>
      <c r="G116" s="1" t="s">
        <v>1490</v>
      </c>
      <c r="H116" s="1" t="str">
        <f t="shared" si="1"/>
        <v xml:space="preserve"> &lt;a class="new" target="_blank" href="https://www.slideshare.net/eMarketerInc/emarketer-webinar-key-trends-in-mobile-advertising"&gt;&lt;img title="Join coinpayu to earn!" alt="coinpayu"  src="https://cdn.slidesharecdn.com/ss_thumbnails/emarketerwebinarkeytrendsmobileadvertising-150611181857-lva1-app6891-thumbnail.jpg?width=560&amp;fit=bounds"&gt;&lt;span class="new_title"&gt;eMarketer Webinar: Key Trends in Mobile Advertising by eMarketer&lt;/span&gt; &lt;/a&gt;</v>
      </c>
    </row>
    <row r="117" spans="1:8" x14ac:dyDescent="0.25">
      <c r="A117" s="1" t="s">
        <v>1491</v>
      </c>
      <c r="B117" s="4" t="s">
        <v>1751</v>
      </c>
      <c r="C117" s="1" t="s">
        <v>1492</v>
      </c>
      <c r="D117" s="1" t="s">
        <v>1752</v>
      </c>
      <c r="E117" s="1" t="s">
        <v>1493</v>
      </c>
      <c r="F117" s="4" t="s">
        <v>1864</v>
      </c>
      <c r="G117" s="1" t="s">
        <v>1490</v>
      </c>
      <c r="H117" s="1" t="str">
        <f t="shared" si="1"/>
        <v xml:space="preserve"> &lt;a class="new" target="_blank" href="https://www.slideshare.net/semrush_webinars/a-complete-guide-to-mobile-serach"&gt;&lt;img title="Join coinpayu to earn!" alt="coinpayu"  src="https://cdn.slidesharecdn.com/ss_thumbnails/acompleteguidetomobileserachbykostastvoudourisandadamwhittlesforsemrush-150611123606-lva1-app6892-thumbnail.jpg?width=560&amp;fit=bounds"&gt;&lt;span class="new_title"&gt;A Complete Guide to Mobile Search by semrush_webinars&lt;/span&gt; &lt;/a&gt;</v>
      </c>
    </row>
    <row r="118" spans="1:8" x14ac:dyDescent="0.25">
      <c r="A118" s="1" t="s">
        <v>1491</v>
      </c>
      <c r="B118" s="4" t="s">
        <v>1753</v>
      </c>
      <c r="C118" s="1" t="s">
        <v>1492</v>
      </c>
      <c r="D118" s="1"/>
      <c r="E118" s="1" t="s">
        <v>1493</v>
      </c>
      <c r="F118" s="4" t="s">
        <v>1865</v>
      </c>
      <c r="G118" s="1" t="s">
        <v>1490</v>
      </c>
      <c r="H118" s="1" t="str">
        <f t="shared" si="1"/>
        <v xml:space="preserve"> &lt;a class="new" target="_blank" href="https://www.slideshare.net/ArabNetME/why-mobile-is-becoming-more-important-than-ever-arabnet-digital-summit-2015-49259684"&gt;&lt;img title="Join coinpayu to earn!" alt="coinpayu"  src=""&gt;&lt;span class="new_title"&gt;Why Mobile is Becoming More Important Than Ever; ArabNet Digital Summit 2015 by ArabNet ME&lt;/span&gt; &lt;/a&gt;</v>
      </c>
    </row>
    <row r="119" spans="1:8" x14ac:dyDescent="0.25">
      <c r="A119" s="1" t="s">
        <v>1491</v>
      </c>
      <c r="B119" s="4" t="s">
        <v>1754</v>
      </c>
      <c r="C119" s="1" t="s">
        <v>1492</v>
      </c>
      <c r="D119" s="1"/>
      <c r="E119" s="1" t="s">
        <v>1493</v>
      </c>
      <c r="F119" s="4" t="s">
        <v>1755</v>
      </c>
      <c r="G119" s="1" t="s">
        <v>1490</v>
      </c>
      <c r="H119" s="1" t="str">
        <f t="shared" si="1"/>
        <v xml:space="preserve"> &lt;a class="new" target="_blank" href="https://www.slideshare.net/SamsungBusinessUSA/the-rise-of-the-mobile-empire"&gt;&lt;img title="Join coinpayu to earn!" alt="coinpayu"  src=""&gt;&lt;span class="new_title"&gt;The Rise of the Mobile Empire by Samsung Business USA&lt;/span&gt; &lt;/a&gt;</v>
      </c>
    </row>
    <row r="120" spans="1:8" x14ac:dyDescent="0.25">
      <c r="A120" s="1" t="s">
        <v>1491</v>
      </c>
      <c r="B120" s="4" t="s">
        <v>1756</v>
      </c>
      <c r="C120" s="1" t="s">
        <v>1492</v>
      </c>
      <c r="D120" s="1"/>
      <c r="E120" s="1" t="s">
        <v>1493</v>
      </c>
      <c r="F120" s="4" t="s">
        <v>1757</v>
      </c>
      <c r="G120" s="1" t="s">
        <v>1490</v>
      </c>
      <c r="H120" s="1" t="str">
        <f t="shared" si="1"/>
        <v xml:space="preserve"> &lt;a class="new" target="_blank" href="https://www.slideshare.net/marketo/a-marketers-guide-to-going-mobile"&gt;&lt;img title="Join coinpayu to earn!" alt="coinpayu"  src=""&gt;&lt;span class="new_title"&gt;A Marketer's Guide to Going Mobile by Marketo&lt;/span&gt; &lt;/a&gt;</v>
      </c>
    </row>
    <row r="121" spans="1:8" x14ac:dyDescent="0.25">
      <c r="A121" s="1" t="s">
        <v>1491</v>
      </c>
      <c r="B121" s="4" t="s">
        <v>1758</v>
      </c>
      <c r="C121" s="1" t="s">
        <v>1492</v>
      </c>
      <c r="D121" s="1"/>
      <c r="E121" s="1" t="s">
        <v>1493</v>
      </c>
      <c r="F121" s="4" t="s">
        <v>1759</v>
      </c>
      <c r="G121" s="1" t="s">
        <v>1490</v>
      </c>
      <c r="H121" s="1" t="str">
        <f t="shared" si="1"/>
        <v xml:space="preserve"> &lt;a class="new" target="_blank" href="https://www.slideshare.net/Vertechx9/i-os9-49158718"&gt;&lt;img title="Join coinpayu to earn!" alt="coinpayu"  src=""&gt;&lt;span class="new_title"&gt;Things you need to know about upgrading to apple iOS 9 by Vertechx 9&lt;/span&gt; &lt;/a&gt;</v>
      </c>
    </row>
    <row r="122" spans="1:8" x14ac:dyDescent="0.25">
      <c r="A122" s="1" t="s">
        <v>1491</v>
      </c>
      <c r="B122" s="4" t="s">
        <v>1760</v>
      </c>
      <c r="C122" s="1" t="s">
        <v>1492</v>
      </c>
      <c r="D122" s="1"/>
      <c r="E122" s="1" t="s">
        <v>1493</v>
      </c>
      <c r="F122" s="4" t="s">
        <v>1761</v>
      </c>
      <c r="G122" s="1" t="s">
        <v>1490</v>
      </c>
      <c r="H122" s="1" t="str">
        <f t="shared" si="1"/>
        <v xml:space="preserve"> &lt;a class="new" target="_blank" href="https://www.slideshare.net/etsarkov/10-ways-to-better-engage-app-users-in-10-seconds"&gt;&lt;img title="Join coinpayu to earn!" alt="coinpayu"  src=""&gt;&lt;span class="new_title"&gt;10 Ways to Better Engage App Users in 10 Seconds by Evgeny Tsarkov&lt;/span&gt; &lt;/a&gt;</v>
      </c>
    </row>
    <row r="123" spans="1:8" x14ac:dyDescent="0.25">
      <c r="A123" s="1" t="s">
        <v>1491</v>
      </c>
      <c r="B123" s="4" t="s">
        <v>1762</v>
      </c>
      <c r="C123" s="1" t="s">
        <v>1492</v>
      </c>
      <c r="D123" s="1"/>
      <c r="E123" s="1" t="s">
        <v>1493</v>
      </c>
      <c r="F123" s="4" t="s">
        <v>1763</v>
      </c>
      <c r="G123" s="1" t="s">
        <v>1490</v>
      </c>
      <c r="H123" s="1" t="str">
        <f t="shared" si="1"/>
        <v xml:space="preserve"> &lt;a class="new" target="_blank" href="https://www.slideshare.net/LuminaryLabs/sxsw-2015-060515"&gt;&lt;img title="Join coinpayu to earn!" alt="coinpayu"  src=""&gt;&lt;span class="new_title"&gt;SxSW 2015: The Year of the Meerkat by Luminary Labs&lt;/span&gt; &lt;/a&gt;</v>
      </c>
    </row>
    <row r="124" spans="1:8" x14ac:dyDescent="0.25">
      <c r="A124" s="1" t="s">
        <v>1491</v>
      </c>
      <c r="B124" s="4" t="s">
        <v>1764</v>
      </c>
      <c r="C124" s="1" t="s">
        <v>1492</v>
      </c>
      <c r="D124" s="1"/>
      <c r="E124" s="1" t="s">
        <v>1493</v>
      </c>
      <c r="F124" s="4" t="s">
        <v>1765</v>
      </c>
      <c r="G124" s="1" t="s">
        <v>1490</v>
      </c>
      <c r="H124" s="1" t="str">
        <f t="shared" si="1"/>
        <v xml:space="preserve"> &lt;a class="new" target="_blank" href="https://www.slideshare.net/Localytics/app-value-101-how-i-learned-to-avoid-bombarding-users-with-disruptive-messages"&gt;&lt;img title="Join coinpayu to earn!" alt="coinpayu"  src=""&gt;&lt;span class="new_title"&gt;App Value 101: How I Learned to Avoid Bombarding Users with Disruptive Messages by Localytics&lt;/span&gt; &lt;/a&gt;</v>
      </c>
    </row>
    <row r="125" spans="1:8" x14ac:dyDescent="0.25">
      <c r="A125" s="1" t="s">
        <v>1491</v>
      </c>
      <c r="B125" s="4" t="s">
        <v>1766</v>
      </c>
      <c r="C125" s="1" t="s">
        <v>1492</v>
      </c>
      <c r="D125" s="1"/>
      <c r="E125" s="1" t="s">
        <v>1493</v>
      </c>
      <c r="F125" s="4" t="s">
        <v>1767</v>
      </c>
      <c r="G125" s="1" t="s">
        <v>1490</v>
      </c>
      <c r="H125" s="1" t="str">
        <f t="shared" si="1"/>
        <v xml:space="preserve"> &lt;a class="new" target="_blank" href="https://www.slideshare.net/Ericsson/ericsson-mobility-report-june-2015-north-east-asia-appendix"&gt;&lt;img title="Join coinpayu to earn!" alt="coinpayu"  src=""&gt;&lt;span class="new_title"&gt;Ericsson Mobility Report - June 2015 - North East Asia appendix by Ericsson&lt;/span&gt; &lt;/a&gt;</v>
      </c>
    </row>
    <row r="126" spans="1:8" x14ac:dyDescent="0.25">
      <c r="A126" s="1" t="s">
        <v>1491</v>
      </c>
      <c r="B126" s="4" t="s">
        <v>1768</v>
      </c>
      <c r="C126" s="1" t="s">
        <v>1492</v>
      </c>
      <c r="D126" s="1"/>
      <c r="E126" s="1" t="s">
        <v>1493</v>
      </c>
      <c r="F126" s="4" t="s">
        <v>1769</v>
      </c>
      <c r="G126" s="1" t="s">
        <v>1490</v>
      </c>
      <c r="H126" s="1" t="str">
        <f t="shared" si="1"/>
        <v xml:space="preserve"> &lt;a class="new" target="_blank" href="https://www.slideshare.net/lainians/mopubmarketplacereportfinal"&gt;&lt;img title="Join coinpayu to earn!" alt="coinpayu"  src=""&gt;&lt;span class="new_title"&gt;MoPub Marketplace Report 2015-Q1 by Elain Szu&lt;/span&gt; &lt;/a&gt;</v>
      </c>
    </row>
    <row r="127" spans="1:8" x14ac:dyDescent="0.25">
      <c r="A127" s="1" t="s">
        <v>1491</v>
      </c>
      <c r="B127" s="4" t="s">
        <v>1770</v>
      </c>
      <c r="C127" s="1" t="s">
        <v>1492</v>
      </c>
      <c r="D127" s="1"/>
      <c r="E127" s="1" t="s">
        <v>1493</v>
      </c>
      <c r="F127" s="4" t="s">
        <v>1771</v>
      </c>
      <c r="G127" s="1" t="s">
        <v>1490</v>
      </c>
      <c r="H127" s="1" t="str">
        <f t="shared" si="1"/>
        <v xml:space="preserve"> &lt;a class="new" target="_blank" href="https://www.slideshare.net/MicahCohen1/guide-to-marketing-on-mobile"&gt;&lt;img title="Join coinpayu to earn!" alt="coinpayu"  src=""&gt;&lt;span class="new_title"&gt;Guide to Marketing on Mobile by Twenty20 Inc.&lt;/span&gt; &lt;/a&gt;</v>
      </c>
    </row>
    <row r="128" spans="1:8" x14ac:dyDescent="0.25">
      <c r="A128" s="1" t="s">
        <v>1491</v>
      </c>
      <c r="B128" s="4" t="s">
        <v>1772</v>
      </c>
      <c r="C128" s="1" t="s">
        <v>1492</v>
      </c>
      <c r="D128" s="1"/>
      <c r="E128" s="1" t="s">
        <v>1493</v>
      </c>
      <c r="F128" s="4" t="s">
        <v>1773</v>
      </c>
      <c r="G128" s="1" t="s">
        <v>1490</v>
      </c>
      <c r="H128" s="1" t="str">
        <f t="shared" si="1"/>
        <v xml:space="preserve"> &lt;a class="new" target="_blank" href="https://www.slideshare.net/gillcleeren/building-your-first-android-app-using-xamarin"&gt;&lt;img title="Join coinpayu to earn!" alt="coinpayu"  src=""&gt;&lt;span class="new_title"&gt;Building your first android app using Xamarin by Gill Cleeren&lt;/span&gt; &lt;/a&gt;</v>
      </c>
    </row>
    <row r="129" spans="1:8" x14ac:dyDescent="0.25">
      <c r="A129" s="1" t="s">
        <v>1491</v>
      </c>
      <c r="B129" s="4" t="s">
        <v>1774</v>
      </c>
      <c r="C129" s="1" t="s">
        <v>1492</v>
      </c>
      <c r="D129" s="1"/>
      <c r="E129" s="1" t="s">
        <v>1493</v>
      </c>
      <c r="F129" s="4" t="s">
        <v>1775</v>
      </c>
      <c r="G129" s="1" t="s">
        <v>1490</v>
      </c>
      <c r="H129" s="1" t="str">
        <f t="shared" si="1"/>
        <v xml:space="preserve"> &lt;a class="new" target="_blank" href="https://www.slideshare.net/KyleLacy/moments-matter-technology-trends-changing-the-way-we-live-work-and-communicate"&gt;&lt;img title="Join coinpayu to earn!" alt="coinpayu"  src=""&gt;&lt;span class="new_title"&gt;Moments Matter - Technology Trends Changing the Way We Live, Work and Communicate by Kyle Lacy&lt;/span&gt; &lt;/a&gt;</v>
      </c>
    </row>
  </sheetData>
  <hyperlinks>
    <hyperlink ref="B2" r:id="rId1" display="https://drive.internxt.com/folder/https://drive.internxt.com/7efe42f8-5007-44bf-a7b1-1927c5b1dcb6"/>
    <hyperlink ref="B3" r:id="rId2" display="https://www.dropbox.com/scl/fo/5lf0h6bx9erurinhmhbrw/h/Phone%20wallpapers2.jpeg?rlkey=bdsus9kws5pw3aejn3wvl87tn&amp;dl=0"/>
    <hyperlink ref="D2" r:id="rId3" display="https://aguattallahehiri.egnyte.com/dd/k6bq5wuMNM?thumbNail=true&amp;entryId=4b4ff65a-e8f8-4f9b-ba65-1b287379c92c&amp;w=32&amp;h=32&amp;type=center"/>
  </hyperlinks>
  <pageMargins left="0.7" right="0.7" top="0.75" bottom="0.75" header="0.3" footer="0.3"/>
  <pageSetup paperSize="9" orientation="portrait" verticalDpi="0"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129"/>
  <sheetViews>
    <sheetView workbookViewId="0">
      <selection activeCell="F2" sqref="F2:F129"/>
    </sheetView>
  </sheetViews>
  <sheetFormatPr defaultRowHeight="15" x14ac:dyDescent="0.25"/>
  <cols>
    <col min="1" max="1" width="35" style="1" customWidth="1"/>
    <col min="2" max="2" width="21.7109375" style="1" customWidth="1"/>
    <col min="3" max="3" width="30.28515625" style="1" customWidth="1"/>
    <col min="4" max="6" width="21.7109375" style="1" customWidth="1"/>
    <col min="7" max="7" width="13.7109375" style="1" customWidth="1"/>
    <col min="8" max="8" width="54.42578125" style="1" customWidth="1"/>
    <col min="9" max="9" width="4" style="1" customWidth="1"/>
    <col min="10" max="10" width="32.5703125" style="1" customWidth="1"/>
    <col min="11" max="11" width="4" style="1" customWidth="1"/>
    <col min="12" max="12" width="14.85546875" style="1" customWidth="1"/>
    <col min="13" max="13" width="4" style="1" customWidth="1"/>
    <col min="14" max="14" width="9.140625" style="7"/>
    <col min="15" max="16384" width="9.140625" style="1"/>
  </cols>
  <sheetData>
    <row r="2" spans="1:6" x14ac:dyDescent="0.25">
      <c r="A2" s="1" t="s">
        <v>1494</v>
      </c>
      <c r="B2" s="1" t="s">
        <v>1498</v>
      </c>
      <c r="C2" s="1" t="s">
        <v>1495</v>
      </c>
      <c r="D2" s="1" t="s">
        <v>1499</v>
      </c>
      <c r="E2" s="1" t="s">
        <v>1496</v>
      </c>
      <c r="F2" s="1" t="str">
        <f>A2&amp;""&amp;B2&amp;""&amp;C2&amp;""&amp;D2&amp;""&amp;E2</f>
        <v>&lt;a href="https://www.slideshare.net/aleydasolis/mobilefirst-seo-the-marketers-edition-3xedigital" target="_blank"&gt;&lt;img src="https://cdn.slidesharecdn.com/ss_thumbnails/seoinamobilefirsteramarktetersedition-170209083920-thumbnail.jpg?width=560&amp;fit=bounds" alt="image host"/&gt;&lt;/a&gt;</v>
      </c>
    </row>
    <row r="3" spans="1:6" x14ac:dyDescent="0.25">
      <c r="A3" s="1" t="s">
        <v>1494</v>
      </c>
      <c r="B3" s="1" t="s">
        <v>1500</v>
      </c>
      <c r="C3" s="1" t="s">
        <v>1495</v>
      </c>
      <c r="D3" s="1" t="s">
        <v>1501</v>
      </c>
      <c r="E3" s="1" t="s">
        <v>1496</v>
      </c>
      <c r="F3" s="1" t="str">
        <f t="shared" ref="F3:F66" si="0">A3&amp;""&amp;B3&amp;""&amp;C3&amp;""&amp;D3&amp;""&amp;E3</f>
        <v>&lt;a href="https://www.slideshare.net/a16z/mobile-is-eating-the-world-2016" target="_blank"&gt;&lt;img src="https://cdn.slidesharecdn.com/ss_thumbnails/mew2016bevansa16z-160329150243-thumbnail.jpg?width=560&amp;fit=bounds" alt="image host"/&gt;&lt;/a&gt;</v>
      </c>
    </row>
    <row r="4" spans="1:6" x14ac:dyDescent="0.25">
      <c r="A4" s="1" t="s">
        <v>1494</v>
      </c>
      <c r="B4" s="1" t="s">
        <v>1502</v>
      </c>
      <c r="C4" s="1" t="s">
        <v>1495</v>
      </c>
      <c r="D4" s="1" t="s">
        <v>1503</v>
      </c>
      <c r="E4" s="1" t="s">
        <v>1496</v>
      </c>
      <c r="F4" s="1" t="str">
        <f t="shared" si="0"/>
        <v>&lt;a href="https://www.slideshare.net/liamboogar/audience-4-keys-to-the-future-of-mobile-video" target="_blank"&gt;&lt;img src="https://cdn.slidesharecdn.com/ss_thumbnails/4keystothefutureofmobilevideo-smrtr-160316161032-thumbnail.jpg?width=560&amp;fit=bounds" alt="image host"/&gt;&lt;/a&gt;</v>
      </c>
    </row>
    <row r="5" spans="1:6" x14ac:dyDescent="0.25">
      <c r="A5" s="1" t="s">
        <v>1494</v>
      </c>
      <c r="B5" s="1" t="s">
        <v>1504</v>
      </c>
      <c r="C5" s="1" t="s">
        <v>1495</v>
      </c>
      <c r="D5" s="1" t="s">
        <v>1505</v>
      </c>
      <c r="E5" s="1" t="s">
        <v>1496</v>
      </c>
      <c r="F5" s="1" t="str">
        <f t="shared" si="0"/>
        <v>&lt;a href="https://www.slideshare.net/Localytics/8-ways-to-personalize-your-app-in-under-30-minutes" target="_blank"&gt;&lt;img src="https://cdn.slidesharecdn.com/ss_thumbnails/personalizeyourapp-160303184824-thumbnail.jpg?width=560&amp;fit=bounds" alt="image host"/&gt;&lt;/a&gt;</v>
      </c>
    </row>
    <row r="6" spans="1:6" x14ac:dyDescent="0.25">
      <c r="A6" s="1" t="s">
        <v>1494</v>
      </c>
      <c r="B6" s="1" t="s">
        <v>1506</v>
      </c>
      <c r="C6" s="1" t="s">
        <v>1495</v>
      </c>
      <c r="D6" s="1" t="s">
        <v>1507</v>
      </c>
      <c r="E6" s="1" t="s">
        <v>1496</v>
      </c>
      <c r="F6" s="1" t="str">
        <f t="shared" si="0"/>
        <v>&lt;a href="https://www.slideshare.net/YRGlobal/david-sable-on-mobile-disruptoin" target="_blank"&gt;&lt;img src="https://cdn.slidesharecdn.com/ss_thumbnails/mobiledisruption2-160229150955-thumbnail.jpg?width=560&amp;fit=bounds" alt="image host"/&gt;&lt;/a&gt;</v>
      </c>
    </row>
    <row r="7" spans="1:6" x14ac:dyDescent="0.25">
      <c r="A7" s="1" t="s">
        <v>1494</v>
      </c>
      <c r="B7" s="1" t="s">
        <v>1508</v>
      </c>
      <c r="C7" s="1" t="s">
        <v>1495</v>
      </c>
      <c r="D7" s="1" t="s">
        <v>1509</v>
      </c>
      <c r="E7" s="1" t="s">
        <v>1496</v>
      </c>
      <c r="F7" s="1" t="str">
        <f t="shared" si="0"/>
        <v>&lt;a href="https://www.slideshare.net/AppAnnie/next-horizonemergingappmarketsen" target="_blank"&gt;&lt;img src="https://cdn.slidesharecdn.com/ss_thumbnails/next-horizon-emerging-app-markets-en-160226220440-thumbnail.jpg?width=560&amp;fit=bounds" alt="image host"/&gt;&lt;/a&gt;</v>
      </c>
    </row>
    <row r="8" spans="1:6" x14ac:dyDescent="0.25">
      <c r="A8" s="1" t="s">
        <v>1494</v>
      </c>
      <c r="B8" s="1" t="s">
        <v>1510</v>
      </c>
      <c r="C8" s="1" t="s">
        <v>1495</v>
      </c>
      <c r="D8" s="1" t="s">
        <v>1511</v>
      </c>
      <c r="E8" s="1" t="s">
        <v>1496</v>
      </c>
      <c r="F8" s="1" t="str">
        <f t="shared" si="0"/>
        <v>&lt;a href="https://www.slideshare.net/goldengekko/dmi-top-10-trends-at-mwc16-58767449" target="_blank"&gt;&lt;img src="https://cdn.slidesharecdn.com/ss_thumbnails/dmitop10trendsatmwc16-160226171552-thumbnail.jpg?width=560&amp;fit=bounds" alt="image host"/&gt;&lt;/a&gt;</v>
      </c>
    </row>
    <row r="9" spans="1:6" x14ac:dyDescent="0.25">
      <c r="A9" s="1" t="s">
        <v>1494</v>
      </c>
      <c r="B9" s="1" t="s">
        <v>1512</v>
      </c>
      <c r="C9" s="1" t="s">
        <v>1495</v>
      </c>
      <c r="D9" s="1" t="s">
        <v>1513</v>
      </c>
      <c r="E9" s="1" t="s">
        <v>1496</v>
      </c>
      <c r="F9" s="1" t="str">
        <f t="shared" si="0"/>
        <v>&lt;a href="https://www.slideshare.net/AppAnnie/chinese-new-year-reaches-mobile-tipping-point-58566690" target="_blank"&gt;&lt;img src="https://cdn.slidesharecdn.com/ss_thumbnails/cmktmobileappsbringgreatercheertochinesenewyear1-160222172620-thumbnail.jpg?width=560&amp;fit=bounds" alt="image host"/&gt;&lt;/a&gt;</v>
      </c>
    </row>
    <row r="10" spans="1:6" x14ac:dyDescent="0.25">
      <c r="A10" s="1" t="s">
        <v>1494</v>
      </c>
      <c r="B10" s="1" t="s">
        <v>1514</v>
      </c>
      <c r="C10" s="1" t="s">
        <v>1495</v>
      </c>
      <c r="D10" s="1" t="s">
        <v>1515</v>
      </c>
      <c r="E10" s="1" t="s">
        <v>1496</v>
      </c>
      <c r="F10" s="1" t="str">
        <f t="shared" si="0"/>
        <v>&lt;a href="https://www.slideshare.net/geoffreydorne/how-instagram-onboards-new-users" target="_blank"&gt;&lt;img src="https://cdn.slidesharecdn.com/ss_thumbnails/insta-160218081401-thumbnail.jpg?width=560&amp;fit=bounds" alt="image host"/&gt;&lt;/a&gt;</v>
      </c>
    </row>
    <row r="11" spans="1:6" x14ac:dyDescent="0.25">
      <c r="A11" s="1" t="s">
        <v>1494</v>
      </c>
      <c r="B11" s="1" t="s">
        <v>1516</v>
      </c>
      <c r="C11" s="1" t="s">
        <v>1495</v>
      </c>
      <c r="D11" s="1" t="s">
        <v>1517</v>
      </c>
      <c r="E11" s="1" t="s">
        <v>1496</v>
      </c>
      <c r="F11" s="1" t="str">
        <f t="shared" si="0"/>
        <v>&lt;a href="https://www.slideshare.net/geoffreydorne/how-apple-music-onboards-new-users" target="_blank"&gt;&lt;img src="https://cdn.slidesharecdn.com/ss_thumbnails/apple-160218080941-thumbnail.jpg?width=560&amp;fit=bounds" alt="image host"/&gt;&lt;/a&gt;</v>
      </c>
    </row>
    <row r="12" spans="1:6" x14ac:dyDescent="0.25">
      <c r="A12" s="1" t="s">
        <v>1494</v>
      </c>
      <c r="B12" s="1" t="s">
        <v>1518</v>
      </c>
      <c r="C12" s="1" t="s">
        <v>1495</v>
      </c>
      <c r="D12" s="1" t="s">
        <v>1519</v>
      </c>
      <c r="E12" s="1" t="s">
        <v>1496</v>
      </c>
      <c r="F12" s="1" t="str">
        <f t="shared" si="0"/>
        <v>&lt;a href="https://www.slideshare.net/mmikowska/the-future-of-mobile-apps" target="_blank"&gt;&lt;img src="https://cdn.slidesharecdn.com/ss_thumbnails/thefutureofmobileapps-160217201958-thumbnail.jpg?width=560&amp;fit=bounds" alt="image host"/&gt;&lt;/a&gt;</v>
      </c>
    </row>
    <row r="13" spans="1:6" x14ac:dyDescent="0.25">
      <c r="A13" s="1" t="s">
        <v>1494</v>
      </c>
      <c r="B13" s="1" t="s">
        <v>1520</v>
      </c>
      <c r="C13" s="1" t="s">
        <v>1495</v>
      </c>
      <c r="D13" s="1" t="s">
        <v>1521</v>
      </c>
      <c r="E13" s="1" t="s">
        <v>1496</v>
      </c>
      <c r="F13" s="1" t="str">
        <f t="shared" si="0"/>
        <v>&lt;a href="https://www.slideshare.net/mobify/m-dot-extinction-the-next-evolution-of-mobile-web" target="_blank"&gt;&lt;img src="https://cdn.slidesharecdn.com/ss_thumbnails/ebook1602dino-160216005655-thumbnail.jpg?width=560&amp;fit=bounds" alt="image host"/&gt;&lt;/a&gt;</v>
      </c>
    </row>
    <row r="14" spans="1:6" x14ac:dyDescent="0.25">
      <c r="A14" s="1" t="s">
        <v>1494</v>
      </c>
      <c r="B14" s="1" t="s">
        <v>1522</v>
      </c>
      <c r="C14" s="1" t="s">
        <v>1495</v>
      </c>
      <c r="D14" s="1" t="s">
        <v>1523</v>
      </c>
      <c r="E14" s="1" t="s">
        <v>1496</v>
      </c>
      <c r="F14" s="1" t="str">
        <f t="shared" si="0"/>
        <v>&lt;a href="https://www.slideshare.net/LitmusApp/go-beyond-opens-clicks-using-data-to-optimize-your-clients-campaigns" target="_blank"&gt;&lt;img src="https://cdn.slidesharecdn.com/ss_thumbnails/digital-agency-day-go-beyond-opens-clicks-160204144811-thumbnail.jpg?width=560&amp;fit=bounds" alt="image host"/&gt;&lt;/a&gt;</v>
      </c>
    </row>
    <row r="15" spans="1:6" x14ac:dyDescent="0.25">
      <c r="A15" s="1" t="s">
        <v>1494</v>
      </c>
      <c r="B15" s="1" t="s">
        <v>1524</v>
      </c>
      <c r="C15" s="1" t="s">
        <v>1495</v>
      </c>
      <c r="D15" s="1" t="s">
        <v>1525</v>
      </c>
      <c r="E15" s="1" t="s">
        <v>1496</v>
      </c>
      <c r="F15" s="1" t="str">
        <f t="shared" si="0"/>
        <v>&lt;a href="https://www.slideshare.net/KyleSherman/ios-scroll-performance" target="_blank"&gt;&lt;img src="https://cdn.slidesharecdn.com/ss_thumbnails/iosscrollperformance-160203222139-thumbnail.jpg?width=560&amp;fit=bounds" alt="image host"/&gt;&lt;/a&gt;</v>
      </c>
    </row>
    <row r="16" spans="1:6" x14ac:dyDescent="0.25">
      <c r="A16" s="1" t="s">
        <v>1494</v>
      </c>
      <c r="B16" s="1" t="s">
        <v>1526</v>
      </c>
      <c r="C16" s="1" t="s">
        <v>1495</v>
      </c>
      <c r="D16" s="1" t="s">
        <v>1527</v>
      </c>
      <c r="E16" s="1" t="s">
        <v>1496</v>
      </c>
      <c r="F16" s="1" t="str">
        <f t="shared" si="0"/>
        <v>&lt;a href="https://www.slideshare.net/DeloitteUS/2015-us-global-mobile-consumer-survey" target="_blank"&gt;&lt;img src="https://cdn.slidesharecdn.com/ss_thumbnails/2015-us-global-mobile-consumer-92de25b0-1b19-43d1-a8f7-d1fdc5e33fa6-1132500893-160202141502-thumbnail.jpg?width=560&amp;fit=bounds" alt="image host"/&gt;&lt;/a&gt;</v>
      </c>
    </row>
    <row r="17" spans="1:6" x14ac:dyDescent="0.25">
      <c r="A17" s="1" t="s">
        <v>1494</v>
      </c>
      <c r="B17" s="1" t="s">
        <v>1528</v>
      </c>
      <c r="C17" s="1" t="s">
        <v>1495</v>
      </c>
      <c r="D17" s="1" t="s">
        <v>1529</v>
      </c>
      <c r="E17" s="1" t="s">
        <v>1496</v>
      </c>
      <c r="F17" s="1" t="str">
        <f t="shared" si="0"/>
        <v>&lt;a href="https://www.slideshare.net/mmikowska/2015-year-in-review-mobile" target="_blank"&gt;&lt;img src="https://cdn.slidesharecdn.com/ss_thumbnails/mobile2015yearinreview-160130012200-thumbnail.jpg?width=560&amp;fit=bounds" alt="image host"/&gt;&lt;/a&gt;</v>
      </c>
    </row>
    <row r="18" spans="1:6" x14ac:dyDescent="0.25">
      <c r="A18" s="1" t="s">
        <v>1494</v>
      </c>
      <c r="B18" s="1" t="s">
        <v>1530</v>
      </c>
      <c r="C18" s="1" t="s">
        <v>1495</v>
      </c>
      <c r="D18" s="1" t="s">
        <v>1531</v>
      </c>
      <c r="E18" s="1" t="s">
        <v>1496</v>
      </c>
      <c r="F18" s="1" t="str">
        <f t="shared" si="0"/>
        <v>&lt;a href="https://www.slideshare.net/scott.gardner/to-swift-2and-beyond-57645605" target="_blank"&gt;&lt;img src="https://cdn.slidesharecdn.com/ss_thumbnails/toswift2-160129125007-thumbnail.jpg?width=560&amp;fit=bounds" alt="image host"/&gt;&lt;/a&gt;</v>
      </c>
    </row>
    <row r="19" spans="1:6" x14ac:dyDescent="0.25">
      <c r="A19" s="1" t="s">
        <v>1494</v>
      </c>
      <c r="B19" s="1" t="s">
        <v>1532</v>
      </c>
      <c r="C19" s="1" t="s">
        <v>1495</v>
      </c>
      <c r="D19" s="1" t="s">
        <v>1533</v>
      </c>
      <c r="E19" s="1" t="s">
        <v>1496</v>
      </c>
      <c r="F19" s="1" t="str">
        <f t="shared" si="0"/>
        <v>&lt;a href="https://www.slideshare.net/QuickHealPPTs/7-simple-tips-to-take-care-of-your-new-android-phone" target="_blank"&gt;&lt;img src="https://cdn.slidesharecdn.com/ss_thumbnails/7simpletipstotakecareofyournewandroidphone-160129094834-thumbnail.jpg?width=560&amp;fit=bounds" alt="image host"/&gt;&lt;/a&gt;</v>
      </c>
    </row>
    <row r="20" spans="1:6" x14ac:dyDescent="0.25">
      <c r="A20" s="1" t="s">
        <v>1494</v>
      </c>
      <c r="B20" s="1" t="s">
        <v>1534</v>
      </c>
      <c r="C20" s="1" t="s">
        <v>1495</v>
      </c>
      <c r="D20" s="1" t="s">
        <v>1535</v>
      </c>
      <c r="E20" s="1" t="s">
        <v>1496</v>
      </c>
      <c r="F20" s="1" t="str">
        <f t="shared" si="0"/>
        <v>&lt;a href="https://www.slideshare.net/Blogging4jobs/mobile-recruiting-best-practices" target="_blank"&gt;&lt;img src="https://cdn.slidesharecdn.com/ss_thumbnails/mobile-recruiting-best-practices-2016-realmatch-160126124302-thumbnail.jpg?width=560&amp;fit=bounds" alt="image host"/&gt;&lt;/a&gt;</v>
      </c>
    </row>
    <row r="21" spans="1:6" x14ac:dyDescent="0.25">
      <c r="A21" s="1" t="s">
        <v>1494</v>
      </c>
      <c r="B21" s="1" t="s">
        <v>1536</v>
      </c>
      <c r="C21" s="1" t="s">
        <v>1495</v>
      </c>
      <c r="D21" s="1" t="s">
        <v>1537</v>
      </c>
      <c r="E21" s="1" t="s">
        <v>1496</v>
      </c>
      <c r="F21" s="1" t="str">
        <f t="shared" si="0"/>
        <v>&lt;a href="https://www.slideshare.net/mmikowska/the-best-of-mobile-marketing-2015" target="_blank"&gt;&lt;img src="https://cdn.slidesharecdn.com/ss_thumbnails/thebestofmobilemarketing2015-160125203626-thumbnail.jpg?width=560&amp;fit=bounds" alt="image host"/&gt;&lt;/a&gt;</v>
      </c>
    </row>
    <row r="22" spans="1:6" x14ac:dyDescent="0.25">
      <c r="A22" s="1" t="s">
        <v>1494</v>
      </c>
      <c r="B22" s="1" t="s">
        <v>1538</v>
      </c>
      <c r="C22" s="1" t="s">
        <v>1495</v>
      </c>
      <c r="D22" s="1" t="s">
        <v>1539</v>
      </c>
      <c r="E22" s="1" t="s">
        <v>1496</v>
      </c>
      <c r="F22" s="1" t="str">
        <f t="shared" si="0"/>
        <v>&lt;a href="https://www.slideshare.net/EdithYeung/mobile-investment-outlook-2016-edith-yeung" target="_blank"&gt;&lt;img src="https://cdn.slidesharecdn.com/ss_thumbnails/mobileinvestmentoutlook2016-edithyeung-january2016-160123040255-thumbnail.jpg?width=560&amp;fit=bounds" alt="image host"/&gt;&lt;/a&gt;</v>
      </c>
    </row>
    <row r="23" spans="1:6" x14ac:dyDescent="0.25">
      <c r="A23" s="1" t="s">
        <v>1494</v>
      </c>
      <c r="B23" s="1" t="s">
        <v>1540</v>
      </c>
      <c r="C23" s="1" t="s">
        <v>1495</v>
      </c>
      <c r="D23" s="1" t="s">
        <v>1541</v>
      </c>
      <c r="E23" s="1" t="s">
        <v>1496</v>
      </c>
      <c r="F23" s="1" t="str">
        <f t="shared" si="0"/>
        <v>&lt;a href="https://www.slideshare.net/Blogging4jobs/why-mobile-is-essential-in-tech-recruiting" target="_blank"&gt;&lt;img src="https://cdn.slidesharecdn.com/ss_thumbnails/mobile-recruiting-presentation-2016-160121163447-thumbnail.jpg?width=560&amp;fit=bounds" alt="image host"/&gt;&lt;/a&gt;</v>
      </c>
    </row>
    <row r="24" spans="1:6" x14ac:dyDescent="0.25">
      <c r="A24" s="1" t="s">
        <v>1494</v>
      </c>
      <c r="B24" s="1" t="s">
        <v>1542</v>
      </c>
      <c r="C24" s="1" t="s">
        <v>1495</v>
      </c>
      <c r="D24" s="1" t="s">
        <v>1543</v>
      </c>
      <c r="E24" s="1" t="s">
        <v>1496</v>
      </c>
      <c r="F24" s="1" t="str">
        <f t="shared" si="0"/>
        <v>&lt;a href="https://www.slideshare.net/GGVCapital/ggv-capital-mobile-trends-review" target="_blank"&gt;&lt;img src="https://cdn.slidesharecdn.com/ss_thumbnails/ggvpovmobiletrends-160112231333-thumbnail.jpg?width=560&amp;fit=bounds" alt="image host"/&gt;&lt;/a&gt;</v>
      </c>
    </row>
    <row r="25" spans="1:6" x14ac:dyDescent="0.25">
      <c r="A25" s="1" t="s">
        <v>1494</v>
      </c>
      <c r="B25" s="1" t="s">
        <v>1544</v>
      </c>
      <c r="C25" s="1" t="s">
        <v>1495</v>
      </c>
      <c r="D25" s="1" t="s">
        <v>1545</v>
      </c>
      <c r="E25" s="1" t="s">
        <v>1496</v>
      </c>
      <c r="F25" s="1" t="str">
        <f t="shared" si="0"/>
        <v>&lt;a href="https://www.slideshare.net/InfoQ/scaling-uber" target="_blank"&gt;&lt;img src="https://cdn.slidesharecdn.com/ss_thumbnails/untitled-160111091757-thumbnail.jpg?width=560&amp;fit=bounds" alt="image host"/&gt;&lt;/a&gt;</v>
      </c>
    </row>
    <row r="26" spans="1:6" x14ac:dyDescent="0.25">
      <c r="A26" s="1" t="s">
        <v>1494</v>
      </c>
      <c r="B26" s="1" t="s">
        <v>1546</v>
      </c>
      <c r="C26" s="1" t="s">
        <v>1495</v>
      </c>
      <c r="D26" s="1" t="s">
        <v>1547</v>
      </c>
      <c r="E26" s="1" t="s">
        <v>1496</v>
      </c>
      <c r="F26" s="1" t="str">
        <f t="shared" si="0"/>
        <v>&lt;a href="https://www.slideshare.net/goldengekko/dmi-top-10-mobile-trends-2016" target="_blank"&gt;&lt;img src="https://cdn.slidesharecdn.com/ss_thumbnails/dmitop10mobiletrends2016-151214122650-thumbnail.jpg?width=560&amp;fit=bounds" alt="image host"/&gt;&lt;/a&gt;</v>
      </c>
    </row>
    <row r="27" spans="1:6" x14ac:dyDescent="0.25">
      <c r="A27" s="1" t="s">
        <v>1494</v>
      </c>
      <c r="B27" s="1" t="s">
        <v>1548</v>
      </c>
      <c r="C27" s="1" t="s">
        <v>1495</v>
      </c>
      <c r="D27" s="1" t="s">
        <v>1549</v>
      </c>
      <c r="E27" s="1" t="s">
        <v>1496</v>
      </c>
      <c r="F27" s="1" t="str">
        <f t="shared" si="0"/>
        <v>&lt;a href="https://www.slideshare.net/EdithYeung/mobile-is-eating-the-world-by-edith-yeung" target="_blank"&gt;&lt;img src="https://cdn.slidesharecdn.com/ss_thumbnails/mobileiseatingtheworld-november2015-151212134115-thumbnail.jpg?width=560&amp;fit=bounds" alt="image host"/&gt;&lt;/a&gt;</v>
      </c>
    </row>
    <row r="28" spans="1:6" x14ac:dyDescent="0.25">
      <c r="A28" s="1" t="s">
        <v>1494</v>
      </c>
      <c r="B28" s="1" t="s">
        <v>1550</v>
      </c>
      <c r="C28" s="1" t="s">
        <v>1495</v>
      </c>
      <c r="D28" s="1" t="s">
        <v>1551</v>
      </c>
      <c r="E28" s="1" t="s">
        <v>1496</v>
      </c>
      <c r="F28" s="1" t="str">
        <f t="shared" si="0"/>
        <v>&lt;a href="https://www.slideshare.net/joshclark/significant-glances-meaningful-interaction-on-the-wrist-56064946" target="_blank"&gt;&lt;img src="https://cdn.slidesharecdn.com/ss_thumbnails/apple-watch-151211191756-thumbnail.jpg?width=560&amp;fit=bounds" alt="image host"/&gt;&lt;/a&gt;</v>
      </c>
    </row>
    <row r="29" spans="1:6" x14ac:dyDescent="0.25">
      <c r="A29" s="1" t="s">
        <v>1494</v>
      </c>
      <c r="B29" s="1" t="s">
        <v>1552</v>
      </c>
      <c r="C29" s="1" t="s">
        <v>1495</v>
      </c>
      <c r="D29" s="1" t="s">
        <v>1553</v>
      </c>
      <c r="E29" s="1" t="s">
        <v>1496</v>
      </c>
      <c r="F29" s="1" t="str">
        <f t="shared" si="0"/>
        <v>&lt;a href="https://www.slideshare.net/SamsungBusinessUSA/seven-steps-to-an-effective-mobile-app-strategy" target="_blank"&gt;&lt;img src="https://cdn.slidesharecdn.com/ss_thumbnails/sevenstepstoaneffectivemobileappstrategy-151210164048-thumbnail.jpg?width=560&amp;fit=bounds" alt="image host"/&gt;&lt;/a&gt;</v>
      </c>
    </row>
    <row r="30" spans="1:6" x14ac:dyDescent="0.25">
      <c r="A30" s="1" t="s">
        <v>1494</v>
      </c>
      <c r="B30" s="1" t="s">
        <v>1554</v>
      </c>
      <c r="C30" s="1" t="s">
        <v>1495</v>
      </c>
      <c r="D30" s="1" t="s">
        <v>1555</v>
      </c>
      <c r="E30" s="1" t="s">
        <v>1496</v>
      </c>
      <c r="F30" s="1" t="str">
        <f t="shared" si="0"/>
        <v>&lt;a href="https://www.slideshare.net/INBOUND/joel-comm-the-live-streaming-revolution" target="_blank"&gt;&lt;img src="https://cdn.slidesharecdn.com/ss_thumbnails/joelcomm-inbound15-streamingvideo-151209213746-lva1-app6891-thumbnail.jpg?width=560&amp;fit=bounds" alt="image host"/&gt;&lt;/a&gt;</v>
      </c>
    </row>
    <row r="31" spans="1:6" x14ac:dyDescent="0.25">
      <c r="A31" s="1" t="s">
        <v>1494</v>
      </c>
      <c r="B31" s="1" t="s">
        <v>1556</v>
      </c>
      <c r="C31" s="1" t="s">
        <v>1495</v>
      </c>
      <c r="D31" s="1" t="s">
        <v>1557</v>
      </c>
      <c r="E31" s="1" t="s">
        <v>1496</v>
      </c>
      <c r="F31" s="1" t="str">
        <f t="shared" si="0"/>
        <v>&lt;a href="https://www.slideshare.net/generalassembly/the-android-revolution-55937852" target="_blank"&gt;&lt;img src="https://cdn.slidesharecdn.com/ss_thumbnails/androidrevfinalv03-151208151929-lva1-app6892-thumbnail.jpg?width=560&amp;fit=bounds" alt="image host"/&gt;&lt;/a&gt;</v>
      </c>
    </row>
    <row r="32" spans="1:6" x14ac:dyDescent="0.25">
      <c r="A32" s="1" t="s">
        <v>1494</v>
      </c>
      <c r="B32" s="1" t="s">
        <v>1558</v>
      </c>
      <c r="C32" s="1" t="s">
        <v>1495</v>
      </c>
      <c r="D32" s="1" t="s">
        <v>1559</v>
      </c>
      <c r="E32" s="1" t="s">
        <v>1496</v>
      </c>
      <c r="F32" s="1" t="str">
        <f t="shared" si="0"/>
        <v>&lt;a href="https://www.slideshare.net/techahead/10-mobile-app-design-principles" target="_blank"&gt;&lt;img src="https://cdn.slidesharecdn.com/ss_thumbnails/slidesharemobileappdesignprinciples-151208130710-lva1-app6891-thumbnail.jpg?width=560&amp;fit=bounds" alt="image host"/&gt;&lt;/a&gt;</v>
      </c>
    </row>
    <row r="33" spans="1:6" x14ac:dyDescent="0.25">
      <c r="A33" s="1" t="s">
        <v>1494</v>
      </c>
      <c r="B33" s="1" t="s">
        <v>1560</v>
      </c>
      <c r="C33" s="1" t="s">
        <v>1495</v>
      </c>
      <c r="D33" s="1" t="s">
        <v>1561</v>
      </c>
      <c r="E33" s="1" t="s">
        <v>1496</v>
      </c>
      <c r="F33" s="1" t="str">
        <f t="shared" si="0"/>
        <v>&lt;a href="https://www.slideshare.net/500startups/premoney-mena-2015-500-startups-edith-yeungdialing-up-returns-the-complete-guide-to-evaluating-mobile-startups" target="_blank"&gt;&lt;img src="https://cdn.slidesharecdn.com/ss_thumbnails/9tvo10l4sgarrdahzkbi-signature-509e38f284dbf8630eeef5bb32c36869f5e8403f416289e9cfa4c580d0b84e6c-poli-151206033113-lva1-app6892-thumbnail.jpg?width=560&amp;fit=bounds" alt="image host"/&gt;&lt;/a&gt;</v>
      </c>
    </row>
    <row r="34" spans="1:6" x14ac:dyDescent="0.25">
      <c r="A34" s="1" t="s">
        <v>1494</v>
      </c>
      <c r="B34" s="1" t="s">
        <v>1562</v>
      </c>
      <c r="C34" s="1" t="s">
        <v>1495</v>
      </c>
      <c r="D34" s="1" t="s">
        <v>1563</v>
      </c>
      <c r="E34" s="1" t="s">
        <v>1496</v>
      </c>
      <c r="F34" s="1" t="str">
        <f t="shared" si="0"/>
        <v>&lt;a href="https://www.slideshare.net/LogoDesignGuru/identifying-millennial-buying-behavior-on-mobile" target="_blank"&gt;&lt;img src="https://cdn.slidesharecdn.com/ss_thumbnails/identifyingbuyingbehavioronmobileforthenewyear-151203125110-lva1-app6892-thumbnail.jpg?width=560&amp;fit=bounds" alt="image host"/&gt;&lt;/a&gt;</v>
      </c>
    </row>
    <row r="35" spans="1:6" x14ac:dyDescent="0.25">
      <c r="A35" s="1" t="s">
        <v>1494</v>
      </c>
      <c r="B35" s="1" t="s">
        <v>1564</v>
      </c>
      <c r="C35" s="1" t="s">
        <v>1495</v>
      </c>
      <c r="D35" s="1" t="s">
        <v>1565</v>
      </c>
      <c r="E35" s="1" t="s">
        <v>1496</v>
      </c>
      <c r="F35" s="1" t="str">
        <f t="shared" si="0"/>
        <v>&lt;a href="https://www.slideshare.net/BloombergLP/apps-help-restaurants-counter-social-media-shifts" target="_blank"&gt;&lt;img src="https://cdn.slidesharecdn.com/ss_thumbnails/restaurantsocialslideshare-151202182156-lva1-app6892-thumbnail.jpg?width=560&amp;fit=bounds" alt="image host"/&gt;&lt;/a&gt;</v>
      </c>
    </row>
    <row r="36" spans="1:6" x14ac:dyDescent="0.25">
      <c r="A36" s="1" t="s">
        <v>1494</v>
      </c>
      <c r="B36" s="1" t="s">
        <v>1566</v>
      </c>
      <c r="C36" s="1" t="s">
        <v>1495</v>
      </c>
      <c r="D36" s="1" t="s">
        <v>1568</v>
      </c>
      <c r="E36" s="1" t="s">
        <v>1496</v>
      </c>
      <c r="F36" s="1" t="str">
        <f t="shared" si="0"/>
        <v>&lt;a href="https://www.slideshare.net/LaurenHand/best-practices-for-push-notifications" target="_blank"&gt;&lt;img src="https://cdn.slidesharecdn.com/ss_thumbnails/clientcollateral-pnbestpractices-151130215526-lva1-app6891-thumbnail.jpg?width=560&amp;fit=bounds" alt="image host"/&gt;&lt;/a&gt;</v>
      </c>
    </row>
    <row r="37" spans="1:6" x14ac:dyDescent="0.25">
      <c r="A37" s="1" t="s">
        <v>1494</v>
      </c>
      <c r="B37" s="1" t="s">
        <v>1569</v>
      </c>
      <c r="C37" s="1" t="s">
        <v>1495</v>
      </c>
      <c r="D37" s="1" t="s">
        <v>1570</v>
      </c>
      <c r="E37" s="1" t="s">
        <v>1496</v>
      </c>
      <c r="F37" s="1" t="str">
        <f t="shared" si="0"/>
        <v>&lt;a href="https://www.slideshare.net/socialogilvy/15-years-of-shazam" target="_blank"&gt;&lt;img src="https://cdn.slidesharecdn.com/ss_thumbnails/wefkfwcttbcvh8t8uk6z-signature-643396c55095f1a937ef29d52f3d6d3551ec0046dbccc98fe04130e9f516f749-poli-151130210047-lva1-app6892-thumbnail.jpg?width=560&amp;fit=bounds" alt="image host"/&gt;&lt;/a&gt;</v>
      </c>
    </row>
    <row r="38" spans="1:6" x14ac:dyDescent="0.25">
      <c r="A38" s="1" t="s">
        <v>1494</v>
      </c>
      <c r="B38" s="1" t="s">
        <v>1571</v>
      </c>
      <c r="C38" s="1" t="s">
        <v>1495</v>
      </c>
      <c r="D38" s="1" t="s">
        <v>1572</v>
      </c>
      <c r="E38" s="1" t="s">
        <v>1496</v>
      </c>
      <c r="F38" s="1" t="str">
        <f t="shared" si="0"/>
        <v>&lt;a href="https://www.slideshare.net/Localytics/driving-app-growth-how-to-leverage-firstparty-data-to-drive-a-360-degree-app-marketing-strategy-across-the-lifecycle" target="_blank"&gt;&lt;img src="https://cdn.slidesharecdn.com/ss_thumbnails/appgrowth-applift-localytics-1-151130204748-lva1-app6891-thumbnail.jpg?width=560&amp;fit=bounds" alt="image host"/&gt;&lt;/a&gt;</v>
      </c>
    </row>
    <row r="39" spans="1:6" x14ac:dyDescent="0.25">
      <c r="A39" s="1" t="s">
        <v>1494</v>
      </c>
      <c r="B39" s="1" t="s">
        <v>1573</v>
      </c>
      <c r="C39" s="1" t="s">
        <v>1495</v>
      </c>
      <c r="D39" s="1" t="s">
        <v>1574</v>
      </c>
      <c r="E39" s="1" t="s">
        <v>1496</v>
      </c>
      <c r="F39" s="1" t="str">
        <f t="shared" si="0"/>
        <v>&lt;a href="https://www.slideshare.net/inmobi/decoding-monetization-methods-for-dating-apps" target="_blank"&gt;&lt;img src="https://cdn.slidesharecdn.com/ss_thumbnails/decodingmonetizationmethodsfordatingappsinmobi1-151123132141-lva1-app6892-thumbnail.jpg?width=560&amp;fit=bounds" alt="image host"/&gt;&lt;/a&gt;</v>
      </c>
    </row>
    <row r="40" spans="1:6" x14ac:dyDescent="0.25">
      <c r="A40" s="1" t="s">
        <v>1494</v>
      </c>
      <c r="B40" s="1" t="s">
        <v>1575</v>
      </c>
      <c r="C40" s="1" t="s">
        <v>1495</v>
      </c>
      <c r="D40" s="1" t="s">
        <v>1576</v>
      </c>
      <c r="E40" s="1" t="s">
        <v>1496</v>
      </c>
      <c r="F40" s="1" t="str">
        <f t="shared" si="0"/>
        <v>&lt;a href="https://www.slideshare.net/ShellTerrell/mobile-research-notetaking-and-bookmarking" target="_blank"&gt;&lt;img src="https://cdn.slidesharecdn.com/ss_thumbnails/notetakingimages-151118091634-lva1-app6891-thumbnail.jpg?width=560&amp;fit=bounds" alt="image host"/&gt;&lt;/a&gt;</v>
      </c>
    </row>
    <row r="41" spans="1:6" x14ac:dyDescent="0.25">
      <c r="A41" s="1" t="s">
        <v>1494</v>
      </c>
      <c r="B41" s="1" t="s">
        <v>1577</v>
      </c>
      <c r="C41" s="1" t="s">
        <v>1495</v>
      </c>
      <c r="D41" s="1" t="s">
        <v>1578</v>
      </c>
      <c r="E41" s="1" t="s">
        <v>1496</v>
      </c>
      <c r="F41" s="1" t="str">
        <f t="shared" si="0"/>
        <v>&lt;a href="https://www.slideshare.net/ErinSagin/dominating-mobile-ppc-3-tips-to-3x-your-conversions-smx-east" target="_blank"&gt;&lt;img src="https://cdn.slidesharecdn.com/ss_thumbnails/newestpresentation-151117010541-lva1-app6892-thumbnail.jpg?width=560&amp;fit=bounds" alt="image host"/&gt;&lt;/a&gt;</v>
      </c>
    </row>
    <row r="42" spans="1:6" x14ac:dyDescent="0.25">
      <c r="A42" s="1" t="s">
        <v>1494</v>
      </c>
      <c r="B42" s="1" t="s">
        <v>1579</v>
      </c>
      <c r="C42" s="1" t="s">
        <v>1495</v>
      </c>
      <c r="D42" s="1" t="s">
        <v>1581</v>
      </c>
      <c r="E42" s="1" t="s">
        <v>1496</v>
      </c>
      <c r="F42" s="1" t="str">
        <f t="shared" si="0"/>
        <v>&lt;a href="https://www.slideshare.net/Vebology/state-of-mobile-commerce-in-uk-2015" target="_blank"&gt;&lt;img src="https://cdn.slidesharecdn.com/ss_thumbnails/stateofmobilecommerceinuk2015-151113144834-lva1-app6892-thumbnail.jpg?width=560&amp;fit=bounds" alt="image host"/&gt;&lt;/a&gt;</v>
      </c>
    </row>
    <row r="43" spans="1:6" x14ac:dyDescent="0.25">
      <c r="A43" s="1" t="s">
        <v>1494</v>
      </c>
      <c r="B43" s="1" t="s">
        <v>1582</v>
      </c>
      <c r="C43" s="1" t="s">
        <v>1495</v>
      </c>
      <c r="D43" s="1" t="s">
        <v>1583</v>
      </c>
      <c r="E43" s="1" t="s">
        <v>1496</v>
      </c>
      <c r="F43" s="1" t="str">
        <f t="shared" si="0"/>
        <v>&lt;a href="https://www.slideshare.net/natashatherobot/protocoloriented-mvvm" target="_blank"&gt;&lt;img src="https://cdn.slidesharecdn.com/ss_thumbnails/pomvvm-151110092655-lva1-app6891-thumbnail.jpg?width=560&amp;fit=bounds" alt="image host"/&gt;&lt;/a&gt;</v>
      </c>
    </row>
    <row r="44" spans="1:6" x14ac:dyDescent="0.25">
      <c r="A44" s="1" t="s">
        <v>1494</v>
      </c>
      <c r="B44" s="1" t="s">
        <v>1584</v>
      </c>
      <c r="C44" s="1" t="s">
        <v>1495</v>
      </c>
      <c r="D44" s="1" t="s">
        <v>1585</v>
      </c>
      <c r="E44" s="1" t="s">
        <v>1496</v>
      </c>
      <c r="F44" s="1" t="str">
        <f t="shared" si="0"/>
        <v>&lt;a href="https://www.slideshare.net/CELLULAR_GmbH/cellulars-apple-tv-guidelines" target="_blank"&gt;&lt;img src="https://cdn.slidesharecdn.com/ss_thumbnails/appletvguidelinesfinal-151106105841-lva1-app6892-thumbnail.jpg?width=560&amp;fit=bounds" alt="image host"/&gt;&lt;/a&gt;</v>
      </c>
    </row>
    <row r="45" spans="1:6" x14ac:dyDescent="0.25">
      <c r="A45" s="1" t="s">
        <v>1494</v>
      </c>
      <c r="B45" s="1" t="s">
        <v>1586</v>
      </c>
      <c r="C45" s="1" t="s">
        <v>1495</v>
      </c>
      <c r="D45" s="1" t="s">
        <v>1587</v>
      </c>
      <c r="E45" s="1" t="s">
        <v>1496</v>
      </c>
      <c r="F45" s="1" t="str">
        <f t="shared" si="0"/>
        <v>&lt;a href="https://www.slideshare.net/LookoutInc/5-ways-to-protect-your-mobile-security" target="_blank"&gt;&lt;img src="https://cdn.slidesharecdn.com/ss_thumbnails/cybersecurityawareness-151104180756-lva1-app6892-thumbnail.jpg?width=560&amp;fit=bounds" alt="image host"/&gt;&lt;/a&gt;</v>
      </c>
    </row>
    <row r="46" spans="1:6" x14ac:dyDescent="0.25">
      <c r="A46" s="1" t="s">
        <v>1494</v>
      </c>
      <c r="B46" s="1" t="s">
        <v>1588</v>
      </c>
      <c r="C46" s="1" t="s">
        <v>1495</v>
      </c>
      <c r="D46" s="1" t="s">
        <v>1589</v>
      </c>
      <c r="E46" s="1" t="s">
        <v>1496</v>
      </c>
      <c r="F46" s="1" t="str">
        <f t="shared" si="0"/>
        <v>&lt;a href="https://www.slideshare.net/victorhernandez9/mobile-me-programming-for-wearables" target="_blank"&gt;&lt;img src="https://cdn.slidesharecdn.com/ss_thumbnails/mobileme-151029161059-lva1-app6891-thumbnail.jpg?width=560&amp;fit=bounds" alt="image host"/&gt;&lt;/a&gt;</v>
      </c>
    </row>
    <row r="47" spans="1:6" x14ac:dyDescent="0.25">
      <c r="A47" s="1" t="s">
        <v>1494</v>
      </c>
      <c r="B47" s="1" t="s">
        <v>1590</v>
      </c>
      <c r="C47" s="1" t="s">
        <v>1495</v>
      </c>
      <c r="D47" s="1" t="s">
        <v>1591</v>
      </c>
      <c r="E47" s="1" t="s">
        <v>1496</v>
      </c>
      <c r="F47" s="1" t="str">
        <f t="shared" si="0"/>
        <v>&lt;a href="https://www.slideshare.net/AndyDavies/making-mobile-sites-faster-54376499" target="_blank"&gt;&lt;img src="https://cdn.slidesharecdn.com/ss_thumbnails/makingmobilesitesfaster-151026101720-lva1-app6891-thumbnail.jpg?width=560&amp;fit=bounds" alt="image host"/&gt;&lt;/a&gt;</v>
      </c>
    </row>
    <row r="48" spans="1:6" x14ac:dyDescent="0.25">
      <c r="A48" s="1" t="s">
        <v>1494</v>
      </c>
      <c r="B48" s="1" t="s">
        <v>1592</v>
      </c>
      <c r="C48" s="1" t="s">
        <v>1495</v>
      </c>
      <c r="D48" s="1" t="s">
        <v>1593</v>
      </c>
      <c r="E48" s="1" t="s">
        <v>1496</v>
      </c>
      <c r="F48" s="1" t="str">
        <f t="shared" si="0"/>
        <v>&lt;a href="https://www.slideshare.net/FollowAnalytics/mapping-the-omnichannel-customer-journey-how-to-engage-people-in-a-mobile-first-world" target="_blank"&gt;&lt;img src="https://cdn.slidesharecdn.com/ss_thumbnails/followanalyticsforresterset2-151022164709-lva1-app6891-thumbnail.jpg?width=560&amp;fit=bounds" alt="image host"/&gt;&lt;/a&gt;</v>
      </c>
    </row>
    <row r="49" spans="1:6" x14ac:dyDescent="0.25">
      <c r="A49" s="1" t="s">
        <v>1494</v>
      </c>
      <c r="B49" s="1" t="s">
        <v>1594</v>
      </c>
      <c r="C49" s="1" t="s">
        <v>1495</v>
      </c>
      <c r="D49" s="1" t="s">
        <v>1595</v>
      </c>
      <c r="E49" s="1" t="s">
        <v>1496</v>
      </c>
      <c r="F49" s="1" t="str">
        <f t="shared" si="0"/>
        <v>&lt;a href="https://www.slideshare.net/inmobi/the-future-of-brand-marketing-inapp-mobile-video" target="_blank"&gt;&lt;img src="https://cdn.slidesharecdn.com/ss_thumbnails/mmainmobiwebinar100615-151020091820-lva1-app6892-thumbnail.jpg?width=560&amp;fit=bounds" alt="image host"/&gt;&lt;/a&gt;</v>
      </c>
    </row>
    <row r="50" spans="1:6" x14ac:dyDescent="0.25">
      <c r="A50" s="1" t="s">
        <v>1494</v>
      </c>
      <c r="B50" s="1" t="s">
        <v>1596</v>
      </c>
      <c r="C50" s="1" t="s">
        <v>1495</v>
      </c>
      <c r="D50" s="1" t="s">
        <v>1597</v>
      </c>
      <c r="E50" s="1" t="s">
        <v>1496</v>
      </c>
      <c r="F50" s="1" t="str">
        <f t="shared" si="0"/>
        <v>&lt;a href="https://www.slideshare.net/socialcops/building-for-the-next-billion-an-android-developers-guide" target="_blank"&gt;&lt;img src="https://cdn.slidesharecdn.com/ss_thumbnails/droidconpptrevised-151015172452-lva1-app6892-thumbnail.jpg?width=560&amp;fit=bounds" alt="image host"/&gt;&lt;/a&gt;</v>
      </c>
    </row>
    <row r="51" spans="1:6" x14ac:dyDescent="0.25">
      <c r="A51" s="1" t="s">
        <v>1494</v>
      </c>
      <c r="B51" s="1" t="s">
        <v>1598</v>
      </c>
      <c r="C51" s="1" t="s">
        <v>1495</v>
      </c>
      <c r="D51" s="1" t="s">
        <v>1599</v>
      </c>
      <c r="E51" s="1" t="s">
        <v>1496</v>
      </c>
      <c r="F51" s="1" t="str">
        <f t="shared" si="0"/>
        <v>&lt;a href="https://www.slideshare.net/hamutsi/im-a-smartphone-addict" target="_blank"&gt;&lt;img src="https://cdn.slidesharecdn.com/ss_thumbnails/imasmartphoneaddict-151015163204-lva1-app6892-thumbnail.jpg?width=560&amp;fit=bounds" alt="image host"/&gt;&lt;/a&gt;</v>
      </c>
    </row>
    <row r="52" spans="1:6" x14ac:dyDescent="0.25">
      <c r="A52" s="1" t="s">
        <v>1494</v>
      </c>
      <c r="B52" s="1" t="s">
        <v>1600</v>
      </c>
      <c r="C52" s="1" t="s">
        <v>1495</v>
      </c>
      <c r="D52" s="1" t="s">
        <v>1602</v>
      </c>
      <c r="E52" s="1" t="s">
        <v>1496</v>
      </c>
      <c r="F52" s="1" t="str">
        <f t="shared" si="0"/>
        <v>&lt;a href="https://www.slideshare.net/EdithYeung/7-tips-for-scaling-mobile-users-in-china-what-can-we-learn-from-uber-launch-scale-october-2015" target="_blank"&gt;&lt;img src="https://cdn.slidesharecdn.com/ss_thumbnails/7tipsforscalingmobileusersinchina-151014134944-lva1-app6891-thumbnail.jpg?width=560&amp;fit=bounds" alt="image host"/&gt;&lt;/a&gt;</v>
      </c>
    </row>
    <row r="53" spans="1:6" x14ac:dyDescent="0.25">
      <c r="A53" s="1" t="s">
        <v>1494</v>
      </c>
      <c r="B53" s="1" t="s">
        <v>1603</v>
      </c>
      <c r="C53" s="1" t="s">
        <v>1495</v>
      </c>
      <c r="D53" s="1" t="s">
        <v>1604</v>
      </c>
      <c r="E53" s="1" t="s">
        <v>1496</v>
      </c>
      <c r="F53" s="1" t="str">
        <f t="shared" si="0"/>
        <v>&lt;a href="https://www.slideshare.net/usersnap/mobile-first-how-to-approach-mobile-testing" target="_blank"&gt;&lt;img src="https://cdn.slidesharecdn.com/ss_thumbnails/mobile-first-how-to-approach-mobile-testing-responsive-web-design-151012135938-lva1-app6892-thumbnail.jpg?width=560&amp;fit=bounds" alt="image host"/&gt;&lt;/a&gt;</v>
      </c>
    </row>
    <row r="54" spans="1:6" x14ac:dyDescent="0.25">
      <c r="A54" s="1" t="s">
        <v>1494</v>
      </c>
      <c r="B54" s="1" t="s">
        <v>1605</v>
      </c>
      <c r="C54" s="1" t="s">
        <v>1495</v>
      </c>
      <c r="D54" s="1" t="s">
        <v>1606</v>
      </c>
      <c r="E54" s="1" t="s">
        <v>1496</v>
      </c>
      <c r="F54" s="1" t="str">
        <f t="shared" si="0"/>
        <v>&lt;a href="https://www.slideshare.net/TABInsights/8-things-uber-can-teach-you" target="_blank"&gt;&lt;img src="https://cdn.slidesharecdn.com/ss_thumbnails/tab8lessonsfromuber-151009083040-lva1-app6891-thumbnail.jpg?width=560&amp;fit=bounds" alt="image host"/&gt;&lt;/a&gt;</v>
      </c>
    </row>
    <row r="55" spans="1:6" x14ac:dyDescent="0.25">
      <c r="A55" s="1" t="s">
        <v>1494</v>
      </c>
      <c r="B55" s="1" t="s">
        <v>1607</v>
      </c>
      <c r="C55" s="1" t="s">
        <v>1495</v>
      </c>
      <c r="D55" s="1" t="s">
        <v>1608</v>
      </c>
      <c r="E55" s="1" t="s">
        <v>1496</v>
      </c>
      <c r="F55" s="1" t="str">
        <f t="shared" si="0"/>
        <v>&lt;a href="https://www.slideshare.net/CynthiaJohnson2/tips-for-surviving-social-media-in-a-mobile-world" target="_blank"&gt;&lt;img src="https://cdn.slidesharecdn.com/ss_thumbnails/cjohnsonsocialmediainamobileworldpubconlasvegas2015-151007233014-lva1-app6891-thumbnail.jpg?width=560&amp;fit=bounds" alt="image host"/&gt;&lt;/a&gt;</v>
      </c>
    </row>
    <row r="56" spans="1:6" x14ac:dyDescent="0.25">
      <c r="A56" s="1" t="s">
        <v>1494</v>
      </c>
      <c r="B56" s="1" t="s">
        <v>1609</v>
      </c>
      <c r="C56" s="1" t="s">
        <v>1495</v>
      </c>
      <c r="D56" s="1" t="s">
        <v>1610</v>
      </c>
      <c r="E56" s="1" t="s">
        <v>1496</v>
      </c>
      <c r="F56" s="1" t="str">
        <f t="shared" si="0"/>
        <v>&lt;a href="https://www.slideshare.net/jjwu6266/introducing-apple-iphone-6s" target="_blank"&gt;&lt;img src="https://cdn.slidesharecdn.com/ss_thumbnails/appleiphone6s-151007134141-lva1-app6892-thumbnail.jpg?width=560&amp;fit=bounds" alt="image host"/&gt;&lt;/a&gt;</v>
      </c>
    </row>
    <row r="57" spans="1:6" x14ac:dyDescent="0.25">
      <c r="A57" s="1" t="s">
        <v>1494</v>
      </c>
      <c r="B57" s="1" t="s">
        <v>1611</v>
      </c>
      <c r="C57" s="1" t="s">
        <v>1495</v>
      </c>
      <c r="D57" s="1" t="s">
        <v>1613</v>
      </c>
      <c r="E57" s="1" t="s">
        <v>1496</v>
      </c>
      <c r="F57" s="1" t="str">
        <f t="shared" si="0"/>
        <v>&lt;a href="https://www.slideshare.net/IQGroup/nexus-6p-vs-iphone-6s-plus-infographic" target="_blank"&gt;&lt;img src="https://cdn.slidesharecdn.com/ss_thumbnails/iqtelecom-infographic-6pvs6splus-v0-151007090447-lva1-app6892-thumbnail.jpg?width=560&amp;fit=bounds" alt="image host"/&gt;&lt;/a&gt;</v>
      </c>
    </row>
    <row r="58" spans="1:6" x14ac:dyDescent="0.25">
      <c r="A58" s="1" t="s">
        <v>1494</v>
      </c>
      <c r="B58" s="1" t="s">
        <v>1614</v>
      </c>
      <c r="C58" s="1" t="s">
        <v>1495</v>
      </c>
      <c r="D58" s="1" t="s">
        <v>1615</v>
      </c>
      <c r="E58" s="1" t="s">
        <v>1496</v>
      </c>
      <c r="F58" s="1" t="str">
        <f t="shared" si="0"/>
        <v>&lt;a href="https://www.slideshare.net/dalloyd/pubcon-2015-mobile-and-app-store-optimization-dave-lloyd" target="_blank"&gt;&lt;img src="https://cdn.slidesharecdn.com/ss_thumbnails/pubcon2015appstoreoptimization-davelloyd-final-151006165848-lva1-app6892-thumbnail.jpg?width=560&amp;fit=bounds" alt="image host"/&gt;&lt;/a&gt;</v>
      </c>
    </row>
    <row r="59" spans="1:6" x14ac:dyDescent="0.25">
      <c r="A59" s="1" t="s">
        <v>1494</v>
      </c>
      <c r="B59" s="1" t="s">
        <v>1616</v>
      </c>
      <c r="C59" s="1" t="s">
        <v>1495</v>
      </c>
      <c r="D59" s="1" t="s">
        <v>1617</v>
      </c>
      <c r="E59" s="1" t="s">
        <v>1496</v>
      </c>
      <c r="F59" s="1" t="str">
        <f t="shared" si="0"/>
        <v>&lt;a href="https://www.slideshare.net/techahead/10-conditions-for-cost-estimation-of-an-ios-application" target="_blank"&gt;&lt;img src="https://cdn.slidesharecdn.com/ss_thumbnails/criteriaforcostestimationofaniosapp-151006100422-lva1-app6891-thumbnail.jpg?width=560&amp;fit=bounds" alt="image host"/&gt;&lt;/a&gt;</v>
      </c>
    </row>
    <row r="60" spans="1:6" x14ac:dyDescent="0.25">
      <c r="A60" s="1" t="s">
        <v>1494</v>
      </c>
      <c r="B60" s="1" t="s">
        <v>1618</v>
      </c>
      <c r="C60" s="1" t="s">
        <v>1495</v>
      </c>
      <c r="D60" s="1" t="s">
        <v>1619</v>
      </c>
      <c r="E60" s="1" t="s">
        <v>1496</v>
      </c>
      <c r="F60" s="1" t="str">
        <f t="shared" si="0"/>
        <v>&lt;a href="https://www.slideshare.net/mercurious/nycml15-mobile-live-streaming-new-paradigm-or-fading-fad" target="_blank"&gt;&lt;img src="https://cdn.slidesharecdn.com/ss_thumbnails/nycml15livestreamingwkshp-150929165645-lva1-app6891-thumbnail.jpg?width=560&amp;fit=bounds" alt="image host"/&gt;&lt;/a&gt;</v>
      </c>
    </row>
    <row r="61" spans="1:6" x14ac:dyDescent="0.25">
      <c r="A61" s="1" t="s">
        <v>1494</v>
      </c>
      <c r="B61" s="1" t="s">
        <v>1620</v>
      </c>
      <c r="C61" s="1" t="s">
        <v>1495</v>
      </c>
      <c r="D61" s="1" t="s">
        <v>1621</v>
      </c>
      <c r="E61" s="1" t="s">
        <v>1496</v>
      </c>
      <c r="F61" s="1" t="str">
        <f t="shared" si="0"/>
        <v>&lt;a href="https://www.slideshare.net/newsworks/the-mobile-influencer" target="_blank"&gt;&lt;img src="https://cdn.slidesharecdn.com/ss_thumbnails/mobileinfluencer-150929134542-lva1-app6891-thumbnail.jpg?width=560&amp;fit=bounds" alt="image host"/&gt;&lt;/a&gt;</v>
      </c>
    </row>
    <row r="62" spans="1:6" x14ac:dyDescent="0.25">
      <c r="A62" s="1" t="s">
        <v>1494</v>
      </c>
      <c r="B62" s="1" t="s">
        <v>1622</v>
      </c>
      <c r="C62" s="1" t="s">
        <v>1495</v>
      </c>
      <c r="D62" s="1" t="s">
        <v>1623</v>
      </c>
      <c r="E62" s="1" t="s">
        <v>1496</v>
      </c>
      <c r="F62" s="1" t="str">
        <f t="shared" si="0"/>
        <v>&lt;a href="https://www.slideshare.net/SamsungBusinessUSA/guide-to-mobile-healthcare-technology" target="_blank"&gt;&lt;img src="https://cdn.slidesharecdn.com/ss_thumbnails/guidetomobilehealthcaretechnology-150928182114-lva1-app6891-thumbnail.jpg?width=560&amp;fit=bounds" alt="image host"/&gt;&lt;/a&gt;</v>
      </c>
    </row>
    <row r="63" spans="1:6" x14ac:dyDescent="0.25">
      <c r="A63" s="1" t="s">
        <v>1494</v>
      </c>
      <c r="B63" s="1" t="s">
        <v>1624</v>
      </c>
      <c r="C63" s="1" t="s">
        <v>1495</v>
      </c>
      <c r="D63" s="1" t="s">
        <v>1625</v>
      </c>
      <c r="E63" s="1" t="s">
        <v>1496</v>
      </c>
      <c r="F63" s="1" t="str">
        <f t="shared" si="0"/>
        <v>&lt;a href="https://www.slideshare.net/zenithoptimedia/5-key-mobile-trends-for-marketers-dmexco-2015" target="_blank"&gt;&lt;img src="https://cdn.slidesharecdn.com/ss_thumbnails/5keymobiletrendsformarketersdmexcofinalwithnotesandlogov3-150923093140-lva1-app6892-thumbnail.jpg?width=560&amp;fit=bounds" alt="image host"/&gt;&lt;/a&gt;</v>
      </c>
    </row>
    <row r="64" spans="1:6" x14ac:dyDescent="0.25">
      <c r="A64" s="1" t="s">
        <v>1494</v>
      </c>
      <c r="B64" s="1" t="s">
        <v>1626</v>
      </c>
      <c r="C64" s="1" t="s">
        <v>1495</v>
      </c>
      <c r="D64" s="1" t="s">
        <v>1627</v>
      </c>
      <c r="E64" s="1" t="s">
        <v>1496</v>
      </c>
      <c r="F64" s="1" t="str">
        <f t="shared" si="0"/>
        <v>&lt;a href="https://www.slideshare.net/donnamoritz/21-periscope-tips-for-winning-broadcasts" target="_blank"&gt;&lt;img src="https://cdn.slidesharecdn.com/ss_thumbnails/diveintoperiscope-21periscopetipsforwinningbroadcasts-150923065257-lva1-app6891-thumbnail.jpg?width=560&amp;fit=bounds" alt="image host"/&gt;&lt;/a&gt;</v>
      </c>
    </row>
    <row r="65" spans="1:6" x14ac:dyDescent="0.25">
      <c r="A65" s="1" t="s">
        <v>1494</v>
      </c>
      <c r="B65" s="1" t="s">
        <v>1628</v>
      </c>
      <c r="C65" s="1" t="s">
        <v>1495</v>
      </c>
      <c r="D65" s="1" t="s">
        <v>1629</v>
      </c>
      <c r="E65" s="1" t="s">
        <v>1496</v>
      </c>
      <c r="F65" s="1" t="str">
        <f t="shared" si="0"/>
        <v>&lt;a href="https://www.slideshare.net/ShellTerrell/15-digital-research-apps" target="_blank"&gt;&lt;img src="https://cdn.slidesharecdn.com/ss_thumbnails/digitalresearchapps2015-150921212813-lva1-app6891-thumbnail.jpg?width=560&amp;fit=bounds" alt="image host"/&gt;&lt;/a&gt;</v>
      </c>
    </row>
    <row r="66" spans="1:6" x14ac:dyDescent="0.25">
      <c r="A66" s="1" t="s">
        <v>1494</v>
      </c>
      <c r="B66" s="1" t="s">
        <v>1630</v>
      </c>
      <c r="C66" s="1" t="s">
        <v>1495</v>
      </c>
      <c r="D66" s="1" t="s">
        <v>1631</v>
      </c>
      <c r="E66" s="1" t="s">
        <v>1496</v>
      </c>
      <c r="F66" s="1" t="str">
        <f t="shared" si="0"/>
        <v>&lt;a href="https://www.slideshare.net/EasyBib/app-smashing-for-educators-leveraging-tools-to-maximize-communication" target="_blank"&gt;&lt;img src="https://cdn.slidesharecdn.com/ss_thumbnails/appsmashingforeducators-150921173010-lva1-app6892-thumbnail.jpg?width=560&amp;fit=bounds" alt="image host"/&gt;&lt;/a&gt;</v>
      </c>
    </row>
    <row r="67" spans="1:6" x14ac:dyDescent="0.25">
      <c r="A67" s="1" t="s">
        <v>1494</v>
      </c>
      <c r="B67" s="1" t="s">
        <v>1632</v>
      </c>
      <c r="C67" s="1" t="s">
        <v>1495</v>
      </c>
      <c r="D67" s="1" t="s">
        <v>1634</v>
      </c>
      <c r="E67" s="1" t="s">
        <v>1496</v>
      </c>
      <c r="F67" s="1" t="str">
        <f t="shared" ref="F67:F129" si="1">A67&amp;""&amp;B67&amp;""&amp;C67&amp;""&amp;D67&amp;""&amp;E67</f>
        <v>&lt;a href="https://www.slideshare.net/techugo_ss/ios-9-new-features-at-a-glance-52885157" target="_blank"&gt;&lt;img src="https://cdn.slidesharecdn.com/ss_thumbnails/ios9newfeatures-150917105216-lva1-app6891-thumbnail.jpg?width=560&amp;fit=bounds" alt="image host"/&gt;&lt;/a&gt;</v>
      </c>
    </row>
    <row r="68" spans="1:6" x14ac:dyDescent="0.25">
      <c r="A68" s="1" t="s">
        <v>1494</v>
      </c>
      <c r="B68" s="1" t="s">
        <v>1635</v>
      </c>
      <c r="C68" s="1" t="s">
        <v>1495</v>
      </c>
      <c r="D68" s="1" t="s">
        <v>1636</v>
      </c>
      <c r="E68" s="1" t="s">
        <v>1496</v>
      </c>
      <c r="F68" s="1" t="str">
        <f t="shared" si="1"/>
        <v>&lt;a href="https://www.slideshare.net/wiley/slideshare-identifying-data-leaks-in-ios-applications" target="_blank"&gt;&lt;img src="https://cdn.slidesharecdn.com/ss_thumbnails/mobile-8-ios-leaks-slide-061415a-150909193045-lva1-app6892-thumbnail.jpg?width=560&amp;fit=bounds" alt="image host"/&gt;&lt;/a&gt;</v>
      </c>
    </row>
    <row r="69" spans="1:6" x14ac:dyDescent="0.25">
      <c r="A69" s="1" t="s">
        <v>1494</v>
      </c>
      <c r="B69" s="1" t="s">
        <v>1637</v>
      </c>
      <c r="C69" s="1" t="s">
        <v>1495</v>
      </c>
      <c r="D69" s="1" t="s">
        <v>1639</v>
      </c>
      <c r="E69" s="1" t="s">
        <v>1496</v>
      </c>
      <c r="F69" s="1" t="str">
        <f t="shared" si="1"/>
        <v>&lt;a href="https://www.slideshare.net/EmergenceCapital/mobile-enterprise-trends-2015-emergence-capital" target="_blank"&gt;&lt;img src="https://cdn.slidesharecdn.com/ss_thumbnails/emcapmobilereport20159-150904190254-lva1-app6892-thumbnail.jpg?width=560&amp;fit=bounds" alt="image host"/&gt;&lt;/a&gt;</v>
      </c>
    </row>
    <row r="70" spans="1:6" x14ac:dyDescent="0.25">
      <c r="A70" s="1" t="s">
        <v>1494</v>
      </c>
      <c r="B70" s="1" t="s">
        <v>1640</v>
      </c>
      <c r="C70" s="1" t="s">
        <v>1495</v>
      </c>
      <c r="D70" s="1" t="s">
        <v>1642</v>
      </c>
      <c r="E70" s="1" t="s">
        <v>1496</v>
      </c>
      <c r="F70" s="1" t="str">
        <f t="shared" si="1"/>
        <v>&lt;a href="https://www.slideshare.net/Localytics/app-value-101-how-i-learned-to-avoid-bombarding-users-with-disruptive-messages-september-2015-version" target="_blank"&gt;&lt;img src="https://cdn.slidesharecdn.com/ss_thumbnails/appvalue101webinar-finalsept-150901181932-lva1-app6892-thumbnail.jpg?width=560&amp;fit=bounds" alt="image host"/&gt;&lt;/a&gt;</v>
      </c>
    </row>
    <row r="71" spans="1:6" x14ac:dyDescent="0.25">
      <c r="A71" s="1" t="s">
        <v>1494</v>
      </c>
      <c r="B71" s="1" t="s">
        <v>1643</v>
      </c>
      <c r="C71" s="1" t="s">
        <v>1495</v>
      </c>
      <c r="D71" s="1" t="s">
        <v>1644</v>
      </c>
      <c r="E71" s="1" t="s">
        <v>1496</v>
      </c>
      <c r="F71" s="1" t="str">
        <f t="shared" si="1"/>
        <v>&lt;a href="https://www.slideshare.net/bizmonster/9-crucial-things-to-test-before-your-app-goes-live" target="_blank"&gt;&lt;img src="https://cdn.slidesharecdn.com/ss_thumbnails/9crucialthingstotestbeforeyourappgoesliveslideshare-150831174611-lva1-app6892-thumbnail.jpg?width=560&amp;fit=bounds" alt="image host"/&gt;&lt;/a&gt;</v>
      </c>
    </row>
    <row r="72" spans="1:6" x14ac:dyDescent="0.25">
      <c r="A72" s="1" t="s">
        <v>1494</v>
      </c>
      <c r="B72" s="1" t="s">
        <v>1645</v>
      </c>
      <c r="C72" s="1" t="s">
        <v>1495</v>
      </c>
      <c r="D72" s="1" t="s">
        <v>1646</v>
      </c>
      <c r="E72" s="1" t="s">
        <v>1496</v>
      </c>
      <c r="F72" s="1" t="str">
        <f t="shared" si="1"/>
        <v>&lt;a href="https://www.slideshare.net/SaraQuinnPoynter/2-mobile-marketingpros-and-cons-michael-hanley" target="_blank"&gt;&lt;img src="https://cdn.slidesharecdn.com/ss_thumbnails/2mobilemarketingprosandconsmichaelhanley-150830163358-lva1-app6892-thumbnail.jpg?width=560&amp;fit=bounds" alt="image host"/&gt;&lt;/a&gt;</v>
      </c>
    </row>
    <row r="73" spans="1:6" x14ac:dyDescent="0.25">
      <c r="A73" s="1" t="s">
        <v>1494</v>
      </c>
      <c r="B73" s="1" t="s">
        <v>1647</v>
      </c>
      <c r="C73" s="1" t="s">
        <v>1495</v>
      </c>
      <c r="D73" s="1" t="s">
        <v>1648</v>
      </c>
      <c r="E73" s="1" t="s">
        <v>1496</v>
      </c>
      <c r="F73" s="1" t="str">
        <f t="shared" si="1"/>
        <v>&lt;a href="https://www.slideshare.net/SaraQuinnPoynter/designing-for-a-small-screen-mobile" target="_blank"&gt;&lt;img src="https://cdn.slidesharecdn.com/ss_thumbnails/designingforthesmallscreenmobiledesign-150830150609-lva1-app6891-thumbnail.jpg?width=560&amp;fit=bounds" alt="image host"/&gt;&lt;/a&gt;</v>
      </c>
    </row>
    <row r="74" spans="1:6" x14ac:dyDescent="0.25">
      <c r="A74" s="1" t="s">
        <v>1494</v>
      </c>
      <c r="B74" s="1" t="s">
        <v>1649</v>
      </c>
      <c r="C74" s="1" t="s">
        <v>1495</v>
      </c>
      <c r="D74" s="1" t="s">
        <v>1650</v>
      </c>
      <c r="E74" s="1" t="s">
        <v>1496</v>
      </c>
      <c r="F74" s="1" t="str">
        <f t="shared" si="1"/>
        <v>&lt;a href="https://www.slideshare.net/SaraQuinnPoynter/whats-so-special-about-mobile-52221953" target="_blank"&gt;&lt;img src="https://cdn.slidesharecdn.com/ss_thumbnails/whatssospecialaboutmobile-150830150324-lva1-app6892-thumbnail.jpg?width=560&amp;fit=bounds" alt="image host"/&gt;&lt;/a&gt;</v>
      </c>
    </row>
    <row r="75" spans="1:6" x14ac:dyDescent="0.25">
      <c r="A75" s="1" t="s">
        <v>1494</v>
      </c>
      <c r="B75" s="1" t="s">
        <v>1651</v>
      </c>
      <c r="C75" s="1" t="s">
        <v>1495</v>
      </c>
      <c r="D75" s="1" t="s">
        <v>1652</v>
      </c>
      <c r="E75" s="1" t="s">
        <v>1496</v>
      </c>
      <c r="F75" s="1" t="str">
        <f t="shared" si="1"/>
        <v>&lt;a href="https://www.slideshare.net/Localytics/app-lifecycle-engagement" target="_blank"&gt;&lt;img src="https://cdn.slidesharecdn.com/ss_thumbnails/applifecycleengagement-150827210059-lva1-app6892-thumbnail.jpg?width=560&amp;fit=bounds" alt="image host"/&gt;&lt;/a&gt;</v>
      </c>
    </row>
    <row r="76" spans="1:6" x14ac:dyDescent="0.25">
      <c r="A76" s="1" t="s">
        <v>1494</v>
      </c>
      <c r="B76" s="1" t="s">
        <v>1653</v>
      </c>
      <c r="C76" s="1" t="s">
        <v>1495</v>
      </c>
      <c r="D76" s="1" t="s">
        <v>1654</v>
      </c>
      <c r="E76" s="1" t="s">
        <v>1496</v>
      </c>
      <c r="F76" s="1" t="str">
        <f t="shared" si="1"/>
        <v>&lt;a href="https://www.slideshare.net/rharbridge/the-social-enterprise-in-a-cloud-first-and-mobile-first-world-sptechcon" target="_blank"&gt;&lt;img src="https://cdn.slidesharecdn.com/ss_thumbnails/thesocialenterpriseinacloudfirstandmobilefirstworld-compressed-150826170102-lva1-app6892-thumbnail.jpg?width=560&amp;fit=bounds" alt="image host"/&gt;&lt;/a&gt;</v>
      </c>
    </row>
    <row r="77" spans="1:6" x14ac:dyDescent="0.25">
      <c r="A77" s="1" t="s">
        <v>1494</v>
      </c>
      <c r="B77" s="1" t="s">
        <v>1655</v>
      </c>
      <c r="C77" s="1" t="s">
        <v>1495</v>
      </c>
      <c r="D77" s="1" t="s">
        <v>1656</v>
      </c>
      <c r="E77" s="1" t="s">
        <v>1496</v>
      </c>
      <c r="F77" s="1" t="str">
        <f t="shared" si="1"/>
        <v>&lt;a href="https://www.slideshare.net/amontcoudiol/mobile-growth-marketing-strategy-hacks-tools" target="_blank"&gt;&lt;img src="https://cdn.slidesharecdn.com/ss_thumbnails/mobilegrowthmarketing-150825115135-lva1-app6891-thumbnail.jpg?width=560&amp;fit=bounds" alt="image host"/&gt;&lt;/a&gt;</v>
      </c>
    </row>
    <row r="78" spans="1:6" x14ac:dyDescent="0.25">
      <c r="A78" s="1" t="s">
        <v>1494</v>
      </c>
      <c r="B78" s="1" t="s">
        <v>1657</v>
      </c>
      <c r="C78" s="1" t="s">
        <v>1495</v>
      </c>
      <c r="D78" s="1" t="s">
        <v>1658</v>
      </c>
      <c r="E78" s="1" t="s">
        <v>1496</v>
      </c>
      <c r="F78" s="1" t="str">
        <f t="shared" si="1"/>
        <v>&lt;a href="https://www.slideshare.net/inmobi/inmobis-report-preview-of-the-role-of-mobile-and-its-influence-on-back-to-school-shopping-in-usa" target="_blank"&gt;&lt;img src="https://cdn.slidesharecdn.com/ss_thumbnails/inmobisreportpreviewoftheroleofmobileanditsinfluenceonbacktoschoolshoppinginusa-150825052103-lva1-app6891-thumbnail.jpg?width=560&amp;fit=bounds" alt="image host"/&gt;&lt;/a&gt;</v>
      </c>
    </row>
    <row r="79" spans="1:6" x14ac:dyDescent="0.25">
      <c r="A79" s="1" t="s">
        <v>1494</v>
      </c>
      <c r="B79" s="1" t="s">
        <v>1659</v>
      </c>
      <c r="C79" s="1" t="s">
        <v>1495</v>
      </c>
      <c r="D79" s="1" t="s">
        <v>1661</v>
      </c>
      <c r="E79" s="1" t="s">
        <v>1496</v>
      </c>
      <c r="F79" s="1" t="str">
        <f t="shared" si="1"/>
        <v>&lt;a href="https://www.slideshare.net/inmobi/inmobiinfographic-on-the-role-of-mobile-and-its-influence-on-back-to-school-shopping" target="_blank"&gt;&lt;img src="https://cdn.slidesharecdn.com/ss_thumbnails/infographicstheroleofmobileitsinfluenceonbacktoschoolshoppinginmobiinsights-150825044453-lva1-app6892-thumbnail.jpg?width=560&amp;fit=bounds" alt="image host"/&gt;&lt;/a&gt;</v>
      </c>
    </row>
    <row r="80" spans="1:6" x14ac:dyDescent="0.25">
      <c r="A80" s="1" t="s">
        <v>1494</v>
      </c>
      <c r="B80" s="1" t="s">
        <v>1662</v>
      </c>
      <c r="C80" s="1" t="s">
        <v>1495</v>
      </c>
      <c r="D80" s="1" t="s">
        <v>1663</v>
      </c>
      <c r="E80" s="1" t="s">
        <v>1496</v>
      </c>
      <c r="F80" s="1" t="str">
        <f t="shared" si="1"/>
        <v>&lt;a href="https://www.slideshare.net/WeAreMRY/the-new-micro-leisure-redefining-downtime-in-a-connected-world" target="_blank"&gt;&lt;img src="https://cdn.slidesharecdn.com/ss_thumbnails/thenewmicroleisure-150824205618-lva1-app6892-thumbnail.jpg?width=560&amp;fit=bounds" alt="image host"/&gt;&lt;/a&gt;</v>
      </c>
    </row>
    <row r="81" spans="1:6" x14ac:dyDescent="0.25">
      <c r="A81" s="1" t="s">
        <v>1494</v>
      </c>
      <c r="B81" s="1" t="s">
        <v>1664</v>
      </c>
      <c r="C81" s="1" t="s">
        <v>1495</v>
      </c>
      <c r="D81" s="1" t="s">
        <v>1665</v>
      </c>
      <c r="E81" s="1" t="s">
        <v>1496</v>
      </c>
      <c r="F81" s="1" t="str">
        <f t="shared" si="1"/>
        <v>&lt;a href="https://www.slideshare.net/wearesocialsg/digital-social-mobile-in-china-in-2015" target="_blank"&gt;&lt;img src="https://cdn.slidesharecdn.com/ss_thumbnails/wearesocial20150816digitalsocialmobileinchinaaug2015v01-150818010337-lva1-app6892-thumbnail.jpg?width=560&amp;fit=bounds" alt="image host"/&gt;&lt;/a&gt;</v>
      </c>
    </row>
    <row r="82" spans="1:6" x14ac:dyDescent="0.25">
      <c r="A82" s="1" t="s">
        <v>1494</v>
      </c>
      <c r="B82" s="1" t="s">
        <v>1666</v>
      </c>
      <c r="C82" s="1" t="s">
        <v>1495</v>
      </c>
      <c r="D82" s="1" t="s">
        <v>1667</v>
      </c>
      <c r="E82" s="1" t="s">
        <v>1496</v>
      </c>
      <c r="F82" s="1" t="str">
        <f t="shared" si="1"/>
        <v>&lt;a href="https://www.slideshare.net/bradrosen1/drync-uberization-of-wine" target="_blank"&gt;&lt;img src="https://cdn.slidesharecdn.com/ss_thumbnails/dryncuberizationofwine-150813172648-lva1-app6892-thumbnail.jpg?width=560&amp;fit=bounds" alt="image host"/&gt;&lt;/a&gt;</v>
      </c>
    </row>
    <row r="83" spans="1:6" x14ac:dyDescent="0.25">
      <c r="A83" s="1" t="s">
        <v>1494</v>
      </c>
      <c r="B83" s="1" t="s">
        <v>1668</v>
      </c>
      <c r="C83" s="1" t="s">
        <v>1495</v>
      </c>
      <c r="D83" s="1" t="s">
        <v>1669</v>
      </c>
      <c r="E83" s="1" t="s">
        <v>1496</v>
      </c>
      <c r="F83" s="1" t="str">
        <f t="shared" si="1"/>
        <v>&lt;a href="https://www.slideshare.net/lainians/mo-pub-marketplacereportq22015final" target="_blank"&gt;&lt;img src="https://cdn.slidesharecdn.com/ss_thumbnails/mopubmarketplacereportq22015final-150810181532-lva1-app6892-thumbnail.jpg?width=560&amp;fit=bounds" alt="image host"/&gt;&lt;/a&gt;</v>
      </c>
    </row>
    <row r="84" spans="1:6" x14ac:dyDescent="0.25">
      <c r="A84" s="1" t="s">
        <v>1494</v>
      </c>
      <c r="B84" s="1" t="s">
        <v>1670</v>
      </c>
      <c r="C84" s="1" t="s">
        <v>1495</v>
      </c>
      <c r="D84" s="1" t="s">
        <v>1671</v>
      </c>
      <c r="E84" s="1" t="s">
        <v>1496</v>
      </c>
      <c r="F84" s="1" t="str">
        <f t="shared" si="1"/>
        <v>&lt;a href="https://www.slideshare.net/Yokomark/deep-inside-android-hacks" target="_blank"&gt;&lt;img src="https://cdn.slidesharecdn.com/ss_thumbnails/1-150810083847-lva1-app6891-thumbnail.jpg?width=560&amp;fit=bounds" alt="image host"/&gt;&lt;/a&gt;</v>
      </c>
    </row>
    <row r="85" spans="1:6" x14ac:dyDescent="0.25">
      <c r="A85" s="1" t="s">
        <v>1494</v>
      </c>
      <c r="B85" s="1" t="s">
        <v>1672</v>
      </c>
      <c r="C85" s="1" t="s">
        <v>1495</v>
      </c>
      <c r="D85" s="1" t="s">
        <v>1674</v>
      </c>
      <c r="E85" s="1" t="s">
        <v>1496</v>
      </c>
      <c r="F85" s="1" t="str">
        <f t="shared" si="1"/>
        <v>&lt;a href="https://www.slideshare.net/ncicero0/snapchat-is-a-burrito" target="_blank"&gt;&lt;img src="https://cdn.slidesharecdn.com/ss_thumbnails/snapchatisaburrito-150809200457-lva1-app6891-thumbnail.jpg?width=560&amp;fit=bounds" alt="image host"/&gt;&lt;/a&gt;</v>
      </c>
    </row>
    <row r="86" spans="1:6" x14ac:dyDescent="0.25">
      <c r="A86" s="1" t="s">
        <v>1494</v>
      </c>
      <c r="B86" s="1" t="s">
        <v>1675</v>
      </c>
      <c r="C86" s="1" t="s">
        <v>1495</v>
      </c>
      <c r="D86" s="1" t="s">
        <v>1677</v>
      </c>
      <c r="E86" s="1" t="s">
        <v>1496</v>
      </c>
      <c r="F86" s="1" t="str">
        <f t="shared" si="1"/>
        <v>&lt;a href="https://www.slideshare.net/briansolis/altimeter-mobile-cx-final" target="_blank"&gt;&lt;img src="https://cdn.slidesharecdn.com/ss_thumbnails/altimetermobilecxfinal-150804142447-lva1-app6891-thumbnail.jpg?width=560&amp;fit=bounds" alt="image host"/&gt;&lt;/a&gt;</v>
      </c>
    </row>
    <row r="87" spans="1:6" x14ac:dyDescent="0.25">
      <c r="A87" s="1" t="s">
        <v>1494</v>
      </c>
      <c r="B87" s="1" t="s">
        <v>1678</v>
      </c>
      <c r="C87" s="1" t="s">
        <v>1495</v>
      </c>
      <c r="D87" s="1" t="s">
        <v>1680</v>
      </c>
      <c r="E87" s="1" t="s">
        <v>1496</v>
      </c>
      <c r="F87" s="1" t="str">
        <f t="shared" si="1"/>
        <v>&lt;a href="https://www.slideshare.net/OnDevice/insights-into-the-app-economy-in-mena" target="_blank"&gt;&lt;img src="https://cdn.slidesharecdn.com/ss_thumbnails/arabnetpres-v2-final-final-150803175456-lva1-app6892-thumbnail.jpg?width=560&amp;fit=bounds" alt="image host"/&gt;&lt;/a&gt;</v>
      </c>
    </row>
    <row r="88" spans="1:6" x14ac:dyDescent="0.25">
      <c r="A88" s="1" t="s">
        <v>1494</v>
      </c>
      <c r="B88" s="1" t="s">
        <v>1681</v>
      </c>
      <c r="C88" s="1" t="s">
        <v>1495</v>
      </c>
      <c r="D88" s="1" t="s">
        <v>1683</v>
      </c>
      <c r="E88" s="1" t="s">
        <v>1496</v>
      </c>
      <c r="F88" s="1" t="str">
        <f t="shared" si="1"/>
        <v>&lt;a href="https://www.slideshare.net/nigelmarkdias/mobile-search-moments-from-google-nielsen" target="_blank"&gt;&lt;img src="https://cdn.slidesharecdn.com/ss_thumbnails/creating-moments-that-matterresearch-studies1-150802023638-lva1-app6891-thumbnail.jpg?width=560&amp;fit=bounds" alt="image host"/&gt;&lt;/a&gt;</v>
      </c>
    </row>
    <row r="89" spans="1:6" x14ac:dyDescent="0.25">
      <c r="A89" s="1" t="s">
        <v>1494</v>
      </c>
      <c r="B89" s="1" t="s">
        <v>1684</v>
      </c>
      <c r="C89" s="1" t="s">
        <v>1495</v>
      </c>
      <c r="D89" s="1" t="s">
        <v>1686</v>
      </c>
      <c r="E89" s="1" t="s">
        <v>1496</v>
      </c>
      <c r="F89" s="1" t="str">
        <f t="shared" si="1"/>
        <v>&lt;a href="https://www.slideshare.net/Localytics/unlocking-app-success-how-to-turn-your-app-into-a-mobile-growth-engine" target="_blank"&gt;&lt;img src="https://cdn.slidesharecdn.com/ss_thumbnails/pdfv2slidedeck-unlockingappsuccesswithbranchmetrics-150730210549-lva1-app6892-thumbnail.jpg?width=560&amp;fit=bounds" alt="image host"/&gt;&lt;/a&gt;</v>
      </c>
    </row>
    <row r="90" spans="1:6" x14ac:dyDescent="0.25">
      <c r="A90" s="1" t="s">
        <v>1494</v>
      </c>
      <c r="B90" s="1" t="s">
        <v>1687</v>
      </c>
      <c r="C90" s="1" t="s">
        <v>1495</v>
      </c>
      <c r="D90" s="1" t="s">
        <v>1688</v>
      </c>
      <c r="E90" s="1" t="s">
        <v>1496</v>
      </c>
      <c r="F90" s="1" t="str">
        <f t="shared" si="1"/>
        <v>&lt;a href="https://www.slideshare.net/spocto/drive-potential-customers-with-effective-mobile-marketing" target="_blank"&gt;&lt;img src="https://cdn.slidesharecdn.com/ss_thumbnails/drivepotentialcustomerswitheffectivemobilemarketing-150729090054-lva1-app6892-thumbnail.jpg?width=560&amp;fit=bounds" alt="image host"/&gt;&lt;/a&gt;</v>
      </c>
    </row>
    <row r="91" spans="1:6" x14ac:dyDescent="0.25">
      <c r="A91" s="1" t="s">
        <v>1494</v>
      </c>
      <c r="B91" s="1" t="s">
        <v>1689</v>
      </c>
      <c r="C91" s="1" t="s">
        <v>1495</v>
      </c>
      <c r="D91" s="1" t="s">
        <v>1690</v>
      </c>
      <c r="E91" s="1" t="s">
        <v>1496</v>
      </c>
      <c r="F91" s="1" t="str">
        <f t="shared" si="1"/>
        <v>&lt;a href="https://www.slideshare.net/Invoca/are-you-in-the-mobilemindset" target="_blank"&gt;&lt;img src="https://cdn.slidesharecdn.com/ss_thumbnails/fzvgzmimtwmeyspk393o-signature-53ee76fda9c0d5b8ad3f7c2413d9a283db23fc29e9a8418bb19381441c505bfa-poli-150728213505-lva1-app6892-thumbnail.jpg?width=560&amp;fit=bounds" alt="image host"/&gt;&lt;/a&gt;</v>
      </c>
    </row>
    <row r="92" spans="1:6" x14ac:dyDescent="0.25">
      <c r="A92" s="1" t="s">
        <v>1494</v>
      </c>
      <c r="B92" s="1" t="s">
        <v>1691</v>
      </c>
      <c r="C92" s="1" t="s">
        <v>1495</v>
      </c>
      <c r="D92" s="1" t="s">
        <v>1692</v>
      </c>
      <c r="E92" s="1" t="s">
        <v>1496</v>
      </c>
      <c r="F92" s="1" t="str">
        <f t="shared" si="1"/>
        <v>&lt;a href="https://www.slideshare.net/PollenVC/the-funding-gap" target="_blank"&gt;&lt;img src="https://cdn.slidesharecdn.com/ss_thumbnails/thefundinggap-150728141637-lva1-app6891-thumbnail.jpg?width=560&amp;fit=bounds" alt="image host"/&gt;&lt;/a&gt;</v>
      </c>
    </row>
    <row r="93" spans="1:6" x14ac:dyDescent="0.25">
      <c r="A93" s="1" t="s">
        <v>1494</v>
      </c>
      <c r="B93" s="1" t="s">
        <v>1693</v>
      </c>
      <c r="C93" s="1" t="s">
        <v>1495</v>
      </c>
      <c r="D93" s="1" t="s">
        <v>1694</v>
      </c>
      <c r="E93" s="1" t="s">
        <v>1496</v>
      </c>
      <c r="F93" s="1" t="str">
        <f t="shared" si="1"/>
        <v>&lt;a href="https://www.slideshare.net/johnkoetsier/to-win-in-mobile-is-to-win-period" target="_blank"&gt;&lt;img src="https://cdn.slidesharecdn.com/ss_thumbnails/mb-1-150720163635-lva1-app6891-thumbnail.jpg?width=560&amp;fit=bounds" alt="image host"/&gt;&lt;/a&gt;</v>
      </c>
    </row>
    <row r="94" spans="1:6" x14ac:dyDescent="0.25">
      <c r="A94" s="1" t="s">
        <v>1494</v>
      </c>
      <c r="B94" s="1" t="s">
        <v>1695</v>
      </c>
      <c r="C94" s="1" t="s">
        <v>1495</v>
      </c>
      <c r="D94" s="1" t="s">
        <v>1697</v>
      </c>
      <c r="E94" s="1" t="s">
        <v>1496</v>
      </c>
      <c r="F94" s="1" t="str">
        <f t="shared" si="1"/>
        <v>&lt;a href="https://www.slideshare.net/JamesDennin/tinder-science-analaysisfinal" target="_blank"&gt;&lt;img src="https://cdn.slidesharecdn.com/ss_thumbnails/tinderscienceanalaysisfinal-150714172543-lva1-app6891-thumbnail.jpg?width=560&amp;fit=bounds" alt="image host"/&gt;&lt;/a&gt;</v>
      </c>
    </row>
    <row r="95" spans="1:6" x14ac:dyDescent="0.25">
      <c r="A95" s="1" t="s">
        <v>1494</v>
      </c>
      <c r="B95" s="1" t="s">
        <v>1698</v>
      </c>
      <c r="C95" s="1" t="s">
        <v>1495</v>
      </c>
      <c r="D95" s="1" t="s">
        <v>1700</v>
      </c>
      <c r="E95" s="1" t="s">
        <v>1496</v>
      </c>
      <c r="F95" s="1" t="str">
        <f t="shared" si="1"/>
        <v>&lt;a href="https://www.slideshare.net/Suzzicks/mozcon-mobilegeddon" target="_blank"&gt;&lt;img src="https://cdn.slidesharecdn.com/ss_thumbnails/mobile-friendly-final-150714144545-lva1-app6892-thumbnail.jpg?width=560&amp;fit=bounds" alt="image host"/&gt;&lt;/a&gt;</v>
      </c>
    </row>
    <row r="96" spans="1:6" x14ac:dyDescent="0.25">
      <c r="A96" s="1" t="s">
        <v>1494</v>
      </c>
      <c r="B96" s="1" t="s">
        <v>1701</v>
      </c>
      <c r="C96" s="1" t="s">
        <v>1495</v>
      </c>
      <c r="D96" s="1" t="s">
        <v>1703</v>
      </c>
      <c r="E96" s="1" t="s">
        <v>1496</v>
      </c>
      <c r="F96" s="1" t="str">
        <f t="shared" si="1"/>
        <v>&lt;a href="https://www.slideshare.net/UpsideLearning/why-mobile-learning-is-the-future-of-workplace-learning" target="_blank"&gt;&lt;img src="https://cdn.slidesharecdn.com/ss_thumbnails/whymobilelearningisthefutureofworkplacelearning-150708101249-lva1-app6891-thumbnail.jpg?width=560&amp;fit=bounds" alt="image host"/&gt;&lt;/a&gt;</v>
      </c>
    </row>
    <row r="97" spans="1:6" x14ac:dyDescent="0.25">
      <c r="A97" s="1" t="s">
        <v>1494</v>
      </c>
      <c r="B97" s="1" t="s">
        <v>1704</v>
      </c>
      <c r="C97" s="1" t="s">
        <v>1495</v>
      </c>
      <c r="D97" s="1" t="s">
        <v>1706</v>
      </c>
      <c r="E97" s="1" t="s">
        <v>1496</v>
      </c>
      <c r="F97" s="1" t="str">
        <f t="shared" si="1"/>
        <v>&lt;a href="https://www.slideshare.net/KyleLacy/15-stats-every-b2b-marketer-should-know-about-mobile-retention" target="_blank"&gt;&lt;img src="https://cdn.slidesharecdn.com/ss_thumbnails/mobileadoptionslideshare-150701175513-lva1-app6892-thumbnail.jpg?width=560&amp;fit=bounds" alt="image host"/&gt;&lt;/a&gt;</v>
      </c>
    </row>
    <row r="98" spans="1:6" x14ac:dyDescent="0.25">
      <c r="A98" s="1" t="s">
        <v>1494</v>
      </c>
      <c r="B98" s="1" t="s">
        <v>1707</v>
      </c>
      <c r="C98" s="1" t="s">
        <v>1495</v>
      </c>
      <c r="D98" s="1" t="s">
        <v>1709</v>
      </c>
      <c r="E98" s="1" t="s">
        <v>1496</v>
      </c>
      <c r="F98" s="1" t="str">
        <f t="shared" si="1"/>
        <v>&lt;a href="https://www.slideshare.net/goldengekko/mobile-application-security-by-design" target="_blank"&gt;&lt;img src="https://cdn.slidesharecdn.com/ss_thumbnails/mobileapplicationsecuritybydesign-150630082949-lva1-app6892-thumbnail.jpg?width=560&amp;fit=bounds" alt="image host"/&gt;&lt;/a&gt;</v>
      </c>
    </row>
    <row r="99" spans="1:6" x14ac:dyDescent="0.25">
      <c r="A99" s="1" t="s">
        <v>1494</v>
      </c>
      <c r="B99" s="1" t="s">
        <v>1710</v>
      </c>
      <c r="C99" s="1" t="s">
        <v>1495</v>
      </c>
      <c r="D99" s="1" t="s">
        <v>1712</v>
      </c>
      <c r="E99" s="1" t="s">
        <v>1496</v>
      </c>
      <c r="F99" s="1" t="str">
        <f t="shared" si="1"/>
        <v>&lt;a href="https://www.slideshare.net/vinaygaba/optimizing-your-apps-for-emerging-markets-droidcon-montreal-2015" target="_blank"&gt;&lt;img src="https://cdn.slidesharecdn.com/ss_thumbnails/optimizingyourappsforemergingmarketsslideshare-150629190303-lva1-app6892-thumbnail.jpg?width=560&amp;fit=bounds" alt="image host"/&gt;&lt;/a&gt;</v>
      </c>
    </row>
    <row r="100" spans="1:6" x14ac:dyDescent="0.25">
      <c r="A100" s="1" t="s">
        <v>1494</v>
      </c>
      <c r="B100" s="1" t="s">
        <v>1713</v>
      </c>
      <c r="C100" s="1" t="s">
        <v>1495</v>
      </c>
      <c r="D100" s="1" t="s">
        <v>1715</v>
      </c>
      <c r="E100" s="1" t="s">
        <v>1496</v>
      </c>
      <c r="F100" s="1" t="str">
        <f t="shared" si="1"/>
        <v>&lt;a href="https://www.slideshare.net/inmobi/report-the-role-of-mobile-in-the-path-to-purchase-of-fmcgretail-products-australia" target="_blank"&gt;&lt;img src="https://cdn.slidesharecdn.com/ss_thumbnails/inmobitheroleofmobilepathtopurchaseoffmcgretailproductsslideshare-150629151832-lva1-app6891-thumbnail.jpg?width=560&amp;fit=bounds" alt="image host"/&gt;&lt;/a&gt;</v>
      </c>
    </row>
    <row r="101" spans="1:6" x14ac:dyDescent="0.25">
      <c r="A101" s="1" t="s">
        <v>1494</v>
      </c>
      <c r="B101" s="1" t="s">
        <v>1716</v>
      </c>
      <c r="C101" s="1" t="s">
        <v>1495</v>
      </c>
      <c r="D101" s="1" t="s">
        <v>1718</v>
      </c>
      <c r="E101" s="1" t="s">
        <v>1496</v>
      </c>
      <c r="F101" s="1" t="str">
        <f t="shared" si="1"/>
        <v>&lt;a href="https://www.slideshare.net/jeremylv/dribbble-meetup-paris" target="_blank"&gt;&lt;img src="https://cdn.slidesharecdn.com/ss_thumbnails/dribbblemeetupparis-150629132633-lva1-app6892-thumbnail.jpg?width=560&amp;fit=bounds" alt="image host"/&gt;&lt;/a&gt;</v>
      </c>
    </row>
    <row r="102" spans="1:6" x14ac:dyDescent="0.25">
      <c r="A102" s="1" t="s">
        <v>1494</v>
      </c>
      <c r="B102" s="1" t="s">
        <v>1719</v>
      </c>
      <c r="C102" s="1" t="s">
        <v>1495</v>
      </c>
      <c r="E102" s="1" t="s">
        <v>1496</v>
      </c>
      <c r="F102" s="1" t="str">
        <f t="shared" si="1"/>
        <v>&lt;a href="https://www.slideshare.net/gsamman/the-future-of-mobile-beyond-payments-becoming-your-own-bank" target="_blank"&gt;&lt;img src="" alt="image host"/&gt;&lt;/a&gt;</v>
      </c>
    </row>
    <row r="103" spans="1:6" x14ac:dyDescent="0.25">
      <c r="A103" s="1" t="s">
        <v>1494</v>
      </c>
      <c r="B103" s="1" t="s">
        <v>1721</v>
      </c>
      <c r="C103" s="1" t="s">
        <v>1495</v>
      </c>
      <c r="E103" s="1" t="s">
        <v>1496</v>
      </c>
      <c r="F103" s="1" t="str">
        <f t="shared" si="1"/>
        <v>&lt;a href="https://www.slideshare.net/spocto/the-future-of-mobile-marketing-with-smartphones" target="_blank"&gt;&lt;img src="" alt="image host"/&gt;&lt;/a&gt;</v>
      </c>
    </row>
    <row r="104" spans="1:6" x14ac:dyDescent="0.25">
      <c r="A104" s="1" t="s">
        <v>1494</v>
      </c>
      <c r="B104" s="1" t="s">
        <v>1723</v>
      </c>
      <c r="C104" s="1" t="s">
        <v>1495</v>
      </c>
      <c r="E104" s="1" t="s">
        <v>1496</v>
      </c>
      <c r="F104" s="1" t="str">
        <f t="shared" si="1"/>
        <v>&lt;a href="https://www.slideshare.net/Freedactics/state-of-mobile-education" target="_blank"&gt;&lt;img src="" alt="image host"/&gt;&lt;/a&gt;</v>
      </c>
    </row>
    <row r="105" spans="1:6" x14ac:dyDescent="0.25">
      <c r="A105" s="1" t="s">
        <v>1494</v>
      </c>
      <c r="B105" s="1" t="s">
        <v>1725</v>
      </c>
      <c r="C105" s="1" t="s">
        <v>1495</v>
      </c>
      <c r="E105" s="1" t="s">
        <v>1496</v>
      </c>
      <c r="F105" s="1" t="str">
        <f t="shared" si="1"/>
        <v>&lt;a href="https://www.slideshare.net/shoobe01/phones-arent-flat-designing-for-people-data-ecosystems" target="_blank"&gt;&lt;img src="" alt="image host"/&gt;&lt;/a&gt;</v>
      </c>
    </row>
    <row r="106" spans="1:6" x14ac:dyDescent="0.25">
      <c r="A106" s="1" t="s">
        <v>1494</v>
      </c>
      <c r="B106" s="1" t="s">
        <v>1727</v>
      </c>
      <c r="C106" s="1" t="s">
        <v>1495</v>
      </c>
      <c r="D106" s="1" t="s">
        <v>1728</v>
      </c>
      <c r="E106" s="1" t="s">
        <v>1496</v>
      </c>
      <c r="F106" s="1" t="str">
        <f t="shared" si="1"/>
        <v>&lt;a href="https://www.slideshare.net/SM4nonprofits/mobile-get-it-or-get-out" target="_blank"&gt;&lt;img src="https://cdn.slidesharecdn.com/ss_thumbnails/1-bencoitfinal-150619174241-lva1-app6891-thumbnail.jpg?width=560&amp;fit=bounds" alt="image host"/&gt;&lt;/a&gt;</v>
      </c>
    </row>
    <row r="107" spans="1:6" x14ac:dyDescent="0.25">
      <c r="A107" s="1" t="s">
        <v>1494</v>
      </c>
      <c r="B107" s="1" t="s">
        <v>1729</v>
      </c>
      <c r="C107" s="1" t="s">
        <v>1495</v>
      </c>
      <c r="D107" s="1" t="s">
        <v>1730</v>
      </c>
      <c r="E107" s="1" t="s">
        <v>1496</v>
      </c>
      <c r="F107" s="1" t="str">
        <f t="shared" si="1"/>
        <v>&lt;a href="https://www.slideshare.net/a16z/mew-a16z" target="_blank"&gt;&lt;img src="https://cdn.slidesharecdn.com/ss_thumbnails/mewa16z-150619153942-lva1-app6892-thumbnail.jpg?width=560&amp;fit=bounds" alt="image host"/&gt;&lt;/a&gt;</v>
      </c>
    </row>
    <row r="108" spans="1:6" x14ac:dyDescent="0.25">
      <c r="A108" s="1" t="s">
        <v>1494</v>
      </c>
      <c r="B108" s="1" t="s">
        <v>1731</v>
      </c>
      <c r="C108" s="1" t="s">
        <v>1495</v>
      </c>
      <c r="D108" s="1" t="s">
        <v>1732</v>
      </c>
      <c r="E108" s="1" t="s">
        <v>1496</v>
      </c>
      <c r="F108" s="1" t="str">
        <f t="shared" si="1"/>
        <v>&lt;a href="https://www.slideshare.net/LookoutInc/mobile-security-the-5-questions-modern-organizations-are-asking" target="_blank"&gt;&lt;img src="https://cdn.slidesharecdn.com/ss_thumbnails/whymobilesecurity-150617164452-lva1-app6891-thumbnail.jpg?width=560&amp;fit=bounds" alt="image host"/&gt;&lt;/a&gt;</v>
      </c>
    </row>
    <row r="109" spans="1:6" x14ac:dyDescent="0.25">
      <c r="A109" s="1" t="s">
        <v>1494</v>
      </c>
      <c r="B109" s="1" t="s">
        <v>1733</v>
      </c>
      <c r="C109" s="1" t="s">
        <v>1495</v>
      </c>
      <c r="D109" s="1" t="s">
        <v>1734</v>
      </c>
      <c r="E109" s="1" t="s">
        <v>1496</v>
      </c>
      <c r="F109" s="1" t="str">
        <f t="shared" si="1"/>
        <v>&lt;a href="https://www.slideshare.net/spocto/beginners-guide-to-mobile-marketing" target="_blank"&gt;&lt;img src="https://cdn.slidesharecdn.com/ss_thumbnails/beginnersguidetomobilemarketing-150617091121-lva1-app6891-thumbnail.jpg?width=560&amp;fit=bounds" alt="image host"/&gt;&lt;/a&gt;</v>
      </c>
    </row>
    <row r="110" spans="1:6" x14ac:dyDescent="0.25">
      <c r="A110" s="1" t="s">
        <v>1494</v>
      </c>
      <c r="B110" s="1" t="s">
        <v>1735</v>
      </c>
      <c r="C110" s="1" t="s">
        <v>1495</v>
      </c>
      <c r="D110" s="1" t="s">
        <v>1737</v>
      </c>
      <c r="E110" s="1" t="s">
        <v>1496</v>
      </c>
      <c r="F110" s="1" t="str">
        <f t="shared" si="1"/>
        <v>&lt;a href="https://www.slideshare.net/dmalenko/future-of-the-apps-what-startups-need-to-know" target="_blank"&gt;&lt;img src="https://cdn.slidesharecdn.com/ss_thumbnails/future-of-the-apps-150614202935-lva1-app6891-thumbnail.jpg?width=560&amp;fit=bounds" alt="image host"/&gt;&lt;/a&gt;</v>
      </c>
    </row>
    <row r="111" spans="1:6" x14ac:dyDescent="0.25">
      <c r="A111" s="1" t="s">
        <v>1494</v>
      </c>
      <c r="B111" s="1" t="s">
        <v>1738</v>
      </c>
      <c r="C111" s="1" t="s">
        <v>1495</v>
      </c>
      <c r="D111" s="1" t="s">
        <v>1739</v>
      </c>
      <c r="E111" s="1" t="s">
        <v>1496</v>
      </c>
      <c r="F111" s="1" t="str">
        <f t="shared" si="1"/>
        <v>&lt;a href="https://www.slideshare.net/jjwu6266/introducing-apple-watch" target="_blank"&gt;&lt;img src="https://cdn.slidesharecdn.com/ss_thumbnails/applewatch-150614144921-lva1-app6892-thumbnail.jpg?width=560&amp;fit=bounds" alt="image host"/&gt;&lt;/a&gt;</v>
      </c>
    </row>
    <row r="112" spans="1:6" x14ac:dyDescent="0.25">
      <c r="A112" s="1" t="s">
        <v>1494</v>
      </c>
      <c r="B112" s="1" t="s">
        <v>1740</v>
      </c>
      <c r="C112" s="1" t="s">
        <v>1495</v>
      </c>
      <c r="D112" s="1" t="s">
        <v>1742</v>
      </c>
      <c r="E112" s="1" t="s">
        <v>1496</v>
      </c>
      <c r="F112" s="1" t="str">
        <f t="shared" si="1"/>
        <v>&lt;a href="https://www.slideshare.net/TimMesserschmidt/the-anatomy-of-invisible-apps" target="_blank"&gt;&lt;img src="https://cdn.slidesharecdn.com/ss_thumbnails/invisible-150613071841-lva1-app6892-thumbnail.jpg?width=560&amp;fit=bounds" alt="image host"/&gt;&lt;/a&gt;</v>
      </c>
    </row>
    <row r="113" spans="1:6" x14ac:dyDescent="0.25">
      <c r="A113" s="1" t="s">
        <v>1494</v>
      </c>
      <c r="B113" s="1" t="s">
        <v>1743</v>
      </c>
      <c r="C113" s="1" t="s">
        <v>1495</v>
      </c>
      <c r="D113" s="1" t="s">
        <v>1744</v>
      </c>
      <c r="E113" s="1" t="s">
        <v>1496</v>
      </c>
      <c r="F113" s="1" t="str">
        <f t="shared" si="1"/>
        <v>&lt;a href="https://www.slideshare.net/13np/mobile-marketing-49309090" target="_blank"&gt;&lt;img src="https://cdn.slidesharecdn.com/ss_thumbnails/natalieprsaflipbook-150612104319-lva1-app6891-thumbnail.jpg?width=560&amp;fit=bounds" alt="image host"/&gt;&lt;/a&gt;</v>
      </c>
    </row>
    <row r="114" spans="1:6" x14ac:dyDescent="0.25">
      <c r="A114" s="1" t="s">
        <v>1494</v>
      </c>
      <c r="B114" s="1" t="s">
        <v>1745</v>
      </c>
      <c r="C114" s="1" t="s">
        <v>1495</v>
      </c>
      <c r="D114" s="1" t="s">
        <v>1746</v>
      </c>
      <c r="E114" s="1" t="s">
        <v>1496</v>
      </c>
      <c r="F114" s="1" t="str">
        <f t="shared" si="1"/>
        <v>&lt;a href="https://www.slideshare.net/fidelman/10-mobile-marketing-campaigns-that-went-viral-and-made-millions" target="_blank"&gt;&lt;img src="https://cdn.slidesharecdn.com/ss_thumbnails/mobilemarketingpresentationforslideshare-150612071449-lva1-app6892-thumbnail.jpg?width=560&amp;fit=bounds" alt="image host"/&gt;&lt;/a&gt;</v>
      </c>
    </row>
    <row r="115" spans="1:6" x14ac:dyDescent="0.25">
      <c r="A115" s="1" t="s">
        <v>1494</v>
      </c>
      <c r="B115" s="1" t="s">
        <v>1747</v>
      </c>
      <c r="C115" s="1" t="s">
        <v>1495</v>
      </c>
      <c r="D115" s="1" t="s">
        <v>1748</v>
      </c>
      <c r="E115" s="1" t="s">
        <v>1496</v>
      </c>
      <c r="F115" s="1" t="str">
        <f t="shared" si="1"/>
        <v>&lt;a href="https://www.slideshare.net/aiurchenko/iforum-iurchenkoux-eng" target="_blank"&gt;&lt;img src="https://cdn.slidesharecdn.com/ss_thumbnails/iforum-iurchenko-uxeng-150611210152-lva1-app6891-thumbnail.jpg?width=560&amp;fit=bounds" alt="image host"/&gt;&lt;/a&gt;</v>
      </c>
    </row>
    <row r="116" spans="1:6" x14ac:dyDescent="0.25">
      <c r="A116" s="1" t="s">
        <v>1494</v>
      </c>
      <c r="B116" s="1" t="s">
        <v>1749</v>
      </c>
      <c r="C116" s="1" t="s">
        <v>1495</v>
      </c>
      <c r="D116" s="1" t="s">
        <v>1750</v>
      </c>
      <c r="E116" s="1" t="s">
        <v>1496</v>
      </c>
      <c r="F116" s="1" t="str">
        <f t="shared" si="1"/>
        <v>&lt;a href="https://www.slideshare.net/eMarketerInc/emarketer-webinar-key-trends-in-mobile-advertising" target="_blank"&gt;&lt;img src="https://cdn.slidesharecdn.com/ss_thumbnails/emarketerwebinarkeytrendsmobileadvertising-150611181857-lva1-app6891-thumbnail.jpg?width=560&amp;fit=bounds" alt="image host"/&gt;&lt;/a&gt;</v>
      </c>
    </row>
    <row r="117" spans="1:6" x14ac:dyDescent="0.25">
      <c r="A117" s="1" t="s">
        <v>1494</v>
      </c>
      <c r="B117" s="1" t="s">
        <v>1751</v>
      </c>
      <c r="C117" s="1" t="s">
        <v>1495</v>
      </c>
      <c r="D117" s="1" t="s">
        <v>1752</v>
      </c>
      <c r="E117" s="1" t="s">
        <v>1496</v>
      </c>
      <c r="F117" s="1" t="str">
        <f t="shared" si="1"/>
        <v>&lt;a href="https://www.slideshare.net/semrush_webinars/a-complete-guide-to-mobile-serach" target="_blank"&gt;&lt;img src="https://cdn.slidesharecdn.com/ss_thumbnails/acompleteguidetomobileserachbykostastvoudourisandadamwhittlesforsemrush-150611123606-lva1-app6892-thumbnail.jpg?width=560&amp;fit=bounds" alt="image host"/&gt;&lt;/a&gt;</v>
      </c>
    </row>
    <row r="118" spans="1:6" x14ac:dyDescent="0.25">
      <c r="A118" s="1" t="s">
        <v>1494</v>
      </c>
      <c r="B118" s="1" t="s">
        <v>1753</v>
      </c>
      <c r="C118" s="1" t="s">
        <v>1495</v>
      </c>
      <c r="E118" s="1" t="s">
        <v>1496</v>
      </c>
      <c r="F118" s="1" t="str">
        <f t="shared" si="1"/>
        <v>&lt;a href="https://www.slideshare.net/ArabNetME/why-mobile-is-becoming-more-important-than-ever-arabnet-digital-summit-2015-49259684" target="_blank"&gt;&lt;img src="" alt="image host"/&gt;&lt;/a&gt;</v>
      </c>
    </row>
    <row r="119" spans="1:6" x14ac:dyDescent="0.25">
      <c r="A119" s="1" t="s">
        <v>1494</v>
      </c>
      <c r="B119" s="1" t="s">
        <v>1754</v>
      </c>
      <c r="C119" s="1" t="s">
        <v>1495</v>
      </c>
      <c r="E119" s="1" t="s">
        <v>1496</v>
      </c>
      <c r="F119" s="1" t="str">
        <f t="shared" si="1"/>
        <v>&lt;a href="https://www.slideshare.net/SamsungBusinessUSA/the-rise-of-the-mobile-empire" target="_blank"&gt;&lt;img src="" alt="image host"/&gt;&lt;/a&gt;</v>
      </c>
    </row>
    <row r="120" spans="1:6" x14ac:dyDescent="0.25">
      <c r="A120" s="1" t="s">
        <v>1494</v>
      </c>
      <c r="B120" s="1" t="s">
        <v>1756</v>
      </c>
      <c r="C120" s="1" t="s">
        <v>1495</v>
      </c>
      <c r="E120" s="1" t="s">
        <v>1496</v>
      </c>
      <c r="F120" s="1" t="str">
        <f t="shared" si="1"/>
        <v>&lt;a href="https://www.slideshare.net/marketo/a-marketers-guide-to-going-mobile" target="_blank"&gt;&lt;img src="" alt="image host"/&gt;&lt;/a&gt;</v>
      </c>
    </row>
    <row r="121" spans="1:6" x14ac:dyDescent="0.25">
      <c r="A121" s="1" t="s">
        <v>1494</v>
      </c>
      <c r="B121" s="1" t="s">
        <v>1758</v>
      </c>
      <c r="C121" s="1" t="s">
        <v>1495</v>
      </c>
      <c r="E121" s="1" t="s">
        <v>1496</v>
      </c>
      <c r="F121" s="1" t="str">
        <f t="shared" si="1"/>
        <v>&lt;a href="https://www.slideshare.net/Vertechx9/i-os9-49158718" target="_blank"&gt;&lt;img src="" alt="image host"/&gt;&lt;/a&gt;</v>
      </c>
    </row>
    <row r="122" spans="1:6" x14ac:dyDescent="0.25">
      <c r="A122" s="1" t="s">
        <v>1494</v>
      </c>
      <c r="B122" s="1" t="s">
        <v>1760</v>
      </c>
      <c r="C122" s="1" t="s">
        <v>1495</v>
      </c>
      <c r="E122" s="1" t="s">
        <v>1496</v>
      </c>
      <c r="F122" s="1" t="str">
        <f t="shared" si="1"/>
        <v>&lt;a href="https://www.slideshare.net/etsarkov/10-ways-to-better-engage-app-users-in-10-seconds" target="_blank"&gt;&lt;img src="" alt="image host"/&gt;&lt;/a&gt;</v>
      </c>
    </row>
    <row r="123" spans="1:6" x14ac:dyDescent="0.25">
      <c r="A123" s="1" t="s">
        <v>1494</v>
      </c>
      <c r="B123" s="1" t="s">
        <v>1762</v>
      </c>
      <c r="C123" s="1" t="s">
        <v>1495</v>
      </c>
      <c r="E123" s="1" t="s">
        <v>1496</v>
      </c>
      <c r="F123" s="1" t="str">
        <f t="shared" si="1"/>
        <v>&lt;a href="https://www.slideshare.net/LuminaryLabs/sxsw-2015-060515" target="_blank"&gt;&lt;img src="" alt="image host"/&gt;&lt;/a&gt;</v>
      </c>
    </row>
    <row r="124" spans="1:6" x14ac:dyDescent="0.25">
      <c r="A124" s="1" t="s">
        <v>1494</v>
      </c>
      <c r="B124" s="1" t="s">
        <v>1764</v>
      </c>
      <c r="C124" s="1" t="s">
        <v>1495</v>
      </c>
      <c r="E124" s="1" t="s">
        <v>1496</v>
      </c>
      <c r="F124" s="1" t="str">
        <f t="shared" si="1"/>
        <v>&lt;a href="https://www.slideshare.net/Localytics/app-value-101-how-i-learned-to-avoid-bombarding-users-with-disruptive-messages" target="_blank"&gt;&lt;img src="" alt="image host"/&gt;&lt;/a&gt;</v>
      </c>
    </row>
    <row r="125" spans="1:6" x14ac:dyDescent="0.25">
      <c r="A125" s="1" t="s">
        <v>1494</v>
      </c>
      <c r="B125" s="1" t="s">
        <v>1766</v>
      </c>
      <c r="C125" s="1" t="s">
        <v>1495</v>
      </c>
      <c r="E125" s="1" t="s">
        <v>1496</v>
      </c>
      <c r="F125" s="1" t="str">
        <f t="shared" si="1"/>
        <v>&lt;a href="https://www.slideshare.net/Ericsson/ericsson-mobility-report-june-2015-north-east-asia-appendix" target="_blank"&gt;&lt;img src="" alt="image host"/&gt;&lt;/a&gt;</v>
      </c>
    </row>
    <row r="126" spans="1:6" x14ac:dyDescent="0.25">
      <c r="A126" s="1" t="s">
        <v>1494</v>
      </c>
      <c r="B126" s="1" t="s">
        <v>1768</v>
      </c>
      <c r="C126" s="1" t="s">
        <v>1495</v>
      </c>
      <c r="E126" s="1" t="s">
        <v>1496</v>
      </c>
      <c r="F126" s="1" t="str">
        <f t="shared" si="1"/>
        <v>&lt;a href="https://www.slideshare.net/lainians/mopubmarketplacereportfinal" target="_blank"&gt;&lt;img src="" alt="image host"/&gt;&lt;/a&gt;</v>
      </c>
    </row>
    <row r="127" spans="1:6" x14ac:dyDescent="0.25">
      <c r="A127" s="1" t="s">
        <v>1494</v>
      </c>
      <c r="B127" s="1" t="s">
        <v>1770</v>
      </c>
      <c r="C127" s="1" t="s">
        <v>1495</v>
      </c>
      <c r="E127" s="1" t="s">
        <v>1496</v>
      </c>
      <c r="F127" s="1" t="str">
        <f t="shared" si="1"/>
        <v>&lt;a href="https://www.slideshare.net/MicahCohen1/guide-to-marketing-on-mobile" target="_blank"&gt;&lt;img src="" alt="image host"/&gt;&lt;/a&gt;</v>
      </c>
    </row>
    <row r="128" spans="1:6" x14ac:dyDescent="0.25">
      <c r="A128" s="1" t="s">
        <v>1494</v>
      </c>
      <c r="B128" s="1" t="s">
        <v>1772</v>
      </c>
      <c r="C128" s="1" t="s">
        <v>1495</v>
      </c>
      <c r="E128" s="1" t="s">
        <v>1496</v>
      </c>
      <c r="F128" s="1" t="str">
        <f t="shared" si="1"/>
        <v>&lt;a href="https://www.slideshare.net/gillcleeren/building-your-first-android-app-using-xamarin" target="_blank"&gt;&lt;img src="" alt="image host"/&gt;&lt;/a&gt;</v>
      </c>
    </row>
    <row r="129" spans="1:6" x14ac:dyDescent="0.25">
      <c r="A129" s="1" t="s">
        <v>1494</v>
      </c>
      <c r="B129" s="1" t="s">
        <v>1774</v>
      </c>
      <c r="C129" s="1" t="s">
        <v>1495</v>
      </c>
      <c r="E129" s="1" t="s">
        <v>1496</v>
      </c>
      <c r="F129" s="1" t="str">
        <f t="shared" si="1"/>
        <v>&lt;a href="https://www.slideshare.net/KyleLacy/moments-matter-technology-trends-changing-the-way-we-live-work-and-communicate" target="_blank"&gt;&lt;img src="" alt="image host"/&gt;&lt;/a&gt;</v>
      </c>
    </row>
  </sheetData>
  <hyperlinks>
    <hyperlink ref="B2" r:id="rId1" display="https://imgbox.com/aVE2jo4C"/>
    <hyperlink ref="D2" r:id="rId2" display="https://thumbs2.imgbox.com/b5/82/aVE2jo4C_t.jpeg"/>
  </hyperlinks>
  <pageMargins left="0.7" right="0.7" top="0.75" bottom="0.75" header="0.3" footer="0.3"/>
  <pageSetup paperSize="9" orientation="portrait"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row r="1" spans="1:1" x14ac:dyDescent="0.25">
      <c r="A1" t="s">
        <v>1497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90"/>
  <sheetViews>
    <sheetView tabSelected="1" topLeftCell="A76" workbookViewId="0">
      <selection activeCell="I90" sqref="I2:I90"/>
    </sheetView>
  </sheetViews>
  <sheetFormatPr defaultRowHeight="15" x14ac:dyDescent="0.25"/>
  <cols>
    <col min="1" max="1" width="9.140625" style="1"/>
    <col min="2" max="2" width="35" style="1" customWidth="1"/>
    <col min="3" max="3" width="21.7109375" style="1" customWidth="1"/>
    <col min="4" max="4" width="30.28515625" style="1" customWidth="1"/>
    <col min="5" max="7" width="21.7109375" style="1" customWidth="1"/>
    <col min="8" max="8" width="13.7109375" style="1" customWidth="1"/>
    <col min="9" max="9" width="25.28515625" style="4" customWidth="1"/>
    <col min="10" max="10" width="4" style="1" customWidth="1"/>
    <col min="11" max="11" width="32.5703125" style="1" customWidth="1"/>
    <col min="12" max="12" width="4" style="1" customWidth="1"/>
    <col min="13" max="13" width="14.85546875" style="1" customWidth="1"/>
    <col min="14" max="14" width="4" style="1" customWidth="1"/>
    <col min="15" max="15" width="9.140625" style="7"/>
    <col min="16" max="16384" width="9.140625" style="1"/>
  </cols>
  <sheetData>
    <row r="1" spans="1:10" s="1" customFormat="1" x14ac:dyDescent="0.25">
      <c r="C1" s="9">
        <v>1</v>
      </c>
      <c r="D1" s="9"/>
      <c r="E1" s="9">
        <v>3</v>
      </c>
      <c r="F1" s="9"/>
      <c r="G1" s="9">
        <v>2</v>
      </c>
      <c r="I1" s="4"/>
    </row>
    <row r="2" spans="1:10" s="1" customFormat="1" x14ac:dyDescent="0.25">
      <c r="A2" s="1">
        <v>1</v>
      </c>
      <c r="B2" s="1" t="s">
        <v>1867</v>
      </c>
      <c r="C2" s="1" t="s">
        <v>2627</v>
      </c>
      <c r="D2" s="1" t="s">
        <v>1961</v>
      </c>
      <c r="E2" s="1" t="s">
        <v>2361</v>
      </c>
      <c r="F2" s="1" t="s">
        <v>1866</v>
      </c>
      <c r="G2" s="1" t="s">
        <v>2362</v>
      </c>
      <c r="H2" s="1" t="s">
        <v>1868</v>
      </c>
      <c r="I2" s="4" t="str">
        <f>B2&amp;""&amp;C2&amp;""&amp;D2&amp;""&amp;E2&amp;""&amp;F2&amp;""&amp;G2&amp;""&amp;H2</f>
        <v>&lt;a class="new" target="_blank" href="https://exe.io/st?api=a480072bd98881bdfc23c75aa2f815ea2428344e&amp;url=https://www.teacherspayteachers.com/Product/Science-of-Reading-Guided-Phonics-Beyond-Curriculum-SOR-DECODABLES-SOUND-WALL-6967851?st=0c6e7fc6bcd88cde45b4c311578a996a"&gt;&lt;img class="" alt=""    src="https://ecdn.teacherspayteachers.com/thumbitem/Science-of-Reading-Guided-Phonics-Beyond-Curriculum-SOR-DECODABLES-SOUND-WALL-6967851-1707962760/large-6967851-1.jpg"&gt;&lt;span class="new_title"&gt;               Science of Reading Guided Phonics + Beyond Curriculum SOR DECODABLES +SOUND WALL&lt;/span&gt;&lt;/a&gt;</v>
      </c>
      <c r="J2" s="1">
        <v>1</v>
      </c>
    </row>
    <row r="3" spans="1:10" s="1" customFormat="1" x14ac:dyDescent="0.25">
      <c r="A3" s="1">
        <v>2</v>
      </c>
      <c r="B3" s="1" t="s">
        <v>1867</v>
      </c>
      <c r="C3" s="1" t="s">
        <v>2628</v>
      </c>
      <c r="D3" s="1" t="s">
        <v>1961</v>
      </c>
      <c r="E3" s="1" t="s">
        <v>2364</v>
      </c>
      <c r="F3" s="1" t="s">
        <v>1866</v>
      </c>
      <c r="G3" s="1" t="s">
        <v>2365</v>
      </c>
      <c r="H3" s="1" t="s">
        <v>1868</v>
      </c>
      <c r="I3" s="4" t="str">
        <f t="shared" ref="I3:I20" si="0">B3&amp;""&amp;C3&amp;""&amp;D3&amp;""&amp;E3&amp;""&amp;F3&amp;""&amp;G3&amp;""&amp;H3</f>
        <v>&lt;a class="new" target="_blank" href="https://exe.io/st?api=a480072bd98881bdfc23c75aa2f815ea2428344e&amp;url=https://www.teacherspayteachers.com/Product/One-Stop-Teacher-Planner-2023-2024-EDITABLE-Digital-Printable-Lesson-Binder-1083937?st=0c6e7fc6bcd88cde45b4c311578a996a"&gt;&lt;img class="" alt=""    src="https://ecdn.teacherspayteachers.com/thumbitem/One-Stop-Teacher-Planner-2023-2024-EDITABLE-Digital-Printable-Lesson-Binder-1083937-1699875165/large-1083937-1.jpg"&gt;&lt;span class="new_title"&gt;               One Stop Teacher Planner 2023-2024 - EDITABLE Digital &amp; Printable Lesson Binder&lt;/span&gt;&lt;/a&gt;</v>
      </c>
      <c r="J3" s="1">
        <v>2</v>
      </c>
    </row>
    <row r="4" spans="1:10" s="1" customFormat="1" x14ac:dyDescent="0.25">
      <c r="A4" s="1">
        <v>3</v>
      </c>
      <c r="B4" s="1" t="s">
        <v>1867</v>
      </c>
      <c r="C4" s="1" t="s">
        <v>2629</v>
      </c>
      <c r="D4" s="1" t="s">
        <v>1961</v>
      </c>
      <c r="E4" s="1" t="s">
        <v>2367</v>
      </c>
      <c r="F4" s="1" t="s">
        <v>1866</v>
      </c>
      <c r="G4" s="1" t="s">
        <v>2368</v>
      </c>
      <c r="H4" s="1" t="s">
        <v>1868</v>
      </c>
      <c r="I4" s="4" t="str">
        <f t="shared" si="0"/>
        <v>&lt;a class="new" target="_blank" href="https://exe.io/st?api=a480072bd98881bdfc23c75aa2f815ea2428344e&amp;url=https://www.teacherspayteachers.com/Product/Sight-Word-Practice-Activities-Sentences-Games-Books-Science-of-Reading-3150071?st=0c6e7fc6bcd88cde45b4c311578a996a"&gt;&lt;img class="" alt=""    src="https://ecdn.teacherspayteachers.com/thumbitem/Endless-Sight-Word-Stories-6-During-SALE--3150071-1708000673/large-3150071-1.jpg"&gt;&lt;span class="new_title"&gt;               Sight Word Practice, Activities, Sentences, Games, Books, Science of Reading&lt;/span&gt;&lt;/a&gt;</v>
      </c>
      <c r="J4" s="1">
        <v>3</v>
      </c>
    </row>
    <row r="5" spans="1:10" s="1" customFormat="1" x14ac:dyDescent="0.25">
      <c r="A5" s="1">
        <v>4</v>
      </c>
      <c r="B5" s="1" t="s">
        <v>1867</v>
      </c>
      <c r="C5" s="1" t="s">
        <v>2630</v>
      </c>
      <c r="D5" s="1" t="s">
        <v>1961</v>
      </c>
      <c r="E5" s="1" t="s">
        <v>2370</v>
      </c>
      <c r="F5" s="1" t="s">
        <v>1866</v>
      </c>
      <c r="G5" s="1" t="s">
        <v>2371</v>
      </c>
      <c r="H5" s="1" t="s">
        <v>1868</v>
      </c>
      <c r="I5" s="4" t="str">
        <f t="shared" si="0"/>
        <v>&lt;a class="new" target="_blank" href="https://exe.io/st?api=a480072bd98881bdfc23c75aa2f815ea2428344e&amp;url=https://www.teacherspayteachers.com/Product/Decodable-Readers-Passages-Science-of-Reading-Comprehension-Reading-Fluency-ELA-8054553?st=0c6e7fc6bcd88cde45b4c311578a996a"&gt;&lt;img class="" alt=""    src="https://ecdn.teacherspayteachers.com/thumbitem/Decodable-Readers-Passages-Science-of-Reading-Comprehension-Reading-Fluency-8054553-1710653004/large-8054553-1.jpg"&gt;&lt;span class="new_title"&gt;               Decodable Readers Passages Science of Reading Comprehension Reading Fluency ELA&lt;/span&gt;&lt;/a&gt;</v>
      </c>
      <c r="J5" s="1">
        <v>4</v>
      </c>
    </row>
    <row r="6" spans="1:10" s="1" customFormat="1" x14ac:dyDescent="0.25">
      <c r="A6" s="1">
        <v>5</v>
      </c>
      <c r="B6" s="1" t="s">
        <v>1867</v>
      </c>
      <c r="C6" s="1" t="s">
        <v>2631</v>
      </c>
      <c r="D6" s="1" t="s">
        <v>1961</v>
      </c>
      <c r="E6" s="1" t="s">
        <v>2373</v>
      </c>
      <c r="F6" s="1" t="s">
        <v>1866</v>
      </c>
      <c r="G6" s="1" t="s">
        <v>2374</v>
      </c>
      <c r="H6" s="1" t="s">
        <v>1868</v>
      </c>
      <c r="I6" s="4" t="str">
        <f t="shared" si="0"/>
        <v>&lt;a class="new" target="_blank" href="https://exe.io/st?api=a480072bd98881bdfc23c75aa2f815ea2428344e&amp;url=https://www.teacherspayteachers.com/Product/Modern-Calm-Colors-Classroom-Decor-Bundle-Editable-Pastel-6558647?st=0c6e7fc6bcd88cde45b4c311578a996a"&gt;&lt;img class="" alt=""    src="https://ecdn.teacherspayteachers.com/thumbitem/Modern-Calm-Colors-Classroom-Decor-Bundle-Editable-6558647-1709742110/large-6558647-1.jpg"&gt;&lt;span class="new_title"&gt;               Modern Calm Colors Classroom Decor Bundle Editable | Pastel&lt;/span&gt;&lt;/a&gt;</v>
      </c>
      <c r="J6" s="1">
        <v>5</v>
      </c>
    </row>
    <row r="7" spans="1:10" s="1" customFormat="1" x14ac:dyDescent="0.25">
      <c r="A7" s="1">
        <v>6</v>
      </c>
      <c r="B7" s="1" t="s">
        <v>1867</v>
      </c>
      <c r="C7" s="1" t="s">
        <v>2632</v>
      </c>
      <c r="D7" s="1" t="s">
        <v>1961</v>
      </c>
      <c r="E7" s="1" t="s">
        <v>2376</v>
      </c>
      <c r="F7" s="1" t="s">
        <v>1866</v>
      </c>
      <c r="G7" s="1" t="s">
        <v>2377</v>
      </c>
      <c r="H7" s="1" t="s">
        <v>1868</v>
      </c>
      <c r="I7" s="4" t="str">
        <f t="shared" si="0"/>
        <v>&lt;a class="new" target="_blank" href="https://exe.io/st?api=a480072bd98881bdfc23c75aa2f815ea2428344e&amp;url=https://www.teacherspayteachers.com/Product/STEM-Bins-STEAM-Bins-Elementary-STEM-Activities-Morning-WorkFast-Finishers-2719619?st=0c6e7fc6bcd88cde45b4c311578a996a"&gt;&lt;img class="" alt=""    src="https://ecdn.teacherspayteachers.com/thumbitem/STEM-Bins-STEAM-Bins-STEM-Activities-2719619-1704359369/large-2719619-1.jpg"&gt;&lt;span class="new_title"&gt;               STEM Bins® / STEAM Bins® Elementary STEM Activities: Morning Work,Fast Finishers&lt;/span&gt;&lt;/a&gt;</v>
      </c>
      <c r="J7" s="1">
        <v>6</v>
      </c>
    </row>
    <row r="8" spans="1:10" s="1" customFormat="1" x14ac:dyDescent="0.25">
      <c r="A8" s="1">
        <v>7</v>
      </c>
      <c r="B8" s="1" t="s">
        <v>1867</v>
      </c>
      <c r="C8" s="1" t="s">
        <v>2633</v>
      </c>
      <c r="D8" s="1" t="s">
        <v>1961</v>
      </c>
      <c r="E8" s="1" t="s">
        <v>2379</v>
      </c>
      <c r="F8" s="1" t="s">
        <v>1866</v>
      </c>
      <c r="G8" s="1" t="s">
        <v>2380</v>
      </c>
      <c r="H8" s="1" t="s">
        <v>1868</v>
      </c>
      <c r="I8" s="4" t="str">
        <f t="shared" si="0"/>
        <v>&lt;a class="new" target="_blank" href="https://exe.io/st?api=a480072bd98881bdfc23c75aa2f815ea2428344e&amp;url=https://www.teacherspayteachers.com/Product/Morning-Adapted-Work-Binder-for-Special-Needs-Adapted-Morning-Work-2068837?st=0c6e7fc6bcd88cde45b4c311578a996a"&gt;&lt;img class="" alt=""    src="https://ecdn.teacherspayteachers.com/thumbitem/Adapted-Calendar-Notebook-for-Students-with-Special-Needs--2068837-1596037228/large-2068837-1.jpg"&gt;&lt;span class="new_title"&gt;               Morning Adapted Work Binder® (for Special Needs) | Adapted Morning Work&lt;/span&gt;&lt;/a&gt;</v>
      </c>
      <c r="J8" s="1">
        <v>7</v>
      </c>
    </row>
    <row r="9" spans="1:10" s="1" customFormat="1" x14ac:dyDescent="0.25">
      <c r="A9" s="1">
        <v>8</v>
      </c>
      <c r="B9" s="1" t="s">
        <v>1867</v>
      </c>
      <c r="C9" s="1" t="s">
        <v>2634</v>
      </c>
      <c r="D9" s="1" t="s">
        <v>1961</v>
      </c>
      <c r="E9" s="1" t="s">
        <v>2382</v>
      </c>
      <c r="F9" s="1" t="s">
        <v>1866</v>
      </c>
      <c r="G9" s="1" t="s">
        <v>2383</v>
      </c>
      <c r="H9" s="1" t="s">
        <v>1868</v>
      </c>
      <c r="I9" s="4" t="str">
        <f t="shared" si="0"/>
        <v>&lt;a class="new" target="_blank" href="https://exe.io/st?api=a480072bd98881bdfc23c75aa2f815ea2428344e&amp;url=https://www.teacherspayteachers.com/Product/First-Grade-Phonics-Reading-Fluency-Comprehension-Passages-Questions-Worksheets-1723565?st=0c6e7fc6bcd88cde45b4c311578a996a"&gt;&lt;img class="" alt=""    src="https://ecdn.teacherspayteachers.com/thumbitem/Phonics-Reading-Comprehension-Passages-Worksheets-1723565-1709638927/large-1723565-1.jpg"&gt;&lt;span class="new_title"&gt;               First Grade Phonics Reading Fluency Comprehension Passages Questions Worksheets&lt;/span&gt;&lt;/a&gt;</v>
      </c>
      <c r="J9" s="1">
        <v>8</v>
      </c>
    </row>
    <row r="10" spans="1:10" s="1" customFormat="1" x14ac:dyDescent="0.25">
      <c r="A10" s="1">
        <v>9</v>
      </c>
      <c r="B10" s="1" t="s">
        <v>1867</v>
      </c>
      <c r="C10" s="1" t="s">
        <v>2635</v>
      </c>
      <c r="D10" s="1" t="s">
        <v>1961</v>
      </c>
      <c r="E10" s="1" t="s">
        <v>2385</v>
      </c>
      <c r="F10" s="1" t="s">
        <v>1866</v>
      </c>
      <c r="G10" s="1" t="s">
        <v>2386</v>
      </c>
      <c r="H10" s="1" t="s">
        <v>1868</v>
      </c>
      <c r="I10" s="4" t="str">
        <f t="shared" si="0"/>
        <v>&lt;a class="new" target="_blank" href="https://exe.io/st?api=a480072bd98881bdfc23c75aa2f815ea2428344e&amp;url=https://www.teacherspayteachers.com/Product/Paragraph-of-the-Week-Writing-Prompts-for-Paragraph-Writing-Editing-Practice-953007?st=0c6e7fc6bcd88cde45b4c311578a996a"&gt;&lt;img class="" alt=""    src="https://ecdn.teacherspayteachers.com/thumbitem/Paragraph-of-the-Week-Paragraph-Writing-PRINT-DIGITAL-GOOGLE-Classroom-953007-1701720933/large-953007-1.jpg"&gt;&lt;span class="new_title"&gt;               Paragraph of the Week - Writing Prompts for Paragraph Writing &amp; Editing Practice&lt;/span&gt;&lt;/a&gt;</v>
      </c>
      <c r="J10" s="1">
        <v>9</v>
      </c>
    </row>
    <row r="11" spans="1:10" s="1" customFormat="1" x14ac:dyDescent="0.25">
      <c r="A11" s="1">
        <v>10</v>
      </c>
      <c r="B11" s="1" t="s">
        <v>1867</v>
      </c>
      <c r="C11" s="1" t="s">
        <v>2636</v>
      </c>
      <c r="D11" s="1" t="s">
        <v>1961</v>
      </c>
      <c r="E11" s="1" t="s">
        <v>2388</v>
      </c>
      <c r="F11" s="1" t="s">
        <v>1866</v>
      </c>
      <c r="G11" s="1" t="s">
        <v>2389</v>
      </c>
      <c r="H11" s="1" t="s">
        <v>1868</v>
      </c>
      <c r="I11" s="4" t="str">
        <f t="shared" si="0"/>
        <v>&lt;a class="new" target="_blank" href="https://exe.io/st?api=a480072bd98881bdfc23c75aa2f815ea2428344e&amp;url=https://www.teacherspayteachers.com/Product/End-of-the-Year-Memory-Book-Print-and-Digital-End-of-the-Year-Activities-1856804?st=0c6e7fc6bcd88cde45b4c311578a996a"&gt;&lt;img class="" alt=""    src="https://ecdn.teacherspayteachers.com/thumbitem/End-of-the-Year-Memory-Book-Print-and-Digital-End-of-the-Year-Activities-1856804-1684877597/large-1856804-1.jpg"&gt;&lt;span class="new_title"&gt;               End of the Year Memory Book Print and Digital | End of the Year Activities&lt;/span&gt;&lt;/a&gt;</v>
      </c>
      <c r="J11" s="1">
        <v>10</v>
      </c>
    </row>
    <row r="12" spans="1:10" s="1" customFormat="1" x14ac:dyDescent="0.25">
      <c r="A12" s="1">
        <v>11</v>
      </c>
      <c r="B12" s="1" t="s">
        <v>1867</v>
      </c>
      <c r="C12" s="1" t="s">
        <v>2637</v>
      </c>
      <c r="D12" s="1" t="s">
        <v>1961</v>
      </c>
      <c r="E12" s="1" t="s">
        <v>2391</v>
      </c>
      <c r="F12" s="1" t="s">
        <v>1866</v>
      </c>
      <c r="G12" s="1" t="s">
        <v>2392</v>
      </c>
      <c r="H12" s="1" t="s">
        <v>1868</v>
      </c>
      <c r="I12" s="4" t="str">
        <f t="shared" si="0"/>
        <v>&lt;a class="new" target="_blank" href="https://exe.io/st?api=a480072bd98881bdfc23c75aa2f815ea2428344e&amp;url=https://www.teacherspayteachers.com/Product/Mothers-Day-Craft-Flower-Bouquet-Card-Writing-Activity-3137522?st=0c6e7fc6bcd88cde45b4c311578a996a"&gt;&lt;img class="" alt=""    src="https://ecdn.teacherspayteachers.com/thumbitem/Mother-s-Day-Craft-Flower-Bouquet-Card-Writing-Activity-3137522-1683417478/large-3137522-1.jpg"&gt;&lt;span class="new_title"&gt;               Mother's Day Craft - Flower Bouquet Card Writing Activity&lt;/span&gt;&lt;/a&gt;</v>
      </c>
      <c r="J12" s="1">
        <v>11</v>
      </c>
    </row>
    <row r="13" spans="1:10" s="1" customFormat="1" x14ac:dyDescent="0.25">
      <c r="A13" s="1">
        <v>12</v>
      </c>
      <c r="B13" s="1" t="s">
        <v>1867</v>
      </c>
      <c r="C13" s="1" t="s">
        <v>2638</v>
      </c>
      <c r="D13" s="1" t="s">
        <v>1961</v>
      </c>
      <c r="E13" s="1" t="s">
        <v>2394</v>
      </c>
      <c r="F13" s="1" t="s">
        <v>1866</v>
      </c>
      <c r="G13" s="1" t="s">
        <v>2395</v>
      </c>
      <c r="H13" s="1" t="s">
        <v>1868</v>
      </c>
      <c r="I13" s="4" t="str">
        <f t="shared" si="0"/>
        <v>&lt;a class="new" target="_blank" href="https://exe.io/st?api=a480072bd98881bdfc23c75aa2f815ea2428344e&amp;url=https://www.teacherspayteachers.com/Product/Addition-Subtraction-Coloring-Pages-Winter-St-Patricks-Day-Math-Activity-450593?st=0c6e7fc6bcd88cde45b4c311578a996a"&gt;&lt;img class="" alt=""    src="https://ecdn.teacherspayteachers.com/thumbitem/Kissing-Penguins-Christmas-Color-by-Number-Coloring-Page-1708012615/large-450593-1.jpg"&gt;&lt;span class="new_title"&gt;               Addition &amp; Subtraction Coloring Pages - Winter &amp; St. Patrick's Day Math Activity&lt;/span&gt;&lt;/a&gt;</v>
      </c>
      <c r="J13" s="1">
        <v>12</v>
      </c>
    </row>
    <row r="14" spans="1:10" s="1" customFormat="1" x14ac:dyDescent="0.25">
      <c r="A14" s="1">
        <v>13</v>
      </c>
      <c r="B14" s="1" t="s">
        <v>1867</v>
      </c>
      <c r="C14" s="1" t="s">
        <v>2639</v>
      </c>
      <c r="D14" s="1" t="s">
        <v>1961</v>
      </c>
      <c r="E14" s="1" t="s">
        <v>2397</v>
      </c>
      <c r="F14" s="1" t="s">
        <v>1866</v>
      </c>
      <c r="G14" s="1" t="s">
        <v>2398</v>
      </c>
      <c r="H14" s="1" t="s">
        <v>1868</v>
      </c>
      <c r="I14" s="4" t="str">
        <f t="shared" si="0"/>
        <v>&lt;a class="new" target="_blank" href="https://exe.io/st?api=a480072bd98881bdfc23c75aa2f815ea2428344e&amp;url=https://www.teacherspayteachers.com/Product/Figurative-Language-Worksheets-and-Google-Slides-Idiom-Simile-Hyperbole-etc-171493?st=0c6e7fc6bcd88cde45b4c311578a996a"&gt;&lt;img class="" alt=""    src="https://ecdn.teacherspayteachers.com/thumbitem/Figurative-Language-Worksheets-and-Google-Slides-Idiom-Simile-Hyperbole-etc-171493-1708017521/large-171493-1.jpg"&gt;&lt;span class="new_title"&gt;               Figurative Language Worksheets and Google Slides - Idiom, Simile, Hyperbole etc&lt;/span&gt;&lt;/a&gt;</v>
      </c>
      <c r="J14" s="1">
        <v>13</v>
      </c>
    </row>
    <row r="15" spans="1:10" s="1" customFormat="1" x14ac:dyDescent="0.25">
      <c r="A15" s="1">
        <v>14</v>
      </c>
      <c r="B15" s="1" t="s">
        <v>1867</v>
      </c>
      <c r="C15" s="1" t="s">
        <v>2640</v>
      </c>
      <c r="D15" s="1" t="s">
        <v>1961</v>
      </c>
      <c r="E15" s="1" t="s">
        <v>2400</v>
      </c>
      <c r="F15" s="1" t="s">
        <v>1866</v>
      </c>
      <c r="G15" s="1" t="s">
        <v>2401</v>
      </c>
      <c r="H15" s="1" t="s">
        <v>1868</v>
      </c>
      <c r="I15" s="4" t="str">
        <f t="shared" si="0"/>
        <v>&lt;a class="new" target="_blank" href="https://exe.io/st?api=a480072bd98881bdfc23c75aa2f815ea2428344e&amp;url=https://www.teacherspayteachers.com/Product/Grammar-Worksheet-Bundle-Nouns-Adjectives-Verbs-Punctuation-and-more-4326988?st=0c6e7fc6bcd88cde45b4c311578a996a"&gt;&lt;img class="" alt=""    src="https://ecdn.teacherspayteachers.com/thumbitem/Grammar-Worksheet-Bundle-Nouns-Adjectives-Verbs-Punctuation-and-more--4326988-1657234711/large-4326988-1.jpg"&gt;&lt;span class="new_title"&gt;               Grammar Worksheet Bundle - Nouns, Adjectives, Verbs, Punctuation and more!&lt;/span&gt;&lt;/a&gt;</v>
      </c>
      <c r="J15" s="1">
        <v>14</v>
      </c>
    </row>
    <row r="16" spans="1:10" s="1" customFormat="1" x14ac:dyDescent="0.25">
      <c r="A16" s="1">
        <v>15</v>
      </c>
      <c r="B16" s="1" t="s">
        <v>1867</v>
      </c>
      <c r="C16" s="1" t="s">
        <v>2641</v>
      </c>
      <c r="D16" s="1" t="s">
        <v>1961</v>
      </c>
      <c r="E16" s="1" t="s">
        <v>2403</v>
      </c>
      <c r="F16" s="1" t="s">
        <v>1866</v>
      </c>
      <c r="G16" s="1" t="s">
        <v>2404</v>
      </c>
      <c r="H16" s="1" t="s">
        <v>1868</v>
      </c>
      <c r="I16" s="4" t="str">
        <f t="shared" si="0"/>
        <v>&lt;a class="new" target="_blank" href="https://exe.io/st?api=a480072bd98881bdfc23c75aa2f815ea2428344e&amp;url=https://www.teacherspayteachers.com/Product/Writing-Prompt-Units-Bundle-Narrative-Opinion-St-Patricks-Day-Spring-Activities-7404247?st=0c6e7fc6bcd88cde45b4c311578a996a"&gt;&lt;img class="" alt=""    src="https://ecdn.teacherspayteachers.com/thumbitem/Writing-Prompt-Units-Bundle-Narrative-Morning-Work-Thanksgiving-Fall-Activities-7404247-1710653019/large-7404247-1.jpg"&gt;&lt;span class="new_title"&gt;               Writing Prompt Units Bundle Narrative Opinion St Patricks Day Spring Activities&lt;/span&gt;&lt;/a&gt;</v>
      </c>
      <c r="J16" s="1">
        <v>15</v>
      </c>
    </row>
    <row r="17" spans="1:15" x14ac:dyDescent="0.25">
      <c r="A17" s="1">
        <v>16</v>
      </c>
      <c r="B17" s="1" t="s">
        <v>1867</v>
      </c>
      <c r="C17" s="1" t="s">
        <v>2642</v>
      </c>
      <c r="D17" s="1" t="s">
        <v>1961</v>
      </c>
      <c r="E17" s="1" t="s">
        <v>2406</v>
      </c>
      <c r="F17" s="1" t="s">
        <v>1866</v>
      </c>
      <c r="G17" s="1" t="s">
        <v>2407</v>
      </c>
      <c r="H17" s="1" t="s">
        <v>1868</v>
      </c>
      <c r="I17" s="4" t="str">
        <f t="shared" si="0"/>
        <v>&lt;a class="new" target="_blank" href="https://exe.io/st?api=a480072bd98881bdfc23c75aa2f815ea2428344e&amp;url=https://www.teacherspayteachers.com/Product/1st-Grade-Morning-Work-1st-Grade-Writing-Prompts-For-the-Year-Writing-Center-2671276?st=0c6e7fc6bcd88cde45b4c311578a996a"&gt;&lt;img class="" alt=""    src="https://ecdn.teacherspayteachers.com/thumbitem/1st-Grade-Morning-Work-1st-Grade-Writing-Prompts-For-the-Entire-Year-2671276-1707310181/large-2671276-1.jpg"&gt;&lt;span class="new_title"&gt;               1st Grade Morning Work - 1st Grade Writing Prompts For the Year - Writing Center&lt;/span&gt;&lt;/a&gt;</v>
      </c>
      <c r="J17" s="1">
        <v>16</v>
      </c>
      <c r="O17" s="1"/>
    </row>
    <row r="18" spans="1:15" x14ac:dyDescent="0.25">
      <c r="A18" s="1">
        <v>17</v>
      </c>
      <c r="B18" s="1" t="s">
        <v>1867</v>
      </c>
      <c r="C18" s="1" t="s">
        <v>2643</v>
      </c>
      <c r="D18" s="1" t="s">
        <v>1961</v>
      </c>
      <c r="E18" s="1" t="s">
        <v>2409</v>
      </c>
      <c r="F18" s="1" t="s">
        <v>1866</v>
      </c>
      <c r="G18" s="1" t="s">
        <v>2410</v>
      </c>
      <c r="H18" s="1" t="s">
        <v>1868</v>
      </c>
      <c r="I18" s="4" t="str">
        <f t="shared" si="0"/>
        <v>&lt;a class="new" target="_blank" href="https://exe.io/st?api=a480072bd98881bdfc23c75aa2f815ea2428344e&amp;url=https://www.teacherspayteachers.com/Product/Behavior-Management-Green-and-Red-Choices-Preschool-Pre-K-and-Kindergarten-1931820?st=0c6e7fc6bcd88cde45b4c311578a996a"&gt;&lt;img class="" alt=""    src="https://ecdn.teacherspayteachers.com/thumbitem/Behavior-Management-Green-and-Red-Choices-Preschool-Pre-K-and-Kindergarten-1931820-1674050806/large-1931820-1.jpg"&gt;&lt;span class="new_title"&gt;               Behavior Management Green and Red Choices®️ Preschool, Pre-K, and Kindergarten&lt;/span&gt;&lt;/a&gt;</v>
      </c>
      <c r="J18" s="1">
        <v>17</v>
      </c>
      <c r="O18" s="1"/>
    </row>
    <row r="19" spans="1:15" x14ac:dyDescent="0.25">
      <c r="A19" s="1">
        <v>18</v>
      </c>
      <c r="B19" s="1" t="s">
        <v>1867</v>
      </c>
      <c r="C19" s="1" t="s">
        <v>2644</v>
      </c>
      <c r="D19" s="1" t="s">
        <v>1961</v>
      </c>
      <c r="E19" s="1" t="s">
        <v>2412</v>
      </c>
      <c r="F19" s="1" t="s">
        <v>1866</v>
      </c>
      <c r="G19" s="1" t="s">
        <v>2413</v>
      </c>
      <c r="H19" s="1" t="s">
        <v>1868</v>
      </c>
      <c r="I19" s="4" t="str">
        <f t="shared" si="0"/>
        <v>&lt;a class="new" target="_blank" href="https://exe.io/st?api=a480072bd98881bdfc23c75aa2f815ea2428344e&amp;url=https://www.teacherspayteachers.com/Product/Decodable-Passages-with-Comprehension-Questions-2nd-Grade-Phonics-Fluency-3432044?st=0c6e7fc6bcd88cde45b4c311578a996a"&gt;&lt;img class="" alt=""    src="https://ecdn.teacherspayteachers.com/thumbitem/Decodable-Passages-Science-of-Reading-Comprehension-Reading-Fluency-2nd-Grade-3432044-1708038167/large-3432044-1.jpg"&gt;&lt;span class="new_title"&gt;               Decodable Passages with Comprehension Questions - 2nd Grade Phonics &amp; Fluency&lt;/span&gt;&lt;/a&gt;</v>
      </c>
      <c r="J19" s="1">
        <v>18</v>
      </c>
      <c r="O19" s="1"/>
    </row>
    <row r="20" spans="1:15" x14ac:dyDescent="0.25">
      <c r="A20" s="1">
        <v>19</v>
      </c>
      <c r="B20" s="1" t="s">
        <v>1867</v>
      </c>
      <c r="C20" s="1" t="s">
        <v>2645</v>
      </c>
      <c r="D20" s="1" t="s">
        <v>1961</v>
      </c>
      <c r="E20" s="1" t="s">
        <v>2415</v>
      </c>
      <c r="F20" s="1" t="s">
        <v>1866</v>
      </c>
      <c r="G20" s="1" t="s">
        <v>2416</v>
      </c>
      <c r="H20" s="1" t="s">
        <v>1868</v>
      </c>
      <c r="I20" s="4" t="str">
        <f t="shared" si="0"/>
        <v>&lt;a class="new" target="_blank" href="https://exe.io/st?api=a480072bd98881bdfc23c75aa2f815ea2428344e&amp;url=https://www.teacherspayteachers.com/Product/How-to-Catch-a-Leprechaun-craft-St-Patricks-Day-activities-writing-prompt-paper-105282?st=0c6e7fc6bcd88cde45b4c311578a996a"&gt;&lt;img class="" alt=""    src="https://ecdn.teacherspayteachers.com/thumbitem/Christmas-Craft-Activity-How-to-Catch-an-Elf-December-Bulletin-Board-105282-1710423836/large-105282-1.jpg"&gt;&lt;span class="new_title"&gt;               How to Catch a Leprechaun craft St Patricks Day activities writing prompt paper&lt;/span&gt;&lt;/a&gt;</v>
      </c>
      <c r="J20" s="1">
        <v>19</v>
      </c>
      <c r="O20" s="1"/>
    </row>
    <row r="21" spans="1:15" x14ac:dyDescent="0.25">
      <c r="B21" s="1" t="s">
        <v>1867</v>
      </c>
      <c r="C21" s="1" t="s">
        <v>2646</v>
      </c>
      <c r="D21" s="1" t="s">
        <v>1961</v>
      </c>
      <c r="E21" s="1" t="s">
        <v>2418</v>
      </c>
      <c r="F21" s="1" t="s">
        <v>1866</v>
      </c>
      <c r="G21" s="1" t="s">
        <v>2419</v>
      </c>
      <c r="H21" s="1" t="s">
        <v>1868</v>
      </c>
      <c r="I21" s="4" t="str">
        <f t="shared" ref="I21:I84" si="1">B21&amp;""&amp;C21&amp;""&amp;D21&amp;""&amp;E21&amp;""&amp;F21&amp;""&amp;G21&amp;""&amp;H21</f>
        <v>&lt;a class="new" target="_blank" href="https://exe.io/st?api=a480072bd98881bdfc23c75aa2f815ea2428344e&amp;url=https://www.teacherspayteachers.com/Product/Summer-Packet-NO-PREP-Review-Kindergarten-699193?st=0c6e7fc6bcd88cde45b4c311578a996a"&gt;&lt;img class="" alt=""    src="https://ecdn.teacherspayteachers.com/thumbitem/Summer-Packet-NO-PREP-Review-Kindergarten--699193-1668243853/large-699193-1.jpg"&gt;&lt;span class="new_title"&gt;               Summer Packet NO PREP Review (Kindergarten)&lt;/span&gt;&lt;/a&gt;</v>
      </c>
      <c r="J21" s="1">
        <v>20</v>
      </c>
    </row>
    <row r="22" spans="1:15" x14ac:dyDescent="0.25">
      <c r="B22" s="1" t="s">
        <v>1867</v>
      </c>
      <c r="C22" s="1" t="s">
        <v>2647</v>
      </c>
      <c r="D22" s="1" t="s">
        <v>1961</v>
      </c>
      <c r="E22" s="1" t="s">
        <v>2421</v>
      </c>
      <c r="F22" s="1" t="s">
        <v>1866</v>
      </c>
      <c r="G22" s="1" t="s">
        <v>2422</v>
      </c>
      <c r="H22" s="1" t="s">
        <v>1868</v>
      </c>
      <c r="I22" s="4" t="str">
        <f t="shared" si="1"/>
        <v>&lt;a class="new" target="_blank" href="https://exe.io/st?api=a480072bd98881bdfc23c75aa2f815ea2428344e&amp;url=https://www.teacherspayteachers.com/Product/Main-Idea-Reading-Comprehension-w-Spring-St-Patricks-Day-Easter-Activities--2122542?st=0c6e7fc6bcd88cde45b4c311578a996a"&gt;&lt;img class="" alt=""    src="https://ecdn.teacherspayteachers.com/thumbitem/Main-Idea-Christmas-Around-the-World-Reading-Comprehension-Passages-and-Question-2122542-1710329153/large-2122542-1.jpg"&gt;&lt;span class="new_title"&gt;               Main Idea Reading Comprehension w/ Spring St. Patrick's Day Easter Activities +&lt;/span&gt;&lt;/a&gt;</v>
      </c>
      <c r="J22" s="1">
        <v>21</v>
      </c>
    </row>
    <row r="23" spans="1:15" x14ac:dyDescent="0.25">
      <c r="B23" s="1" t="s">
        <v>1867</v>
      </c>
      <c r="C23" s="1" t="s">
        <v>2648</v>
      </c>
      <c r="D23" s="1" t="s">
        <v>1961</v>
      </c>
      <c r="E23" s="1" t="s">
        <v>2424</v>
      </c>
      <c r="F23" s="1" t="s">
        <v>1866</v>
      </c>
      <c r="G23" s="1" t="s">
        <v>2425</v>
      </c>
      <c r="H23" s="1" t="s">
        <v>1868</v>
      </c>
      <c r="I23" s="4" t="str">
        <f t="shared" si="1"/>
        <v>&lt;a class="new" target="_blank" href="https://exe.io/st?api=a480072bd98881bdfc23c75aa2f815ea2428344e&amp;url=https://www.teacherspayteachers.com/Product/Phonics-Reading-Intervention-Decodable-Passage-Readers-Science-of-Reading-Center-8550259?st=0c6e7fc6bcd88cde45b4c311578a996a"&gt;&lt;img class="" alt=""    src="https://ecdn.teacherspayteachers.com/thumbitem/Phonics-Reading-Intervention-Decodable-Passages-Readers-Science-of-Reading-Sheet-8550259-1708314990/large-8550259-1.jpg"&gt;&lt;span class="new_title"&gt;               Phonics Reading Intervention Decodable Passage Readers Science of Reading Center&lt;/span&gt;&lt;/a&gt;</v>
      </c>
      <c r="J23" s="1">
        <v>22</v>
      </c>
    </row>
    <row r="24" spans="1:15" x14ac:dyDescent="0.25">
      <c r="B24" s="1" t="s">
        <v>1867</v>
      </c>
      <c r="C24" s="1" t="s">
        <v>2649</v>
      </c>
      <c r="D24" s="1" t="s">
        <v>1961</v>
      </c>
      <c r="E24" s="1" t="s">
        <v>2427</v>
      </c>
      <c r="F24" s="1" t="s">
        <v>1866</v>
      </c>
      <c r="G24" s="1" t="s">
        <v>2428</v>
      </c>
      <c r="H24" s="1" t="s">
        <v>1868</v>
      </c>
      <c r="I24" s="4" t="str">
        <f t="shared" si="1"/>
        <v>&lt;a class="new" target="_blank" href="https://exe.io/st?api=a480072bd98881bdfc23c75aa2f815ea2428344e&amp;url=https://www.teacherspayteachers.com/Product/Science-of-Reading-Comprehension-Phonics-Decodable-Passages-Worksheets-Readers-1639608?st=0c6e7fc6bcd88cde45b4c311578a996a"&gt;&lt;img class="" alt=""    src="https://ecdn.teacherspayteachers.com/thumbitem/Science-of-Reading-Comprehension-Decodable-Fall-Phonics-Passage-Activities-1639608-1708384565/large-1639608-1.jpg"&gt;&lt;span class="new_title"&gt;               Science of Reading Comprehension Phonics Decodable Passages Worksheets Readers&lt;/span&gt;&lt;/a&gt;</v>
      </c>
      <c r="J24" s="1">
        <v>23</v>
      </c>
    </row>
    <row r="25" spans="1:15" x14ac:dyDescent="0.25">
      <c r="B25" s="1" t="s">
        <v>1867</v>
      </c>
      <c r="C25" s="1" t="s">
        <v>2650</v>
      </c>
      <c r="D25" s="1" t="s">
        <v>1961</v>
      </c>
      <c r="E25" s="1" t="s">
        <v>2430</v>
      </c>
      <c r="F25" s="1" t="s">
        <v>1866</v>
      </c>
      <c r="G25" s="1" t="s">
        <v>2431</v>
      </c>
      <c r="H25" s="1" t="s">
        <v>1868</v>
      </c>
      <c r="I25" s="4" t="str">
        <f t="shared" si="1"/>
        <v>&lt;a class="new" target="_blank" href="https://exe.io/st?api=a480072bd98881bdfc23c75aa2f815ea2428344e&amp;url=https://www.teacherspayteachers.com/Product/35-NO-PREP-Multiplication-Math-Games-for-Multiplication-Practice-Fact-Fluency-1197085?st=0c6e7fc6bcd88cde45b4c311578a996a"&gt;&lt;img class="" alt=""    src="https://ecdn.teacherspayteachers.com/thumbitem/35-NO-PREP-Multiplication-Math-Games-for-Multiplication-Practice-Fact-Fluency-1197085-1708387787/large-1197085-1.jpg"&gt;&lt;span class="new_title"&gt;               35 NO PREP Multiplication Math Games for Multiplication Practice &amp; Fact Fluency&lt;/span&gt;&lt;/a&gt;</v>
      </c>
      <c r="J25" s="1">
        <v>24</v>
      </c>
    </row>
    <row r="26" spans="1:15" x14ac:dyDescent="0.25">
      <c r="B26" s="1" t="s">
        <v>1867</v>
      </c>
      <c r="C26" s="1" t="s">
        <v>2651</v>
      </c>
      <c r="D26" s="1" t="s">
        <v>1961</v>
      </c>
      <c r="E26" s="1" t="s">
        <v>2433</v>
      </c>
      <c r="F26" s="1" t="s">
        <v>1866</v>
      </c>
      <c r="G26" s="1" t="s">
        <v>2434</v>
      </c>
      <c r="H26" s="1" t="s">
        <v>1868</v>
      </c>
      <c r="I26" s="4" t="str">
        <f t="shared" si="1"/>
        <v>&lt;a class="new" target="_blank" href="https://exe.io/st?api=a480072bd98881bdfc23c75aa2f815ea2428344e&amp;url=https://www.teacherspayteachers.com/Product/Fine-Motor-Journals-for-Preschool-Pre-K-and-Kindergarten-5187612?st=e325fc680052302fbbafa7ed1bc2175b"&gt;&lt;img class="" alt=""    src="https://ecdn.teacherspayteachers.com/thumbitem/Fine-Motor-Journals-for-Preschool-Pre-K-and-Kindergarten-5187612-1690453412/large-5187612-1.jpg"&gt;&lt;span class="new_title"&gt;               Fine Motor Journals for Preschool, Pre-K, and Kindergarten&lt;/span&gt;&lt;/a&gt;</v>
      </c>
      <c r="J26" s="1">
        <v>25</v>
      </c>
    </row>
    <row r="27" spans="1:15" x14ac:dyDescent="0.25">
      <c r="B27" s="1" t="s">
        <v>1867</v>
      </c>
      <c r="C27" s="1" t="s">
        <v>2652</v>
      </c>
      <c r="D27" s="1" t="s">
        <v>1961</v>
      </c>
      <c r="E27" s="1" t="s">
        <v>2436</v>
      </c>
      <c r="F27" s="1" t="s">
        <v>1866</v>
      </c>
      <c r="G27" s="1" t="s">
        <v>2437</v>
      </c>
      <c r="H27" s="1" t="s">
        <v>1868</v>
      </c>
      <c r="I27" s="4" t="str">
        <f t="shared" si="1"/>
        <v>&lt;a class="new" target="_blank" href="https://exe.io/st?api=a480072bd98881bdfc23c75aa2f815ea2428344e&amp;url=https://www.teacherspayteachers.com/Product/Editable-Teacher-Planner-Teacher-Binder-2023-2024-Back-to-School-2493038?st=e325fc680052302fbbafa7ed1bc2175b"&gt;&lt;img class="" alt=""    src="https://ecdn.teacherspayteachers.com/thumbitem/Editable-Teacher-Planner-Teacher-Binder-2023-2024-Back-to-School-2493038-1700238054/large-2493038-1.jpg"&gt;&lt;span class="new_title"&gt;               Editable Teacher Planner | Teacher Binder 2023-2024 | Back to School&lt;/span&gt;&lt;/a&gt;</v>
      </c>
      <c r="J27" s="1">
        <v>26</v>
      </c>
    </row>
    <row r="28" spans="1:15" x14ac:dyDescent="0.25">
      <c r="B28" s="1" t="s">
        <v>1867</v>
      </c>
      <c r="C28" s="1" t="s">
        <v>2653</v>
      </c>
      <c r="D28" s="1" t="s">
        <v>1961</v>
      </c>
      <c r="E28" s="1" t="s">
        <v>2439</v>
      </c>
      <c r="F28" s="1" t="s">
        <v>1866</v>
      </c>
      <c r="G28" s="1" t="s">
        <v>2440</v>
      </c>
      <c r="H28" s="1" t="s">
        <v>1868</v>
      </c>
      <c r="I28" s="4" t="str">
        <f t="shared" si="1"/>
        <v>&lt;a class="new" target="_blank" href="https://exe.io/st?api=a480072bd98881bdfc23c75aa2f815ea2428344e&amp;url=https://www.teacherspayteachers.com/Product/Classroom-Labels-Real-Photos-for-Preschool-Pre-K-Kinder-1st-Grade-3945694?st=e325fc680052302fbbafa7ed1bc2175b"&gt;&lt;img class="" alt=""    src="https://ecdn.teacherspayteachers.com/thumbitem/Classroom-Labels-Real-Photos-for-Preschool-Pre-K-Kinder-1st-Grade-3945694-1685809997/large-3945694-1.jpg"&gt;&lt;span class="new_title"&gt;               Classroom Labels - Real Photos for Preschool, Pre-K, Kinder, &amp; 1st Grade&lt;/span&gt;&lt;/a&gt;</v>
      </c>
      <c r="J28" s="1">
        <v>27</v>
      </c>
    </row>
    <row r="29" spans="1:15" x14ac:dyDescent="0.25">
      <c r="B29" s="1" t="s">
        <v>1867</v>
      </c>
      <c r="C29" s="1" t="s">
        <v>2654</v>
      </c>
      <c r="D29" s="1" t="s">
        <v>1961</v>
      </c>
      <c r="E29" s="1" t="s">
        <v>2442</v>
      </c>
      <c r="F29" s="1" t="s">
        <v>1866</v>
      </c>
      <c r="G29" s="1" t="s">
        <v>2443</v>
      </c>
      <c r="H29" s="1" t="s">
        <v>1868</v>
      </c>
      <c r="I29" s="4" t="str">
        <f t="shared" si="1"/>
        <v>&lt;a class="new" target="_blank" href="https://exe.io/st?api=a480072bd98881bdfc23c75aa2f815ea2428344e&amp;url=https://www.teacherspayteachers.com/Product/Paragraph-Writing-How-to-Write-a-Complete-Paragraph-Graphic-Organizer-Posters-862543?st=e325fc680052302fbbafa7ed1bc2175b"&gt;&lt;img class="" alt=""    src="https://ecdn.teacherspayteachers.com/thumbitem/Complete-Paragraph-Writing-Bundle-030807300-1378447928-1709472937/large-862543-1.jpg"&gt;&lt;span class="new_title"&gt;               Paragraph Writing - How to Write a Complete Paragraph Graphic Organizer Posters&lt;/span&gt;&lt;/a&gt;</v>
      </c>
      <c r="J29" s="1">
        <v>28</v>
      </c>
    </row>
    <row r="30" spans="1:15" x14ac:dyDescent="0.25">
      <c r="B30" s="1" t="s">
        <v>1867</v>
      </c>
      <c r="C30" s="1" t="s">
        <v>2655</v>
      </c>
      <c r="D30" s="1" t="s">
        <v>1961</v>
      </c>
      <c r="E30" s="1" t="s">
        <v>2445</v>
      </c>
      <c r="F30" s="1" t="s">
        <v>1866</v>
      </c>
      <c r="G30" s="1" t="s">
        <v>2446</v>
      </c>
      <c r="H30" s="1" t="s">
        <v>1868</v>
      </c>
      <c r="I30" s="4" t="str">
        <f t="shared" si="1"/>
        <v>&lt;a class="new" target="_blank" href="https://exe.io/st?api=a480072bd98881bdfc23c75aa2f815ea2428344e&amp;url=https://www.teacherspayteachers.com/Product/Kindergarten-Illustration-Unit-I-Can-Draw-With-Shapes-Draw-and-Color-7158722?st=e325fc680052302fbbafa7ed1bc2175b"&gt;&lt;img class="" alt=""    src="https://ecdn.teacherspayteachers.com/thumbitem/Kindergarten-Illustration-Unit-I-Can-Draw-With-Shapes-Draw-and-Color-7158722-1689863162/large-7158722-1.jpg"&gt;&lt;span class="new_title"&gt;               Kindergarten Illustration Unit | I Can Draw With Shapes | Draw and Color&lt;/span&gt;&lt;/a&gt;</v>
      </c>
      <c r="J30" s="1">
        <v>29</v>
      </c>
    </row>
    <row r="31" spans="1:15" x14ac:dyDescent="0.25">
      <c r="B31" s="1" t="s">
        <v>1867</v>
      </c>
      <c r="C31" s="1" t="s">
        <v>2656</v>
      </c>
      <c r="D31" s="1" t="s">
        <v>1961</v>
      </c>
      <c r="E31" s="1" t="s">
        <v>2448</v>
      </c>
      <c r="F31" s="1" t="s">
        <v>1866</v>
      </c>
      <c r="G31" s="1" t="s">
        <v>2449</v>
      </c>
      <c r="H31" s="1" t="s">
        <v>1868</v>
      </c>
      <c r="I31" s="4" t="str">
        <f t="shared" si="1"/>
        <v>&lt;a class="new" target="_blank" href="https://exe.io/st?api=a480072bd98881bdfc23c75aa2f815ea2428344e&amp;url=https://www.teacherspayteachers.com/Product/Back-to-School-Activities-First-Week-of-School-Beginning-of-the-Year-BUNDLE-1282776?st=e325fc680052302fbbafa7ed1bc2175b"&gt;&lt;img class="" alt=""    src="https://ecdn.teacherspayteachers.com/thumbitem/Back-to-School-Activities-First-Week-of-School-Beginning-of-the-Year-BUNDLE-1282776-1694877511/large-1282776-1.jpg"&gt;&lt;span class="new_title"&gt;               Back to School Activities | First Week of School | Beginning of the Year BUNDLE&lt;/span&gt;&lt;/a&gt;</v>
      </c>
      <c r="J31" s="1">
        <v>30</v>
      </c>
    </row>
    <row r="32" spans="1:15" x14ac:dyDescent="0.25">
      <c r="B32" s="1" t="s">
        <v>1867</v>
      </c>
      <c r="C32" s="1" t="s">
        <v>2657</v>
      </c>
      <c r="D32" s="1" t="s">
        <v>1961</v>
      </c>
      <c r="E32" s="1" t="s">
        <v>2451</v>
      </c>
      <c r="F32" s="1" t="s">
        <v>1866</v>
      </c>
      <c r="G32" s="1" t="s">
        <v>2452</v>
      </c>
      <c r="H32" s="1" t="s">
        <v>1868</v>
      </c>
      <c r="I32" s="4" t="str">
        <f t="shared" si="1"/>
        <v>&lt;a class="new" target="_blank" href="https://exe.io/st?api=a480072bd98881bdfc23c75aa2f815ea2428344e&amp;url=https://www.teacherspayteachers.com/Product/Life-Cycle-of-Plants-Unit-Investigations-Plant-Life-Cycle-PowerPoint-NGSS-224144?st=e325fc680052302fbbafa7ed1bc2175b"&gt;&lt;img class="" alt=""    src="https://ecdn.teacherspayteachers.com/thumbitem/Life-Cycle-of-Plants-Unit-Investigations-Plant-Life-Cycle-PowerPoint-NGSS-224144-1708365590/large-224144-1.jpg"&gt;&lt;span class="new_title"&gt;               Life Cycle of Plants Unit, Investigations &amp; Plant Life Cycle PowerPoint NGSS&lt;/span&gt;&lt;/a&gt;</v>
      </c>
      <c r="J32" s="1">
        <v>31</v>
      </c>
    </row>
    <row r="33" spans="2:10" x14ac:dyDescent="0.25">
      <c r="B33" s="1" t="s">
        <v>1867</v>
      </c>
      <c r="C33" s="1" t="s">
        <v>2658</v>
      </c>
      <c r="D33" s="1" t="s">
        <v>1961</v>
      </c>
      <c r="E33" s="1" t="s">
        <v>2454</v>
      </c>
      <c r="F33" s="1" t="s">
        <v>1866</v>
      </c>
      <c r="G33" s="1" t="s">
        <v>2455</v>
      </c>
      <c r="H33" s="1" t="s">
        <v>1868</v>
      </c>
      <c r="I33" s="4" t="str">
        <f t="shared" si="1"/>
        <v>&lt;a class="new" target="_blank" href="https://exe.io/st?api=a480072bd98881bdfc23c75aa2f815ea2428344e&amp;url=https://www.teacherspayteachers.com/Product/Sight-Word-Practice-Mystery-Coloring-Pages-Spring-St-Patricks-Day-Activity-592311?st=e325fc680052302fbbafa7ed1bc2175b"&gt;&lt;img class="" alt=""    src="https://ecdn.teacherspayteachers.com/thumbitem/Free-Gangnam-Style-Mystery-Picture-Math-Activity-1708012473/large-592311-1.jpg"&gt;&lt;span class="new_title"&gt;               Sight Word Practice Mystery Coloring Pages - Spring &amp; St. Patrick's Day Activity&lt;/span&gt;&lt;/a&gt;</v>
      </c>
      <c r="J33" s="1">
        <v>32</v>
      </c>
    </row>
    <row r="34" spans="2:10" x14ac:dyDescent="0.25">
      <c r="B34" s="1" t="s">
        <v>1867</v>
      </c>
      <c r="C34" s="1" t="s">
        <v>2659</v>
      </c>
      <c r="D34" s="1" t="s">
        <v>1961</v>
      </c>
      <c r="E34" s="1" t="s">
        <v>2457</v>
      </c>
      <c r="F34" s="1" t="s">
        <v>1866</v>
      </c>
      <c r="G34" s="1" t="s">
        <v>2458</v>
      </c>
      <c r="H34" s="1" t="s">
        <v>1868</v>
      </c>
      <c r="I34" s="4" t="str">
        <f t="shared" si="1"/>
        <v>&lt;a class="new" target="_blank" href="https://exe.io/st?api=a480072bd98881bdfc23c75aa2f815ea2428344e&amp;url=https://www.teacherspayteachers.com/Product/Sound-Wall-4192803?st=e325fc680052302fbbafa7ed1bc2175b"&gt;&lt;img class="" alt=""    src="https://ecdn.teacherspayteachers.com/thumbitem/Sound-Wall-4192803-1692056821/large-4192803-1.jpg"&gt;&lt;span class="new_title"&gt;               Sound Wall&lt;/span&gt;&lt;/a&gt;</v>
      </c>
      <c r="J34" s="1">
        <v>33</v>
      </c>
    </row>
    <row r="35" spans="2:10" x14ac:dyDescent="0.25">
      <c r="B35" s="1" t="s">
        <v>1867</v>
      </c>
      <c r="C35" s="1" t="s">
        <v>2660</v>
      </c>
      <c r="D35" s="1" t="s">
        <v>1961</v>
      </c>
      <c r="E35" s="1" t="s">
        <v>2460</v>
      </c>
      <c r="F35" s="1" t="s">
        <v>1866</v>
      </c>
      <c r="G35" s="1" t="s">
        <v>2461</v>
      </c>
      <c r="H35" s="1" t="s">
        <v>1868</v>
      </c>
      <c r="I35" s="4" t="str">
        <f t="shared" si="1"/>
        <v>&lt;a class="new" target="_blank" href="https://exe.io/st?api=a480072bd98881bdfc23c75aa2f815ea2428344e&amp;url=https://www.teacherspayteachers.com/Product/3rd-Grade-Math-Spiral-Review-Morning-Work-Math-Homework-or-Warm-Ups-BUNDLE-1048011?st=e325fc680052302fbbafa7ed1bc2175b"&gt;&lt;img class="" alt=""    src="https://ecdn.teacherspayteachers.com/thumbitem/3rd-Grade-Math-Spiral-Review-Morning-Work-Math-Homework-Progress-Monitoring-1048011-1682250448/large-1048011-1.jpg"&gt;&lt;span class="new_title"&gt;               3rd Grade Math Spiral Review - Morning Work, Math Homework, or Warm Ups BUNDLE&lt;/span&gt;&lt;/a&gt;</v>
      </c>
      <c r="J35" s="1">
        <v>34</v>
      </c>
    </row>
    <row r="36" spans="2:10" x14ac:dyDescent="0.25">
      <c r="B36" s="1" t="s">
        <v>1867</v>
      </c>
      <c r="C36" s="1" t="s">
        <v>2661</v>
      </c>
      <c r="D36" s="1" t="s">
        <v>1961</v>
      </c>
      <c r="E36" s="1" t="s">
        <v>2463</v>
      </c>
      <c r="F36" s="1" t="s">
        <v>1866</v>
      </c>
      <c r="G36" s="1" t="s">
        <v>2464</v>
      </c>
      <c r="H36" s="1" t="s">
        <v>1868</v>
      </c>
      <c r="I36" s="4" t="str">
        <f t="shared" si="1"/>
        <v>&lt;a class="new" target="_blank" href="https://exe.io/st?api=a480072bd98881bdfc23c75aa2f815ea2428344e&amp;url=https://www.teacherspayteachers.com/Product/St-Patricks-Day-Craft-Leprechaun-March-Writing-Prompts-Paper-Spring-Craftivity-158880?st=e325fc680052302fbbafa7ed1bc2175b"&gt;&lt;img class="" alt=""    src="https://ecdn.teacherspayteachers.com/thumbitem/Haunted-House-for-Sale-OCTOBER-WRITING-PROMPTS-Halloween-Activities-and-Crafts-158880-1708409899/large-158880-1.jpg"&gt;&lt;span class="new_title"&gt;               St. Patrick's Day Craft Leprechaun March Writing Prompts Paper Spring Craftivity&lt;/span&gt;&lt;/a&gt;</v>
      </c>
      <c r="J36" s="1">
        <v>35</v>
      </c>
    </row>
    <row r="37" spans="2:10" x14ac:dyDescent="0.25">
      <c r="B37" s="1" t="s">
        <v>1867</v>
      </c>
      <c r="C37" s="1" t="s">
        <v>2662</v>
      </c>
      <c r="D37" s="1" t="s">
        <v>1961</v>
      </c>
      <c r="E37" s="1" t="s">
        <v>2466</v>
      </c>
      <c r="F37" s="1" t="s">
        <v>1866</v>
      </c>
      <c r="G37" s="1" t="s">
        <v>2467</v>
      </c>
      <c r="H37" s="1" t="s">
        <v>1868</v>
      </c>
      <c r="I37" s="4" t="str">
        <f t="shared" si="1"/>
        <v>&lt;a class="new" target="_blank" href="https://exe.io/st?api=a480072bd98881bdfc23c75aa2f815ea2428344e&amp;url=https://www.teacherspayteachers.com/Product/Nonfiction-Text-Structures-Unit-Passages-Worksheets-Anchor-Chart-Task-Cards-528637?st=e325fc680052302fbbafa7ed1bc2175b"&gt;&lt;img class="" alt=""    src="https://ecdn.teacherspayteachers.com/thumbitem/Text-Structure-Language-Arts-Practice-Sheets-Anchor-Chart-Review-Game-Test-1701721073/large-528637-1.jpg"&gt;&lt;span class="new_title"&gt;               Nonfiction Text Structures Unit: Passages, Worksheets, Anchor Chart, Task Cards&lt;/span&gt;&lt;/a&gt;</v>
      </c>
      <c r="J37" s="1">
        <v>36</v>
      </c>
    </row>
    <row r="38" spans="2:10" x14ac:dyDescent="0.25">
      <c r="B38" s="1" t="s">
        <v>1867</v>
      </c>
      <c r="C38" s="1" t="s">
        <v>2663</v>
      </c>
      <c r="D38" s="1" t="s">
        <v>1961</v>
      </c>
      <c r="E38" s="1" t="s">
        <v>2469</v>
      </c>
      <c r="F38" s="1" t="s">
        <v>1866</v>
      </c>
      <c r="G38" s="1" t="s">
        <v>2470</v>
      </c>
      <c r="H38" s="1" t="s">
        <v>1868</v>
      </c>
      <c r="I38" s="4" t="str">
        <f t="shared" si="1"/>
        <v>&lt;a class="new" target="_blank" href="https://exe.io/st?api=a480072bd98881bdfc23c75aa2f815ea2428344e&amp;url=https://www.teacherspayteachers.com/Product/Science-of-Reading-Guided-Curriculum-Phonics-Decodables-Readers-SOUND-WALL-6896126?st=e325fc680052302fbbafa7ed1bc2175b"&gt;&lt;img class="" alt=""    src="https://ecdn.teacherspayteachers.com/thumbitem/Science-of-Reading-Guided-Curriculum-Phonics-Decodables-Readers-SOUND-WALL-6896126-1705078089/large-6896126-1.jpg"&gt;&lt;span class="new_title"&gt;               Science of Reading Guided Curriculum Phonics Decodables Readers + SOUND WALL&lt;/span&gt;&lt;/a&gt;</v>
      </c>
      <c r="J38" s="1">
        <v>37</v>
      </c>
    </row>
    <row r="39" spans="2:10" x14ac:dyDescent="0.25">
      <c r="B39" s="1" t="s">
        <v>1867</v>
      </c>
      <c r="C39" s="1" t="s">
        <v>2664</v>
      </c>
      <c r="D39" s="1" t="s">
        <v>1961</v>
      </c>
      <c r="E39" s="1" t="s">
        <v>2472</v>
      </c>
      <c r="F39" s="1" t="s">
        <v>1866</v>
      </c>
      <c r="G39" s="1" t="s">
        <v>2473</v>
      </c>
      <c r="H39" s="1" t="s">
        <v>1868</v>
      </c>
      <c r="I39" s="4" t="str">
        <f t="shared" si="1"/>
        <v>&lt;a class="new" target="_blank" href="https://exe.io/st?api=a480072bd98881bdfc23c75aa2f815ea2428344e&amp;url=https://www.teacherspayteachers.com/Product/Kindergarten-High-Frequency-Sight-Word-Practice-Sentences-Guided-Reading-Game-1048713?st=e325fc680052302fbbafa7ed1bc2175b"&gt;&lt;img class="" alt=""    src="https://ecdn.teacherspayteachers.com/thumbitem/Very-First-Sight-Word-Sentences-Guided-Reading-Levels-A-and-B-1048713-1708772484/large-1048713-1.jpg"&gt;&lt;span class="new_title"&gt;               Kindergarten High Frequency Sight Word Practice Sentences &amp; Guided Reading Game&lt;/span&gt;&lt;/a&gt;</v>
      </c>
      <c r="J39" s="1">
        <v>38</v>
      </c>
    </row>
    <row r="40" spans="2:10" x14ac:dyDescent="0.25">
      <c r="B40" s="1" t="s">
        <v>1867</v>
      </c>
      <c r="C40" s="1" t="s">
        <v>2665</v>
      </c>
      <c r="D40" s="1" t="s">
        <v>1961</v>
      </c>
      <c r="E40" s="1" t="s">
        <v>2475</v>
      </c>
      <c r="F40" s="1" t="s">
        <v>1866</v>
      </c>
      <c r="G40" s="1" t="s">
        <v>2476</v>
      </c>
      <c r="H40" s="1" t="s">
        <v>1868</v>
      </c>
      <c r="I40" s="4" t="str">
        <f t="shared" si="1"/>
        <v>&lt;a class="new" target="_blank" href="https://exe.io/st?api=a480072bd98881bdfc23c75aa2f815ea2428344e&amp;url=https://www.teacherspayteachers.com/Product/Summer-Packet-NO-PREP-Review-1st-Grade-702342?st=e325fc680052302fbbafa7ed1bc2175b"&gt;&lt;img class="" alt=""    src="https://ecdn.teacherspayteachers.com/thumbitem/Summer-Packet-NO-PREP-Review-1st-Grade--702342-1668243861/large-702342-1.jpg"&gt;&lt;span class="new_title"&gt;               Summer Packet NO PREP Review (1st Grade)&lt;/span&gt;&lt;/a&gt;</v>
      </c>
      <c r="J40" s="1">
        <v>39</v>
      </c>
    </row>
    <row r="41" spans="2:10" x14ac:dyDescent="0.25">
      <c r="B41" s="1" t="s">
        <v>1867</v>
      </c>
      <c r="C41" s="1" t="s">
        <v>2666</v>
      </c>
      <c r="D41" s="1" t="s">
        <v>1961</v>
      </c>
      <c r="E41" s="1" t="s">
        <v>2478</v>
      </c>
      <c r="F41" s="1" t="s">
        <v>1866</v>
      </c>
      <c r="G41" s="1" t="s">
        <v>2479</v>
      </c>
      <c r="H41" s="1" t="s">
        <v>1868</v>
      </c>
      <c r="I41" s="4" t="str">
        <f t="shared" si="1"/>
        <v>&lt;a class="new" target="_blank" href="https://exe.io/st?api=a480072bd98881bdfc23c75aa2f815ea2428344e&amp;url=https://www.teacherspayteachers.com/Product/First-Then-Board-Visual-Schedule-Flipbooks-EDITABLE-for-Special-Education-3253360?st=e325fc680052302fbbafa7ed1bc2175b"&gt;&lt;img class="" alt=""    src="https://ecdn.teacherspayteachers.com/thumbitem/First-Then-Flip-Book-3253360-1701081082/large-3253360-1.jpg"&gt;&lt;span class="new_title"&gt;               First Then Board &amp; Visual Schedule Flipbooks (EDITABLE) for Special Education&lt;/span&gt;&lt;/a&gt;</v>
      </c>
      <c r="J41" s="1">
        <v>40</v>
      </c>
    </row>
    <row r="42" spans="2:10" x14ac:dyDescent="0.25">
      <c r="B42" s="1" t="s">
        <v>1867</v>
      </c>
      <c r="C42" s="1" t="s">
        <v>2667</v>
      </c>
      <c r="D42" s="1" t="s">
        <v>1961</v>
      </c>
      <c r="E42" s="1" t="s">
        <v>2481</v>
      </c>
      <c r="F42" s="1" t="s">
        <v>1866</v>
      </c>
      <c r="G42" s="1" t="s">
        <v>2482</v>
      </c>
      <c r="H42" s="1" t="s">
        <v>1868</v>
      </c>
      <c r="I42" s="4" t="str">
        <f t="shared" si="1"/>
        <v>&lt;a class="new" target="_blank" href="https://exe.io/st?api=a480072bd98881bdfc23c75aa2f815ea2428344e&amp;url=https://www.teacherspayteachers.com/Product/1st-2nd-Grade-Math-Centers-and-Review-Games-Toothy-Task-Cards-3037141?st=e325fc680052302fbbafa7ed1bc2175b"&gt;&lt;img class="" alt=""    src="https://ecdn.teacherspayteachers.com/thumbitem/1st-and-2nd-Grade-Math-Games-Centers-Stations-Review-Toothy-Bundle-3037141-1692103156/large-3037141-1.jpg"&gt;&lt;span class="new_title"&gt;               1st &amp; 2nd Grade Math Centers and Review Games - Toothy® Task Cards&lt;/span&gt;&lt;/a&gt;</v>
      </c>
      <c r="J42" s="1">
        <v>41</v>
      </c>
    </row>
    <row r="43" spans="2:10" x14ac:dyDescent="0.25">
      <c r="B43" s="1" t="s">
        <v>1867</v>
      </c>
      <c r="C43" s="1" t="s">
        <v>2668</v>
      </c>
      <c r="D43" s="1" t="s">
        <v>1961</v>
      </c>
      <c r="E43" s="1" t="s">
        <v>2484</v>
      </c>
      <c r="F43" s="1" t="s">
        <v>1866</v>
      </c>
      <c r="G43" s="1" t="s">
        <v>2485</v>
      </c>
      <c r="H43" s="1" t="s">
        <v>1868</v>
      </c>
      <c r="I43" s="4" t="str">
        <f t="shared" si="1"/>
        <v>&lt;a class="new" target="_blank" href="https://exe.io/st?api=a480072bd98881bdfc23c75aa2f815ea2428344e&amp;url=https://www.teacherspayteachers.com/Product/Making-Inferences-Task-Cards-Digital-and-Print-Passages-Inferencing-Activities-192996?st=e325fc680052302fbbafa7ed1bc2175b"&gt;&lt;img class="" alt=""    src="https://ecdn.teacherspayteachers.com/thumbitem/Making-Inferences-Task-Cards-Google-Digital-Inferencing-Reading-Activity-192996-1704897665/large-192996-1.jpg"&gt;&lt;span class="new_title"&gt;               Making Inferences Task Cards - Digital and Print Passages Inferencing Activities&lt;/span&gt;&lt;/a&gt;</v>
      </c>
      <c r="J43" s="1">
        <v>42</v>
      </c>
    </row>
    <row r="44" spans="2:10" x14ac:dyDescent="0.25">
      <c r="B44" s="1" t="s">
        <v>1867</v>
      </c>
      <c r="C44" s="1" t="s">
        <v>2669</v>
      </c>
      <c r="D44" s="1" t="s">
        <v>1961</v>
      </c>
      <c r="E44" s="1" t="s">
        <v>2487</v>
      </c>
      <c r="F44" s="1" t="s">
        <v>1866</v>
      </c>
      <c r="G44" s="1" t="s">
        <v>2488</v>
      </c>
      <c r="H44" s="1" t="s">
        <v>1868</v>
      </c>
      <c r="I44" s="4" t="str">
        <f t="shared" si="1"/>
        <v>&lt;a class="new" target="_blank" href="https://exe.io/st?api=a480072bd98881bdfc23c75aa2f815ea2428344e&amp;url=https://www.teacherspayteachers.com/Product/Paragraph-Writing-How-to-Write-a-Paragraph-of-the-Week-Writing-Prompts-Narrative-2827947?st=e325fc680052302fbbafa7ed1bc2175b"&gt;&lt;img class="" alt=""    src="https://ecdn.teacherspayteachers.com/thumbitem/Paragraph-Writing-How-to-Write-a-Paragraph-of-the-Week-Digital-or-Print-2827947-1705660342/large-2827947-1.jpg"&gt;&lt;span class="new_title"&gt;               Paragraph Writing How to Write a Paragraph of the Week Writing Prompts Narrative&lt;/span&gt;&lt;/a&gt;</v>
      </c>
      <c r="J44" s="1">
        <v>43</v>
      </c>
    </row>
    <row r="45" spans="2:10" x14ac:dyDescent="0.25">
      <c r="B45" s="1" t="s">
        <v>1867</v>
      </c>
      <c r="C45" s="1" t="s">
        <v>2670</v>
      </c>
      <c r="D45" s="1" t="s">
        <v>1961</v>
      </c>
      <c r="E45" s="1" t="s">
        <v>2490</v>
      </c>
      <c r="F45" s="1" t="s">
        <v>1866</v>
      </c>
      <c r="G45" s="1" t="s">
        <v>2491</v>
      </c>
      <c r="H45" s="1" t="s">
        <v>1868</v>
      </c>
      <c r="I45" s="4" t="str">
        <f t="shared" si="1"/>
        <v>&lt;a class="new" target="_blank" href="https://exe.io/st?api=a480072bd98881bdfc23c75aa2f815ea2428344e&amp;url=https://www.teacherspayteachers.com/Product/First-Grade-Math-Worksheet-Bundle-Addition-Shapes-Place-Value-More-4410468?st=e325fc680052302fbbafa7ed1bc2175b"&gt;&lt;img class="" alt=""    src="https://ecdn.teacherspayteachers.com/thumbitem/First-Grade-Math-Worksheet-Bundle-Addition-Shapes-Place-Value-More--4410468-1581138680/large-4410468-1.jpg"&gt;&lt;span class="new_title"&gt;               First Grade Math Worksheet Bundle - Addition, Shapes, Place Value &amp; More!&lt;/span&gt;&lt;/a&gt;</v>
      </c>
      <c r="J45" s="1">
        <v>44</v>
      </c>
    </row>
    <row r="46" spans="2:10" x14ac:dyDescent="0.25">
      <c r="B46" s="1" t="s">
        <v>1867</v>
      </c>
      <c r="C46" s="1" t="s">
        <v>2671</v>
      </c>
      <c r="D46" s="1" t="s">
        <v>1961</v>
      </c>
      <c r="E46" s="1" t="s">
        <v>2493</v>
      </c>
      <c r="F46" s="1" t="s">
        <v>1866</v>
      </c>
      <c r="G46" s="1" t="s">
        <v>2494</v>
      </c>
      <c r="H46" s="1" t="s">
        <v>1868</v>
      </c>
      <c r="I46" s="4" t="str">
        <f t="shared" si="1"/>
        <v>&lt;a class="new" target="_blank" href="https://exe.io/st?api=a480072bd98881bdfc23c75aa2f815ea2428344e&amp;url=https://www.teacherspayteachers.com/Product/End-of-the-Year-Awards-249960?st=e325fc680052302fbbafa7ed1bc2175b"&gt;&lt;img class="" alt=""    src="https://ecdn.teacherspayteachers.com/thumbitem/End-of-Year-Awards-Classroom-Superlatives-Positive-for-ALL-students-1683043125/large-249960-1.jpg"&gt;&lt;span class="new_title"&gt;               End of the Year Awards&lt;/span&gt;&lt;/a&gt;</v>
      </c>
      <c r="J46" s="1">
        <v>45</v>
      </c>
    </row>
    <row r="47" spans="2:10" x14ac:dyDescent="0.25">
      <c r="B47" s="1" t="s">
        <v>1867</v>
      </c>
      <c r="C47" s="1" t="s">
        <v>2672</v>
      </c>
      <c r="D47" s="1" t="s">
        <v>1961</v>
      </c>
      <c r="E47" s="1" t="s">
        <v>2496</v>
      </c>
      <c r="F47" s="1" t="s">
        <v>1866</v>
      </c>
      <c r="G47" s="1" t="s">
        <v>2497</v>
      </c>
      <c r="H47" s="1" t="s">
        <v>1868</v>
      </c>
      <c r="I47" s="4" t="str">
        <f t="shared" si="1"/>
        <v>&lt;a class="new" target="_blank" href="https://exe.io/st?api=a480072bd98881bdfc23c75aa2f815ea2428344e&amp;url=https://www.teacherspayteachers.com/Product/Editable-Sight-Word-High-Frequency-Words-Worksheets-Any-List-Kinder-First-Grade-3230314?st=e325fc680052302fbbafa7ed1bc2175b"&gt;&lt;img class="" alt=""    src="https://ecdn.teacherspayteachers.com/thumbitem/Editable-Sight-Word-High-Frequency-Words-Worksheets-3230314-1707124773/large-3230314-1.jpg"&gt;&lt;span class="new_title"&gt;               Editable Sight Word High Frequency Words Worksheets Any List Kinder First Grade&lt;/span&gt;&lt;/a&gt;</v>
      </c>
      <c r="J47" s="1">
        <v>46</v>
      </c>
    </row>
    <row r="48" spans="2:10" x14ac:dyDescent="0.25">
      <c r="B48" s="1" t="s">
        <v>1867</v>
      </c>
      <c r="C48" s="1" t="s">
        <v>2673</v>
      </c>
      <c r="D48" s="1" t="s">
        <v>1961</v>
      </c>
      <c r="E48" s="1" t="s">
        <v>2499</v>
      </c>
      <c r="F48" s="1" t="s">
        <v>1866</v>
      </c>
      <c r="G48" s="1" t="s">
        <v>2500</v>
      </c>
      <c r="H48" s="1" t="s">
        <v>1868</v>
      </c>
      <c r="I48" s="4" t="str">
        <f t="shared" si="1"/>
        <v>&lt;a class="new" target="_blank" href="https://exe.io/st?api=a480072bd98881bdfc23c75aa2f815ea2428344e&amp;url=https://www.teacherspayteachers.com/Product/Reading-Intervention-Binder-for-Beginning-Readers-No-Prep-ELA-SOR-Aligned-1457657?st=e325fc680052302fbbafa7ed1bc2175b"&gt;&lt;img class="" alt=""    src="https://ecdn.teacherspayteachers.com/thumbitem/Reading-Intervention-Binder-for-Beginning-Readers-No-Prep-ELA-SOR-Aligned-1457657-1657745492/large-1457657-1.jpg"&gt;&lt;span class="new_title"&gt;               Reading Intervention Binder for Beginning Readers No Prep ELA SOR Aligned&lt;/span&gt;&lt;/a&gt;</v>
      </c>
      <c r="J48" s="1">
        <v>47</v>
      </c>
    </row>
    <row r="49" spans="2:10" x14ac:dyDescent="0.25">
      <c r="B49" s="1" t="s">
        <v>1867</v>
      </c>
      <c r="C49" s="1" t="s">
        <v>2674</v>
      </c>
      <c r="D49" s="1" t="s">
        <v>1961</v>
      </c>
      <c r="E49" s="1" t="s">
        <v>2502</v>
      </c>
      <c r="F49" s="1" t="s">
        <v>1866</v>
      </c>
      <c r="G49" s="1" t="s">
        <v>2503</v>
      </c>
      <c r="H49" s="1" t="s">
        <v>1868</v>
      </c>
      <c r="I49" s="4" t="str">
        <f t="shared" si="1"/>
        <v>&lt;a class="new" target="_blank" href="https://exe.io/st?api=a480072bd98881bdfc23c75aa2f815ea2428344e&amp;url=https://www.teacherspayteachers.com/Product/Close-Reading-Comprehension-Passages-and-Questions-Reading-Strategies-Audio-1987225?st=e325fc680052302fbbafa7ed1bc2175b"&gt;&lt;img class="" alt=""    src="https://ecdn.teacherspayteachers.com/thumbitem/Close-Reading-Comprehension-Passages-and-Questions-Reading-Strategies-Audio-1987225-1707220084/large-1987225-1.jpg"&gt;&lt;span class="new_title"&gt;               Close Reading Comprehension Passages and Questions - Reading Strategies - Audio&lt;/span&gt;&lt;/a&gt;</v>
      </c>
      <c r="J49" s="1">
        <v>48</v>
      </c>
    </row>
    <row r="50" spans="2:10" x14ac:dyDescent="0.25">
      <c r="B50" s="1" t="s">
        <v>1867</v>
      </c>
      <c r="C50" s="1" t="s">
        <v>2675</v>
      </c>
      <c r="D50" s="1" t="s">
        <v>1961</v>
      </c>
      <c r="E50" s="1" t="s">
        <v>2505</v>
      </c>
      <c r="F50" s="1" t="s">
        <v>1866</v>
      </c>
      <c r="G50" s="1" t="s">
        <v>2506</v>
      </c>
      <c r="H50" s="1" t="s">
        <v>1868</v>
      </c>
      <c r="I50" s="4" t="str">
        <f t="shared" si="1"/>
        <v>&lt;a class="new" target="_blank" href="https://exe.io/st?api=a480072bd98881bdfc23c75aa2f815ea2428344e&amp;url=https://www.teacherspayteachers.com/Product/4th-Grade-Math-Spiral-Review-Morning-Work-Math-Homework-or-Warm-Ups-BUNDLE-1056966?st=c79d99316587943081977051b10c3cb8"&gt;&lt;img class="" alt=""    src="https://ecdn.teacherspayteachers.com/thumbitem/4th-Grade-Math-Spiral-Review-Morning-Work-Math-Homework-Progress-Monitoring-1056966-1682250679/large-1056966-1.jpg"&gt;&lt;span class="new_title"&gt;               4th Grade Math Spiral Review - Morning Work, Math Homework, or Warm Ups BUNDLE&lt;/span&gt;&lt;/a&gt;</v>
      </c>
      <c r="J50" s="1">
        <v>49</v>
      </c>
    </row>
    <row r="51" spans="2:10" x14ac:dyDescent="0.25">
      <c r="B51" s="1" t="s">
        <v>1867</v>
      </c>
      <c r="C51" s="1" t="s">
        <v>2676</v>
      </c>
      <c r="D51" s="1" t="s">
        <v>1961</v>
      </c>
      <c r="E51" s="1" t="s">
        <v>2508</v>
      </c>
      <c r="F51" s="1" t="s">
        <v>1866</v>
      </c>
      <c r="G51" s="1" t="s">
        <v>2509</v>
      </c>
      <c r="H51" s="1" t="s">
        <v>1868</v>
      </c>
      <c r="I51" s="4" t="str">
        <f t="shared" si="1"/>
        <v>&lt;a class="new" target="_blank" href="https://exe.io/st?api=a480072bd98881bdfc23c75aa2f815ea2428344e&amp;url=https://www.teacherspayteachers.com/Product/Theme-Task-Cards-with-Print-Digital-Versions-Activity-Reading-Differentiation-375245?st=c79d99316587943081977051b10c3cb8"&gt;&lt;img class="" alt=""    src="https://ecdn.teacherspayteachers.com/thumbitem/Theme-Task-Cards-and-Google-Slides-Reading-Differentiation-with-Audio-files-375245-1709497045/large-375245-1.jpg"&gt;&lt;span class="new_title"&gt;               Theme Task Cards with Print &amp; Digital Versions Activity Reading Differentiation&lt;/span&gt;&lt;/a&gt;</v>
      </c>
      <c r="J51" s="1">
        <v>50</v>
      </c>
    </row>
    <row r="52" spans="2:10" x14ac:dyDescent="0.25">
      <c r="B52" s="1" t="s">
        <v>1867</v>
      </c>
      <c r="C52" s="1" t="s">
        <v>2677</v>
      </c>
      <c r="D52" s="1" t="s">
        <v>1961</v>
      </c>
      <c r="E52" s="1" t="s">
        <v>2511</v>
      </c>
      <c r="F52" s="1" t="s">
        <v>1866</v>
      </c>
      <c r="G52" s="1" t="s">
        <v>2512</v>
      </c>
      <c r="H52" s="1" t="s">
        <v>1868</v>
      </c>
      <c r="I52" s="4" t="str">
        <f t="shared" si="1"/>
        <v>&lt;a class="new" target="_blank" href="https://exe.io/st?api=a480072bd98881bdfc23c75aa2f815ea2428344e&amp;url=https://www.teacherspayteachers.com/Product/ORIGINAL-Peanut-Butter-and-Jelly-Partner-Pairing-Cards-Classroom-Management-7258796?st=c79d99316587943081977051b10c3cb8"&gt;&lt;img class="" alt=""    src="https://ecdn.teacherspayteachers.com/thumbitem/Peanut-Butter-and-Jelly-Partners-Cooperative-Learning-Partner-Pairing-Cards-7258796-1698676756/large-7258796-1.jpg"&gt;&lt;span class="new_title"&gt;               ORIGINAL Peanut Butter and Jelly Partner Pairing Cards | Classroom Management&lt;/span&gt;&lt;/a&gt;</v>
      </c>
      <c r="J52" s="1">
        <v>51</v>
      </c>
    </row>
    <row r="53" spans="2:10" x14ac:dyDescent="0.25">
      <c r="B53" s="1" t="s">
        <v>1867</v>
      </c>
      <c r="C53" s="1" t="s">
        <v>2678</v>
      </c>
      <c r="D53" s="1" t="s">
        <v>1961</v>
      </c>
      <c r="E53" s="1" t="s">
        <v>2514</v>
      </c>
      <c r="F53" s="1" t="s">
        <v>1866</v>
      </c>
      <c r="G53" s="1" t="s">
        <v>2515</v>
      </c>
      <c r="H53" s="1" t="s">
        <v>1868</v>
      </c>
      <c r="I53" s="4" t="str">
        <f t="shared" si="1"/>
        <v>&lt;a class="new" target="_blank" href="https://exe.io/st?api=a480072bd98881bdfc23c75aa2f815ea2428344e&amp;url=https://www.teacherspayteachers.com/Product/Amy-Groesbeck-Fonts-Vol-4-3160533?st=c79d99316587943081977051b10c3cb8"&gt;&lt;img class="" alt=""    src="https://ecdn.teacherspayteachers.com/thumbitem/Amy-Groesbeck-Fonts-Volume-Four-3160533-1690761627/large-3160533-1.jpg"&gt;&lt;span class="new_title"&gt;               Amy Groesbeck Fonts: Vol. 4&lt;/span&gt;&lt;/a&gt;</v>
      </c>
      <c r="J53" s="1">
        <v>52</v>
      </c>
    </row>
    <row r="54" spans="2:10" x14ac:dyDescent="0.25">
      <c r="B54" s="1" t="s">
        <v>1867</v>
      </c>
      <c r="C54" s="1" t="s">
        <v>2679</v>
      </c>
      <c r="D54" s="1" t="s">
        <v>1961</v>
      </c>
      <c r="E54" s="1" t="s">
        <v>2517</v>
      </c>
      <c r="F54" s="1" t="s">
        <v>1866</v>
      </c>
      <c r="G54" s="1" t="s">
        <v>2518</v>
      </c>
      <c r="H54" s="1" t="s">
        <v>1868</v>
      </c>
      <c r="I54" s="4" t="str">
        <f t="shared" si="1"/>
        <v>&lt;a class="new" target="_blank" href="https://exe.io/st?api=a480072bd98881bdfc23c75aa2f815ea2428344e&amp;url=https://www.teacherspayteachers.com/Product/Decodable-Readers-Passages-Books-Word-Work-Science-of-Reading-Decodables-7616801?st=c79d99316587943081977051b10c3cb8"&gt;&lt;img class="" alt=""    src="https://ecdn.teacherspayteachers.com/thumbitem/Decodable-Readers-Passages-Books-Word-Work-Science-of-Reading-Decodables-7616801-1709504181/large-7616801-1.jpg"&gt;&lt;span class="new_title"&gt;               Decodable Readers, Passages, Books &amp; Word Work, Science of Reading, Decodables&lt;/span&gt;&lt;/a&gt;</v>
      </c>
      <c r="J54" s="1">
        <v>53</v>
      </c>
    </row>
    <row r="55" spans="2:10" x14ac:dyDescent="0.25">
      <c r="B55" s="1" t="s">
        <v>1867</v>
      </c>
      <c r="C55" s="1" t="s">
        <v>2680</v>
      </c>
      <c r="D55" s="1" t="s">
        <v>1961</v>
      </c>
      <c r="E55" s="1" t="s">
        <v>2520</v>
      </c>
      <c r="F55" s="1" t="s">
        <v>1866</v>
      </c>
      <c r="G55" s="1" t="s">
        <v>2521</v>
      </c>
      <c r="H55" s="1" t="s">
        <v>1868</v>
      </c>
      <c r="I55" s="4" t="str">
        <f t="shared" si="1"/>
        <v>&lt;a class="new" target="_blank" href="https://exe.io/st?api=a480072bd98881bdfc23c75aa2f815ea2428344e&amp;url=https://www.teacherspayteachers.com/Product/A-T-Shirt-All-About-Me-Back-to-School-Art-Goal-Setting-and-Writing-Activities-3769152?st=c79d99316587943081977051b10c3cb8"&gt;&lt;img class="" alt=""    src="https://ecdn.teacherspayteachers.com/thumbitem/A-T-Shirt-All-About-Me-Back-to-School-Art-Writing-and-Goal-Setting-Activity-3769152-1708058980/large-3769152-1.jpg"&gt;&lt;span class="new_title"&gt;               A T-Shirt All About Me, Back to School Art, Goal Setting and Writing Activities&lt;/span&gt;&lt;/a&gt;</v>
      </c>
      <c r="J55" s="1">
        <v>54</v>
      </c>
    </row>
    <row r="56" spans="2:10" x14ac:dyDescent="0.25">
      <c r="B56" s="1" t="s">
        <v>1867</v>
      </c>
      <c r="C56" s="1" t="s">
        <v>2681</v>
      </c>
      <c r="D56" s="1" t="s">
        <v>1961</v>
      </c>
      <c r="E56" s="1" t="s">
        <v>2523</v>
      </c>
      <c r="F56" s="1" t="s">
        <v>1866</v>
      </c>
      <c r="G56" s="1" t="s">
        <v>2524</v>
      </c>
      <c r="H56" s="1" t="s">
        <v>1868</v>
      </c>
      <c r="I56" s="4" t="str">
        <f t="shared" si="1"/>
        <v>&lt;a class="new" target="_blank" href="https://exe.io/st?api=a480072bd98881bdfc23c75aa2f815ea2428344e&amp;url=https://www.teacherspayteachers.com/Product/2nd-Grade-Leveled-Reading-Comprehension-Passages-Questions-for-Reading-Fluency-294350?st=c79d99316587943081977051b10c3cb8"&gt;&lt;img class="" alt=""    src="https://ecdn.teacherspayteachers.com/thumbitem/2nd-Grade-Reading-Comprehension-Passages-Fluency-Practice-Google-Classroom-294350-1678468791/large-294350-1.jpg"&gt;&lt;span class="new_title"&gt;               2nd Grade Leveled Reading Comprehension Passages &amp; Questions for Reading Fluency&lt;/span&gt;&lt;/a&gt;</v>
      </c>
      <c r="J56" s="1">
        <v>55</v>
      </c>
    </row>
    <row r="57" spans="2:10" x14ac:dyDescent="0.25">
      <c r="B57" s="1" t="s">
        <v>1867</v>
      </c>
      <c r="C57" s="1" t="s">
        <v>2682</v>
      </c>
      <c r="D57" s="1" t="s">
        <v>1961</v>
      </c>
      <c r="E57" s="1" t="s">
        <v>2526</v>
      </c>
      <c r="F57" s="1" t="s">
        <v>1866</v>
      </c>
      <c r="G57" s="1" t="s">
        <v>2527</v>
      </c>
      <c r="H57" s="1" t="s">
        <v>1868</v>
      </c>
      <c r="I57" s="4" t="str">
        <f t="shared" si="1"/>
        <v>&lt;a class="new" target="_blank" href="https://exe.io/st?api=a480072bd98881bdfc23c75aa2f815ea2428344e&amp;url=https://www.teacherspayteachers.com/Product/Simple-Fractions-NO-PREP-Packet-Math-1309186?st=c79d99316587943081977051b10c3cb8"&gt;&lt;img class="" alt=""    src="https://ecdn.teacherspayteachers.com/thumbitem/Simple-Fractions-NO-PREP-Packet-1309186-1678882453/large-1309186-1.jpg"&gt;&lt;span class="new_title"&gt;               Simple Fractions NO PREP Packet | Math&lt;/span&gt;&lt;/a&gt;</v>
      </c>
      <c r="J57" s="1">
        <v>56</v>
      </c>
    </row>
    <row r="58" spans="2:10" x14ac:dyDescent="0.25">
      <c r="B58" s="1" t="s">
        <v>1867</v>
      </c>
      <c r="C58" s="1" t="s">
        <v>2683</v>
      </c>
      <c r="D58" s="1" t="s">
        <v>1961</v>
      </c>
      <c r="E58" s="1" t="s">
        <v>2529</v>
      </c>
      <c r="F58" s="1" t="s">
        <v>1866</v>
      </c>
      <c r="G58" s="1" t="s">
        <v>2530</v>
      </c>
      <c r="H58" s="1" t="s">
        <v>1868</v>
      </c>
      <c r="I58" s="4" t="str">
        <f t="shared" si="1"/>
        <v>&lt;a class="new" target="_blank" href="https://exe.io/st?api=a480072bd98881bdfc23c75aa2f815ea2428344e&amp;url=https://www.teacherspayteachers.com/Product/Kindergarten-Math-Worksheet-Bundle-Addition-Subtraction-Place-Value-Shapes-3715906?st=c79d99316587943081977051b10c3cb8"&gt;&lt;img class="" alt=""    src="https://ecdn.teacherspayteachers.com/thumbitem/Kindergarten-Math-Worksheet-Bundle-Addition-Subtraction-Place-Value-Shapes-3715906-1657315038/large-3715906-1.jpg"&gt;&lt;span class="new_title"&gt;               Kindergarten Math Worksheet Bundle - Addition, Subtraction, Place Value, Shapes&lt;/span&gt;&lt;/a&gt;</v>
      </c>
      <c r="J58" s="1">
        <v>57</v>
      </c>
    </row>
    <row r="59" spans="2:10" x14ac:dyDescent="0.25">
      <c r="B59" s="1" t="s">
        <v>1867</v>
      </c>
      <c r="C59" s="1" t="s">
        <v>2684</v>
      </c>
      <c r="D59" s="1" t="s">
        <v>1961</v>
      </c>
      <c r="E59" s="1" t="s">
        <v>2532</v>
      </c>
      <c r="F59" s="1" t="s">
        <v>1866</v>
      </c>
      <c r="G59" s="1" t="s">
        <v>2533</v>
      </c>
      <c r="H59" s="1" t="s">
        <v>1868</v>
      </c>
      <c r="I59" s="4" t="str">
        <f t="shared" si="1"/>
        <v>&lt;a class="new" target="_blank" href="https://exe.io/st?api=a480072bd98881bdfc23c75aa2f815ea2428344e&amp;url=https://www.teacherspayteachers.com/Product/Arrays-Arrays-Arrays-Including-Multiplication-as-Repeated-Addition-Worksheets-1030359?st=c79d99316587943081977051b10c3cb8"&gt;&lt;img class="" alt=""    src="https://ecdn.teacherspayteachers.com/thumbitem/Arrays-Arrays-Arrays-1030359-1664409048/large-1030359-1.jpg"&gt;&lt;span class="new_title"&gt;               Arrays Arrays Arrays! (Including Multiplication as Repeated Addition Worksheets)&lt;/span&gt;&lt;/a&gt;</v>
      </c>
      <c r="J59" s="1">
        <v>58</v>
      </c>
    </row>
    <row r="60" spans="2:10" x14ac:dyDescent="0.25">
      <c r="B60" s="1" t="s">
        <v>1867</v>
      </c>
      <c r="C60" s="1" t="s">
        <v>2685</v>
      </c>
      <c r="D60" s="1" t="s">
        <v>1961</v>
      </c>
      <c r="E60" s="1" t="s">
        <v>2535</v>
      </c>
      <c r="F60" s="1" t="s">
        <v>1866</v>
      </c>
      <c r="G60" s="1" t="s">
        <v>2536</v>
      </c>
      <c r="H60" s="1" t="s">
        <v>1868</v>
      </c>
      <c r="I60" s="4" t="str">
        <f t="shared" si="1"/>
        <v>&lt;a class="new" target="_blank" href="https://exe.io/st?api=a480072bd98881bdfc23c75aa2f815ea2428344e&amp;url=https://www.teacherspayteachers.com/Product/Spring-Math-and-Literacy-Packet-NO-PREP-Kindergarten-1128712?st=c79d99316587943081977051b10c3cb8"&gt;&lt;img class="" alt=""    src="https://ecdn.teacherspayteachers.com/thumbitem/Spring-Math-and-Literacy-Packet-Kindergarten-1128712-1666351509/large-1128712-1.jpg"&gt;&lt;span class="new_title"&gt;               Spring Math and Literacy Packet NO PREP (Kindergarten)&lt;/span&gt;&lt;/a&gt;</v>
      </c>
      <c r="J60" s="1">
        <v>59</v>
      </c>
    </row>
    <row r="61" spans="2:10" x14ac:dyDescent="0.25">
      <c r="B61" s="1" t="s">
        <v>1867</v>
      </c>
      <c r="C61" s="1" t="s">
        <v>2686</v>
      </c>
      <c r="D61" s="1" t="s">
        <v>1961</v>
      </c>
      <c r="E61" s="1" t="s">
        <v>2538</v>
      </c>
      <c r="F61" s="1" t="s">
        <v>1866</v>
      </c>
      <c r="G61" s="1" t="s">
        <v>2539</v>
      </c>
      <c r="H61" s="1" t="s">
        <v>1868</v>
      </c>
      <c r="I61" s="4" t="str">
        <f t="shared" si="1"/>
        <v>&lt;a class="new" target="_blank" href="https://exe.io/st?api=a480072bd98881bdfc23c75aa2f815ea2428344e&amp;url=https://www.teacherspayteachers.com/Product/Phonics-Reading-Comprehension-Passages-Phonics-Worksheets-With-Digital-Resources-1778030?st=c79d99316587943081977051b10c3cb8"&gt;&lt;img class="" alt=""    src="https://ecdn.teacherspayteachers.com/thumbitem/Fluency-and-Skill-Based-Comprehension-Notebook-GROWING-BUNDLE-1778030-1704233024/large-1778030-1.jpg"&gt;&lt;span class="new_title"&gt;               Phonics Reading Comprehension Passages Phonics Worksheets With Digital Resources&lt;/span&gt;&lt;/a&gt;</v>
      </c>
      <c r="J61" s="1">
        <v>60</v>
      </c>
    </row>
    <row r="62" spans="2:10" x14ac:dyDescent="0.25">
      <c r="B62" s="1" t="s">
        <v>1867</v>
      </c>
      <c r="C62" s="1" t="s">
        <v>2687</v>
      </c>
      <c r="D62" s="1" t="s">
        <v>1961</v>
      </c>
      <c r="E62" s="1" t="s">
        <v>2541</v>
      </c>
      <c r="F62" s="1" t="s">
        <v>1866</v>
      </c>
      <c r="G62" s="1" t="s">
        <v>2542</v>
      </c>
      <c r="H62" s="1" t="s">
        <v>1868</v>
      </c>
      <c r="I62" s="4" t="str">
        <f t="shared" si="1"/>
        <v>&lt;a class="new" target="_blank" href="https://exe.io/st?api=a480072bd98881bdfc23c75aa2f815ea2428344e&amp;url=https://www.teacherspayteachers.com/Product/100th-Day-of-School-22-No-Prep-100th-Day-Activities-Crafts-2347126?st=c79d99316587943081977051b10c3cb8"&gt;&lt;img class="" alt=""    src="https://ecdn.teacherspayteachers.com/thumbitem/100th-Day-of-School-20-No-Prep-100th-Day-Activities-Crafts-2347126-1709373392/large-2347126-1.jpg"&gt;&lt;span class="new_title"&gt;               100th Day of School | 22 No Prep 100th Day Activities &amp; Crafts&lt;/span&gt;&lt;/a&gt;</v>
      </c>
      <c r="J62" s="1">
        <v>61</v>
      </c>
    </row>
    <row r="63" spans="2:10" x14ac:dyDescent="0.25">
      <c r="B63" s="1" t="s">
        <v>1867</v>
      </c>
      <c r="C63" s="1" t="s">
        <v>2688</v>
      </c>
      <c r="D63" s="1" t="s">
        <v>1961</v>
      </c>
      <c r="E63" s="1" t="s">
        <v>2544</v>
      </c>
      <c r="F63" s="1" t="s">
        <v>1866</v>
      </c>
      <c r="G63" s="1" t="s">
        <v>2545</v>
      </c>
      <c r="H63" s="1" t="s">
        <v>1868</v>
      </c>
      <c r="I63" s="4" t="str">
        <f t="shared" si="1"/>
        <v>&lt;a class="new" target="_blank" href="https://exe.io/st?api=a480072bd98881bdfc23c75aa2f815ea2428344e&amp;url=https://www.teacherspayteachers.com/Product/Decodable-Readers-Phonics-Books-HUGE-BUNDLE-Science-of-Reading-7129591?st=c79d99316587943081977051b10c3cb8"&gt;&lt;img class="" alt=""    src="https://ecdn.teacherspayteachers.com/thumbitem/Decodable-Readers-Phonics-Books-HUGE-BUNDLE-Science-of-Reading--7129591-1669056685/large-7129591-1.jpg"&gt;&lt;span class="new_title"&gt;               Decodable Readers - Phonics Books - HUGE BUNDLE (Science of Reading)&lt;/span&gt;&lt;/a&gt;</v>
      </c>
      <c r="J63" s="1">
        <v>62</v>
      </c>
    </row>
    <row r="64" spans="2:10" x14ac:dyDescent="0.25">
      <c r="B64" s="1" t="s">
        <v>1867</v>
      </c>
      <c r="C64" s="1" t="s">
        <v>2689</v>
      </c>
      <c r="D64" s="1" t="s">
        <v>1961</v>
      </c>
      <c r="E64" s="1" t="s">
        <v>2547</v>
      </c>
      <c r="F64" s="1" t="s">
        <v>1866</v>
      </c>
      <c r="G64" s="1" t="s">
        <v>2548</v>
      </c>
      <c r="H64" s="1" t="s">
        <v>1868</v>
      </c>
      <c r="I64" s="4" t="str">
        <f t="shared" si="1"/>
        <v>&lt;a class="new" target="_blank" href="https://exe.io/st?api=a480072bd98881bdfc23c75aa2f815ea2428344e&amp;url=https://www.teacherspayteachers.com/Product/Figurative-Language-Stories-Close-Reading-for-Common-Core-Grades-4-8-749661?st=c79d99316587943081977051b10c3cb8"&gt;&lt;img class="" alt=""    src="https://ecdn.teacherspayteachers.com/thumbitem/Figurative-Language-Stories-Close-Reading-for-Common-Core-Grades-4-8-085813000-1372573764-1552852380/large-749661-1.jpg"&gt;&lt;span class="new_title"&gt;               Figurative Language Stories ~ Close Reading for Common Core Grades 4-8&lt;/span&gt;&lt;/a&gt;</v>
      </c>
      <c r="J64" s="1">
        <v>63</v>
      </c>
    </row>
    <row r="65" spans="2:10" x14ac:dyDescent="0.25">
      <c r="B65" s="1" t="s">
        <v>1867</v>
      </c>
      <c r="C65" s="1" t="s">
        <v>2690</v>
      </c>
      <c r="D65" s="1" t="s">
        <v>1961</v>
      </c>
      <c r="E65" s="1" t="s">
        <v>2550</v>
      </c>
      <c r="F65" s="1" t="s">
        <v>1866</v>
      </c>
      <c r="G65" s="1" t="s">
        <v>2551</v>
      </c>
      <c r="H65" s="1" t="s">
        <v>1868</v>
      </c>
      <c r="I65" s="4" t="str">
        <f t="shared" si="1"/>
        <v>&lt;a class="new" target="_blank" href="https://exe.io/st?api=a480072bd98881bdfc23c75aa2f815ea2428344e&amp;url=https://www.teacherspayteachers.com/Product/Greek-and-Latin-Root-Words-Prefixes-Suffixes-Interactive-Notebook-Vocabulary-2076811?st=c79d99316587943081977051b10c3cb8"&gt;&lt;img class="" alt=""    src="https://ecdn.teacherspayteachers.com/thumbitem/Interactive-Vocabulary-Notebooks-Greek-Latin-Roots-Prefixes-Suffixes-2076811-1661943925/large-2076811-1.jpg"&gt;&lt;span class="new_title"&gt;               Greek and Latin Root Words, Prefixes, &amp; Suffixes Interactive Notebook Vocabulary&lt;/span&gt;&lt;/a&gt;</v>
      </c>
      <c r="J65" s="1">
        <v>64</v>
      </c>
    </row>
    <row r="66" spans="2:10" x14ac:dyDescent="0.25">
      <c r="B66" s="1" t="s">
        <v>1867</v>
      </c>
      <c r="C66" s="1" t="s">
        <v>2691</v>
      </c>
      <c r="D66" s="1" t="s">
        <v>1961</v>
      </c>
      <c r="E66" s="1" t="s">
        <v>2553</v>
      </c>
      <c r="F66" s="1" t="s">
        <v>1866</v>
      </c>
      <c r="G66" s="1" t="s">
        <v>2554</v>
      </c>
      <c r="H66" s="1" t="s">
        <v>1868</v>
      </c>
      <c r="I66" s="4" t="str">
        <f t="shared" si="1"/>
        <v>&lt;a class="new" target="_blank" href="https://exe.io/st?api=a480072bd98881bdfc23c75aa2f815ea2428344e&amp;url=https://www.teacherspayteachers.com/Product/Phonics-Worksheet-Bundle-CVC-Long-Vowels-Digraphs-Blends-and-More-7034433?st=c79d99316587943081977051b10c3cb8"&gt;&lt;img class="" alt=""    src="https://ecdn.teacherspayteachers.com/thumbitem/Phonics-Worksheet-Bundle-CVC-Long-Vowels-Digraphs-Blends-and-More--7034433-1629699563/large-7034433-1.jpg"&gt;&lt;span class="new_title"&gt;               Phonics Worksheet Bundle - CVC, Long Vowels, Digraphs, Blends and More!&lt;/span&gt;&lt;/a&gt;</v>
      </c>
      <c r="J66" s="1">
        <v>65</v>
      </c>
    </row>
    <row r="67" spans="2:10" x14ac:dyDescent="0.25">
      <c r="B67" s="1" t="s">
        <v>1867</v>
      </c>
      <c r="C67" s="1" t="s">
        <v>2692</v>
      </c>
      <c r="D67" s="1" t="s">
        <v>1961</v>
      </c>
      <c r="E67" s="1" t="s">
        <v>2556</v>
      </c>
      <c r="F67" s="1" t="s">
        <v>1866</v>
      </c>
      <c r="G67" s="1" t="s">
        <v>2557</v>
      </c>
      <c r="H67" s="1" t="s">
        <v>1868</v>
      </c>
      <c r="I67" s="4" t="str">
        <f t="shared" si="1"/>
        <v>&lt;a class="new" target="_blank" href="https://exe.io/st?api=a480072bd98881bdfc23c75aa2f815ea2428344e&amp;url=https://www.teacherspayteachers.com/Product/Spelling-Activities-and-Practice-Worksheets-Any-List-Spelling-Word-Practice-998948?st=c79d99316587943081977051b10c3cb8"&gt;&lt;img class="" alt=""    src="https://ecdn.teacherspayteachers.com/thumbitem/Spelling-Activities-Word-Work-for-ANY-list-with-Back-to-School-Pages-998948-1693176473/large-998948-1.jpg"&gt;&lt;span class="new_title"&gt;               Spelling Activities and Practice Worksheets - Any List - Spelling Word Practice&lt;/span&gt;&lt;/a&gt;</v>
      </c>
      <c r="J67" s="1">
        <v>66</v>
      </c>
    </row>
    <row r="68" spans="2:10" x14ac:dyDescent="0.25">
      <c r="B68" s="1" t="s">
        <v>1867</v>
      </c>
      <c r="C68" s="1" t="s">
        <v>2693</v>
      </c>
      <c r="D68" s="1" t="s">
        <v>1961</v>
      </c>
      <c r="E68" s="1" t="s">
        <v>2559</v>
      </c>
      <c r="F68" s="1" t="s">
        <v>1866</v>
      </c>
      <c r="G68" s="1" t="s">
        <v>2560</v>
      </c>
      <c r="H68" s="1" t="s">
        <v>1868</v>
      </c>
      <c r="I68" s="4" t="str">
        <f t="shared" si="1"/>
        <v>&lt;a class="new" target="_blank" href="https://exe.io/st?api=a480072bd98881bdfc23c75aa2f815ea2428344e&amp;url=https://www.teacherspayteachers.com/Product/All-About-Me-Selfie-Includes-End-of-School-Reflection-Activity-1390047?st=c79d99316587943081977051b10c3cb8"&gt;&lt;img class="" alt=""    src="https://ecdn.teacherspayteachers.com/thumbitem/Back-to-School-Selfie-with-text-message-writing-prompts-1390047-1709300755/large-1390047-1.jpg"&gt;&lt;span class="new_title"&gt;               All About Me Selfie | Includes End of School Reflection Activity!&lt;/span&gt;&lt;/a&gt;</v>
      </c>
      <c r="J68" s="1">
        <v>67</v>
      </c>
    </row>
    <row r="69" spans="2:10" x14ac:dyDescent="0.25">
      <c r="B69" s="1" t="s">
        <v>1867</v>
      </c>
      <c r="C69" s="1" t="s">
        <v>2694</v>
      </c>
      <c r="D69" s="1" t="s">
        <v>1961</v>
      </c>
      <c r="E69" s="1" t="s">
        <v>2562</v>
      </c>
      <c r="F69" s="1" t="s">
        <v>1866</v>
      </c>
      <c r="G69" s="1" t="s">
        <v>2563</v>
      </c>
      <c r="H69" s="1" t="s">
        <v>1868</v>
      </c>
      <c r="I69" s="4" t="str">
        <f t="shared" si="1"/>
        <v>&lt;a class="new" target="_blank" href="https://exe.io/st?api=a480072bd98881bdfc23c75aa2f815ea2428344e&amp;url=https://www.teacherspayteachers.com/Product/Fraction-Activities-Fractions-Unit-Printable-Worksheets-Lesson-Assessments-1016354?st=c79d99316587943081977051b10c3cb8"&gt;&lt;img class="" alt=""    src="https://ecdn.teacherspayteachers.com/thumbitem/Fraction-Activities-Fraction-Unit-Printable-Worksheets-Lessons-Assessments-1016354-1705332688/large-1016354-1.jpg"&gt;&lt;span class="new_title"&gt;               Fraction Activities - Fractions Unit - Printable Worksheets - Lesson Assessments&lt;/span&gt;&lt;/a&gt;</v>
      </c>
      <c r="J69" s="1">
        <v>68</v>
      </c>
    </row>
    <row r="70" spans="2:10" x14ac:dyDescent="0.25">
      <c r="B70" s="1" t="s">
        <v>1867</v>
      </c>
      <c r="C70" s="1" t="s">
        <v>2695</v>
      </c>
      <c r="D70" s="1" t="s">
        <v>1961</v>
      </c>
      <c r="E70" s="1" t="s">
        <v>2565</v>
      </c>
      <c r="F70" s="1" t="s">
        <v>1866</v>
      </c>
      <c r="G70" s="1" t="s">
        <v>2566</v>
      </c>
      <c r="H70" s="1" t="s">
        <v>1868</v>
      </c>
      <c r="I70" s="4" t="str">
        <f t="shared" si="1"/>
        <v>&lt;a class="new" target="_blank" href="https://exe.io/st?api=a480072bd98881bdfc23c75aa2f815ea2428344e&amp;url=https://www.teacherspayteachers.com/Product/Alphabet-Worksheet-Bundle-Letter-Work-and-Beginning-Sounds-4088611?st=c79d99316587943081977051b10c3cb8"&gt;&lt;img class="" alt=""    src="https://ecdn.teacherspayteachers.com/thumbitem/Alphabet-Worksheet-Bundle-Letter-Work-and-Beginning-Sounds-4088611-1630271541/large-4088611-1.jpg"&gt;&lt;span class="new_title"&gt;               Alphabet Worksheet Bundle - Letter Work and Beginning Sounds&lt;/span&gt;&lt;/a&gt;</v>
      </c>
      <c r="J70" s="1">
        <v>69</v>
      </c>
    </row>
    <row r="71" spans="2:10" x14ac:dyDescent="0.25">
      <c r="B71" s="1" t="s">
        <v>1867</v>
      </c>
      <c r="C71" s="1" t="s">
        <v>2696</v>
      </c>
      <c r="D71" s="1" t="s">
        <v>1961</v>
      </c>
      <c r="E71" s="1" t="s">
        <v>2568</v>
      </c>
      <c r="F71" s="1" t="s">
        <v>1866</v>
      </c>
      <c r="G71" s="1" t="s">
        <v>2569</v>
      </c>
      <c r="H71" s="1" t="s">
        <v>1868</v>
      </c>
      <c r="I71" s="4" t="str">
        <f t="shared" si="1"/>
        <v>&lt;a class="new" target="_blank" href="https://exe.io/st?api=a480072bd98881bdfc23c75aa2f815ea2428344e&amp;url=https://www.teacherspayteachers.com/Product/Area-and-Perimeter-Robot-Craft-628420?st=c79d99316587943081977051b10c3cb8"&gt;&lt;img class="" alt=""    src="https://ecdn.teacherspayteachers.com/thumbitem/Area-and-Perimeter-Robot-Craft-1673609915/large-628420-1.jpg"&gt;&lt;span class="new_title"&gt;               Area and Perimeter Robot Craft&lt;/span&gt;&lt;/a&gt;</v>
      </c>
      <c r="J71" s="1">
        <v>70</v>
      </c>
    </row>
    <row r="72" spans="2:10" x14ac:dyDescent="0.25">
      <c r="B72" s="1" t="s">
        <v>1867</v>
      </c>
      <c r="C72" s="1" t="s">
        <v>2697</v>
      </c>
      <c r="D72" s="1" t="s">
        <v>1961</v>
      </c>
      <c r="E72" s="1" t="s">
        <v>2571</v>
      </c>
      <c r="F72" s="1" t="s">
        <v>1866</v>
      </c>
      <c r="G72" s="1" t="s">
        <v>2572</v>
      </c>
      <c r="H72" s="1" t="s">
        <v>1868</v>
      </c>
      <c r="I72" s="4" t="str">
        <f t="shared" si="1"/>
        <v>&lt;a class="new" target="_blank" href="https://exe.io/st?api=a480072bd98881bdfc23c75aa2f815ea2428344e&amp;url=https://www.teacherspayteachers.com/Product/Digraph-Worksheet-Packet-Ch-Sh-Th-Wh-Ph-4042663?st=c79d99316587943081977051b10c3cb8"&gt;&lt;img class="" alt=""    src="https://ecdn.teacherspayteachers.com/thumbitem/Digraph-Worksheet-Packet-Ch-Sh-Th-Wh-Ph-4042663-1657232028/large-4042663-1.jpg"&gt;&lt;span class="new_title"&gt;               Digraph Worksheet Packet - Ch, Sh, Th, Wh, Ph&lt;/span&gt;&lt;/a&gt;</v>
      </c>
      <c r="J72" s="1">
        <v>71</v>
      </c>
    </row>
    <row r="73" spans="2:10" x14ac:dyDescent="0.25">
      <c r="B73" s="1" t="s">
        <v>1867</v>
      </c>
      <c r="C73" s="1" t="s">
        <v>2698</v>
      </c>
      <c r="D73" s="1" t="s">
        <v>1961</v>
      </c>
      <c r="E73" s="1" t="s">
        <v>2574</v>
      </c>
      <c r="F73" s="1" t="s">
        <v>1866</v>
      </c>
      <c r="G73" s="1" t="s">
        <v>2575</v>
      </c>
      <c r="H73" s="1" t="s">
        <v>1868</v>
      </c>
      <c r="I73" s="4" t="str">
        <f t="shared" si="1"/>
        <v>&lt;a class="new" target="_blank" href="https://exe.io/st?api=a480072bd98881bdfc23c75aa2f815ea2428344e&amp;url=https://www.teacherspayteachers.com/Product/Telling-Time-NO-PREP-Packet-Math-1397276?st=c79d99316587943081977051b10c3cb8"&gt;&lt;img class="" alt=""    src="https://ecdn.teacherspayteachers.com/thumbitem/Telling-Time-NO-PREP-Packet-1397276-1666352797/large-1397276-1.jpg"&gt;&lt;span class="new_title"&gt;               Telling Time NO PREP Packet | Math&lt;/span&gt;&lt;/a&gt;</v>
      </c>
      <c r="J73" s="1">
        <v>72</v>
      </c>
    </row>
    <row r="74" spans="2:10" x14ac:dyDescent="0.25">
      <c r="B74" s="1" t="s">
        <v>1867</v>
      </c>
      <c r="C74" s="1" t="s">
        <v>2699</v>
      </c>
      <c r="D74" s="1" t="s">
        <v>1961</v>
      </c>
      <c r="E74" s="1" t="s">
        <v>2577</v>
      </c>
      <c r="F74" s="1" t="s">
        <v>1866</v>
      </c>
      <c r="G74" s="1" t="s">
        <v>2578</v>
      </c>
      <c r="H74" s="1" t="s">
        <v>1868</v>
      </c>
      <c r="I74" s="4" t="str">
        <f t="shared" si="1"/>
        <v>&lt;a class="new" target="_blank" href="https://exe.io/st?api=a480072bd98881bdfc23c75aa2f815ea2428344e&amp;url=https://www.teacherspayteachers.com/Product/End-of-the-Year-Awards-EDITABLE-Printable-Digital-1248295?st=e26bc01cf67804c38fd503255e7cb915"&gt;&lt;img class="" alt=""    src="https://ecdn.teacherspayteachers.com/thumbitem/End-of-the-Year-Awards-EDITABLE-Printable-Digital-1248295-1706813710/large-1248295-1.jpg"&gt;&lt;span class="new_title"&gt;               End of the Year Awards - EDITABLE | Printable | Digital&lt;/span&gt;&lt;/a&gt;</v>
      </c>
      <c r="J74" s="1">
        <v>73</v>
      </c>
    </row>
    <row r="75" spans="2:10" x14ac:dyDescent="0.25">
      <c r="B75" s="1" t="s">
        <v>1867</v>
      </c>
      <c r="C75" s="1" t="s">
        <v>2700</v>
      </c>
      <c r="D75" s="1" t="s">
        <v>1961</v>
      </c>
      <c r="E75" s="1" t="s">
        <v>2580</v>
      </c>
      <c r="F75" s="1" t="s">
        <v>1866</v>
      </c>
      <c r="G75" s="1" t="s">
        <v>2581</v>
      </c>
      <c r="H75" s="1" t="s">
        <v>1868</v>
      </c>
      <c r="I75" s="4" t="str">
        <f t="shared" si="1"/>
        <v>&lt;a class="new" target="_blank" href="https://exe.io/st?api=a480072bd98881bdfc23c75aa2f815ea2428344e&amp;url=https://www.teacherspayteachers.com/Product/Happy-Mail-Classroom-Management-Parent-Communication-Positive-Notes-Home-7741727?st=e26bc01cf67804c38fd503255e7cb915"&gt;&lt;img class="" alt=""    src="https://ecdn.teacherspayteachers.com/thumbitem/Happy-Mail-Classroom-Management-Parent-Communication-Positive-Notes-Home-7741727-1705439623/large-7741727-1.jpg"&gt;&lt;span class="new_title"&gt;               Happy Mail | Classroom Management | Parent Communication | Positive Notes Home&lt;/span&gt;&lt;/a&gt;</v>
      </c>
      <c r="J75" s="1">
        <v>74</v>
      </c>
    </row>
    <row r="76" spans="2:10" x14ac:dyDescent="0.25">
      <c r="B76" s="1" t="s">
        <v>1867</v>
      </c>
      <c r="C76" s="1" t="s">
        <v>2701</v>
      </c>
      <c r="D76" s="1" t="s">
        <v>1961</v>
      </c>
      <c r="E76" s="1" t="s">
        <v>2583</v>
      </c>
      <c r="F76" s="1" t="s">
        <v>1866</v>
      </c>
      <c r="G76" s="1" t="s">
        <v>2584</v>
      </c>
      <c r="H76" s="1" t="s">
        <v>1868</v>
      </c>
      <c r="I76" s="4" t="str">
        <f t="shared" si="1"/>
        <v>&lt;a class="new" target="_blank" href="https://exe.io/st?api=a480072bd98881bdfc23c75aa2f815ea2428344e&amp;url=https://www.teacherspayteachers.com/Product/Editable-Spelling-Activities-Practice-Sheets-Engaging-Word-Work-for-Any-List-5309158?st=e26bc01cf67804c38fd503255e7cb915"&gt;&lt;img class="" alt=""    src="https://ecdn.teacherspayteachers.com/thumbitem/Editable-Spelling-Activities-Practice-Sheets-Word-Work-for-Any-List-5309158-1706833111/large-5309158-1.jpg"&gt;&lt;span class="new_title"&gt;               Editable Spelling Activities &amp; Practice Sheets - Engaging Word Work for Any List&lt;/span&gt;&lt;/a&gt;</v>
      </c>
      <c r="J76" s="1">
        <v>75</v>
      </c>
    </row>
    <row r="77" spans="2:10" x14ac:dyDescent="0.25">
      <c r="B77" s="1" t="s">
        <v>1867</v>
      </c>
      <c r="C77" s="1" t="s">
        <v>2702</v>
      </c>
      <c r="D77" s="1" t="s">
        <v>1961</v>
      </c>
      <c r="E77" s="1" t="s">
        <v>2586</v>
      </c>
      <c r="F77" s="1" t="s">
        <v>1866</v>
      </c>
      <c r="G77" s="1" t="s">
        <v>2587</v>
      </c>
      <c r="H77" s="1" t="s">
        <v>1868</v>
      </c>
      <c r="I77" s="4" t="str">
        <f t="shared" si="1"/>
        <v>&lt;a class="new" target="_blank" href="https://exe.io/st?api=a480072bd98881bdfc23c75aa2f815ea2428344e&amp;url=https://www.teacherspayteachers.com/Product/Money-Worksheets-Games-Activities-HUGE-Unit-Identifying-Counting-Coins-2373308?st=e26bc01cf67804c38fd503255e7cb915"&gt;&lt;img class="" alt=""    src="https://ecdn.teacherspayteachers.com/thumbitem/First-Grade-Math-Unit-19-MONEY-2373308-1672964562/large-2373308-1.jpg"&gt;&lt;span class="new_title"&gt;               Money Worksheets Games &amp; Activities HUGE Unit (Identifying &amp; Counting Coins)&lt;/span&gt;&lt;/a&gt;</v>
      </c>
      <c r="J77" s="1">
        <v>76</v>
      </c>
    </row>
    <row r="78" spans="2:10" x14ac:dyDescent="0.25">
      <c r="B78" s="1" t="s">
        <v>1867</v>
      </c>
      <c r="C78" s="1" t="s">
        <v>2703</v>
      </c>
      <c r="D78" s="1" t="s">
        <v>1961</v>
      </c>
      <c r="E78" s="1" t="s">
        <v>2589</v>
      </c>
      <c r="F78" s="1" t="s">
        <v>1866</v>
      </c>
      <c r="G78" s="1" t="s">
        <v>2590</v>
      </c>
      <c r="H78" s="1" t="s">
        <v>1868</v>
      </c>
      <c r="I78" s="4" t="str">
        <f t="shared" si="1"/>
        <v>&lt;a class="new" target="_blank" href="https://exe.io/st?api=a480072bd98881bdfc23c75aa2f815ea2428344e&amp;url=https://www.teacherspayteachers.com/Product/Multiplication-Centers-Activities-and-Games-to-Practice-Math-Facts-1302461?st=e26bc01cf67804c38fd503255e7cb915"&gt;&lt;img class="" alt=""    src="https://ecdn.teacherspayteachers.com/thumbitem/Multiplication-Centers-Activities-and-Games-to-Practice-Math-Facts-1302461-1705359746/large-1302461-1.jpg"&gt;&lt;span class="new_title"&gt;               Multiplication Centers - Activities and Games to Practice Math Facts&lt;/span&gt;&lt;/a&gt;</v>
      </c>
      <c r="J78" s="1">
        <v>77</v>
      </c>
    </row>
    <row r="79" spans="2:10" x14ac:dyDescent="0.25">
      <c r="B79" s="1" t="s">
        <v>1867</v>
      </c>
      <c r="C79" s="1" t="s">
        <v>2704</v>
      </c>
      <c r="D79" s="1" t="s">
        <v>1961</v>
      </c>
      <c r="E79" s="1" t="s">
        <v>2592</v>
      </c>
      <c r="F79" s="1" t="s">
        <v>1866</v>
      </c>
      <c r="G79" s="1" t="s">
        <v>2593</v>
      </c>
      <c r="H79" s="1" t="s">
        <v>1868</v>
      </c>
      <c r="I79" s="4" t="str">
        <f t="shared" si="1"/>
        <v>&lt;a class="new" target="_blank" href="https://exe.io/st?api=a480072bd98881bdfc23c75aa2f815ea2428344e&amp;url=https://www.teacherspayteachers.com/Product/Decodable-Passages-with-Comprehension-Questions-First-Grade-Phonics-Fluency-3507746?st=e26bc01cf67804c38fd503255e7cb915"&gt;&lt;img class="" alt=""    src="https://ecdn.teacherspayteachers.com/thumbitem/1st-Grade-Decodable-Phonics-Reading-Comprehension-Passages-Phonics-Mats-Bundle-3507746-1706460701/large-3507746-1.jpg"&gt;&lt;span class="new_title"&gt;               Decodable Passages with Comprehension Questions - First Grade Phonics &amp; Fluency&lt;/span&gt;&lt;/a&gt;</v>
      </c>
      <c r="J79" s="1">
        <v>78</v>
      </c>
    </row>
    <row r="80" spans="2:10" x14ac:dyDescent="0.25">
      <c r="B80" s="1" t="s">
        <v>1867</v>
      </c>
      <c r="C80" s="1" t="s">
        <v>2705</v>
      </c>
      <c r="D80" s="1" t="s">
        <v>1961</v>
      </c>
      <c r="E80" s="1" t="s">
        <v>2595</v>
      </c>
      <c r="F80" s="1" t="s">
        <v>1866</v>
      </c>
      <c r="G80" s="1" t="s">
        <v>2596</v>
      </c>
      <c r="H80" s="1" t="s">
        <v>1868</v>
      </c>
      <c r="I80" s="4" t="str">
        <f t="shared" si="1"/>
        <v>&lt;a class="new" target="_blank" href="https://exe.io/st?api=a480072bd98881bdfc23c75aa2f815ea2428344e&amp;url=https://www.teacherspayteachers.com/Product/Editable-Classroom-Newsletter-Templates-Weekly-Monthly-Parent-Communication-2752710?st=e26bc01cf67804c38fd503255e7cb915"&gt;&lt;img class="" alt=""    src="https://ecdn.teacherspayteachers.com/thumbitem/Editable-Classroom-Newsletter-Templates-Weekly-Monthly-Parent-Communication-2752710-1688552060/large-2752710-1.jpg"&gt;&lt;span class="new_title"&gt;               Editable Classroom Newsletter Templates Weekly Monthly Parent Communication&lt;/span&gt;&lt;/a&gt;</v>
      </c>
      <c r="J80" s="1">
        <v>79</v>
      </c>
    </row>
    <row r="81" spans="2:10" x14ac:dyDescent="0.25">
      <c r="B81" s="1" t="s">
        <v>1867</v>
      </c>
      <c r="C81" s="1" t="s">
        <v>2706</v>
      </c>
      <c r="D81" s="1" t="s">
        <v>1961</v>
      </c>
      <c r="E81" s="1" t="s">
        <v>2598</v>
      </c>
      <c r="F81" s="1" t="s">
        <v>1866</v>
      </c>
      <c r="G81" s="1" t="s">
        <v>2599</v>
      </c>
      <c r="H81" s="1" t="s">
        <v>1868</v>
      </c>
      <c r="I81" s="4" t="str">
        <f t="shared" si="1"/>
        <v>&lt;a class="new" target="_blank" href="https://exe.io/st?api=a480072bd98881bdfc23c75aa2f815ea2428344e&amp;url=https://www.teacherspayteachers.com/Product/Handwriting-Practice-Sheets-Jokes-Facts-Letter-Sentence-Writing-Morning-Work-7365614?st=e26bc01cf67804c38fd503255e7cb915"&gt;&lt;img class="" alt=""    src="https://ecdn.teacherspayteachers.com/thumbitem/Handwriting-Practice-Sheets-with-Jokes-and-Facts-Morning-Work-Manuscript-7365614-1707172199/large-7365614-1.jpg"&gt;&lt;span class="new_title"&gt;               Handwriting Practice Sheets Jokes Facts Letter &amp; Sentence Writing - Morning Work&lt;/span&gt;&lt;/a&gt;</v>
      </c>
      <c r="J81" s="1">
        <v>80</v>
      </c>
    </row>
    <row r="82" spans="2:10" x14ac:dyDescent="0.25">
      <c r="B82" s="1" t="s">
        <v>1867</v>
      </c>
      <c r="C82" s="1" t="s">
        <v>2707</v>
      </c>
      <c r="D82" s="1" t="s">
        <v>1961</v>
      </c>
      <c r="E82" s="1" t="s">
        <v>2601</v>
      </c>
      <c r="F82" s="1" t="s">
        <v>1866</v>
      </c>
      <c r="G82" s="1" t="s">
        <v>2602</v>
      </c>
      <c r="H82" s="1" t="s">
        <v>1868</v>
      </c>
      <c r="I82" s="4" t="str">
        <f t="shared" si="1"/>
        <v>&lt;a class="new" target="_blank" href="https://exe.io/st?api=a480072bd98881bdfc23c75aa2f815ea2428344e&amp;url=https://www.teacherspayteachers.com/Product/Digital-Calendar-Morning-Meeting-Google-Slides-PowerPoint-5617892?st=e26bc01cf67804c38fd503255e7cb915"&gt;&lt;img class="" alt=""    src="https://ecdn.teacherspayteachers.com/thumbitem/Digital-Calendar-Morning-Meeting-Google-Slides-PowerPoint-5617892-1690857403/large-5617892-1.jpg"&gt;&lt;span class="new_title"&gt;               Digital Calendar Morning Meeting | Google Slides | PowerPoint&lt;/span&gt;&lt;/a&gt;</v>
      </c>
      <c r="J82" s="1">
        <v>81</v>
      </c>
    </row>
    <row r="83" spans="2:10" x14ac:dyDescent="0.25">
      <c r="B83" s="1" t="s">
        <v>1867</v>
      </c>
      <c r="C83" s="1" t="s">
        <v>2708</v>
      </c>
      <c r="D83" s="1" t="s">
        <v>1961</v>
      </c>
      <c r="E83" s="1" t="s">
        <v>2604</v>
      </c>
      <c r="F83" s="1" t="s">
        <v>1866</v>
      </c>
      <c r="G83" s="1" t="s">
        <v>2605</v>
      </c>
      <c r="H83" s="1" t="s">
        <v>1868</v>
      </c>
      <c r="I83" s="4" t="str">
        <f t="shared" si="1"/>
        <v>&lt;a class="new" target="_blank" href="https://exe.io/st?api=a480072bd98881bdfc23c75aa2f815ea2428344e&amp;url=https://www.teacherspayteachers.com/Product/Monsters-Lines-of-Symmetry-Drawing-Activity-Math-Art-Center-or-Early-Finisher-1221960?st=e26bc01cf67804c38fd503255e7cb915"&gt;&lt;img class="" alt=""    src="https://ecdn.teacherspayteachers.com/thumbitem/Symmetry-Monsters-Math-Activity-1221960-1698866033/large-1221960-1.jpg"&gt;&lt;span class="new_title"&gt;               Monsters Lines of Symmetry Drawing Activity - Math Art Center or Early Finisher&lt;/span&gt;&lt;/a&gt;</v>
      </c>
      <c r="J83" s="1">
        <v>82</v>
      </c>
    </row>
    <row r="84" spans="2:10" x14ac:dyDescent="0.25">
      <c r="B84" s="1" t="s">
        <v>1867</v>
      </c>
      <c r="C84" s="1" t="s">
        <v>2709</v>
      </c>
      <c r="D84" s="1" t="s">
        <v>1961</v>
      </c>
      <c r="E84" s="1" t="s">
        <v>2607</v>
      </c>
      <c r="F84" s="1" t="s">
        <v>1866</v>
      </c>
      <c r="G84" s="1" t="s">
        <v>2608</v>
      </c>
      <c r="H84" s="1" t="s">
        <v>1868</v>
      </c>
      <c r="I84" s="4" t="str">
        <f t="shared" si="1"/>
        <v>&lt;a class="new" target="_blank" href="https://exe.io/st?api=a480072bd98881bdfc23c75aa2f815ea2428344e&amp;url=https://www.teacherspayteachers.com/Product/Sentence-Writing-Complete-Sentences-Sentence-Structure-Sentence-Building-2401310?st=e26bc01cf67804c38fd503255e7cb915"&gt;&lt;img class="" alt=""    src="https://ecdn.teacherspayteachers.com/thumbitem/Sentence-Writing-Complete-Sentences-Sentence-Structure-Sentence-Building-2401310-1704797367/large-2401310-1.jpg"&gt;&lt;span class="new_title"&gt;               Sentence Writing Complete Sentences | Sentence Structure | Sentence Building&lt;/span&gt;&lt;/a&gt;</v>
      </c>
      <c r="J84" s="1">
        <v>83</v>
      </c>
    </row>
    <row r="85" spans="2:10" x14ac:dyDescent="0.25">
      <c r="B85" s="1" t="s">
        <v>1867</v>
      </c>
      <c r="C85" s="1" t="s">
        <v>2710</v>
      </c>
      <c r="D85" s="1" t="s">
        <v>1961</v>
      </c>
      <c r="E85" s="1" t="s">
        <v>2610</v>
      </c>
      <c r="F85" s="1" t="s">
        <v>1866</v>
      </c>
      <c r="G85" s="1" t="s">
        <v>2611</v>
      </c>
      <c r="H85" s="1" t="s">
        <v>1868</v>
      </c>
      <c r="I85" s="4" t="str">
        <f t="shared" ref="I85:I90" si="2">B85&amp;""&amp;C85&amp;""&amp;D85&amp;""&amp;E85&amp;""&amp;F85&amp;""&amp;G85&amp;""&amp;H85</f>
        <v>&lt;a class="new" target="_blank" href="https://exe.io/st?api=a480072bd98881bdfc23c75aa2f815ea2428344e&amp;url=https://www.teacherspayteachers.com/Product/2nd-Grade-Math-Spiral-Review-Morning-Work-Math-Homework-or-Warm-Ups-BUNDLE-1261539?st=e26bc01cf67804c38fd503255e7cb915"&gt;&lt;img class="" alt=""    src="https://ecdn.teacherspayteachers.com/thumbitem/2nd-Grade-Math-Spiral-Review-Morning-Work-Math-Homework-Progress-Monitoring-1261539-1679159966/large-1261539-1.jpg"&gt;&lt;span class="new_title"&gt;               2nd Grade Math Spiral Review - Morning Work, Math Homework, or Warm Ups BUNDLE&lt;/span&gt;&lt;/a&gt;</v>
      </c>
      <c r="J85" s="1">
        <v>84</v>
      </c>
    </row>
    <row r="86" spans="2:10" x14ac:dyDescent="0.25">
      <c r="B86" s="1" t="s">
        <v>1867</v>
      </c>
      <c r="C86" s="1" t="s">
        <v>2711</v>
      </c>
      <c r="D86" s="1" t="s">
        <v>1961</v>
      </c>
      <c r="E86" s="1" t="s">
        <v>2613</v>
      </c>
      <c r="F86" s="1" t="s">
        <v>1866</v>
      </c>
      <c r="G86" s="1" t="s">
        <v>2614</v>
      </c>
      <c r="H86" s="1" t="s">
        <v>1868</v>
      </c>
      <c r="I86" s="4" t="str">
        <f t="shared" si="2"/>
        <v>&lt;a class="new" target="_blank" href="https://exe.io/st?api=a480072bd98881bdfc23c75aa2f815ea2428344e&amp;url=https://www.teacherspayteachers.com/Product/Me-on-the-Map-Project-Activities-Flip-Book-Circle-Craft-Map-Skills-and-Globes-154228?st=e26bc01cf67804c38fd503255e7cb915"&gt;&lt;img class="" alt=""    src="https://ecdn.teacherspayteachers.com/thumbitem/Me-on-the-Map-A-Social-Studies-Language-Arts-Project-1696352273/large-154228-1.jpg"&gt;&lt;span class="new_title"&gt;               Me on the Map Project Activities Flip Book Circle Craft Map Skills and Globes&lt;/span&gt;&lt;/a&gt;</v>
      </c>
      <c r="J86" s="1">
        <v>85</v>
      </c>
    </row>
    <row r="87" spans="2:10" x14ac:dyDescent="0.25">
      <c r="B87" s="1" t="s">
        <v>1867</v>
      </c>
      <c r="C87" s="1" t="s">
        <v>2712</v>
      </c>
      <c r="D87" s="1" t="s">
        <v>1961</v>
      </c>
      <c r="E87" s="1" t="s">
        <v>2616</v>
      </c>
      <c r="F87" s="1" t="s">
        <v>1866</v>
      </c>
      <c r="G87" s="1" t="s">
        <v>2617</v>
      </c>
      <c r="H87" s="1" t="s">
        <v>1868</v>
      </c>
      <c r="I87" s="4" t="str">
        <f t="shared" si="2"/>
        <v>&lt;a class="new" target="_blank" href="https://exe.io/st?api=a480072bd98881bdfc23c75aa2f815ea2428344e&amp;url=https://www.teacherspayteachers.com/Product/Calm-Down-Techniques-Calm-Down-Corner-Books-Posters-and-Supports-2734315?st=e26bc01cf67804c38fd503255e7cb915"&gt;&lt;img class="" alt=""    src="https://ecdn.teacherspayteachers.com/thumbitem/Calm-Down-Techniques-Calm-Down-Corner-Books-Posters-and-Supports-2734315-1658859127/large-2734315-1.jpg"&gt;&lt;span class="new_title"&gt;               Calm Down Techniques - Calm Down Corner, Books, Posters, and Supports&lt;/span&gt;&lt;/a&gt;</v>
      </c>
      <c r="J87" s="1">
        <v>86</v>
      </c>
    </row>
    <row r="88" spans="2:10" x14ac:dyDescent="0.25">
      <c r="B88" s="1" t="s">
        <v>1867</v>
      </c>
      <c r="C88" s="1" t="s">
        <v>2713</v>
      </c>
      <c r="D88" s="1" t="s">
        <v>1961</v>
      </c>
      <c r="E88" s="1" t="s">
        <v>2619</v>
      </c>
      <c r="F88" s="1" t="s">
        <v>1866</v>
      </c>
      <c r="G88" s="1" t="s">
        <v>2620</v>
      </c>
      <c r="H88" s="1" t="s">
        <v>1868</v>
      </c>
      <c r="I88" s="4" t="str">
        <f t="shared" si="2"/>
        <v>&lt;a class="new" target="_blank" href="https://exe.io/st?api=a480072bd98881bdfc23c75aa2f815ea2428344e&amp;url=https://www.teacherspayteachers.com/Product/2nd-Grade-Morning-Work-Bell-Ringers-Language-Arts-Math-Daily-Review-BUNDLE-256434?st=e26bc01cf67804c38fd503255e7cb915"&gt;&lt;img class="" alt=""    src="https://ecdn.teacherspayteachers.com/thumbitem/2nd-Grade-Morning-Work-Back-to-School-Second-Spiral-Review-Google-Classroom-256434-1673629258/large-256434-1.jpg"&gt;&lt;span class="new_title"&gt;               2nd Grade Morning Work &amp; Bell Ringers Language Arts &amp; Math Daily Review BUNDLE&lt;/span&gt;&lt;/a&gt;</v>
      </c>
      <c r="J88" s="1">
        <v>87</v>
      </c>
    </row>
    <row r="89" spans="2:10" x14ac:dyDescent="0.25">
      <c r="B89" s="1" t="s">
        <v>1867</v>
      </c>
      <c r="C89" s="1" t="s">
        <v>2714</v>
      </c>
      <c r="D89" s="1" t="s">
        <v>1961</v>
      </c>
      <c r="E89" s="1" t="s">
        <v>2622</v>
      </c>
      <c r="F89" s="1" t="s">
        <v>1866</v>
      </c>
      <c r="G89" s="1" t="s">
        <v>2623</v>
      </c>
      <c r="H89" s="1" t="s">
        <v>1868</v>
      </c>
      <c r="I89" s="4" t="str">
        <f t="shared" si="2"/>
        <v>&lt;a class="new" target="_blank" href="https://exe.io/st?api=a480072bd98881bdfc23c75aa2f815ea2428344e&amp;url=https://www.teacherspayteachers.com/Product/Book-Tasting-Introduce-Your-Students-to-New-Books-and-Genres-2741616?st=e26bc01cf67804c38fd503255e7cb915"&gt;&lt;img class="" alt=""    src="https://ecdn.teacherspayteachers.com/thumbitem/Book-Tasting-Introduce-Your-Students-to-New-Books-and-Genres-2741616-1678927971/large-2741616-1.jpg"&gt;&lt;span class="new_title"&gt;               Book Tasting: Introduce Your Students to New Books and Genres&lt;/span&gt;&lt;/a&gt;</v>
      </c>
      <c r="J89" s="1">
        <v>88</v>
      </c>
    </row>
    <row r="90" spans="2:10" x14ac:dyDescent="0.25">
      <c r="B90" s="1" t="s">
        <v>1867</v>
      </c>
      <c r="C90" s="1" t="s">
        <v>2715</v>
      </c>
      <c r="D90" s="1" t="s">
        <v>1961</v>
      </c>
      <c r="E90" s="1" t="s">
        <v>2625</v>
      </c>
      <c r="F90" s="1" t="s">
        <v>1866</v>
      </c>
      <c r="G90" s="1" t="s">
        <v>2626</v>
      </c>
      <c r="H90" s="1" t="s">
        <v>1868</v>
      </c>
      <c r="I90" s="4" t="str">
        <f t="shared" si="2"/>
        <v>&lt;a class="new" target="_blank" href="https://exe.io/st?api=a480072bd98881bdfc23c75aa2f815ea2428344e&amp;url=https://www.teacherspayteachers.com/Product/Summer-Packet-NO-PREP-Review-2nd-Grade-1859445?st=e26bc01cf67804c38fd503255e7cb915"&gt;&lt;img class="" alt=""    src="https://ecdn.teacherspayteachers.com/thumbitem/Summer-Packet-NO-PREP-Review-2nd-Grade--1859445-1668243868/large-1859445-1.jpg"&gt;&lt;span class="new_title"&gt;               Summer Packet NO PREP Review (2nd Grade)&lt;/span&gt;&lt;/a&gt;</v>
      </c>
      <c r="J90" s="1">
        <v>89</v>
      </c>
    </row>
  </sheetData>
  <hyperlinks>
    <hyperlink ref="E2" r:id="rId1" display="https://narmedicyna.ru/wp-content/uploads/2021/10/pediatr-218x150.jpg"/>
  </hyperlinks>
  <pageMargins left="0.7" right="0.7" top="0.75" bottom="0.75" header="0.3" footer="0.3"/>
  <pageSetup paperSize="9" orientation="portrait" verticalDpi="0"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98"/>
  <sheetViews>
    <sheetView topLeftCell="A64" workbookViewId="0">
      <selection activeCell="C93" sqref="C93"/>
    </sheetView>
  </sheetViews>
  <sheetFormatPr defaultRowHeight="15" x14ac:dyDescent="0.25"/>
  <cols>
    <col min="1" max="1" width="26.7109375" customWidth="1"/>
    <col min="2" max="2" width="33.140625" customWidth="1"/>
    <col min="3" max="3" width="39.5703125" customWidth="1"/>
    <col min="4" max="4" width="9.42578125" style="12" customWidth="1"/>
  </cols>
  <sheetData>
    <row r="1" spans="1:7" x14ac:dyDescent="0.25">
      <c r="A1">
        <v>1</v>
      </c>
      <c r="B1">
        <v>2</v>
      </c>
      <c r="C1" s="2" t="s">
        <v>1869</v>
      </c>
      <c r="E1" t="s">
        <v>1869</v>
      </c>
      <c r="G1" s="2"/>
    </row>
    <row r="2" spans="1:7" x14ac:dyDescent="0.25">
      <c r="A2" s="11">
        <v>1</v>
      </c>
      <c r="B2" s="11">
        <v>2</v>
      </c>
      <c r="C2" s="11">
        <v>3</v>
      </c>
    </row>
    <row r="3" spans="1:7" x14ac:dyDescent="0.25">
      <c r="A3" s="1" t="s">
        <v>2360</v>
      </c>
      <c r="B3" s="10"/>
      <c r="C3" s="10"/>
      <c r="D3" s="12">
        <v>1</v>
      </c>
      <c r="E3" t="str">
        <f>$C$1&amp;""&amp;A3</f>
        <v>https://exe.io/st?api=a480072bd98881bdfc23c75aa2f815ea2428344e&amp;url=https://www.teacherspayteachers.com/Product/Science-of-Reading-Guided-Phonics-Beyond-Curriculum-SOR-DECODABLES-SOUND-WALL-6967851?st=0c6e7fc6bcd88cde45b4c311578a996a</v>
      </c>
    </row>
    <row r="4" spans="1:7" x14ac:dyDescent="0.25">
      <c r="A4" s="1" t="s">
        <v>2363</v>
      </c>
      <c r="B4" s="10"/>
      <c r="C4" s="10"/>
      <c r="D4" s="12">
        <v>1</v>
      </c>
      <c r="E4" s="1" t="str">
        <f t="shared" ref="E4:E67" si="0">$C$1&amp;""&amp;A4</f>
        <v>https://exe.io/st?api=a480072bd98881bdfc23c75aa2f815ea2428344e&amp;url=https://www.teacherspayteachers.com/Product/One-Stop-Teacher-Planner-2023-2024-EDITABLE-Digital-Printable-Lesson-Binder-1083937?st=0c6e7fc6bcd88cde45b4c311578a996a</v>
      </c>
    </row>
    <row r="5" spans="1:7" x14ac:dyDescent="0.25">
      <c r="A5" s="1" t="s">
        <v>2366</v>
      </c>
      <c r="B5" s="10"/>
      <c r="C5" s="10"/>
      <c r="D5" s="12">
        <v>1</v>
      </c>
      <c r="E5" s="1" t="str">
        <f t="shared" si="0"/>
        <v>https://exe.io/st?api=a480072bd98881bdfc23c75aa2f815ea2428344e&amp;url=https://www.teacherspayteachers.com/Product/Sight-Word-Practice-Activities-Sentences-Games-Books-Science-of-Reading-3150071?st=0c6e7fc6bcd88cde45b4c311578a996a</v>
      </c>
    </row>
    <row r="6" spans="1:7" x14ac:dyDescent="0.25">
      <c r="A6" s="1" t="s">
        <v>2369</v>
      </c>
      <c r="B6" s="10"/>
      <c r="C6" s="10"/>
      <c r="D6" s="12">
        <v>1</v>
      </c>
      <c r="E6" s="1" t="str">
        <f t="shared" si="0"/>
        <v>https://exe.io/st?api=a480072bd98881bdfc23c75aa2f815ea2428344e&amp;url=https://www.teacherspayteachers.com/Product/Decodable-Readers-Passages-Science-of-Reading-Comprehension-Reading-Fluency-ELA-8054553?st=0c6e7fc6bcd88cde45b4c311578a996a</v>
      </c>
    </row>
    <row r="7" spans="1:7" x14ac:dyDescent="0.25">
      <c r="A7" s="1" t="s">
        <v>2372</v>
      </c>
      <c r="B7" s="10"/>
      <c r="C7" s="10"/>
      <c r="D7" s="12">
        <v>1</v>
      </c>
      <c r="E7" s="1" t="str">
        <f t="shared" si="0"/>
        <v>https://exe.io/st?api=a480072bd98881bdfc23c75aa2f815ea2428344e&amp;url=https://www.teacherspayteachers.com/Product/Modern-Calm-Colors-Classroom-Decor-Bundle-Editable-Pastel-6558647?st=0c6e7fc6bcd88cde45b4c311578a996a</v>
      </c>
    </row>
    <row r="8" spans="1:7" x14ac:dyDescent="0.25">
      <c r="A8" s="1" t="s">
        <v>2375</v>
      </c>
      <c r="B8" s="10"/>
      <c r="C8" s="10"/>
      <c r="D8" s="12">
        <v>1</v>
      </c>
      <c r="E8" s="1" t="str">
        <f t="shared" si="0"/>
        <v>https://exe.io/st?api=a480072bd98881bdfc23c75aa2f815ea2428344e&amp;url=https://www.teacherspayteachers.com/Product/STEM-Bins-STEAM-Bins-Elementary-STEM-Activities-Morning-WorkFast-Finishers-2719619?st=0c6e7fc6bcd88cde45b4c311578a996a</v>
      </c>
    </row>
    <row r="9" spans="1:7" x14ac:dyDescent="0.25">
      <c r="A9" s="1" t="s">
        <v>2378</v>
      </c>
      <c r="B9" s="10"/>
      <c r="C9" s="10"/>
      <c r="D9" s="12">
        <v>1</v>
      </c>
      <c r="E9" s="1" t="str">
        <f t="shared" si="0"/>
        <v>https://exe.io/st?api=a480072bd98881bdfc23c75aa2f815ea2428344e&amp;url=https://www.teacherspayteachers.com/Product/Morning-Adapted-Work-Binder-for-Special-Needs-Adapted-Morning-Work-2068837?st=0c6e7fc6bcd88cde45b4c311578a996a</v>
      </c>
    </row>
    <row r="10" spans="1:7" x14ac:dyDescent="0.25">
      <c r="A10" s="1" t="s">
        <v>2381</v>
      </c>
      <c r="B10" s="10"/>
      <c r="C10" s="10"/>
      <c r="D10" s="12">
        <v>1</v>
      </c>
      <c r="E10" s="1" t="str">
        <f t="shared" si="0"/>
        <v>https://exe.io/st?api=a480072bd98881bdfc23c75aa2f815ea2428344e&amp;url=https://www.teacherspayteachers.com/Product/First-Grade-Phonics-Reading-Fluency-Comprehension-Passages-Questions-Worksheets-1723565?st=0c6e7fc6bcd88cde45b4c311578a996a</v>
      </c>
    </row>
    <row r="11" spans="1:7" x14ac:dyDescent="0.25">
      <c r="A11" s="1" t="s">
        <v>2384</v>
      </c>
      <c r="B11" s="10"/>
      <c r="C11" s="10"/>
      <c r="D11" s="12">
        <v>1</v>
      </c>
      <c r="E11" s="1" t="str">
        <f t="shared" si="0"/>
        <v>https://exe.io/st?api=a480072bd98881bdfc23c75aa2f815ea2428344e&amp;url=https://www.teacherspayteachers.com/Product/Paragraph-of-the-Week-Writing-Prompts-for-Paragraph-Writing-Editing-Practice-953007?st=0c6e7fc6bcd88cde45b4c311578a996a</v>
      </c>
    </row>
    <row r="12" spans="1:7" x14ac:dyDescent="0.25">
      <c r="A12" s="1" t="s">
        <v>2387</v>
      </c>
      <c r="B12" s="10"/>
      <c r="C12" s="10"/>
      <c r="D12" s="12">
        <v>1</v>
      </c>
      <c r="E12" s="1" t="str">
        <f t="shared" si="0"/>
        <v>https://exe.io/st?api=a480072bd98881bdfc23c75aa2f815ea2428344e&amp;url=https://www.teacherspayteachers.com/Product/End-of-the-Year-Memory-Book-Print-and-Digital-End-of-the-Year-Activities-1856804?st=0c6e7fc6bcd88cde45b4c311578a996a</v>
      </c>
    </row>
    <row r="13" spans="1:7" x14ac:dyDescent="0.25">
      <c r="A13" s="1" t="s">
        <v>2390</v>
      </c>
      <c r="B13" s="10"/>
      <c r="C13" s="10"/>
      <c r="D13" s="12">
        <v>1</v>
      </c>
      <c r="E13" s="1" t="str">
        <f t="shared" si="0"/>
        <v>https://exe.io/st?api=a480072bd98881bdfc23c75aa2f815ea2428344e&amp;url=https://www.teacherspayteachers.com/Product/Mothers-Day-Craft-Flower-Bouquet-Card-Writing-Activity-3137522?st=0c6e7fc6bcd88cde45b4c311578a996a</v>
      </c>
    </row>
    <row r="14" spans="1:7" x14ac:dyDescent="0.25">
      <c r="A14" s="1" t="s">
        <v>2393</v>
      </c>
      <c r="B14" s="10"/>
      <c r="C14" s="10"/>
      <c r="D14" s="12">
        <v>1</v>
      </c>
      <c r="E14" s="1" t="str">
        <f t="shared" si="0"/>
        <v>https://exe.io/st?api=a480072bd98881bdfc23c75aa2f815ea2428344e&amp;url=https://www.teacherspayteachers.com/Product/Addition-Subtraction-Coloring-Pages-Winter-St-Patricks-Day-Math-Activity-450593?st=0c6e7fc6bcd88cde45b4c311578a996a</v>
      </c>
    </row>
    <row r="15" spans="1:7" x14ac:dyDescent="0.25">
      <c r="A15" s="1" t="s">
        <v>2396</v>
      </c>
      <c r="B15" s="10"/>
      <c r="C15" s="10"/>
      <c r="D15" s="12">
        <v>1</v>
      </c>
      <c r="E15" s="1" t="str">
        <f t="shared" si="0"/>
        <v>https://exe.io/st?api=a480072bd98881bdfc23c75aa2f815ea2428344e&amp;url=https://www.teacherspayteachers.com/Product/Figurative-Language-Worksheets-and-Google-Slides-Idiom-Simile-Hyperbole-etc-171493?st=0c6e7fc6bcd88cde45b4c311578a996a</v>
      </c>
    </row>
    <row r="16" spans="1:7" x14ac:dyDescent="0.25">
      <c r="A16" s="1" t="s">
        <v>2399</v>
      </c>
      <c r="B16" s="10"/>
      <c r="C16" s="10"/>
      <c r="D16" s="12">
        <v>1</v>
      </c>
      <c r="E16" s="1" t="str">
        <f t="shared" si="0"/>
        <v>https://exe.io/st?api=a480072bd98881bdfc23c75aa2f815ea2428344e&amp;url=https://www.teacherspayteachers.com/Product/Grammar-Worksheet-Bundle-Nouns-Adjectives-Verbs-Punctuation-and-more-4326988?st=0c6e7fc6bcd88cde45b4c311578a996a</v>
      </c>
    </row>
    <row r="17" spans="1:5" x14ac:dyDescent="0.25">
      <c r="A17" s="1" t="s">
        <v>2402</v>
      </c>
      <c r="B17" s="10"/>
      <c r="C17" s="10"/>
      <c r="D17" s="12">
        <v>1</v>
      </c>
      <c r="E17" s="1" t="str">
        <f t="shared" si="0"/>
        <v>https://exe.io/st?api=a480072bd98881bdfc23c75aa2f815ea2428344e&amp;url=https://www.teacherspayteachers.com/Product/Writing-Prompt-Units-Bundle-Narrative-Opinion-St-Patricks-Day-Spring-Activities-7404247?st=0c6e7fc6bcd88cde45b4c311578a996a</v>
      </c>
    </row>
    <row r="18" spans="1:5" x14ac:dyDescent="0.25">
      <c r="A18" s="1" t="s">
        <v>2405</v>
      </c>
      <c r="B18" s="10"/>
      <c r="C18" s="10"/>
      <c r="D18" s="12">
        <v>1</v>
      </c>
      <c r="E18" s="1" t="str">
        <f t="shared" si="0"/>
        <v>https://exe.io/st?api=a480072bd98881bdfc23c75aa2f815ea2428344e&amp;url=https://www.teacherspayteachers.com/Product/1st-Grade-Morning-Work-1st-Grade-Writing-Prompts-For-the-Year-Writing-Center-2671276?st=0c6e7fc6bcd88cde45b4c311578a996a</v>
      </c>
    </row>
    <row r="19" spans="1:5" x14ac:dyDescent="0.25">
      <c r="A19" s="1" t="s">
        <v>2408</v>
      </c>
      <c r="B19" s="10"/>
      <c r="C19" s="10"/>
      <c r="D19" s="12">
        <v>1</v>
      </c>
      <c r="E19" s="1" t="str">
        <f t="shared" si="0"/>
        <v>https://exe.io/st?api=a480072bd98881bdfc23c75aa2f815ea2428344e&amp;url=https://www.teacherspayteachers.com/Product/Behavior-Management-Green-and-Red-Choices-Preschool-Pre-K-and-Kindergarten-1931820?st=0c6e7fc6bcd88cde45b4c311578a996a</v>
      </c>
    </row>
    <row r="20" spans="1:5" x14ac:dyDescent="0.25">
      <c r="A20" s="1" t="s">
        <v>2411</v>
      </c>
      <c r="B20" s="10"/>
      <c r="C20" s="10"/>
      <c r="D20" s="12">
        <v>1</v>
      </c>
      <c r="E20" s="1" t="str">
        <f t="shared" si="0"/>
        <v>https://exe.io/st?api=a480072bd98881bdfc23c75aa2f815ea2428344e&amp;url=https://www.teacherspayteachers.com/Product/Decodable-Passages-with-Comprehension-Questions-2nd-Grade-Phonics-Fluency-3432044?st=0c6e7fc6bcd88cde45b4c311578a996a</v>
      </c>
    </row>
    <row r="21" spans="1:5" x14ac:dyDescent="0.25">
      <c r="A21" s="1" t="s">
        <v>2414</v>
      </c>
      <c r="B21" s="10"/>
      <c r="C21" s="10"/>
      <c r="D21" s="12">
        <v>1</v>
      </c>
      <c r="E21" s="1" t="str">
        <f t="shared" si="0"/>
        <v>https://exe.io/st?api=a480072bd98881bdfc23c75aa2f815ea2428344e&amp;url=https://www.teacherspayteachers.com/Product/How-to-Catch-a-Leprechaun-craft-St-Patricks-Day-activities-writing-prompt-paper-105282?st=0c6e7fc6bcd88cde45b4c311578a996a</v>
      </c>
    </row>
    <row r="22" spans="1:5" x14ac:dyDescent="0.25">
      <c r="A22" s="1" t="s">
        <v>2417</v>
      </c>
      <c r="B22" s="10"/>
      <c r="C22" s="10"/>
      <c r="D22" s="12">
        <v>1</v>
      </c>
      <c r="E22" s="1" t="str">
        <f t="shared" si="0"/>
        <v>https://exe.io/st?api=a480072bd98881bdfc23c75aa2f815ea2428344e&amp;url=https://www.teacherspayteachers.com/Product/Summer-Packet-NO-PREP-Review-Kindergarten-699193?st=0c6e7fc6bcd88cde45b4c311578a996a</v>
      </c>
    </row>
    <row r="23" spans="1:5" x14ac:dyDescent="0.25">
      <c r="A23" s="1" t="s">
        <v>2420</v>
      </c>
      <c r="B23" s="10"/>
      <c r="C23" s="10"/>
      <c r="D23" s="12">
        <v>1</v>
      </c>
      <c r="E23" s="1" t="str">
        <f t="shared" si="0"/>
        <v>https://exe.io/st?api=a480072bd98881bdfc23c75aa2f815ea2428344e&amp;url=https://www.teacherspayteachers.com/Product/Main-Idea-Reading-Comprehension-w-Spring-St-Patricks-Day-Easter-Activities--2122542?st=0c6e7fc6bcd88cde45b4c311578a996a</v>
      </c>
    </row>
    <row r="24" spans="1:5" x14ac:dyDescent="0.25">
      <c r="A24" s="1" t="s">
        <v>2423</v>
      </c>
      <c r="B24" s="10"/>
      <c r="C24" s="10"/>
      <c r="D24" s="12">
        <v>1</v>
      </c>
      <c r="E24" s="1" t="str">
        <f t="shared" si="0"/>
        <v>https://exe.io/st?api=a480072bd98881bdfc23c75aa2f815ea2428344e&amp;url=https://www.teacherspayteachers.com/Product/Phonics-Reading-Intervention-Decodable-Passage-Readers-Science-of-Reading-Center-8550259?st=0c6e7fc6bcd88cde45b4c311578a996a</v>
      </c>
    </row>
    <row r="25" spans="1:5" x14ac:dyDescent="0.25">
      <c r="A25" s="1" t="s">
        <v>2426</v>
      </c>
      <c r="B25" s="10"/>
      <c r="C25" s="10"/>
      <c r="D25" s="12">
        <v>1</v>
      </c>
      <c r="E25" s="1" t="str">
        <f t="shared" si="0"/>
        <v>https://exe.io/st?api=a480072bd98881bdfc23c75aa2f815ea2428344e&amp;url=https://www.teacherspayteachers.com/Product/Science-of-Reading-Comprehension-Phonics-Decodable-Passages-Worksheets-Readers-1639608?st=0c6e7fc6bcd88cde45b4c311578a996a</v>
      </c>
    </row>
    <row r="26" spans="1:5" x14ac:dyDescent="0.25">
      <c r="A26" s="1" t="s">
        <v>2429</v>
      </c>
      <c r="B26" s="10"/>
      <c r="C26" s="10"/>
      <c r="D26" s="12">
        <v>1</v>
      </c>
      <c r="E26" s="1" t="str">
        <f t="shared" si="0"/>
        <v>https://exe.io/st?api=a480072bd98881bdfc23c75aa2f815ea2428344e&amp;url=https://www.teacherspayteachers.com/Product/35-NO-PREP-Multiplication-Math-Games-for-Multiplication-Practice-Fact-Fluency-1197085?st=0c6e7fc6bcd88cde45b4c311578a996a</v>
      </c>
    </row>
    <row r="27" spans="1:5" x14ac:dyDescent="0.25">
      <c r="A27" s="1" t="s">
        <v>2432</v>
      </c>
      <c r="B27" s="10"/>
      <c r="C27" s="10"/>
      <c r="D27" s="12">
        <v>1</v>
      </c>
      <c r="E27" s="1" t="str">
        <f t="shared" si="0"/>
        <v>https://exe.io/st?api=a480072bd98881bdfc23c75aa2f815ea2428344e&amp;url=https://www.teacherspayteachers.com/Product/Fine-Motor-Journals-for-Preschool-Pre-K-and-Kindergarten-5187612?st=e325fc680052302fbbafa7ed1bc2175b</v>
      </c>
    </row>
    <row r="28" spans="1:5" x14ac:dyDescent="0.25">
      <c r="A28" s="1" t="s">
        <v>2435</v>
      </c>
      <c r="B28" s="10"/>
      <c r="C28" s="10"/>
      <c r="D28" s="12">
        <v>1</v>
      </c>
      <c r="E28" s="1" t="str">
        <f t="shared" si="0"/>
        <v>https://exe.io/st?api=a480072bd98881bdfc23c75aa2f815ea2428344e&amp;url=https://www.teacherspayteachers.com/Product/Editable-Teacher-Planner-Teacher-Binder-2023-2024-Back-to-School-2493038?st=e325fc680052302fbbafa7ed1bc2175b</v>
      </c>
    </row>
    <row r="29" spans="1:5" x14ac:dyDescent="0.25">
      <c r="A29" s="1" t="s">
        <v>2438</v>
      </c>
      <c r="B29" s="10"/>
      <c r="C29" s="10"/>
      <c r="D29" s="12">
        <v>1</v>
      </c>
      <c r="E29" s="1" t="str">
        <f t="shared" si="0"/>
        <v>https://exe.io/st?api=a480072bd98881bdfc23c75aa2f815ea2428344e&amp;url=https://www.teacherspayteachers.com/Product/Classroom-Labels-Real-Photos-for-Preschool-Pre-K-Kinder-1st-Grade-3945694?st=e325fc680052302fbbafa7ed1bc2175b</v>
      </c>
    </row>
    <row r="30" spans="1:5" x14ac:dyDescent="0.25">
      <c r="A30" s="1" t="s">
        <v>2441</v>
      </c>
      <c r="B30" s="10"/>
      <c r="C30" s="10"/>
      <c r="D30" s="12">
        <v>1</v>
      </c>
      <c r="E30" s="1" t="str">
        <f t="shared" si="0"/>
        <v>https://exe.io/st?api=a480072bd98881bdfc23c75aa2f815ea2428344e&amp;url=https://www.teacherspayteachers.com/Product/Paragraph-Writing-How-to-Write-a-Complete-Paragraph-Graphic-Organizer-Posters-862543?st=e325fc680052302fbbafa7ed1bc2175b</v>
      </c>
    </row>
    <row r="31" spans="1:5" x14ac:dyDescent="0.25">
      <c r="A31" s="1" t="s">
        <v>2444</v>
      </c>
      <c r="B31" s="10"/>
      <c r="C31" s="10"/>
      <c r="D31" s="12">
        <v>1</v>
      </c>
      <c r="E31" s="1" t="str">
        <f t="shared" si="0"/>
        <v>https://exe.io/st?api=a480072bd98881bdfc23c75aa2f815ea2428344e&amp;url=https://www.teacherspayteachers.com/Product/Kindergarten-Illustration-Unit-I-Can-Draw-With-Shapes-Draw-and-Color-7158722?st=e325fc680052302fbbafa7ed1bc2175b</v>
      </c>
    </row>
    <row r="32" spans="1:5" x14ac:dyDescent="0.25">
      <c r="A32" s="1" t="s">
        <v>2447</v>
      </c>
      <c r="B32" s="10"/>
      <c r="C32" s="10"/>
      <c r="D32" s="12">
        <v>1</v>
      </c>
      <c r="E32" s="1" t="str">
        <f t="shared" si="0"/>
        <v>https://exe.io/st?api=a480072bd98881bdfc23c75aa2f815ea2428344e&amp;url=https://www.teacherspayteachers.com/Product/Back-to-School-Activities-First-Week-of-School-Beginning-of-the-Year-BUNDLE-1282776?st=e325fc680052302fbbafa7ed1bc2175b</v>
      </c>
    </row>
    <row r="33" spans="1:5" x14ac:dyDescent="0.25">
      <c r="A33" s="1" t="s">
        <v>2450</v>
      </c>
      <c r="B33" s="10"/>
      <c r="C33" s="10"/>
      <c r="D33" s="12">
        <v>1</v>
      </c>
      <c r="E33" s="1" t="str">
        <f t="shared" si="0"/>
        <v>https://exe.io/st?api=a480072bd98881bdfc23c75aa2f815ea2428344e&amp;url=https://www.teacherspayteachers.com/Product/Life-Cycle-of-Plants-Unit-Investigations-Plant-Life-Cycle-PowerPoint-NGSS-224144?st=e325fc680052302fbbafa7ed1bc2175b</v>
      </c>
    </row>
    <row r="34" spans="1:5" x14ac:dyDescent="0.25">
      <c r="A34" s="1" t="s">
        <v>2453</v>
      </c>
      <c r="B34" s="10"/>
      <c r="C34" s="10"/>
      <c r="D34" s="12">
        <v>1</v>
      </c>
      <c r="E34" s="1" t="str">
        <f t="shared" si="0"/>
        <v>https://exe.io/st?api=a480072bd98881bdfc23c75aa2f815ea2428344e&amp;url=https://www.teacherspayteachers.com/Product/Sight-Word-Practice-Mystery-Coloring-Pages-Spring-St-Patricks-Day-Activity-592311?st=e325fc680052302fbbafa7ed1bc2175b</v>
      </c>
    </row>
    <row r="35" spans="1:5" x14ac:dyDescent="0.25">
      <c r="A35" s="1" t="s">
        <v>2456</v>
      </c>
      <c r="B35" s="10"/>
      <c r="C35" s="10"/>
      <c r="E35" s="1" t="str">
        <f t="shared" si="0"/>
        <v>https://exe.io/st?api=a480072bd98881bdfc23c75aa2f815ea2428344e&amp;url=https://www.teacherspayteachers.com/Product/Sound-Wall-4192803?st=e325fc680052302fbbafa7ed1bc2175b</v>
      </c>
    </row>
    <row r="36" spans="1:5" x14ac:dyDescent="0.25">
      <c r="A36" s="1" t="s">
        <v>2459</v>
      </c>
      <c r="B36" s="10"/>
      <c r="C36" s="10"/>
      <c r="E36" s="1" t="str">
        <f t="shared" si="0"/>
        <v>https://exe.io/st?api=a480072bd98881bdfc23c75aa2f815ea2428344e&amp;url=https://www.teacherspayteachers.com/Product/3rd-Grade-Math-Spiral-Review-Morning-Work-Math-Homework-or-Warm-Ups-BUNDLE-1048011?st=e325fc680052302fbbafa7ed1bc2175b</v>
      </c>
    </row>
    <row r="37" spans="1:5" x14ac:dyDescent="0.25">
      <c r="A37" s="1" t="s">
        <v>2462</v>
      </c>
      <c r="B37" s="10"/>
      <c r="C37" s="10"/>
      <c r="E37" s="1" t="str">
        <f t="shared" si="0"/>
        <v>https://exe.io/st?api=a480072bd98881bdfc23c75aa2f815ea2428344e&amp;url=https://www.teacherspayteachers.com/Product/St-Patricks-Day-Craft-Leprechaun-March-Writing-Prompts-Paper-Spring-Craftivity-158880?st=e325fc680052302fbbafa7ed1bc2175b</v>
      </c>
    </row>
    <row r="38" spans="1:5" x14ac:dyDescent="0.25">
      <c r="A38" s="1" t="s">
        <v>2465</v>
      </c>
      <c r="B38" s="10"/>
      <c r="C38" s="10"/>
      <c r="E38" s="1" t="str">
        <f t="shared" si="0"/>
        <v>https://exe.io/st?api=a480072bd98881bdfc23c75aa2f815ea2428344e&amp;url=https://www.teacherspayteachers.com/Product/Nonfiction-Text-Structures-Unit-Passages-Worksheets-Anchor-Chart-Task-Cards-528637?st=e325fc680052302fbbafa7ed1bc2175b</v>
      </c>
    </row>
    <row r="39" spans="1:5" x14ac:dyDescent="0.25">
      <c r="A39" s="1" t="s">
        <v>2468</v>
      </c>
      <c r="B39" s="10"/>
      <c r="C39" s="10"/>
      <c r="E39" s="1" t="str">
        <f t="shared" si="0"/>
        <v>https://exe.io/st?api=a480072bd98881bdfc23c75aa2f815ea2428344e&amp;url=https://www.teacherspayteachers.com/Product/Science-of-Reading-Guided-Curriculum-Phonics-Decodables-Readers-SOUND-WALL-6896126?st=e325fc680052302fbbafa7ed1bc2175b</v>
      </c>
    </row>
    <row r="40" spans="1:5" x14ac:dyDescent="0.25">
      <c r="A40" s="1" t="s">
        <v>2471</v>
      </c>
      <c r="B40" s="10"/>
      <c r="C40" s="10"/>
      <c r="E40" s="1" t="str">
        <f t="shared" si="0"/>
        <v>https://exe.io/st?api=a480072bd98881bdfc23c75aa2f815ea2428344e&amp;url=https://www.teacherspayteachers.com/Product/Kindergarten-High-Frequency-Sight-Word-Practice-Sentences-Guided-Reading-Game-1048713?st=e325fc680052302fbbafa7ed1bc2175b</v>
      </c>
    </row>
    <row r="41" spans="1:5" x14ac:dyDescent="0.25">
      <c r="A41" s="1" t="s">
        <v>2474</v>
      </c>
      <c r="B41" s="10"/>
      <c r="C41" s="10"/>
      <c r="E41" s="1" t="str">
        <f t="shared" si="0"/>
        <v>https://exe.io/st?api=a480072bd98881bdfc23c75aa2f815ea2428344e&amp;url=https://www.teacherspayteachers.com/Product/Summer-Packet-NO-PREP-Review-1st-Grade-702342?st=e325fc680052302fbbafa7ed1bc2175b</v>
      </c>
    </row>
    <row r="42" spans="1:5" x14ac:dyDescent="0.25">
      <c r="A42" s="1" t="s">
        <v>2477</v>
      </c>
      <c r="B42" s="10"/>
      <c r="C42" s="10"/>
      <c r="E42" s="1" t="str">
        <f t="shared" si="0"/>
        <v>https://exe.io/st?api=a480072bd98881bdfc23c75aa2f815ea2428344e&amp;url=https://www.teacherspayteachers.com/Product/First-Then-Board-Visual-Schedule-Flipbooks-EDITABLE-for-Special-Education-3253360?st=e325fc680052302fbbafa7ed1bc2175b</v>
      </c>
    </row>
    <row r="43" spans="1:5" x14ac:dyDescent="0.25">
      <c r="A43" s="1" t="s">
        <v>2480</v>
      </c>
      <c r="B43" s="10"/>
      <c r="C43" s="10"/>
      <c r="E43" s="1" t="str">
        <f t="shared" si="0"/>
        <v>https://exe.io/st?api=a480072bd98881bdfc23c75aa2f815ea2428344e&amp;url=https://www.teacherspayteachers.com/Product/1st-2nd-Grade-Math-Centers-and-Review-Games-Toothy-Task-Cards-3037141?st=e325fc680052302fbbafa7ed1bc2175b</v>
      </c>
    </row>
    <row r="44" spans="1:5" x14ac:dyDescent="0.25">
      <c r="A44" s="1" t="s">
        <v>2483</v>
      </c>
      <c r="B44" s="17"/>
      <c r="C44" s="10"/>
      <c r="E44" s="1" t="str">
        <f t="shared" si="0"/>
        <v>https://exe.io/st?api=a480072bd98881bdfc23c75aa2f815ea2428344e&amp;url=https://www.teacherspayteachers.com/Product/Making-Inferences-Task-Cards-Digital-and-Print-Passages-Inferencing-Activities-192996?st=e325fc680052302fbbafa7ed1bc2175b</v>
      </c>
    </row>
    <row r="45" spans="1:5" x14ac:dyDescent="0.25">
      <c r="A45" s="1" t="s">
        <v>2486</v>
      </c>
      <c r="B45" s="10"/>
      <c r="C45" s="10"/>
      <c r="E45" s="1" t="str">
        <f t="shared" si="0"/>
        <v>https://exe.io/st?api=a480072bd98881bdfc23c75aa2f815ea2428344e&amp;url=https://www.teacherspayteachers.com/Product/Paragraph-Writing-How-to-Write-a-Paragraph-of-the-Week-Writing-Prompts-Narrative-2827947?st=e325fc680052302fbbafa7ed1bc2175b</v>
      </c>
    </row>
    <row r="46" spans="1:5" x14ac:dyDescent="0.25">
      <c r="A46" s="1" t="s">
        <v>2489</v>
      </c>
      <c r="B46" s="10"/>
      <c r="C46" s="10"/>
      <c r="E46" s="1" t="str">
        <f t="shared" si="0"/>
        <v>https://exe.io/st?api=a480072bd98881bdfc23c75aa2f815ea2428344e&amp;url=https://www.teacherspayteachers.com/Product/First-Grade-Math-Worksheet-Bundle-Addition-Shapes-Place-Value-More-4410468?st=e325fc680052302fbbafa7ed1bc2175b</v>
      </c>
    </row>
    <row r="47" spans="1:5" x14ac:dyDescent="0.25">
      <c r="A47" s="1" t="s">
        <v>2492</v>
      </c>
      <c r="B47" s="10"/>
      <c r="C47" s="10"/>
      <c r="E47" s="1" t="str">
        <f t="shared" si="0"/>
        <v>https://exe.io/st?api=a480072bd98881bdfc23c75aa2f815ea2428344e&amp;url=https://www.teacherspayteachers.com/Product/End-of-the-Year-Awards-249960?st=e325fc680052302fbbafa7ed1bc2175b</v>
      </c>
    </row>
    <row r="48" spans="1:5" x14ac:dyDescent="0.25">
      <c r="A48" s="1" t="s">
        <v>2495</v>
      </c>
      <c r="B48" s="10"/>
      <c r="C48" s="10"/>
      <c r="E48" s="1" t="str">
        <f t="shared" si="0"/>
        <v>https://exe.io/st?api=a480072bd98881bdfc23c75aa2f815ea2428344e&amp;url=https://www.teacherspayteachers.com/Product/Editable-Sight-Word-High-Frequency-Words-Worksheets-Any-List-Kinder-First-Grade-3230314?st=e325fc680052302fbbafa7ed1bc2175b</v>
      </c>
    </row>
    <row r="49" spans="1:5" x14ac:dyDescent="0.25">
      <c r="A49" s="1" t="s">
        <v>2498</v>
      </c>
      <c r="B49" s="10"/>
      <c r="C49" s="10"/>
      <c r="E49" s="1" t="str">
        <f t="shared" si="0"/>
        <v>https://exe.io/st?api=a480072bd98881bdfc23c75aa2f815ea2428344e&amp;url=https://www.teacherspayteachers.com/Product/Reading-Intervention-Binder-for-Beginning-Readers-No-Prep-ELA-SOR-Aligned-1457657?st=e325fc680052302fbbafa7ed1bc2175b</v>
      </c>
    </row>
    <row r="50" spans="1:5" x14ac:dyDescent="0.25">
      <c r="A50" s="1" t="s">
        <v>2501</v>
      </c>
      <c r="B50" s="10"/>
      <c r="C50" s="10"/>
      <c r="E50" s="1" t="str">
        <f t="shared" si="0"/>
        <v>https://exe.io/st?api=a480072bd98881bdfc23c75aa2f815ea2428344e&amp;url=https://www.teacherspayteachers.com/Product/Close-Reading-Comprehension-Passages-and-Questions-Reading-Strategies-Audio-1987225?st=e325fc680052302fbbafa7ed1bc2175b</v>
      </c>
    </row>
    <row r="51" spans="1:5" x14ac:dyDescent="0.25">
      <c r="A51" s="1" t="s">
        <v>2504</v>
      </c>
      <c r="B51" s="10"/>
      <c r="C51" s="10"/>
      <c r="E51" s="1" t="str">
        <f t="shared" si="0"/>
        <v>https://exe.io/st?api=a480072bd98881bdfc23c75aa2f815ea2428344e&amp;url=https://www.teacherspayteachers.com/Product/4th-Grade-Math-Spiral-Review-Morning-Work-Math-Homework-or-Warm-Ups-BUNDLE-1056966?st=c79d99316587943081977051b10c3cb8</v>
      </c>
    </row>
    <row r="52" spans="1:5" x14ac:dyDescent="0.25">
      <c r="A52" s="1" t="s">
        <v>2507</v>
      </c>
      <c r="B52" s="10"/>
      <c r="C52" s="10"/>
      <c r="E52" s="1" t="str">
        <f t="shared" si="0"/>
        <v>https://exe.io/st?api=a480072bd98881bdfc23c75aa2f815ea2428344e&amp;url=https://www.teacherspayteachers.com/Product/Theme-Task-Cards-with-Print-Digital-Versions-Activity-Reading-Differentiation-375245?st=c79d99316587943081977051b10c3cb8</v>
      </c>
    </row>
    <row r="53" spans="1:5" x14ac:dyDescent="0.25">
      <c r="A53" s="1" t="s">
        <v>2510</v>
      </c>
      <c r="B53" s="10"/>
      <c r="C53" s="10"/>
      <c r="E53" s="1" t="str">
        <f t="shared" si="0"/>
        <v>https://exe.io/st?api=a480072bd98881bdfc23c75aa2f815ea2428344e&amp;url=https://www.teacherspayteachers.com/Product/ORIGINAL-Peanut-Butter-and-Jelly-Partner-Pairing-Cards-Classroom-Management-7258796?st=c79d99316587943081977051b10c3cb8</v>
      </c>
    </row>
    <row r="54" spans="1:5" x14ac:dyDescent="0.25">
      <c r="A54" s="1" t="s">
        <v>2513</v>
      </c>
      <c r="B54" s="10"/>
      <c r="C54" s="10"/>
      <c r="E54" s="1" t="str">
        <f t="shared" si="0"/>
        <v>https://exe.io/st?api=a480072bd98881bdfc23c75aa2f815ea2428344e&amp;url=https://www.teacherspayteachers.com/Product/Amy-Groesbeck-Fonts-Vol-4-3160533?st=c79d99316587943081977051b10c3cb8</v>
      </c>
    </row>
    <row r="55" spans="1:5" x14ac:dyDescent="0.25">
      <c r="A55" s="1" t="s">
        <v>2516</v>
      </c>
      <c r="B55" s="10"/>
      <c r="C55" s="10"/>
      <c r="E55" s="1" t="str">
        <f t="shared" si="0"/>
        <v>https://exe.io/st?api=a480072bd98881bdfc23c75aa2f815ea2428344e&amp;url=https://www.teacherspayteachers.com/Product/Decodable-Readers-Passages-Books-Word-Work-Science-of-Reading-Decodables-7616801?st=c79d99316587943081977051b10c3cb8</v>
      </c>
    </row>
    <row r="56" spans="1:5" x14ac:dyDescent="0.25">
      <c r="A56" s="1" t="s">
        <v>2519</v>
      </c>
      <c r="B56" s="10"/>
      <c r="C56" s="10"/>
      <c r="E56" s="1" t="str">
        <f t="shared" si="0"/>
        <v>https://exe.io/st?api=a480072bd98881bdfc23c75aa2f815ea2428344e&amp;url=https://www.teacherspayteachers.com/Product/A-T-Shirt-All-About-Me-Back-to-School-Art-Goal-Setting-and-Writing-Activities-3769152?st=c79d99316587943081977051b10c3cb8</v>
      </c>
    </row>
    <row r="57" spans="1:5" x14ac:dyDescent="0.25">
      <c r="A57" s="1" t="s">
        <v>2522</v>
      </c>
      <c r="B57" s="10"/>
      <c r="C57" s="10"/>
      <c r="E57" s="1" t="str">
        <f t="shared" si="0"/>
        <v>https://exe.io/st?api=a480072bd98881bdfc23c75aa2f815ea2428344e&amp;url=https://www.teacherspayteachers.com/Product/2nd-Grade-Leveled-Reading-Comprehension-Passages-Questions-for-Reading-Fluency-294350?st=c79d99316587943081977051b10c3cb8</v>
      </c>
    </row>
    <row r="58" spans="1:5" x14ac:dyDescent="0.25">
      <c r="A58" s="1" t="s">
        <v>2525</v>
      </c>
      <c r="B58" s="10"/>
      <c r="C58" s="10"/>
      <c r="E58" s="1" t="str">
        <f t="shared" si="0"/>
        <v>https://exe.io/st?api=a480072bd98881bdfc23c75aa2f815ea2428344e&amp;url=https://www.teacherspayteachers.com/Product/Simple-Fractions-NO-PREP-Packet-Math-1309186?st=c79d99316587943081977051b10c3cb8</v>
      </c>
    </row>
    <row r="59" spans="1:5" x14ac:dyDescent="0.25">
      <c r="A59" s="1" t="s">
        <v>2528</v>
      </c>
      <c r="B59" s="10"/>
      <c r="C59" s="10"/>
      <c r="E59" s="1" t="str">
        <f t="shared" si="0"/>
        <v>https://exe.io/st?api=a480072bd98881bdfc23c75aa2f815ea2428344e&amp;url=https://www.teacherspayteachers.com/Product/Kindergarten-Math-Worksheet-Bundle-Addition-Subtraction-Place-Value-Shapes-3715906?st=c79d99316587943081977051b10c3cb8</v>
      </c>
    </row>
    <row r="60" spans="1:5" x14ac:dyDescent="0.25">
      <c r="A60" s="1" t="s">
        <v>2531</v>
      </c>
      <c r="B60" s="10"/>
      <c r="C60" s="10"/>
      <c r="E60" s="1" t="str">
        <f t="shared" si="0"/>
        <v>https://exe.io/st?api=a480072bd98881bdfc23c75aa2f815ea2428344e&amp;url=https://www.teacherspayteachers.com/Product/Arrays-Arrays-Arrays-Including-Multiplication-as-Repeated-Addition-Worksheets-1030359?st=c79d99316587943081977051b10c3cb8</v>
      </c>
    </row>
    <row r="61" spans="1:5" x14ac:dyDescent="0.25">
      <c r="A61" s="1" t="s">
        <v>2534</v>
      </c>
      <c r="B61" s="10"/>
      <c r="C61" s="10"/>
      <c r="E61" s="1" t="str">
        <f t="shared" si="0"/>
        <v>https://exe.io/st?api=a480072bd98881bdfc23c75aa2f815ea2428344e&amp;url=https://www.teacherspayteachers.com/Product/Spring-Math-and-Literacy-Packet-NO-PREP-Kindergarten-1128712?st=c79d99316587943081977051b10c3cb8</v>
      </c>
    </row>
    <row r="62" spans="1:5" x14ac:dyDescent="0.25">
      <c r="A62" s="1" t="s">
        <v>2537</v>
      </c>
      <c r="B62" s="10"/>
      <c r="C62" s="10"/>
      <c r="E62" s="1" t="str">
        <f t="shared" si="0"/>
        <v>https://exe.io/st?api=a480072bd98881bdfc23c75aa2f815ea2428344e&amp;url=https://www.teacherspayteachers.com/Product/Phonics-Reading-Comprehension-Passages-Phonics-Worksheets-With-Digital-Resources-1778030?st=c79d99316587943081977051b10c3cb8</v>
      </c>
    </row>
    <row r="63" spans="1:5" x14ac:dyDescent="0.25">
      <c r="A63" s="1" t="s">
        <v>2540</v>
      </c>
      <c r="B63" s="10"/>
      <c r="C63" s="10"/>
      <c r="E63" s="1" t="str">
        <f t="shared" si="0"/>
        <v>https://exe.io/st?api=a480072bd98881bdfc23c75aa2f815ea2428344e&amp;url=https://www.teacherspayteachers.com/Product/100th-Day-of-School-22-No-Prep-100th-Day-Activities-Crafts-2347126?st=c79d99316587943081977051b10c3cb8</v>
      </c>
    </row>
    <row r="64" spans="1:5" x14ac:dyDescent="0.25">
      <c r="A64" s="1" t="s">
        <v>2543</v>
      </c>
      <c r="B64" s="10"/>
      <c r="C64" s="10"/>
      <c r="E64" s="1" t="str">
        <f t="shared" si="0"/>
        <v>https://exe.io/st?api=a480072bd98881bdfc23c75aa2f815ea2428344e&amp;url=https://www.teacherspayteachers.com/Product/Decodable-Readers-Phonics-Books-HUGE-BUNDLE-Science-of-Reading-7129591?st=c79d99316587943081977051b10c3cb8</v>
      </c>
    </row>
    <row r="65" spans="1:5" x14ac:dyDescent="0.25">
      <c r="A65" s="1" t="s">
        <v>2546</v>
      </c>
      <c r="B65" s="10"/>
      <c r="C65" s="10"/>
      <c r="E65" s="1" t="str">
        <f t="shared" si="0"/>
        <v>https://exe.io/st?api=a480072bd98881bdfc23c75aa2f815ea2428344e&amp;url=https://www.teacherspayteachers.com/Product/Figurative-Language-Stories-Close-Reading-for-Common-Core-Grades-4-8-749661?st=c79d99316587943081977051b10c3cb8</v>
      </c>
    </row>
    <row r="66" spans="1:5" x14ac:dyDescent="0.25">
      <c r="A66" s="1" t="s">
        <v>2549</v>
      </c>
      <c r="B66" s="10"/>
      <c r="C66" s="10"/>
      <c r="E66" s="1" t="str">
        <f t="shared" si="0"/>
        <v>https://exe.io/st?api=a480072bd98881bdfc23c75aa2f815ea2428344e&amp;url=https://www.teacherspayteachers.com/Product/Greek-and-Latin-Root-Words-Prefixes-Suffixes-Interactive-Notebook-Vocabulary-2076811?st=c79d99316587943081977051b10c3cb8</v>
      </c>
    </row>
    <row r="67" spans="1:5" x14ac:dyDescent="0.25">
      <c r="A67" s="1" t="s">
        <v>2552</v>
      </c>
      <c r="B67" s="10"/>
      <c r="C67" s="10"/>
      <c r="E67" s="1" t="str">
        <f t="shared" si="0"/>
        <v>https://exe.io/st?api=a480072bd98881bdfc23c75aa2f815ea2428344e&amp;url=https://www.teacherspayteachers.com/Product/Phonics-Worksheet-Bundle-CVC-Long-Vowels-Digraphs-Blends-and-More-7034433?st=c79d99316587943081977051b10c3cb8</v>
      </c>
    </row>
    <row r="68" spans="1:5" x14ac:dyDescent="0.25">
      <c r="A68" s="1" t="s">
        <v>2555</v>
      </c>
      <c r="B68" s="10"/>
      <c r="C68" s="10"/>
      <c r="E68" s="1" t="str">
        <f t="shared" ref="E68:E98" si="1">$C$1&amp;""&amp;A68</f>
        <v>https://exe.io/st?api=a480072bd98881bdfc23c75aa2f815ea2428344e&amp;url=https://www.teacherspayteachers.com/Product/Spelling-Activities-and-Practice-Worksheets-Any-List-Spelling-Word-Practice-998948?st=c79d99316587943081977051b10c3cb8</v>
      </c>
    </row>
    <row r="69" spans="1:5" x14ac:dyDescent="0.25">
      <c r="A69" s="1" t="s">
        <v>2558</v>
      </c>
      <c r="B69" s="10"/>
      <c r="C69" s="10"/>
      <c r="E69" s="1" t="str">
        <f t="shared" si="1"/>
        <v>https://exe.io/st?api=a480072bd98881bdfc23c75aa2f815ea2428344e&amp;url=https://www.teacherspayteachers.com/Product/All-About-Me-Selfie-Includes-End-of-School-Reflection-Activity-1390047?st=c79d99316587943081977051b10c3cb8</v>
      </c>
    </row>
    <row r="70" spans="1:5" x14ac:dyDescent="0.25">
      <c r="A70" s="1" t="s">
        <v>2561</v>
      </c>
      <c r="B70" s="10"/>
      <c r="C70" s="10"/>
      <c r="E70" s="1" t="str">
        <f t="shared" si="1"/>
        <v>https://exe.io/st?api=a480072bd98881bdfc23c75aa2f815ea2428344e&amp;url=https://www.teacherspayteachers.com/Product/Fraction-Activities-Fractions-Unit-Printable-Worksheets-Lesson-Assessments-1016354?st=c79d99316587943081977051b10c3cb8</v>
      </c>
    </row>
    <row r="71" spans="1:5" x14ac:dyDescent="0.25">
      <c r="A71" s="1" t="s">
        <v>2564</v>
      </c>
      <c r="B71" s="10"/>
      <c r="C71" s="10"/>
      <c r="E71" s="1" t="str">
        <f t="shared" si="1"/>
        <v>https://exe.io/st?api=a480072bd98881bdfc23c75aa2f815ea2428344e&amp;url=https://www.teacherspayteachers.com/Product/Alphabet-Worksheet-Bundle-Letter-Work-and-Beginning-Sounds-4088611?st=c79d99316587943081977051b10c3cb8</v>
      </c>
    </row>
    <row r="72" spans="1:5" x14ac:dyDescent="0.25">
      <c r="A72" s="1" t="s">
        <v>2567</v>
      </c>
      <c r="B72" s="10"/>
      <c r="C72" s="10"/>
      <c r="E72" s="1" t="str">
        <f t="shared" si="1"/>
        <v>https://exe.io/st?api=a480072bd98881bdfc23c75aa2f815ea2428344e&amp;url=https://www.teacherspayteachers.com/Product/Area-and-Perimeter-Robot-Craft-628420?st=c79d99316587943081977051b10c3cb8</v>
      </c>
    </row>
    <row r="73" spans="1:5" x14ac:dyDescent="0.25">
      <c r="A73" s="1" t="s">
        <v>2570</v>
      </c>
      <c r="B73" s="10"/>
      <c r="C73" s="10"/>
      <c r="E73" s="1" t="str">
        <f t="shared" si="1"/>
        <v>https://exe.io/st?api=a480072bd98881bdfc23c75aa2f815ea2428344e&amp;url=https://www.teacherspayteachers.com/Product/Digraph-Worksheet-Packet-Ch-Sh-Th-Wh-Ph-4042663?st=c79d99316587943081977051b10c3cb8</v>
      </c>
    </row>
    <row r="74" spans="1:5" x14ac:dyDescent="0.25">
      <c r="A74" s="1" t="s">
        <v>2573</v>
      </c>
      <c r="B74" s="10"/>
      <c r="C74" s="10"/>
      <c r="E74" s="1" t="str">
        <f t="shared" si="1"/>
        <v>https://exe.io/st?api=a480072bd98881bdfc23c75aa2f815ea2428344e&amp;url=https://www.teacherspayteachers.com/Product/Telling-Time-NO-PREP-Packet-Math-1397276?st=c79d99316587943081977051b10c3cb8</v>
      </c>
    </row>
    <row r="75" spans="1:5" x14ac:dyDescent="0.25">
      <c r="A75" s="1" t="s">
        <v>2359</v>
      </c>
      <c r="B75" s="10"/>
      <c r="C75" s="10"/>
      <c r="E75" s="1" t="str">
        <f t="shared" si="1"/>
        <v>https://exe.io/st?api=a480072bd98881bdfc23c75aa2f815ea2428344e&amp;url=ProductGridCard-module__cardThumbnail--KnbAe href</v>
      </c>
    </row>
    <row r="76" spans="1:5" x14ac:dyDescent="0.25">
      <c r="A76" s="1" t="s">
        <v>2576</v>
      </c>
      <c r="B76" s="10"/>
      <c r="C76" s="10"/>
      <c r="E76" s="1" t="str">
        <f t="shared" si="1"/>
        <v>https://exe.io/st?api=a480072bd98881bdfc23c75aa2f815ea2428344e&amp;url=https://www.teacherspayteachers.com/Product/End-of-the-Year-Awards-EDITABLE-Printable-Digital-1248295?st=e26bc01cf67804c38fd503255e7cb915</v>
      </c>
    </row>
    <row r="77" spans="1:5" x14ac:dyDescent="0.25">
      <c r="A77" s="1" t="s">
        <v>2579</v>
      </c>
      <c r="B77" s="10"/>
      <c r="C77" s="10"/>
      <c r="E77" s="1" t="str">
        <f t="shared" si="1"/>
        <v>https://exe.io/st?api=a480072bd98881bdfc23c75aa2f815ea2428344e&amp;url=https://www.teacherspayteachers.com/Product/Happy-Mail-Classroom-Management-Parent-Communication-Positive-Notes-Home-7741727?st=e26bc01cf67804c38fd503255e7cb915</v>
      </c>
    </row>
    <row r="78" spans="1:5" x14ac:dyDescent="0.25">
      <c r="A78" s="1" t="s">
        <v>2582</v>
      </c>
      <c r="B78" s="10"/>
      <c r="C78" s="10"/>
      <c r="E78" s="1" t="str">
        <f t="shared" si="1"/>
        <v>https://exe.io/st?api=a480072bd98881bdfc23c75aa2f815ea2428344e&amp;url=https://www.teacherspayteachers.com/Product/Editable-Spelling-Activities-Practice-Sheets-Engaging-Word-Work-for-Any-List-5309158?st=e26bc01cf67804c38fd503255e7cb915</v>
      </c>
    </row>
    <row r="79" spans="1:5" x14ac:dyDescent="0.25">
      <c r="A79" s="1" t="s">
        <v>2585</v>
      </c>
      <c r="B79" s="10"/>
      <c r="C79" s="10"/>
      <c r="E79" s="1" t="str">
        <f t="shared" si="1"/>
        <v>https://exe.io/st?api=a480072bd98881bdfc23c75aa2f815ea2428344e&amp;url=https://www.teacherspayteachers.com/Product/Money-Worksheets-Games-Activities-HUGE-Unit-Identifying-Counting-Coins-2373308?st=e26bc01cf67804c38fd503255e7cb915</v>
      </c>
    </row>
    <row r="80" spans="1:5" x14ac:dyDescent="0.25">
      <c r="A80" s="1" t="s">
        <v>2588</v>
      </c>
      <c r="B80" s="10"/>
      <c r="C80" s="10"/>
      <c r="E80" s="1" t="str">
        <f t="shared" si="1"/>
        <v>https://exe.io/st?api=a480072bd98881bdfc23c75aa2f815ea2428344e&amp;url=https://www.teacherspayteachers.com/Product/Multiplication-Centers-Activities-and-Games-to-Practice-Math-Facts-1302461?st=e26bc01cf67804c38fd503255e7cb915</v>
      </c>
    </row>
    <row r="81" spans="1:5" x14ac:dyDescent="0.25">
      <c r="A81" s="1" t="s">
        <v>2591</v>
      </c>
      <c r="B81" s="10"/>
      <c r="C81" s="10"/>
      <c r="E81" s="1" t="str">
        <f t="shared" si="1"/>
        <v>https://exe.io/st?api=a480072bd98881bdfc23c75aa2f815ea2428344e&amp;url=https://www.teacherspayteachers.com/Product/Decodable-Passages-with-Comprehension-Questions-First-Grade-Phonics-Fluency-3507746?st=e26bc01cf67804c38fd503255e7cb915</v>
      </c>
    </row>
    <row r="82" spans="1:5" x14ac:dyDescent="0.25">
      <c r="A82" s="1" t="s">
        <v>2594</v>
      </c>
      <c r="B82" s="10"/>
      <c r="C82" s="10"/>
      <c r="E82" s="1" t="str">
        <f t="shared" si="1"/>
        <v>https://exe.io/st?api=a480072bd98881bdfc23c75aa2f815ea2428344e&amp;url=https://www.teacherspayteachers.com/Product/Editable-Classroom-Newsletter-Templates-Weekly-Monthly-Parent-Communication-2752710?st=e26bc01cf67804c38fd503255e7cb915</v>
      </c>
    </row>
    <row r="83" spans="1:5" x14ac:dyDescent="0.25">
      <c r="A83" s="1" t="s">
        <v>2597</v>
      </c>
      <c r="B83" s="10"/>
      <c r="C83" s="10"/>
      <c r="E83" s="1" t="str">
        <f t="shared" si="1"/>
        <v>https://exe.io/st?api=a480072bd98881bdfc23c75aa2f815ea2428344e&amp;url=https://www.teacherspayteachers.com/Product/Handwriting-Practice-Sheets-Jokes-Facts-Letter-Sentence-Writing-Morning-Work-7365614?st=e26bc01cf67804c38fd503255e7cb915</v>
      </c>
    </row>
    <row r="84" spans="1:5" x14ac:dyDescent="0.25">
      <c r="A84" s="1" t="s">
        <v>2600</v>
      </c>
      <c r="B84" s="10"/>
      <c r="C84" s="10"/>
      <c r="E84" s="1" t="str">
        <f t="shared" si="1"/>
        <v>https://exe.io/st?api=a480072bd98881bdfc23c75aa2f815ea2428344e&amp;url=https://www.teacherspayteachers.com/Product/Digital-Calendar-Morning-Meeting-Google-Slides-PowerPoint-5617892?st=e26bc01cf67804c38fd503255e7cb915</v>
      </c>
    </row>
    <row r="85" spans="1:5" x14ac:dyDescent="0.25">
      <c r="A85" s="1" t="s">
        <v>2603</v>
      </c>
      <c r="B85" s="10"/>
      <c r="C85" s="10"/>
      <c r="E85" s="1" t="str">
        <f t="shared" si="1"/>
        <v>https://exe.io/st?api=a480072bd98881bdfc23c75aa2f815ea2428344e&amp;url=https://www.teacherspayteachers.com/Product/Monsters-Lines-of-Symmetry-Drawing-Activity-Math-Art-Center-or-Early-Finisher-1221960?st=e26bc01cf67804c38fd503255e7cb915</v>
      </c>
    </row>
    <row r="86" spans="1:5" x14ac:dyDescent="0.25">
      <c r="A86" s="1" t="s">
        <v>2606</v>
      </c>
      <c r="B86" s="10"/>
      <c r="C86" s="10"/>
      <c r="E86" s="1" t="str">
        <f t="shared" si="1"/>
        <v>https://exe.io/st?api=a480072bd98881bdfc23c75aa2f815ea2428344e&amp;url=https://www.teacherspayteachers.com/Product/Sentence-Writing-Complete-Sentences-Sentence-Structure-Sentence-Building-2401310?st=e26bc01cf67804c38fd503255e7cb915</v>
      </c>
    </row>
    <row r="87" spans="1:5" x14ac:dyDescent="0.25">
      <c r="A87" s="1" t="s">
        <v>2609</v>
      </c>
      <c r="B87" s="10"/>
      <c r="C87" s="10"/>
      <c r="E87" s="1" t="str">
        <f t="shared" si="1"/>
        <v>https://exe.io/st?api=a480072bd98881bdfc23c75aa2f815ea2428344e&amp;url=https://www.teacherspayteachers.com/Product/2nd-Grade-Math-Spiral-Review-Morning-Work-Math-Homework-or-Warm-Ups-BUNDLE-1261539?st=e26bc01cf67804c38fd503255e7cb915</v>
      </c>
    </row>
    <row r="88" spans="1:5" x14ac:dyDescent="0.25">
      <c r="A88" s="1" t="s">
        <v>2612</v>
      </c>
      <c r="B88" s="10"/>
      <c r="C88" s="10"/>
      <c r="E88" s="1" t="str">
        <f t="shared" si="1"/>
        <v>https://exe.io/st?api=a480072bd98881bdfc23c75aa2f815ea2428344e&amp;url=https://www.teacherspayteachers.com/Product/Me-on-the-Map-Project-Activities-Flip-Book-Circle-Craft-Map-Skills-and-Globes-154228?st=e26bc01cf67804c38fd503255e7cb915</v>
      </c>
    </row>
    <row r="89" spans="1:5" x14ac:dyDescent="0.25">
      <c r="A89" s="1" t="s">
        <v>2615</v>
      </c>
      <c r="B89" s="10"/>
      <c r="C89" s="10"/>
      <c r="E89" s="1" t="str">
        <f t="shared" si="1"/>
        <v>https://exe.io/st?api=a480072bd98881bdfc23c75aa2f815ea2428344e&amp;url=https://www.teacherspayteachers.com/Product/Calm-Down-Techniques-Calm-Down-Corner-Books-Posters-and-Supports-2734315?st=e26bc01cf67804c38fd503255e7cb915</v>
      </c>
    </row>
    <row r="90" spans="1:5" x14ac:dyDescent="0.25">
      <c r="A90" s="1" t="s">
        <v>2618</v>
      </c>
      <c r="B90" s="10"/>
      <c r="C90" s="10"/>
      <c r="E90" s="1" t="str">
        <f t="shared" si="1"/>
        <v>https://exe.io/st?api=a480072bd98881bdfc23c75aa2f815ea2428344e&amp;url=https://www.teacherspayteachers.com/Product/2nd-Grade-Morning-Work-Bell-Ringers-Language-Arts-Math-Daily-Review-BUNDLE-256434?st=e26bc01cf67804c38fd503255e7cb915</v>
      </c>
    </row>
    <row r="91" spans="1:5" x14ac:dyDescent="0.25">
      <c r="A91" s="1" t="s">
        <v>2621</v>
      </c>
      <c r="B91" s="10"/>
      <c r="C91" s="10"/>
      <c r="E91" s="1" t="str">
        <f t="shared" si="1"/>
        <v>https://exe.io/st?api=a480072bd98881bdfc23c75aa2f815ea2428344e&amp;url=https://www.teacherspayteachers.com/Product/Book-Tasting-Introduce-Your-Students-to-New-Books-and-Genres-2741616?st=e26bc01cf67804c38fd503255e7cb915</v>
      </c>
    </row>
    <row r="92" spans="1:5" x14ac:dyDescent="0.25">
      <c r="A92" s="1" t="s">
        <v>2624</v>
      </c>
      <c r="B92" s="10"/>
      <c r="C92" s="10"/>
      <c r="E92" s="1" t="str">
        <f t="shared" si="1"/>
        <v>https://exe.io/st?api=a480072bd98881bdfc23c75aa2f815ea2428344e&amp;url=https://www.teacherspayteachers.com/Product/Summer-Packet-NO-PREP-Review-2nd-Grade-1859445?st=e26bc01cf67804c38fd503255e7cb915</v>
      </c>
    </row>
    <row r="93" spans="1:5" x14ac:dyDescent="0.25">
      <c r="A93" s="10"/>
      <c r="B93" s="10"/>
      <c r="C93" s="10"/>
      <c r="E93" s="1" t="str">
        <f t="shared" si="1"/>
        <v>https://exe.io/st?api=a480072bd98881bdfc23c75aa2f815ea2428344e&amp;url=</v>
      </c>
    </row>
    <row r="94" spans="1:5" x14ac:dyDescent="0.25">
      <c r="A94" s="10"/>
      <c r="B94" s="10"/>
      <c r="C94" s="10"/>
      <c r="E94" s="1" t="str">
        <f t="shared" si="1"/>
        <v>https://exe.io/st?api=a480072bd98881bdfc23c75aa2f815ea2428344e&amp;url=</v>
      </c>
    </row>
    <row r="95" spans="1:5" x14ac:dyDescent="0.25">
      <c r="A95" s="10"/>
      <c r="B95" s="10"/>
      <c r="C95" s="10"/>
      <c r="E95" s="1" t="str">
        <f t="shared" si="1"/>
        <v>https://exe.io/st?api=a480072bd98881bdfc23c75aa2f815ea2428344e&amp;url=</v>
      </c>
    </row>
    <row r="96" spans="1:5" x14ac:dyDescent="0.25">
      <c r="A96" s="10"/>
      <c r="B96" s="10"/>
      <c r="C96" s="10"/>
      <c r="E96" s="1" t="str">
        <f t="shared" si="1"/>
        <v>https://exe.io/st?api=a480072bd98881bdfc23c75aa2f815ea2428344e&amp;url=</v>
      </c>
    </row>
    <row r="97" spans="3:5" x14ac:dyDescent="0.25">
      <c r="C97" s="10"/>
      <c r="E97" s="1" t="str">
        <f t="shared" si="1"/>
        <v>https://exe.io/st?api=a480072bd98881bdfc23c75aa2f815ea2428344e&amp;url=</v>
      </c>
    </row>
    <row r="98" spans="3:5" x14ac:dyDescent="0.25">
      <c r="C98" s="10"/>
      <c r="E98" s="1" t="str">
        <f t="shared" si="1"/>
        <v>https://exe.io/st?api=a480072bd98881bdfc23c75aa2f815ea2428344e&amp;url=</v>
      </c>
    </row>
  </sheetData>
  <sortState ref="A2:C129">
    <sortCondition ref="C2:C129"/>
  </sortState>
  <hyperlinks>
    <hyperlink ref="C1" r:id="rId1"/>
    <hyperlink ref="A3" r:id="rId2" display="https://exe.io/st?api= a480072bd98881bdfc23c75aa2f815ea2428344e &amp;url=https://www.slideshare.net/marketingartwork/ai-trends-in-creative-operations-2024-by-artwork-flowpdf"/>
  </hyperlinks>
  <pageMargins left="0.7" right="0.7" top="0.75" bottom="0.75" header="0.3" footer="0.3"/>
  <pageSetup paperSize="9"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6"/>
  <dimension ref="A1:DA147"/>
  <sheetViews>
    <sheetView topLeftCell="A22" workbookViewId="0">
      <selection activeCell="A24" sqref="A24:A42"/>
    </sheetView>
  </sheetViews>
  <sheetFormatPr defaultRowHeight="15" x14ac:dyDescent="0.25"/>
  <cols>
    <col min="1" max="1" width="20.42578125" style="13" customWidth="1"/>
    <col min="2" max="2" width="27.42578125" style="13" customWidth="1"/>
    <col min="3" max="100" width="9.140625" style="13"/>
    <col min="101" max="101" width="65" style="13" customWidth="1"/>
    <col min="102" max="16384" width="9.140625" style="13"/>
  </cols>
  <sheetData>
    <row r="1" spans="1:105" x14ac:dyDescent="0.25">
      <c r="A1" s="13" t="s">
        <v>2083</v>
      </c>
      <c r="B1" s="13" t="s">
        <v>2084</v>
      </c>
      <c r="C1" s="13" t="s">
        <v>2085</v>
      </c>
      <c r="D1" s="13" t="e">
        <f>C1&amp;" "&amp;#REF!&amp;" "&amp;#REF!</f>
        <v>#REF!</v>
      </c>
    </row>
    <row r="2" spans="1:105" x14ac:dyDescent="0.25">
      <c r="A2" s="13" t="s">
        <v>2086</v>
      </c>
      <c r="B2" s="13" t="s">
        <v>2087</v>
      </c>
      <c r="C2" s="13" t="s">
        <v>2088</v>
      </c>
      <c r="D2" s="13" t="e">
        <f>C2&amp;" "&amp;#REF!&amp;" "&amp;#REF!</f>
        <v>#REF!</v>
      </c>
    </row>
    <row r="3" spans="1:105" x14ac:dyDescent="0.25">
      <c r="A3" s="13" t="s">
        <v>2089</v>
      </c>
      <c r="B3" s="13" t="s">
        <v>2090</v>
      </c>
      <c r="C3" s="13" t="s">
        <v>2091</v>
      </c>
      <c r="D3" s="13" t="e">
        <f>C3&amp;" "&amp;#REF!&amp;" "&amp;#REF!</f>
        <v>#REF!</v>
      </c>
    </row>
    <row r="4" spans="1:105" x14ac:dyDescent="0.25">
      <c r="A4" s="13" t="s">
        <v>2092</v>
      </c>
      <c r="B4" s="13" t="s">
        <v>2093</v>
      </c>
      <c r="C4" s="13" t="s">
        <v>2094</v>
      </c>
      <c r="D4" s="13" t="e">
        <f>C4&amp;" "&amp;#REF!&amp;" "&amp;#REF!</f>
        <v>#REF!</v>
      </c>
    </row>
    <row r="5" spans="1:105" x14ac:dyDescent="0.25">
      <c r="A5" s="13" t="s">
        <v>2095</v>
      </c>
      <c r="B5" s="13" t="s">
        <v>2096</v>
      </c>
      <c r="C5" s="13" t="s">
        <v>2097</v>
      </c>
      <c r="D5" s="13" t="e">
        <f>C5&amp;" "&amp;#REF!&amp;" "&amp;#REF!</f>
        <v>#REF!</v>
      </c>
    </row>
    <row r="6" spans="1:105" x14ac:dyDescent="0.25">
      <c r="A6" s="13" t="s">
        <v>2098</v>
      </c>
      <c r="B6" s="13" t="s">
        <v>2099</v>
      </c>
      <c r="C6" s="13" t="s">
        <v>2100</v>
      </c>
      <c r="D6" s="13" t="e">
        <f>C6&amp;" "&amp;#REF!&amp;" "&amp;#REF!</f>
        <v>#REF!</v>
      </c>
      <c r="CZ6" s="14"/>
      <c r="DA6" s="14"/>
    </row>
    <row r="7" spans="1:105" x14ac:dyDescent="0.25">
      <c r="A7" s="13" t="s">
        <v>2101</v>
      </c>
      <c r="B7" s="13" t="s">
        <v>2102</v>
      </c>
      <c r="C7" s="13" t="s">
        <v>2103</v>
      </c>
      <c r="D7" s="13" t="e">
        <f>C7&amp;" "&amp;#REF!&amp;" "&amp;#REF!</f>
        <v>#REF!</v>
      </c>
    </row>
    <row r="8" spans="1:105" x14ac:dyDescent="0.25">
      <c r="A8" s="13" t="s">
        <v>2104</v>
      </c>
      <c r="B8" s="13" t="s">
        <v>2105</v>
      </c>
      <c r="C8" s="13" t="s">
        <v>2106</v>
      </c>
      <c r="D8" s="13" t="e">
        <f>C8&amp;" "&amp;#REF!&amp;" "&amp;#REF!</f>
        <v>#REF!</v>
      </c>
    </row>
    <row r="9" spans="1:105" x14ac:dyDescent="0.25">
      <c r="A9" s="13" t="s">
        <v>2107</v>
      </c>
      <c r="B9" s="13" t="s">
        <v>2108</v>
      </c>
      <c r="C9" s="13" t="s">
        <v>2109</v>
      </c>
      <c r="D9" s="13" t="e">
        <f>C9&amp;" "&amp;#REF!&amp;" "&amp;#REF!</f>
        <v>#REF!</v>
      </c>
    </row>
    <row r="10" spans="1:105" x14ac:dyDescent="0.25">
      <c r="A10" s="13" t="s">
        <v>2110</v>
      </c>
      <c r="B10" s="13" t="s">
        <v>2111</v>
      </c>
      <c r="C10" s="13" t="s">
        <v>2112</v>
      </c>
      <c r="D10" s="13" t="e">
        <f>C10&amp;" "&amp;#REF!&amp;" "&amp;#REF!</f>
        <v>#REF!</v>
      </c>
    </row>
    <row r="11" spans="1:105" x14ac:dyDescent="0.25">
      <c r="A11" s="13" t="s">
        <v>2113</v>
      </c>
      <c r="B11" s="13" t="s">
        <v>2114</v>
      </c>
      <c r="C11" s="13" t="s">
        <v>2115</v>
      </c>
      <c r="D11" s="13" t="e">
        <f>C11&amp;" "&amp;#REF!&amp;" "&amp;#REF!</f>
        <v>#REF!</v>
      </c>
    </row>
    <row r="12" spans="1:105" x14ac:dyDescent="0.25">
      <c r="A12" s="13" t="s">
        <v>2116</v>
      </c>
      <c r="B12" s="13" t="s">
        <v>2117</v>
      </c>
      <c r="C12" s="13" t="s">
        <v>2118</v>
      </c>
      <c r="D12" s="13" t="e">
        <f>C12&amp;" "&amp;#REF!&amp;" "&amp;#REF!</f>
        <v>#REF!</v>
      </c>
    </row>
    <row r="13" spans="1:105" x14ac:dyDescent="0.25">
      <c r="A13" s="13" t="s">
        <v>2119</v>
      </c>
      <c r="B13" s="13" t="s">
        <v>2120</v>
      </c>
      <c r="C13" s="13" t="s">
        <v>2121</v>
      </c>
      <c r="D13" s="13" t="e">
        <f>C13&amp;" "&amp;#REF!&amp;" "&amp;#REF!</f>
        <v>#REF!</v>
      </c>
    </row>
    <row r="14" spans="1:105" x14ac:dyDescent="0.25">
      <c r="A14" s="13" t="s">
        <v>2122</v>
      </c>
      <c r="B14" s="13" t="s">
        <v>2123</v>
      </c>
      <c r="C14" s="13" t="s">
        <v>2124</v>
      </c>
      <c r="D14" s="13" t="e">
        <f>C14&amp;" "&amp;#REF!&amp;" "&amp;#REF!</f>
        <v>#REF!</v>
      </c>
      <c r="CZ14" s="15"/>
    </row>
    <row r="15" spans="1:105" x14ac:dyDescent="0.25">
      <c r="A15" s="13" t="s">
        <v>2125</v>
      </c>
      <c r="B15" s="13" t="s">
        <v>2126</v>
      </c>
      <c r="C15" s="13" t="s">
        <v>2127</v>
      </c>
      <c r="D15" s="13" t="e">
        <f>C15&amp;" "&amp;#REF!&amp;" "&amp;#REF!</f>
        <v>#REF!</v>
      </c>
    </row>
    <row r="16" spans="1:105" x14ac:dyDescent="0.25">
      <c r="A16" s="13" t="s">
        <v>2128</v>
      </c>
      <c r="B16" s="13" t="s">
        <v>2129</v>
      </c>
      <c r="C16" s="13" t="s">
        <v>2130</v>
      </c>
      <c r="D16" s="13" t="e">
        <f>C16&amp;" "&amp;#REF!&amp;" "&amp;#REF!</f>
        <v>#REF!</v>
      </c>
    </row>
    <row r="17" spans="1:105" x14ac:dyDescent="0.25">
      <c r="A17" s="13" t="s">
        <v>2131</v>
      </c>
      <c r="B17" s="13" t="s">
        <v>2132</v>
      </c>
      <c r="C17" s="13" t="s">
        <v>2133</v>
      </c>
      <c r="D17" s="13" t="e">
        <f>C17&amp;" "&amp;#REF!&amp;" "&amp;#REF!</f>
        <v>#REF!</v>
      </c>
    </row>
    <row r="18" spans="1:105" x14ac:dyDescent="0.25">
      <c r="A18" s="13" t="s">
        <v>2134</v>
      </c>
      <c r="B18" s="13" t="s">
        <v>2135</v>
      </c>
      <c r="C18" s="13" t="s">
        <v>2136</v>
      </c>
      <c r="D18" s="13" t="e">
        <f>C18&amp;" "&amp;#REF!&amp;" "&amp;#REF!</f>
        <v>#REF!</v>
      </c>
      <c r="CZ18" s="15"/>
    </row>
    <row r="19" spans="1:105" x14ac:dyDescent="0.25">
      <c r="A19" s="13" t="s">
        <v>2137</v>
      </c>
      <c r="B19" s="13" t="s">
        <v>2138</v>
      </c>
      <c r="C19" s="13" t="s">
        <v>2139</v>
      </c>
      <c r="D19" s="13" t="e">
        <f>C19&amp;" "&amp;#REF!&amp;" "&amp;#REF!</f>
        <v>#REF!</v>
      </c>
    </row>
    <row r="20" spans="1:105" x14ac:dyDescent="0.25">
      <c r="A20" s="13" t="s">
        <v>2140</v>
      </c>
      <c r="B20" s="13" t="s">
        <v>2138</v>
      </c>
      <c r="C20" s="13" t="s">
        <v>2141</v>
      </c>
      <c r="D20" s="13" t="e">
        <f>C20&amp;" "&amp;#REF!&amp;" "&amp;#REF!</f>
        <v>#REF!</v>
      </c>
    </row>
    <row r="22" spans="1:105" x14ac:dyDescent="0.25">
      <c r="CZ22" s="15"/>
    </row>
    <row r="23" spans="1:105" x14ac:dyDescent="0.25">
      <c r="A23" s="13" t="s">
        <v>1963</v>
      </c>
      <c r="B23" s="13" t="s">
        <v>1964</v>
      </c>
      <c r="C23" s="13" t="s">
        <v>1962</v>
      </c>
      <c r="D23" s="13" t="s">
        <v>1965</v>
      </c>
      <c r="E23" s="13" t="s">
        <v>1966</v>
      </c>
    </row>
    <row r="24" spans="1:105" x14ac:dyDescent="0.25">
      <c r="A24" s="13" t="s">
        <v>2163</v>
      </c>
      <c r="B24" s="13" t="s">
        <v>2164</v>
      </c>
      <c r="C24" s="13" t="s">
        <v>2165</v>
      </c>
      <c r="D24" s="13" t="s">
        <v>2166</v>
      </c>
      <c r="E24" s="13" t="s">
        <v>2167</v>
      </c>
      <c r="F24" s="13" t="str">
        <f>C24&amp;" "&amp;D24&amp;" "&amp;E24</f>
        <v>Treatment of pharyngitis Pharyngitis is an inflammation of the pharyngeal mucosa, acute or chronic. Among the main symptoms are pain, discomfort in the throat, and sore throat.</v>
      </c>
    </row>
    <row r="25" spans="1:105" x14ac:dyDescent="0.25">
      <c r="A25" s="13" t="s">
        <v>2168</v>
      </c>
      <c r="B25" s="13" t="s">
        <v>2169</v>
      </c>
      <c r="C25" s="13" t="s">
        <v>2170</v>
      </c>
      <c r="D25" s="13" t="s">
        <v>2171</v>
      </c>
      <c r="E25" s="13" t="s">
        <v>2172</v>
      </c>
      <c r="F25" s="13" t="str">
        <f t="shared" ref="F25:F42" si="0">C25&amp;" "&amp;D25&amp;" "&amp;E25</f>
        <v>Ambroxol Renewal: indications for use of the drug Breathing is a function of a living organism that maintains the constancy of its internal environment, ensuring normal metabolism and energy balance. Acute respiratory diseases require immediate treatment, otherwise...</v>
      </c>
      <c r="CZ25" s="15"/>
    </row>
    <row r="26" spans="1:105" x14ac:dyDescent="0.25">
      <c r="A26" s="13" t="s">
        <v>2173</v>
      </c>
      <c r="B26" s="13" t="s">
        <v>2174</v>
      </c>
      <c r="C26" s="13" t="s">
        <v>2175</v>
      </c>
      <c r="D26" s="13" t="s">
        <v>2176</v>
      </c>
      <c r="F26" s="13" t="str">
        <f t="shared" si="0"/>
        <v xml:space="preserve">Rehabilitation after coronavirus: how does it happen? Coronavirus infection can have a severe and long-term course, and after recovery, it can remind itself of the so-called “post-Covid syndrome”, so many patients are in the process of recovery... </v>
      </c>
    </row>
    <row r="27" spans="1:105" x14ac:dyDescent="0.25">
      <c r="A27" s="13" t="s">
        <v>2177</v>
      </c>
      <c r="B27" s="13" t="s">
        <v>2178</v>
      </c>
      <c r="C27" s="13" t="s">
        <v>2179</v>
      </c>
      <c r="D27" s="13" t="s">
        <v>2180</v>
      </c>
      <c r="E27" s="13" t="s">
        <v>2181</v>
      </c>
      <c r="F27" s="13" t="str">
        <f t="shared" si="0"/>
        <v>Ventilator Mechanical ventilators are mandatory medical equipment for any intensive care unit. It is necessary for forced breathing when the patient cannot breathe on his own....</v>
      </c>
    </row>
    <row r="28" spans="1:105" x14ac:dyDescent="0.25">
      <c r="A28" s="13" t="s">
        <v>2182</v>
      </c>
      <c r="B28" s="13" t="s">
        <v>2183</v>
      </c>
      <c r="C28" s="13" t="s">
        <v>2184</v>
      </c>
      <c r="D28" s="13" t="s">
        <v>2185</v>
      </c>
      <c r="E28" s="13" t="s">
        <v>2186</v>
      </c>
      <c r="F28" s="13" t="str">
        <f t="shared" si="0"/>
        <v>Pleural puncture: what is this procedure and how is it performed? Pleural puncture or thoracentesis is a minimally invasive procedure. The procedure involves inserting a needle or special instrument into the pleural cavity using a puncture of the chest...</v>
      </c>
    </row>
    <row r="29" spans="1:105" x14ac:dyDescent="0.25">
      <c r="A29" s="13" t="s">
        <v>2187</v>
      </c>
      <c r="B29" s="13" t="s">
        <v>2188</v>
      </c>
      <c r="C29" s="13" t="s">
        <v>2189</v>
      </c>
      <c r="D29" s="13" t="s">
        <v>2190</v>
      </c>
      <c r="E29" s="13" t="s">
        <v>2191</v>
      </c>
      <c r="F29" s="13" t="str">
        <f t="shared" si="0"/>
        <v>Impaired sense of smell: possible causes Some of us may not realize the correlation between our sense of smell and taste. The more important fact to remember is that they can change...</v>
      </c>
    </row>
    <row r="30" spans="1:105" x14ac:dyDescent="0.25">
      <c r="A30" s="13" t="s">
        <v>2192</v>
      </c>
      <c r="B30" s="13" t="s">
        <v>2193</v>
      </c>
      <c r="C30" s="13" t="s">
        <v>2194</v>
      </c>
      <c r="D30" s="13" t="s">
        <v>2195</v>
      </c>
      <c r="E30" s="13" t="s">
        <v>2196</v>
      </c>
      <c r="F30" s="13" t="str">
        <f t="shared" si="0"/>
        <v>Transportation services for bedridden patients Are you immobile for a long time after a serious illness, injury or surgery? Are you dependent on a crutch or wheelchair?</v>
      </c>
      <c r="DA30" s="14"/>
    </row>
    <row r="31" spans="1:105" x14ac:dyDescent="0.25">
      <c r="A31" s="13" t="s">
        <v>2197</v>
      </c>
      <c r="B31" s="13" t="s">
        <v>2198</v>
      </c>
      <c r="C31" s="13" t="s">
        <v>2199</v>
      </c>
      <c r="D31" s="13" t="s">
        <v>2200</v>
      </c>
      <c r="E31" s="13" t="s">
        <v>2201</v>
      </c>
      <c r="F31" s="13" t="str">
        <f t="shared" si="0"/>
        <v>Cough: how to choose a cough remedy on Ozone? Coughing is a natural reaction of the body that occurs when foreign substances or dust enter the respiratory tract. It can also be caused by tumors...</v>
      </c>
    </row>
    <row r="32" spans="1:105" x14ac:dyDescent="0.25">
      <c r="A32" s="13" t="s">
        <v>2202</v>
      </c>
      <c r="B32" s="13" t="s">
        <v>2138</v>
      </c>
      <c r="C32" s="13" t="s">
        <v>2203</v>
      </c>
      <c r="D32" s="13" t="s">
        <v>2204</v>
      </c>
      <c r="E32" s="13" t="s">
        <v>2205</v>
      </c>
      <c r="F32" s="13" t="str">
        <f t="shared" si="0"/>
        <v>Treatment of pneumonia with folk remedies Pneumonia is a rather serious disease that cannot be left without special treatment. Basic treatment should always be prescribed only by a doctor.</v>
      </c>
    </row>
    <row r="33" spans="1:105" x14ac:dyDescent="0.25">
      <c r="A33" s="13" t="s">
        <v>2206</v>
      </c>
      <c r="B33" s="13" t="s">
        <v>2207</v>
      </c>
      <c r="C33" s="13" t="s">
        <v>2208</v>
      </c>
      <c r="D33" s="13" t="s">
        <v>2209</v>
      </c>
      <c r="F33" s="13" t="str">
        <f t="shared" si="0"/>
        <v xml:space="preserve">Pulmonary silicosis - treatment with folk remedies Pulmonary silicosis is an occupational disease that develops as a result of prolonged inhalation of dust from quartzite, granite, sandstone, etc. Symptoms of pulmonary silicosis: rare dry cough, pain in the area... </v>
      </c>
    </row>
    <row r="34" spans="1:105" x14ac:dyDescent="0.25">
      <c r="A34" s="13" t="s">
        <v>2210</v>
      </c>
      <c r="B34" s="13" t="s">
        <v>2211</v>
      </c>
      <c r="C34" s="13" t="s">
        <v>2212</v>
      </c>
      <c r="D34" s="13" t="s">
        <v>2213</v>
      </c>
      <c r="E34" s="13" t="s">
        <v>2214</v>
      </c>
      <c r="F34" s="13" t="str">
        <f t="shared" si="0"/>
        <v>Traditional treatment of bronchial asthma for all ages Bronchial asthma is a chronic disease in which attacks of breathlessness occur periodically. This is a rather complex disease that is difficult to treat.</v>
      </c>
    </row>
    <row r="35" spans="1:105" x14ac:dyDescent="0.25">
      <c r="A35" s="13" t="s">
        <v>2215</v>
      </c>
      <c r="B35" s="13" t="s">
        <v>2216</v>
      </c>
      <c r="C35" s="13" t="s">
        <v>2217</v>
      </c>
      <c r="D35" s="13" t="s">
        <v>2218</v>
      </c>
      <c r="E35" s="13" t="s">
        <v>2219</v>
      </c>
      <c r="F35" s="13" t="str">
        <f t="shared" si="0"/>
        <v>Therapeutic nutrition for Pneumonia (diet) During the treatment of pneumonia, a high-calorie diet with a high content of free fluid is necessary. It is recommended to eat little and often during pneumonia.</v>
      </c>
    </row>
    <row r="36" spans="1:105" x14ac:dyDescent="0.25">
      <c r="A36" s="13" t="s">
        <v>2220</v>
      </c>
      <c r="B36" s="13" t="s">
        <v>2221</v>
      </c>
      <c r="C36" s="13" t="s">
        <v>2222</v>
      </c>
      <c r="D36" s="13" t="s">
        <v>2223</v>
      </c>
      <c r="E36" s="13" t="s">
        <v>2224</v>
      </c>
      <c r="F36" s="13" t="str">
        <f>C36&amp;" "&amp;D36&amp;" "&amp;E36</f>
        <v>Treatment of lung abscess at home Abscess is the medical name for boils or ulcers. Most often, an abscess occurs as a result of microflora invasion.</v>
      </c>
    </row>
    <row r="37" spans="1:105" x14ac:dyDescent="0.25">
      <c r="A37" s="13" t="s">
        <v>2225</v>
      </c>
      <c r="B37" s="13" t="s">
        <v>2138</v>
      </c>
      <c r="C37" s="13" t="s">
        <v>2226</v>
      </c>
      <c r="D37" s="13" t="s">
        <v>2227</v>
      </c>
      <c r="E37" s="13" t="s">
        <v>2228</v>
      </c>
      <c r="F37" s="13" t="str">
        <f t="shared" si="0"/>
        <v>Treating pneumonia at home Pneumonia is a disease of the lungs. It can occur as an independent disease or as a complication.</v>
      </c>
    </row>
    <row r="38" spans="1:105" x14ac:dyDescent="0.25">
      <c r="A38" s="13" t="s">
        <v>2229</v>
      </c>
      <c r="B38" s="13" t="s">
        <v>2138</v>
      </c>
      <c r="C38" s="13" t="s">
        <v>2230</v>
      </c>
      <c r="D38" s="13" t="s">
        <v>2231</v>
      </c>
      <c r="E38" s="13" t="s">
        <v>2232</v>
      </c>
      <c r="F38" s="13" t="str">
        <f t="shared" si="0"/>
        <v>Pleurisy - symptoms and alternative treatment Pleurisy is a disease in which the pleura becomes inflamed. Most often it appears as a complication of another disease (for example: heart attack, gangrene, pneumonia, etc.).</v>
      </c>
    </row>
    <row r="39" spans="1:105" x14ac:dyDescent="0.25">
      <c r="A39" s="13" t="s">
        <v>2233</v>
      </c>
      <c r="B39" s="13" t="s">
        <v>2234</v>
      </c>
      <c r="C39" s="13" t="s">
        <v>2235</v>
      </c>
      <c r="D39" s="13" t="s">
        <v>2236</v>
      </c>
      <c r="F39" s="13" t="str">
        <f t="shared" si="0"/>
        <v xml:space="preserve">Cough - treatment for everyone If you or your child are bothered by a cough, the folk remedies discussed below will help cure it, which can be used at any time convenient for you... </v>
      </c>
    </row>
    <row r="40" spans="1:105" x14ac:dyDescent="0.25">
      <c r="A40" s="13" t="s">
        <v>2237</v>
      </c>
      <c r="B40" s="13" t="s">
        <v>2138</v>
      </c>
      <c r="C40" s="13" t="s">
        <v>2238</v>
      </c>
      <c r="D40" s="13" t="s">
        <v>2239</v>
      </c>
      <c r="E40" s="13" t="s">
        <v>2240</v>
      </c>
      <c r="F40" s="13" t="str">
        <f t="shared" si="0"/>
        <v>Universal treatment of bronchitis and painful joints In folk medicine, there are often universal remedies that can treat several diseases at once. An example of this is compresses made from garlic and butter.</v>
      </c>
    </row>
    <row r="41" spans="1:105" x14ac:dyDescent="0.25">
      <c r="A41" s="13" t="s">
        <v>2241</v>
      </c>
      <c r="B41" s="13" t="s">
        <v>2242</v>
      </c>
      <c r="C41" s="13" t="s">
        <v>2243</v>
      </c>
      <c r="D41" s="13" t="s">
        <v>2244</v>
      </c>
      <c r="E41" s="13" t="s">
        <v>2245</v>
      </c>
      <c r="F41" s="13" t="str">
        <f t="shared" si="0"/>
        <v>Bronchitis - treatment with folk remedies For bronchitis, the best traditional treatment is all kinds of warming and therapeutic compresses. Therefore, we offer you folk remedies for the treatment of bronchitis.</v>
      </c>
    </row>
    <row r="42" spans="1:105" x14ac:dyDescent="0.25">
      <c r="A42" s="13" t="s">
        <v>2246</v>
      </c>
      <c r="B42" s="13" t="s">
        <v>2138</v>
      </c>
      <c r="C42" s="13" t="s">
        <v>2247</v>
      </c>
      <c r="D42" s="13" t="s">
        <v>2248</v>
      </c>
      <c r="E42" s="13" t="s">
        <v>2249</v>
      </c>
      <c r="F42" s="13" t="str">
        <f t="shared" si="0"/>
        <v>Treatment of tuberculosis with folk remedies We offer you methods of treating tuberculosis with folk remedies at home. Contents: 1. Aloe 2. Honey 3. Birch leaves 4. Black radish 5. Propolis Aloe Take a champagne bottle, crumble aloe into it, add...</v>
      </c>
    </row>
    <row r="45" spans="1:105" x14ac:dyDescent="0.25">
      <c r="CY45" s="15"/>
      <c r="CZ45" s="15"/>
      <c r="DA45" s="15"/>
    </row>
    <row r="48" spans="1:105" x14ac:dyDescent="0.25">
      <c r="CY48" s="15"/>
      <c r="CZ48" s="15"/>
      <c r="DA48" s="15"/>
    </row>
    <row r="51" spans="103:105" x14ac:dyDescent="0.25">
      <c r="CY51" s="15"/>
      <c r="CZ51" s="15"/>
      <c r="DA51" s="15"/>
    </row>
    <row r="54" spans="103:105" x14ac:dyDescent="0.25">
      <c r="CY54" s="15"/>
      <c r="CZ54" s="15"/>
      <c r="DA54" s="15"/>
    </row>
    <row r="77" spans="104:105" x14ac:dyDescent="0.25">
      <c r="CZ77" s="15"/>
      <c r="DA77" s="15"/>
    </row>
    <row r="84" spans="104:105" x14ac:dyDescent="0.25">
      <c r="CZ84" s="15"/>
      <c r="DA84" s="15"/>
    </row>
    <row r="92" spans="104:105" x14ac:dyDescent="0.25">
      <c r="CZ92" s="15"/>
    </row>
    <row r="105" spans="104:104" x14ac:dyDescent="0.25">
      <c r="CZ105" s="15"/>
    </row>
    <row r="112" spans="104:104" x14ac:dyDescent="0.25">
      <c r="CZ112" s="15"/>
    </row>
    <row r="122" spans="104:105" x14ac:dyDescent="0.25">
      <c r="CZ122" s="14"/>
      <c r="DA122" s="14"/>
    </row>
    <row r="127" spans="104:105" x14ac:dyDescent="0.25">
      <c r="CZ127" s="15"/>
    </row>
    <row r="131" spans="104:104" x14ac:dyDescent="0.25">
      <c r="CZ131" s="15"/>
    </row>
    <row r="135" spans="104:104" x14ac:dyDescent="0.25">
      <c r="CZ135" s="15"/>
    </row>
    <row r="139" spans="104:104" x14ac:dyDescent="0.25">
      <c r="CZ139" s="15"/>
    </row>
    <row r="142" spans="104:104" x14ac:dyDescent="0.25">
      <c r="CZ142" s="15"/>
    </row>
    <row r="147" spans="105:105" x14ac:dyDescent="0.25">
      <c r="DA147"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3"/>
  <sheetViews>
    <sheetView workbookViewId="0">
      <selection activeCell="L12" sqref="L12"/>
    </sheetView>
  </sheetViews>
  <sheetFormatPr defaultRowHeight="15" x14ac:dyDescent="0.25"/>
  <sheetData>
    <row r="1" spans="1:10" x14ac:dyDescent="0.25">
      <c r="C1">
        <v>1</v>
      </c>
      <c r="E1">
        <v>3</v>
      </c>
      <c r="G1">
        <v>2</v>
      </c>
    </row>
    <row r="2" spans="1:10" x14ac:dyDescent="0.25">
      <c r="A2">
        <v>1</v>
      </c>
      <c r="B2" t="s">
        <v>1867</v>
      </c>
      <c r="C2" t="s">
        <v>1902</v>
      </c>
      <c r="D2" t="s">
        <v>1961</v>
      </c>
      <c r="E2" t="s">
        <v>1870</v>
      </c>
      <c r="F2" t="s">
        <v>1866</v>
      </c>
      <c r="G2" t="s">
        <v>1934</v>
      </c>
      <c r="H2" t="s">
        <v>1868</v>
      </c>
      <c r="I2" t="s">
        <v>1994</v>
      </c>
      <c r="J2">
        <v>1</v>
      </c>
    </row>
    <row r="3" spans="1:10" x14ac:dyDescent="0.25">
      <c r="A3">
        <v>2</v>
      </c>
      <c r="B3" t="s">
        <v>1867</v>
      </c>
      <c r="C3" t="s">
        <v>1903</v>
      </c>
      <c r="D3" t="s">
        <v>1961</v>
      </c>
      <c r="E3" t="s">
        <v>1878</v>
      </c>
      <c r="F3" t="s">
        <v>1866</v>
      </c>
      <c r="G3" t="s">
        <v>1935</v>
      </c>
      <c r="H3" t="s">
        <v>1868</v>
      </c>
      <c r="I3" t="s">
        <v>1995</v>
      </c>
      <c r="J3">
        <v>2</v>
      </c>
    </row>
    <row r="4" spans="1:10" x14ac:dyDescent="0.25">
      <c r="A4">
        <v>3</v>
      </c>
      <c r="B4" t="s">
        <v>1867</v>
      </c>
      <c r="C4" t="s">
        <v>1904</v>
      </c>
      <c r="D4" t="s">
        <v>1961</v>
      </c>
      <c r="E4" t="s">
        <v>1886</v>
      </c>
      <c r="F4" t="s">
        <v>1866</v>
      </c>
      <c r="G4" t="s">
        <v>1936</v>
      </c>
      <c r="H4" t="s">
        <v>1868</v>
      </c>
      <c r="I4" t="s">
        <v>1996</v>
      </c>
      <c r="J4">
        <v>3</v>
      </c>
    </row>
    <row r="5" spans="1:10" x14ac:dyDescent="0.25">
      <c r="A5">
        <v>4</v>
      </c>
      <c r="B5" t="s">
        <v>1867</v>
      </c>
      <c r="C5" t="s">
        <v>1905</v>
      </c>
      <c r="D5" t="s">
        <v>1961</v>
      </c>
      <c r="E5" t="s">
        <v>1894</v>
      </c>
      <c r="F5" t="s">
        <v>1866</v>
      </c>
      <c r="G5" t="s">
        <v>1936</v>
      </c>
      <c r="H5" t="s">
        <v>1868</v>
      </c>
      <c r="I5" t="s">
        <v>1997</v>
      </c>
      <c r="J5">
        <v>4</v>
      </c>
    </row>
    <row r="6" spans="1:10" x14ac:dyDescent="0.25">
      <c r="A6">
        <v>5</v>
      </c>
      <c r="B6" t="s">
        <v>1867</v>
      </c>
      <c r="C6" t="s">
        <v>1906</v>
      </c>
      <c r="D6" t="s">
        <v>1961</v>
      </c>
      <c r="E6" t="s">
        <v>1871</v>
      </c>
      <c r="F6" t="s">
        <v>1866</v>
      </c>
      <c r="G6" t="s">
        <v>1937</v>
      </c>
      <c r="H6" t="s">
        <v>1868</v>
      </c>
      <c r="I6" t="s">
        <v>1998</v>
      </c>
      <c r="J6">
        <v>5</v>
      </c>
    </row>
    <row r="7" spans="1:10" x14ac:dyDescent="0.25">
      <c r="A7">
        <v>6</v>
      </c>
      <c r="B7" t="s">
        <v>1867</v>
      </c>
      <c r="C7" t="s">
        <v>1907</v>
      </c>
      <c r="D7" t="s">
        <v>1961</v>
      </c>
      <c r="E7" t="s">
        <v>1879</v>
      </c>
      <c r="F7" t="s">
        <v>1866</v>
      </c>
      <c r="G7" t="s">
        <v>1938</v>
      </c>
      <c r="H7" t="s">
        <v>1868</v>
      </c>
      <c r="I7" t="s">
        <v>1999</v>
      </c>
      <c r="J7">
        <v>6</v>
      </c>
    </row>
    <row r="8" spans="1:10" x14ac:dyDescent="0.25">
      <c r="A8">
        <v>7</v>
      </c>
      <c r="B8" t="s">
        <v>1867</v>
      </c>
      <c r="C8" t="s">
        <v>1908</v>
      </c>
      <c r="D8" t="s">
        <v>1961</v>
      </c>
      <c r="E8" t="s">
        <v>1887</v>
      </c>
      <c r="F8" t="s">
        <v>1866</v>
      </c>
      <c r="G8" t="s">
        <v>1939</v>
      </c>
      <c r="H8" t="s">
        <v>1868</v>
      </c>
      <c r="I8" t="s">
        <v>2000</v>
      </c>
      <c r="J8">
        <v>7</v>
      </c>
    </row>
    <row r="9" spans="1:10" x14ac:dyDescent="0.25">
      <c r="A9">
        <v>8</v>
      </c>
      <c r="B9" t="s">
        <v>1867</v>
      </c>
      <c r="C9" t="s">
        <v>1909</v>
      </c>
      <c r="D9" t="s">
        <v>1961</v>
      </c>
      <c r="E9" t="s">
        <v>1895</v>
      </c>
      <c r="F9" t="s">
        <v>1866</v>
      </c>
      <c r="G9" t="s">
        <v>1940</v>
      </c>
      <c r="H9" t="s">
        <v>1868</v>
      </c>
      <c r="I9" t="s">
        <v>2001</v>
      </c>
      <c r="J9">
        <v>8</v>
      </c>
    </row>
    <row r="10" spans="1:10" x14ac:dyDescent="0.25">
      <c r="A10">
        <v>9</v>
      </c>
      <c r="B10" t="s">
        <v>1867</v>
      </c>
      <c r="C10" t="s">
        <v>1910</v>
      </c>
      <c r="D10" t="s">
        <v>1961</v>
      </c>
      <c r="E10" t="s">
        <v>1872</v>
      </c>
      <c r="F10" t="s">
        <v>1866</v>
      </c>
      <c r="G10" t="s">
        <v>1941</v>
      </c>
      <c r="H10" t="s">
        <v>1868</v>
      </c>
      <c r="I10" t="s">
        <v>2002</v>
      </c>
      <c r="J10">
        <v>9</v>
      </c>
    </row>
    <row r="11" spans="1:10" x14ac:dyDescent="0.25">
      <c r="A11">
        <v>10</v>
      </c>
      <c r="B11" t="s">
        <v>1867</v>
      </c>
      <c r="C11" t="s">
        <v>1911</v>
      </c>
      <c r="D11" t="s">
        <v>1961</v>
      </c>
      <c r="E11" t="s">
        <v>1880</v>
      </c>
      <c r="F11" t="s">
        <v>1866</v>
      </c>
      <c r="G11" t="s">
        <v>1942</v>
      </c>
      <c r="H11" t="s">
        <v>1868</v>
      </c>
      <c r="I11" t="s">
        <v>2003</v>
      </c>
      <c r="J11">
        <v>10</v>
      </c>
    </row>
    <row r="12" spans="1:10" x14ac:dyDescent="0.25">
      <c r="A12">
        <v>11</v>
      </c>
      <c r="B12" t="s">
        <v>1867</v>
      </c>
      <c r="C12" t="s">
        <v>1912</v>
      </c>
      <c r="D12" t="s">
        <v>1961</v>
      </c>
      <c r="E12" t="s">
        <v>1888</v>
      </c>
      <c r="F12" t="s">
        <v>1866</v>
      </c>
      <c r="G12" t="s">
        <v>1943</v>
      </c>
      <c r="H12" t="s">
        <v>1868</v>
      </c>
      <c r="I12" t="s">
        <v>2004</v>
      </c>
      <c r="J12">
        <v>11</v>
      </c>
    </row>
    <row r="13" spans="1:10" x14ac:dyDescent="0.25">
      <c r="A13">
        <v>12</v>
      </c>
      <c r="B13" t="s">
        <v>1867</v>
      </c>
      <c r="C13" t="s">
        <v>1913</v>
      </c>
      <c r="D13" t="s">
        <v>1961</v>
      </c>
      <c r="E13" t="s">
        <v>1896</v>
      </c>
      <c r="F13" t="s">
        <v>1866</v>
      </c>
      <c r="G13" t="s">
        <v>1944</v>
      </c>
      <c r="H13" t="s">
        <v>1868</v>
      </c>
      <c r="I13" t="s">
        <v>2005</v>
      </c>
      <c r="J13">
        <v>12</v>
      </c>
    </row>
    <row r="14" spans="1:10" x14ac:dyDescent="0.25">
      <c r="A14">
        <v>13</v>
      </c>
      <c r="B14" t="s">
        <v>1867</v>
      </c>
      <c r="C14" t="s">
        <v>1914</v>
      </c>
      <c r="D14" t="s">
        <v>1961</v>
      </c>
      <c r="E14" t="s">
        <v>1873</v>
      </c>
      <c r="F14" t="s">
        <v>1866</v>
      </c>
      <c r="G14" t="s">
        <v>1945</v>
      </c>
      <c r="H14" t="s">
        <v>1868</v>
      </c>
      <c r="I14" t="s">
        <v>2006</v>
      </c>
      <c r="J14">
        <v>13</v>
      </c>
    </row>
    <row r="15" spans="1:10" x14ac:dyDescent="0.25">
      <c r="A15">
        <v>14</v>
      </c>
      <c r="B15" t="s">
        <v>1867</v>
      </c>
      <c r="C15" t="s">
        <v>1915</v>
      </c>
      <c r="D15" t="s">
        <v>1961</v>
      </c>
      <c r="E15" t="s">
        <v>1881</v>
      </c>
      <c r="F15" t="s">
        <v>1866</v>
      </c>
      <c r="G15" t="s">
        <v>1946</v>
      </c>
      <c r="H15" t="s">
        <v>1868</v>
      </c>
      <c r="I15" t="s">
        <v>2007</v>
      </c>
      <c r="J15">
        <v>14</v>
      </c>
    </row>
    <row r="16" spans="1:10" x14ac:dyDescent="0.25">
      <c r="A16">
        <v>15</v>
      </c>
      <c r="B16" t="s">
        <v>1867</v>
      </c>
      <c r="C16" t="s">
        <v>1916</v>
      </c>
      <c r="D16" t="s">
        <v>1961</v>
      </c>
      <c r="E16" t="s">
        <v>1889</v>
      </c>
      <c r="F16" t="s">
        <v>1866</v>
      </c>
      <c r="G16" t="s">
        <v>1947</v>
      </c>
      <c r="H16" t="s">
        <v>1868</v>
      </c>
      <c r="I16" t="s">
        <v>2008</v>
      </c>
      <c r="J16">
        <v>15</v>
      </c>
    </row>
    <row r="17" spans="1:10" x14ac:dyDescent="0.25">
      <c r="A17">
        <v>16</v>
      </c>
      <c r="B17" t="s">
        <v>1867</v>
      </c>
      <c r="C17" t="s">
        <v>1917</v>
      </c>
      <c r="D17" t="s">
        <v>1961</v>
      </c>
      <c r="E17" t="s">
        <v>1897</v>
      </c>
      <c r="F17" t="s">
        <v>1866</v>
      </c>
      <c r="G17" t="s">
        <v>1948</v>
      </c>
      <c r="H17" t="s">
        <v>1868</v>
      </c>
      <c r="I17" t="s">
        <v>2009</v>
      </c>
      <c r="J17">
        <v>16</v>
      </c>
    </row>
    <row r="18" spans="1:10" x14ac:dyDescent="0.25">
      <c r="A18">
        <v>17</v>
      </c>
      <c r="B18" t="s">
        <v>1867</v>
      </c>
      <c r="C18" t="s">
        <v>1918</v>
      </c>
      <c r="D18" t="s">
        <v>1961</v>
      </c>
      <c r="E18" t="s">
        <v>1874</v>
      </c>
      <c r="F18" t="s">
        <v>1866</v>
      </c>
      <c r="G18" t="s">
        <v>1949</v>
      </c>
      <c r="H18" t="s">
        <v>1868</v>
      </c>
      <c r="I18" t="s">
        <v>2010</v>
      </c>
      <c r="J18">
        <v>17</v>
      </c>
    </row>
    <row r="19" spans="1:10" x14ac:dyDescent="0.25">
      <c r="A19">
        <v>18</v>
      </c>
      <c r="B19" t="s">
        <v>1867</v>
      </c>
      <c r="C19" t="s">
        <v>1919</v>
      </c>
      <c r="D19" t="s">
        <v>1961</v>
      </c>
      <c r="E19" t="s">
        <v>1882</v>
      </c>
      <c r="F19" t="s">
        <v>1866</v>
      </c>
      <c r="G19" t="s">
        <v>1936</v>
      </c>
      <c r="H19" t="s">
        <v>1868</v>
      </c>
      <c r="I19" t="s">
        <v>2011</v>
      </c>
      <c r="J19">
        <v>18</v>
      </c>
    </row>
    <row r="20" spans="1:10" x14ac:dyDescent="0.25">
      <c r="A20">
        <v>19</v>
      </c>
      <c r="B20" t="s">
        <v>1867</v>
      </c>
      <c r="C20" t="s">
        <v>1920</v>
      </c>
      <c r="D20" t="s">
        <v>1961</v>
      </c>
      <c r="E20" t="s">
        <v>1890</v>
      </c>
      <c r="F20" t="s">
        <v>1866</v>
      </c>
      <c r="G20" t="s">
        <v>1950</v>
      </c>
      <c r="H20" t="s">
        <v>1868</v>
      </c>
      <c r="I20" t="s">
        <v>2012</v>
      </c>
      <c r="J20">
        <v>19</v>
      </c>
    </row>
    <row r="21" spans="1:10" x14ac:dyDescent="0.25">
      <c r="A21">
        <v>20</v>
      </c>
      <c r="B21" t="s">
        <v>1867</v>
      </c>
      <c r="C21" t="s">
        <v>1921</v>
      </c>
      <c r="D21" t="s">
        <v>1961</v>
      </c>
      <c r="E21" t="s">
        <v>1898</v>
      </c>
      <c r="F21" t="s">
        <v>1866</v>
      </c>
      <c r="G21" t="s">
        <v>1951</v>
      </c>
      <c r="H21" t="s">
        <v>1868</v>
      </c>
      <c r="I21" t="s">
        <v>2013</v>
      </c>
      <c r="J21">
        <v>20</v>
      </c>
    </row>
    <row r="22" spans="1:10" x14ac:dyDescent="0.25">
      <c r="A22">
        <v>21</v>
      </c>
      <c r="B22" t="s">
        <v>1867</v>
      </c>
      <c r="C22" t="s">
        <v>1922</v>
      </c>
      <c r="D22" t="s">
        <v>1961</v>
      </c>
      <c r="E22" t="s">
        <v>1875</v>
      </c>
      <c r="F22" t="s">
        <v>1866</v>
      </c>
      <c r="G22" t="s">
        <v>1952</v>
      </c>
      <c r="H22" t="s">
        <v>1868</v>
      </c>
      <c r="I22" t="s">
        <v>2014</v>
      </c>
      <c r="J22">
        <v>21</v>
      </c>
    </row>
    <row r="23" spans="1:10" x14ac:dyDescent="0.25">
      <c r="A23">
        <v>22</v>
      </c>
      <c r="B23" t="s">
        <v>1867</v>
      </c>
      <c r="C23" t="s">
        <v>1923</v>
      </c>
      <c r="D23" t="s">
        <v>1961</v>
      </c>
      <c r="E23" t="s">
        <v>1883</v>
      </c>
      <c r="F23" t="s">
        <v>1866</v>
      </c>
      <c r="G23" t="s">
        <v>1936</v>
      </c>
      <c r="H23" t="s">
        <v>1868</v>
      </c>
      <c r="I23" t="s">
        <v>2015</v>
      </c>
      <c r="J23">
        <v>22</v>
      </c>
    </row>
    <row r="24" spans="1:10" x14ac:dyDescent="0.25">
      <c r="A24">
        <v>23</v>
      </c>
      <c r="B24" t="s">
        <v>1867</v>
      </c>
      <c r="C24" t="s">
        <v>1924</v>
      </c>
      <c r="D24" t="s">
        <v>1961</v>
      </c>
      <c r="E24" t="s">
        <v>1891</v>
      </c>
      <c r="F24" t="s">
        <v>1866</v>
      </c>
      <c r="G24" t="s">
        <v>1953</v>
      </c>
      <c r="H24" t="s">
        <v>1868</v>
      </c>
      <c r="I24" t="s">
        <v>2016</v>
      </c>
      <c r="J24">
        <v>23</v>
      </c>
    </row>
    <row r="25" spans="1:10" x14ac:dyDescent="0.25">
      <c r="A25">
        <v>24</v>
      </c>
      <c r="B25" t="s">
        <v>1867</v>
      </c>
      <c r="C25" t="s">
        <v>1925</v>
      </c>
      <c r="D25" t="s">
        <v>1961</v>
      </c>
      <c r="E25" t="s">
        <v>1899</v>
      </c>
      <c r="F25" t="s">
        <v>1866</v>
      </c>
      <c r="G25" t="s">
        <v>1954</v>
      </c>
      <c r="H25" t="s">
        <v>1868</v>
      </c>
      <c r="I25" t="s">
        <v>2017</v>
      </c>
      <c r="J25">
        <v>24</v>
      </c>
    </row>
    <row r="26" spans="1:10" x14ac:dyDescent="0.25">
      <c r="A26">
        <v>25</v>
      </c>
      <c r="B26" t="s">
        <v>1867</v>
      </c>
      <c r="C26" t="s">
        <v>1926</v>
      </c>
      <c r="D26" t="s">
        <v>1961</v>
      </c>
      <c r="E26" t="s">
        <v>1876</v>
      </c>
      <c r="F26" t="s">
        <v>1866</v>
      </c>
      <c r="G26" t="s">
        <v>1955</v>
      </c>
      <c r="H26" t="s">
        <v>1868</v>
      </c>
      <c r="I26" t="s">
        <v>2018</v>
      </c>
      <c r="J26">
        <v>25</v>
      </c>
    </row>
    <row r="27" spans="1:10" x14ac:dyDescent="0.25">
      <c r="A27">
        <v>26</v>
      </c>
      <c r="B27" t="s">
        <v>1867</v>
      </c>
      <c r="C27" t="s">
        <v>1927</v>
      </c>
      <c r="D27" t="s">
        <v>1961</v>
      </c>
      <c r="E27" t="s">
        <v>1884</v>
      </c>
      <c r="F27" t="s">
        <v>1866</v>
      </c>
      <c r="G27" t="s">
        <v>1936</v>
      </c>
      <c r="H27" t="s">
        <v>1868</v>
      </c>
      <c r="I27" t="s">
        <v>2019</v>
      </c>
      <c r="J27">
        <v>26</v>
      </c>
    </row>
    <row r="28" spans="1:10" x14ac:dyDescent="0.25">
      <c r="A28">
        <v>27</v>
      </c>
      <c r="B28" t="s">
        <v>1867</v>
      </c>
      <c r="C28" t="s">
        <v>1928</v>
      </c>
      <c r="D28" t="s">
        <v>1961</v>
      </c>
      <c r="E28" t="s">
        <v>1892</v>
      </c>
      <c r="F28" t="s">
        <v>1866</v>
      </c>
      <c r="G28" t="s">
        <v>1956</v>
      </c>
      <c r="H28" t="s">
        <v>1868</v>
      </c>
      <c r="I28" t="s">
        <v>2020</v>
      </c>
      <c r="J28">
        <v>27</v>
      </c>
    </row>
    <row r="29" spans="1:10" x14ac:dyDescent="0.25">
      <c r="A29">
        <v>28</v>
      </c>
      <c r="B29" t="s">
        <v>1867</v>
      </c>
      <c r="C29" t="s">
        <v>1929</v>
      </c>
      <c r="D29" t="s">
        <v>1961</v>
      </c>
      <c r="E29" t="s">
        <v>1900</v>
      </c>
      <c r="F29" t="s">
        <v>1866</v>
      </c>
      <c r="G29" t="s">
        <v>1957</v>
      </c>
      <c r="H29" t="s">
        <v>1868</v>
      </c>
      <c r="I29" t="s">
        <v>2021</v>
      </c>
      <c r="J29">
        <v>28</v>
      </c>
    </row>
    <row r="30" spans="1:10" x14ac:dyDescent="0.25">
      <c r="A30">
        <v>29</v>
      </c>
      <c r="B30" t="s">
        <v>1867</v>
      </c>
      <c r="C30" t="s">
        <v>1930</v>
      </c>
      <c r="D30" t="s">
        <v>1961</v>
      </c>
      <c r="E30" t="s">
        <v>1877</v>
      </c>
      <c r="F30" t="s">
        <v>1866</v>
      </c>
      <c r="G30" t="s">
        <v>1958</v>
      </c>
      <c r="H30" t="s">
        <v>1868</v>
      </c>
      <c r="I30" t="s">
        <v>2022</v>
      </c>
      <c r="J30">
        <v>29</v>
      </c>
    </row>
    <row r="31" spans="1:10" x14ac:dyDescent="0.25">
      <c r="A31">
        <v>30</v>
      </c>
      <c r="B31" t="s">
        <v>1867</v>
      </c>
      <c r="C31" t="s">
        <v>1931</v>
      </c>
      <c r="D31" t="s">
        <v>1961</v>
      </c>
      <c r="E31" t="s">
        <v>1885</v>
      </c>
      <c r="F31" t="s">
        <v>1866</v>
      </c>
      <c r="G31" t="s">
        <v>1936</v>
      </c>
      <c r="H31" t="s">
        <v>1868</v>
      </c>
      <c r="I31" t="s">
        <v>2023</v>
      </c>
      <c r="J31">
        <v>30</v>
      </c>
    </row>
    <row r="32" spans="1:10" x14ac:dyDescent="0.25">
      <c r="A32">
        <v>31</v>
      </c>
      <c r="B32" t="s">
        <v>1867</v>
      </c>
      <c r="C32" t="s">
        <v>1932</v>
      </c>
      <c r="D32" t="s">
        <v>1961</v>
      </c>
      <c r="E32" t="s">
        <v>1893</v>
      </c>
      <c r="F32" t="s">
        <v>1866</v>
      </c>
      <c r="G32" t="s">
        <v>1959</v>
      </c>
      <c r="H32" t="s">
        <v>1868</v>
      </c>
      <c r="I32" t="s">
        <v>2024</v>
      </c>
      <c r="J32">
        <v>31</v>
      </c>
    </row>
    <row r="33" spans="1:10" x14ac:dyDescent="0.25">
      <c r="A33">
        <v>32</v>
      </c>
      <c r="B33" t="s">
        <v>1867</v>
      </c>
      <c r="C33" t="s">
        <v>1933</v>
      </c>
      <c r="D33" t="s">
        <v>1961</v>
      </c>
      <c r="E33" t="s">
        <v>1901</v>
      </c>
      <c r="F33" t="s">
        <v>1866</v>
      </c>
      <c r="G33" t="s">
        <v>1960</v>
      </c>
      <c r="H33" t="s">
        <v>1868</v>
      </c>
      <c r="I33" t="s">
        <v>2025</v>
      </c>
      <c r="J33">
        <v>32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9"/>
  <sheetViews>
    <sheetView workbookViewId="0">
      <selection activeCell="N27" sqref="N27"/>
    </sheetView>
  </sheetViews>
  <sheetFormatPr defaultRowHeight="15" x14ac:dyDescent="0.25"/>
  <sheetData>
    <row r="1" spans="1:10" x14ac:dyDescent="0.25">
      <c r="A1" t="s">
        <v>2082</v>
      </c>
    </row>
    <row r="2" spans="1:10" x14ac:dyDescent="0.25">
      <c r="A2" s="1">
        <v>1</v>
      </c>
      <c r="B2" s="1" t="s">
        <v>1867</v>
      </c>
      <c r="C2" s="1" t="s">
        <v>2054</v>
      </c>
      <c r="D2" s="1" t="s">
        <v>1961</v>
      </c>
      <c r="E2" s="16" t="s">
        <v>1967</v>
      </c>
      <c r="F2" s="1" t="s">
        <v>1866</v>
      </c>
      <c r="G2" s="1" t="s">
        <v>2026</v>
      </c>
      <c r="H2" s="1" t="s">
        <v>1868</v>
      </c>
      <c r="I2" s="4" t="str">
        <f>B2&amp;""&amp;C2&amp;""&amp;D2&amp;""&amp;E2&amp;""&amp;F2&amp;""&amp;G2&amp;""&amp;H2</f>
        <v>&lt;a class="new" target="_blank" href="https://exe.io/st?api=a480072bd98881bdfc23c75aa2f815ea2428344e&amp;url=https://narmedicyna.ru/detskij-pediatr-kto-eto-i-chem-zanimaetsya/"&gt;&lt;img class="" alt=""    src="https://narmedicyna.ru/wp-content/uploads/2021/10/pediatr-218x150.jpg"&gt;&lt;span class="new_title"&gt;               Children's pediatrician: who is he and what does he do?Pediatrics, as a medical field, is intended for the prevention and treatment of pathology in children of any age.Specialists of the relevant profile observe newborns from the first day of life and...&lt;/span&gt;&lt;/a&gt;</v>
      </c>
      <c r="J2" s="1">
        <v>1</v>
      </c>
    </row>
    <row r="3" spans="1:10" x14ac:dyDescent="0.25">
      <c r="A3" s="1">
        <v>2</v>
      </c>
      <c r="B3" s="1" t="s">
        <v>1867</v>
      </c>
      <c r="C3" s="1" t="s">
        <v>2055</v>
      </c>
      <c r="D3" s="1" t="s">
        <v>1961</v>
      </c>
      <c r="E3" s="13" t="s">
        <v>1968</v>
      </c>
      <c r="F3" s="1" t="s">
        <v>1866</v>
      </c>
      <c r="G3" s="1" t="s">
        <v>2027</v>
      </c>
      <c r="H3" s="1" t="s">
        <v>1868</v>
      </c>
      <c r="I3" s="4" t="str">
        <f t="shared" ref="I3:I29" si="0">B3&amp;""&amp;C3&amp;""&amp;D3&amp;""&amp;E3&amp;""&amp;F3&amp;""&amp;G3&amp;""&amp;H3</f>
        <v>&lt;a class="new" target="_blank" href="https://exe.io/st?api=a480072bd98881bdfc23c75aa2f815ea2428344e&amp;url=https://narmedicyna.ru/prichiny-poyavleniya-katarakty-u-rebenka/"&gt;&lt;img class="" alt=""    src="https://narmedicyna.ru/wp-content/uploads/2022/05/foto-zrenie-218x150.jpeg"&gt;&lt;span class="new_title"&gt;               Causes of cataracts in childrenCataract is a chronic disease characterized by clouding of the lens.As a result of a deterioration in the blood supply to the eye or a change in the shape of the lens, a process of gradual loss of vision occurs.&lt;/span&gt;&lt;/a&gt;</v>
      </c>
      <c r="J3" s="1">
        <v>2</v>
      </c>
    </row>
    <row r="4" spans="1:10" x14ac:dyDescent="0.25">
      <c r="A4" s="1">
        <v>3</v>
      </c>
      <c r="B4" s="1" t="s">
        <v>1867</v>
      </c>
      <c r="C4" s="1" t="s">
        <v>2056</v>
      </c>
      <c r="D4" s="1" t="s">
        <v>1961</v>
      </c>
      <c r="E4" s="13" t="s">
        <v>1969</v>
      </c>
      <c r="F4" s="1" t="s">
        <v>1866</v>
      </c>
      <c r="G4" s="1" t="s">
        <v>2028</v>
      </c>
      <c r="H4" s="1" t="s">
        <v>1868</v>
      </c>
      <c r="I4" s="4" t="str">
        <f t="shared" si="0"/>
        <v>&lt;a class="new" target="_blank" href="https://exe.io/st?api=a480072bd98881bdfc23c75aa2f815ea2428344e&amp;url=https://narmedicyna.ru/kak-chasto-nuzhno-poseshhat-detskogo-stomatologa-2/"&gt;&lt;img class="" alt=""    src="https://narmedicyna.ru/wp-content/uploads/2022/05/foto-stomatolog-218x150.jpg"&gt;&lt;span class="new_title"&gt;               How often should you visit a pediatric dentist?There is an opinion that there are no problems with baby teeth.Therefore, children see a dentist in extreme cases, or when the disease affects the molars.&lt;/span&gt;&lt;/a&gt;</v>
      </c>
      <c r="J4" s="1">
        <v>3</v>
      </c>
    </row>
    <row r="5" spans="1:10" x14ac:dyDescent="0.25">
      <c r="A5" s="1">
        <v>4</v>
      </c>
      <c r="B5" s="1" t="s">
        <v>1867</v>
      </c>
      <c r="C5" s="1" t="s">
        <v>2057</v>
      </c>
      <c r="D5" s="1" t="s">
        <v>1961</v>
      </c>
      <c r="E5" s="13" t="s">
        <v>1971</v>
      </c>
      <c r="F5" s="1" t="s">
        <v>1866</v>
      </c>
      <c r="G5" s="1" t="s">
        <v>2029</v>
      </c>
      <c r="H5" s="1" t="s">
        <v>1868</v>
      </c>
      <c r="I5" s="4" t="str">
        <f t="shared" si="0"/>
        <v>&lt;a class="new" target="_blank" href="https://exe.io/st?api=a480072bd98881bdfc23c75aa2f815ea2428344e&amp;url=https://narmedicyna.ru/v-kakih-sluchayah-nuzhno-obrashhatsya-k-detskomu-ginekologu/"&gt;&lt;img class="" alt=""    src="https://narmedicyna.ru/wp-content/uploads/2023/02/detskaya-ginekologiya-218x150.jpg"&gt;&lt;span class="new_title"&gt;               In what cases should you contact a pediatric gynecologist?A pediatric gynecologist is a medical specialist who diagnoses and treats various gynecological pathologies.He solves several problems, including conducting preventive examinations,...&lt;/span&gt;&lt;/a&gt;</v>
      </c>
      <c r="J5" s="1">
        <v>4</v>
      </c>
    </row>
    <row r="6" spans="1:10" x14ac:dyDescent="0.25">
      <c r="A6" s="1">
        <v>5</v>
      </c>
      <c r="B6" s="1" t="s">
        <v>1867</v>
      </c>
      <c r="C6" s="1" t="s">
        <v>2058</v>
      </c>
      <c r="D6" s="1" t="s">
        <v>1961</v>
      </c>
      <c r="E6" s="13" t="s">
        <v>1972</v>
      </c>
      <c r="F6" s="1" t="s">
        <v>1866</v>
      </c>
      <c r="G6" s="1" t="s">
        <v>2030</v>
      </c>
      <c r="H6" s="1" t="s">
        <v>1868</v>
      </c>
      <c r="I6" s="4" t="str">
        <f t="shared" si="0"/>
        <v>&lt;a class="new" target="_blank" href="https://exe.io/st?api=a480072bd98881bdfc23c75aa2f815ea2428344e&amp;url=https://narmedicyna.ru/iz-za-chego-mogut-byt-problemy-s-nervnoj-sistemoj-u-rebenka/"&gt;&lt;img class="" alt=""    src="https://narmedicyna.ru/wp-content/uploads/2023/03/nevrolog-218x150.jpg"&gt;&lt;span class="new_title"&gt;               What can cause problems with the nervous system in a child?The development of the nervous system in children occurs in several stages.You need to understand that a mature brain is not a guarantee that it will function optimally.&lt;/span&gt;&lt;/a&gt;</v>
      </c>
      <c r="J6" s="1">
        <v>5</v>
      </c>
    </row>
    <row r="7" spans="1:10" x14ac:dyDescent="0.25">
      <c r="A7" s="1">
        <v>6</v>
      </c>
      <c r="B7" s="1" t="s">
        <v>1867</v>
      </c>
      <c r="C7" s="1" t="s">
        <v>2059</v>
      </c>
      <c r="D7" s="1" t="s">
        <v>1961</v>
      </c>
      <c r="E7" s="13" t="s">
        <v>1973</v>
      </c>
      <c r="F7" s="1" t="s">
        <v>1866</v>
      </c>
      <c r="G7" s="1" t="s">
        <v>2031</v>
      </c>
      <c r="H7" s="1" t="s">
        <v>1868</v>
      </c>
      <c r="I7" s="4" t="str">
        <f t="shared" si="0"/>
        <v>&lt;a class="new" target="_blank" href="https://exe.io/st?api=a480072bd98881bdfc23c75aa2f815ea2428344e&amp;url=https://narmedicyna.ru/kto-takoj-detskij-pediatr-i-zachem-on-zanimaetsya/"&gt;&lt;img class="" alt=""    src="https://narmedicyna.ru/wp-content/uploads/2023/04/pediatr-218x150.jpg"&gt;&lt;span class="new_title"&gt;               Who is a pediatrician and what does he do?A pediatrician is a specialized medical specialist who deals with the health and development of children.He diagnoses and treats pathologies of various systems and organs of the child, and...&lt;/span&gt;&lt;/a&gt;</v>
      </c>
      <c r="J7" s="1">
        <v>6</v>
      </c>
    </row>
    <row r="8" spans="1:10" x14ac:dyDescent="0.25">
      <c r="A8" s="1">
        <v>7</v>
      </c>
      <c r="B8" s="1" t="s">
        <v>1867</v>
      </c>
      <c r="C8" s="1" t="s">
        <v>2060</v>
      </c>
      <c r="D8" s="1" t="s">
        <v>1961</v>
      </c>
      <c r="E8" s="13" t="s">
        <v>1974</v>
      </c>
      <c r="F8" s="1" t="s">
        <v>1866</v>
      </c>
      <c r="G8" s="1" t="s">
        <v>2032</v>
      </c>
      <c r="H8" s="1" t="s">
        <v>1868</v>
      </c>
      <c r="I8" s="4" t="str">
        <f t="shared" si="0"/>
        <v>&lt;a class="new" target="_blank" href="https://exe.io/st?api=a480072bd98881bdfc23c75aa2f815ea2428344e&amp;url=https://narmedicyna.ru/kto-takoj-detskij-nevrolog/"&gt;&lt;img class="" alt=""    src="https://narmedicyna.ru/wp-content/uploads/2023/04/detskiy_nevrolog-218x150.jpg"&gt;&lt;span class="new_title"&gt;               Who is a pediatric neurologist?It is necessary to contact a pediatric neurologist in many situations, even if the child’s behavior has changed slightly.A visit to a medical facility allows you to detect various problems and not...&lt;/span&gt;&lt;/a&gt;</v>
      </c>
      <c r="J8" s="1">
        <v>7</v>
      </c>
    </row>
    <row r="9" spans="1:10" x14ac:dyDescent="0.25">
      <c r="A9" s="1">
        <v>8</v>
      </c>
      <c r="B9" s="1" t="s">
        <v>1867</v>
      </c>
      <c r="C9" s="1" t="s">
        <v>2061</v>
      </c>
      <c r="D9" s="1" t="s">
        <v>1961</v>
      </c>
      <c r="E9" s="13" t="s">
        <v>1970</v>
      </c>
      <c r="F9" s="1" t="s">
        <v>1866</v>
      </c>
      <c r="G9" s="1" t="s">
        <v>2033</v>
      </c>
      <c r="H9" s="1" t="s">
        <v>1868</v>
      </c>
      <c r="I9" s="4" t="str">
        <f t="shared" si="0"/>
        <v>&lt;a class="new" target="_blank" href="https://exe.io/st?api=a480072bd98881bdfc23c75aa2f815ea2428344e&amp;url=https://narmedicyna.ru/kak-vybrat-detskogo-nejropsihologa-v-moskve/"&gt;&lt;img class="" alt=""    src="https://narmedicyna.ru/wp-content/uploads/2023/02/neuropsiholog-218x150.jpg"&gt;&lt;span class="new_title"&gt;               How to choose a pediatric neuropsychologist in MoscowThe development and growth of a child are directly related to the complex processes that occur in his body, including in the brain.Not always represented processes...&lt;/span&gt;&lt;/a&gt;</v>
      </c>
      <c r="J9" s="1">
        <v>8</v>
      </c>
    </row>
    <row r="10" spans="1:10" x14ac:dyDescent="0.25">
      <c r="A10" s="1">
        <v>9</v>
      </c>
      <c r="B10" s="1" t="s">
        <v>1867</v>
      </c>
      <c r="C10" s="1" t="s">
        <v>2062</v>
      </c>
      <c r="D10" s="1" t="s">
        <v>1961</v>
      </c>
      <c r="E10" s="13" t="s">
        <v>1975</v>
      </c>
      <c r="F10" s="1" t="s">
        <v>1866</v>
      </c>
      <c r="G10" s="1" t="s">
        <v>2034</v>
      </c>
      <c r="H10" s="1" t="s">
        <v>1868</v>
      </c>
      <c r="I10" s="4" t="str">
        <f t="shared" si="0"/>
        <v>&lt;a class="new" target="_blank" href="https://exe.io/st?api=a480072bd98881bdfc23c75aa2f815ea2428344e&amp;url=https://narmedicyna.ru/kak-chasto-nuzhno-poseshhat-detskogo-stomatologa/"&gt;&lt;img class="" alt=""    src="https://narmedicyna.ru/wp-content/uploads/2022/04/detskaya_stomatologiya-218x150.jpg"&gt;&lt;span class="new_title"&gt;               How often should you visit a pediatric dentist?A pediatric dentist is a qualified dentist who treats and prevents diseases of the teeth and gums, taking into account the individual characteristics of the child’s body.Pediatric dentistry dental-center.kz necessarily uses...&lt;/span&gt;&lt;/a&gt;</v>
      </c>
      <c r="J10" s="1">
        <v>9</v>
      </c>
    </row>
    <row r="11" spans="1:10" x14ac:dyDescent="0.25">
      <c r="A11" s="1">
        <v>10</v>
      </c>
      <c r="B11" s="1" t="s">
        <v>1867</v>
      </c>
      <c r="C11" s="1" t="s">
        <v>2063</v>
      </c>
      <c r="D11" s="1" t="s">
        <v>1961</v>
      </c>
      <c r="E11" s="13" t="s">
        <v>1976</v>
      </c>
      <c r="F11" s="1" t="s">
        <v>1866</v>
      </c>
      <c r="G11" s="1" t="s">
        <v>2035</v>
      </c>
      <c r="H11" s="1" t="s">
        <v>1868</v>
      </c>
      <c r="I11" s="4" t="str">
        <f t="shared" si="0"/>
        <v>&lt;a class="new" target="_blank" href="https://exe.io/st?api=a480072bd98881bdfc23c75aa2f815ea2428344e&amp;url=https://narmedicyna.ru/osobennosti-lecheniya-kariesa-u-detej/"&gt;&lt;img class="" alt=""    src="https://narmedicyna.ru/wp-content/uploads/2022/04/lechenie-kariesa-u-detei-218x150.jpg"&gt;&lt;span class="new_title"&gt;               Features of caries treatment in childrenAlthough dental caries is almost completely preventable, it is the most common childhood disease.About 90% of children in low- and middle-income countries suffer from...&lt;/span&gt;&lt;/a&gt;</v>
      </c>
      <c r="J11" s="1">
        <v>10</v>
      </c>
    </row>
    <row r="12" spans="1:10" x14ac:dyDescent="0.25">
      <c r="A12" s="1">
        <v>11</v>
      </c>
      <c r="B12" s="1" t="s">
        <v>1867</v>
      </c>
      <c r="C12" s="1" t="s">
        <v>2064</v>
      </c>
      <c r="D12" s="1" t="s">
        <v>1961</v>
      </c>
      <c r="E12" s="13" t="s">
        <v>1977</v>
      </c>
      <c r="F12" s="1" t="s">
        <v>1866</v>
      </c>
      <c r="G12" s="1" t="s">
        <v>2036</v>
      </c>
      <c r="H12" s="1" t="s">
        <v>1868</v>
      </c>
      <c r="I12" s="4" t="str">
        <f t="shared" si="0"/>
        <v>&lt;a class="new" target="_blank" href="https://exe.io/st?api=a480072bd98881bdfc23c75aa2f815ea2428344e&amp;url=https://narmedicyna.ru/irina-vasilevna-namiot-osteopat-dlya-detej/"&gt;&lt;img class="" alt=""    src="https://narmedicyna.ru/wp-content/uploads/2022/02/detskaya-osteopatiya-218x150.jpg"&gt;&lt;span class="new_title"&gt;               Irina Vasilievna Namiot: osteopath for childrenPediatric osteopathy is a discipline well known for its effectiveness and prevention.The diagnostic and therapeutic approach in pediatrics is based on the use of manual techniques that apply gentle pressure...&lt;/span&gt;&lt;/a&gt;</v>
      </c>
      <c r="J12" s="1">
        <v>11</v>
      </c>
    </row>
    <row r="13" spans="1:10" x14ac:dyDescent="0.25">
      <c r="A13" s="1">
        <v>12</v>
      </c>
      <c r="B13" s="1" t="s">
        <v>1867</v>
      </c>
      <c r="C13" s="1" t="s">
        <v>2065</v>
      </c>
      <c r="D13" s="1" t="s">
        <v>1961</v>
      </c>
      <c r="E13" s="13" t="s">
        <v>1978</v>
      </c>
      <c r="F13" s="1" t="s">
        <v>1866</v>
      </c>
      <c r="G13" s="1" t="s">
        <v>2037</v>
      </c>
      <c r="H13" s="1" t="s">
        <v>1868</v>
      </c>
      <c r="I13" s="4" t="str">
        <f t="shared" si="0"/>
        <v>&lt;a class="new" target="_blank" href="https://exe.io/st?api=a480072bd98881bdfc23c75aa2f815ea2428344e&amp;url=https://narmedicyna.ru/ikota-u-novorozhdennyx-prichiny-kak-izbavitsya-i-na-chto-stoit-obratit-vnimanie/"&gt;&lt;img class="" alt=""    src="https://narmedicyna.ru/wp-content/uploads/2021/12/gettyimages-97863283-218x150.jpg"&gt;&lt;span class="new_title"&gt;               Modern methods of treating drug addictionAddiction is a complex condition that changes brain chemistry.It is caused by compulsive and uncontrolled drug use.&lt;/span&gt;&lt;/a&gt;</v>
      </c>
      <c r="J13" s="1">
        <v>12</v>
      </c>
    </row>
    <row r="14" spans="1:10" x14ac:dyDescent="0.25">
      <c r="A14" s="1">
        <v>13</v>
      </c>
      <c r="B14" s="1" t="s">
        <v>1867</v>
      </c>
      <c r="C14" s="1" t="s">
        <v>2066</v>
      </c>
      <c r="D14" s="1" t="s">
        <v>1961</v>
      </c>
      <c r="E14" s="13" t="s">
        <v>1967</v>
      </c>
      <c r="F14" s="1" t="s">
        <v>1866</v>
      </c>
      <c r="G14" s="1" t="s">
        <v>2038</v>
      </c>
      <c r="H14" s="1" t="s">
        <v>1868</v>
      </c>
      <c r="I14" s="4" t="str">
        <f t="shared" si="0"/>
        <v>&lt;a class="new" target="_blank" href="https://exe.io/st?api=a480072bd98881bdfc23c75aa2f815ea2428344e&amp;url=https://narmedicyna.ru/kakie-problemy-reshaet-pediatr/"&gt;&lt;img class="" alt=""    src="https://narmedicyna.ru/wp-content/uploads/2021/10/pediatr-218x150.jpg"&gt;&lt;span class="new_title"&gt;               What problems does the pediatrician solve?Derived from the Greek words "Pais", meaning child, and "Iatros", meaning doctor or healer, a pediatrician is a medical professional who specializes in...&lt;/span&gt;&lt;/a&gt;</v>
      </c>
      <c r="J14" s="1">
        <v>13</v>
      </c>
    </row>
    <row r="15" spans="1:10" x14ac:dyDescent="0.25">
      <c r="A15" s="1">
        <v>14</v>
      </c>
      <c r="B15" s="1" t="s">
        <v>1867</v>
      </c>
      <c r="C15" s="1" t="s">
        <v>2067</v>
      </c>
      <c r="D15" s="1" t="s">
        <v>1961</v>
      </c>
      <c r="E15" s="13" t="s">
        <v>1979</v>
      </c>
      <c r="F15" s="1" t="s">
        <v>1866</v>
      </c>
      <c r="G15" s="1" t="s">
        <v>2039</v>
      </c>
      <c r="H15" s="1" t="s">
        <v>1868</v>
      </c>
      <c r="I15" s="4" t="str">
        <f t="shared" si="0"/>
        <v>&lt;a class="new" target="_blank" href="https://exe.io/st?api=a480072bd98881bdfc23c75aa2f815ea2428344e&amp;url=https://narmedicyna.ru/vrachi-filatovskoj-kliniki/"&gt;&lt;img class="" alt=""    src="https://narmedicyna.ru/wp-content/uploads/2021/10/doctor-218x150.jpg"&gt;&lt;span class="new_title"&gt;               Doctors of the Filatov ClinicThe Filatov Hospital is considered a well-equipped children's institution in Russia.Only unique specialists continue to work here.&lt;/span&gt;&lt;/a&gt;</v>
      </c>
      <c r="J15" s="1">
        <v>14</v>
      </c>
    </row>
    <row r="16" spans="1:10" x14ac:dyDescent="0.25">
      <c r="A16" s="1">
        <v>15</v>
      </c>
      <c r="B16" s="1" t="s">
        <v>1867</v>
      </c>
      <c r="C16" s="1" t="s">
        <v>2068</v>
      </c>
      <c r="D16" s="1" t="s">
        <v>1961</v>
      </c>
      <c r="E16" s="13" t="s">
        <v>1980</v>
      </c>
      <c r="F16" s="1" t="s">
        <v>1866</v>
      </c>
      <c r="G16" s="1" t="s">
        <v>2040</v>
      </c>
      <c r="H16" s="1" t="s">
        <v>1868</v>
      </c>
      <c r="I16" s="4" t="str">
        <f t="shared" si="0"/>
        <v>&lt;a class="new" target="_blank" href="https://exe.io/st?api=a480072bd98881bdfc23c75aa2f815ea2428344e&amp;url=https://narmedicyna.ru/sopli-u-rebyonka-chem-lechit/"&gt;&lt;img class="" alt=""    src="https://narmedicyna.ru/wp-content/uploads/2021/10/sopli-218x150.jpeg"&gt;&lt;span class="new_title"&gt;               Snot in a child: how to treat it?What is it about little children and snot?The short answer is that the vast majority of kids who have runny noses just have a mild viral...&lt;/span&gt;&lt;/a&gt;</v>
      </c>
      <c r="J16" s="1">
        <v>15</v>
      </c>
    </row>
    <row r="17" spans="1:10" x14ac:dyDescent="0.25">
      <c r="A17" s="1">
        <v>16</v>
      </c>
      <c r="B17" s="1" t="s">
        <v>1867</v>
      </c>
      <c r="C17" s="1" t="s">
        <v>2069</v>
      </c>
      <c r="D17" s="1" t="s">
        <v>1961</v>
      </c>
      <c r="E17" s="13" t="s">
        <v>1981</v>
      </c>
      <c r="F17" s="1" t="s">
        <v>1866</v>
      </c>
      <c r="G17" s="1" t="s">
        <v>2041</v>
      </c>
      <c r="H17" s="1" t="s">
        <v>1868</v>
      </c>
      <c r="I17" s="4" t="str">
        <f t="shared" si="0"/>
        <v>&lt;a class="new" target="_blank" href="https://exe.io/st?api=a480072bd98881bdfc23c75aa2f815ea2428344e&amp;url=https://narmedicyna.ru/sovremennye-metody-korrekcii-zaikaniya/"&gt;&lt;img class="" alt=""    src="https://narmedicyna.ru/wp-content/uploads/2021/09/zaik-218x150.jpg"&gt;&lt;span class="new_title"&gt;               Modern methods of stuttering correctionThe formation of the current comprehensive approach to stuttering correction was preceded by the development of various methods and ways to overcome this disease.Despite a long history of studying and...&lt;/span&gt;&lt;/a&gt;</v>
      </c>
      <c r="J17" s="1">
        <v>16</v>
      </c>
    </row>
    <row r="18" spans="1:10" x14ac:dyDescent="0.25">
      <c r="A18" s="1">
        <v>17</v>
      </c>
      <c r="B18" s="1" t="s">
        <v>1867</v>
      </c>
      <c r="C18" s="1" t="s">
        <v>2070</v>
      </c>
      <c r="D18" s="1" t="s">
        <v>1961</v>
      </c>
      <c r="E18" s="13" t="s">
        <v>1982</v>
      </c>
      <c r="F18" s="1" t="s">
        <v>1866</v>
      </c>
      <c r="G18" s="1" t="s">
        <v>2042</v>
      </c>
      <c r="H18" s="1" t="s">
        <v>1868</v>
      </c>
      <c r="I18" s="4" t="str">
        <f t="shared" si="0"/>
        <v>&lt;a class="new" target="_blank" href="https://exe.io/st?api=a480072bd98881bdfc23c75aa2f815ea2428344e&amp;url=https://narmedicyna.ru/kakie-sredstva-pomogut-v-ispravlenii-prikusa-u-rebenka/"&gt;&lt;img class="" alt=""    src="https://narmedicyna.ru/wp-content/uploads/2021/08/ispravlenie_prikusa-218x150.jpg"&gt;&lt;span class="new_title"&gt;               What remedies will help correct a child’s bite?The bite is the interaction of the teeth with maximum contact and full closure of the jaws.As a rule, the dentition should close in such a way that the tubercles fit into...&lt;/span&gt;&lt;/a&gt;</v>
      </c>
      <c r="J18" s="1">
        <v>17</v>
      </c>
    </row>
    <row r="19" spans="1:10" x14ac:dyDescent="0.25">
      <c r="A19" s="1">
        <v>18</v>
      </c>
      <c r="B19" s="1" t="s">
        <v>1867</v>
      </c>
      <c r="C19" s="1" t="s">
        <v>2071</v>
      </c>
      <c r="D19" s="1" t="s">
        <v>1961</v>
      </c>
      <c r="E19" s="13" t="s">
        <v>1983</v>
      </c>
      <c r="F19" s="1" t="s">
        <v>1866</v>
      </c>
      <c r="G19" s="1" t="s">
        <v>2043</v>
      </c>
      <c r="H19" s="1" t="s">
        <v>1868</v>
      </c>
      <c r="I19" s="4" t="str">
        <f t="shared" si="0"/>
        <v>&lt;a class="new" target="_blank" href="https://exe.io/st?api=a480072bd98881bdfc23c75aa2f815ea2428344e&amp;url=https://narmedicyna.ru/chto-takoe-logopedicheskij-massazh/"&gt;&lt;img class="" alt=""    src="https://narmedicyna.ru/wp-content/uploads/2021/02/5-218x150.jpg"&gt;&lt;span class="new_title"&gt;               What is speech therapy massage?Many mothers have encountered a situation where the child seems to be trying to pronounce words, but the frequency of the sound leaves much to be desired.This is the first signal that the baby...&lt;/span&gt;&lt;/a&gt;</v>
      </c>
      <c r="J19" s="1">
        <v>18</v>
      </c>
    </row>
    <row r="20" spans="1:10" x14ac:dyDescent="0.25">
      <c r="A20" s="1">
        <v>19</v>
      </c>
      <c r="B20" s="1" t="s">
        <v>1867</v>
      </c>
      <c r="C20" s="1" t="s">
        <v>2072</v>
      </c>
      <c r="D20" s="1" t="s">
        <v>1961</v>
      </c>
      <c r="E20" s="13" t="s">
        <v>1984</v>
      </c>
      <c r="F20" s="1" t="s">
        <v>1866</v>
      </c>
      <c r="G20" s="1" t="s">
        <v>2044</v>
      </c>
      <c r="H20" s="1" t="s">
        <v>1868</v>
      </c>
      <c r="I20" s="4" t="str">
        <f t="shared" si="0"/>
        <v>&lt;a class="new" target="_blank" href="https://exe.io/st?api=a480072bd98881bdfc23c75aa2f815ea2428344e&amp;url=https://narmedicyna.ru/koliki-u-grudnichkov-kak-pomoch-rebenku-a-chto-kategoricheski-zapreshheno/"&gt;&lt;img class="" alt=""    src="https://narmedicyna.ru/wp-content/uploads/2015/03/4544.jpg"&gt;&lt;span class="new_title"&gt;               Colic in infants - how to help your child, and what is strictly prohibited?I don’t think there is a parent in the world who calmly reacts to the crying of their child, especially a newly born one.The main thing in such situations is not to fall...&lt;/span&gt;&lt;/a&gt;</v>
      </c>
      <c r="J20" s="1">
        <v>19</v>
      </c>
    </row>
    <row r="21" spans="1:10" x14ac:dyDescent="0.25">
      <c r="A21" s="1">
        <v>20</v>
      </c>
      <c r="B21" s="1" t="s">
        <v>1867</v>
      </c>
      <c r="C21" s="1" t="s">
        <v>2073</v>
      </c>
      <c r="D21" s="1" t="s">
        <v>1961</v>
      </c>
      <c r="E21" s="13" t="s">
        <v>1985</v>
      </c>
      <c r="F21" s="1" t="s">
        <v>1866</v>
      </c>
      <c r="G21" s="1" t="s">
        <v>2045</v>
      </c>
      <c r="H21" s="1" t="s">
        <v>1868</v>
      </c>
      <c r="I21" s="4" t="str">
        <f t="shared" si="0"/>
        <v>&lt;a class="new" target="_blank" href="https://exe.io/st?api=a480072bd98881bdfc23c75aa2f815ea2428344e&amp;url=https://narmedicyna.ru/golovnoj-pedikulez-u-rebenka-sposoby-zarazheniya-i-narodnoe-lechenie/"&gt;&lt;img class="" alt=""    src="https://narmedicyna.ru/wp-content/uploads/2015/02/vshi.jpg"&gt;&lt;span class="new_title"&gt;               Head lice in a child - methods of infection and alternative treatmentPediculosis is a disease in which you and/or your child are bothered by lice.Children are most often affected by this disease, so today we will talk about treatment...&lt;/span&gt;&lt;/a&gt;</v>
      </c>
      <c r="J21" s="1">
        <v>20</v>
      </c>
    </row>
    <row r="22" spans="1:10" x14ac:dyDescent="0.25">
      <c r="A22" s="1">
        <v>21</v>
      </c>
      <c r="B22" s="1" t="s">
        <v>1867</v>
      </c>
      <c r="C22" s="1" t="s">
        <v>2074</v>
      </c>
      <c r="D22" s="1" t="s">
        <v>1961</v>
      </c>
      <c r="E22" s="13" t="s">
        <v>1986</v>
      </c>
      <c r="F22" s="1" t="s">
        <v>1866</v>
      </c>
      <c r="G22" s="1" t="s">
        <v>2046</v>
      </c>
      <c r="H22" s="1" t="s">
        <v>1868</v>
      </c>
      <c r="I22" s="4" t="str">
        <f t="shared" si="0"/>
        <v>&lt;a class="new" target="_blank" href="https://exe.io/st?api=a480072bd98881bdfc23c75aa2f815ea2428344e&amp;url=https://narmedicyna.ru/laringit-u-detej-simptomy-i-lechenie-narodnymi-sredstvami/"&gt;&lt;img class="" alt=""    src="https://narmedicyna.ru/wp-content/uploads/2014/06/laringit.jpg"&gt;&lt;span class="new_title"&gt;               Laryngitis in children - symptoms and treatment with folk remediesDuring laryngitis, inflammation of the larynx occurs, the patient’s voice first becomes hoarse, the voice “sags,” a dry cough appears, and in some cases, pressure occurs in the chest area....&lt;/span&gt;&lt;/a&gt;</v>
      </c>
      <c r="J22" s="1">
        <v>21</v>
      </c>
    </row>
    <row r="23" spans="1:10" x14ac:dyDescent="0.25">
      <c r="A23" s="1">
        <v>22</v>
      </c>
      <c r="B23" s="1" t="s">
        <v>1867</v>
      </c>
      <c r="C23" s="1" t="s">
        <v>2075</v>
      </c>
      <c r="D23" s="1" t="s">
        <v>1961</v>
      </c>
      <c r="E23" s="13" t="s">
        <v>1987</v>
      </c>
      <c r="F23" s="1" t="s">
        <v>1866</v>
      </c>
      <c r="G23" s="1" t="s">
        <v>2047</v>
      </c>
      <c r="H23" s="1" t="s">
        <v>1868</v>
      </c>
      <c r="I23" s="4" t="str">
        <f t="shared" si="0"/>
        <v>&lt;a class="new" target="_blank" href="https://exe.io/st?api=a480072bd98881bdfc23c75aa2f815ea2428344e&amp;url=https://narmedicyna.ru/kak-oblegchit-prorezyvanie-zubov-u-detej-narodnymi-sredstvami/"&gt;&lt;img class="" alt=""    src="https://narmedicyna.ru/wp-content/uploads/2011/12/zubki.jpg"&gt;&lt;span class="new_title"&gt;               How to ease teething in children using folk remediesQuite often, the process of teething in children is very painful and lengthy.Symptoms that indicate teething are red, slightly swollen gums,...&lt;/span&gt;&lt;/a&gt;</v>
      </c>
      <c r="J23" s="1">
        <v>22</v>
      </c>
    </row>
    <row r="24" spans="1:10" x14ac:dyDescent="0.25">
      <c r="A24" s="1">
        <v>23</v>
      </c>
      <c r="B24" s="1" t="s">
        <v>1867</v>
      </c>
      <c r="C24" s="1" t="s">
        <v>2076</v>
      </c>
      <c r="D24" s="1" t="s">
        <v>1961</v>
      </c>
      <c r="E24" s="13" t="s">
        <v>1988</v>
      </c>
      <c r="F24" s="1" t="s">
        <v>1866</v>
      </c>
      <c r="G24" s="1" t="s">
        <v>2048</v>
      </c>
      <c r="H24" s="1" t="s">
        <v>1868</v>
      </c>
      <c r="I24" s="4" t="str">
        <f t="shared" si="0"/>
        <v>&lt;a class="new" target="_blank" href="https://exe.io/st?api=a480072bd98881bdfc23c75aa2f815ea2428344e&amp;url=https://narmedicyna.ru/zapor-u-grudnogo-rebenka/"&gt;&lt;img class="" alt=""    src="https://narmedicyna.ru/wp-content/uploads/2009/11/zapor.jpg"&gt;&lt;span class="new_title"&gt;               Constipation in an infant - treatmentWe can talk about constipation in an infant if stool retention occurs for 36-38 hours. In this case, the bowel movements are hard, dry and cause...&lt;/span&gt;&lt;/a&gt;</v>
      </c>
      <c r="J24" s="1">
        <v>23</v>
      </c>
    </row>
    <row r="25" spans="1:10" x14ac:dyDescent="0.25">
      <c r="A25" s="1">
        <v>24</v>
      </c>
      <c r="B25" s="1" t="s">
        <v>1867</v>
      </c>
      <c r="C25" s="1" t="s">
        <v>2077</v>
      </c>
      <c r="D25" s="1" t="s">
        <v>1961</v>
      </c>
      <c r="E25" s="13" t="s">
        <v>1989</v>
      </c>
      <c r="F25" s="1" t="s">
        <v>1866</v>
      </c>
      <c r="G25" s="1" t="s">
        <v>2049</v>
      </c>
      <c r="H25" s="1" t="s">
        <v>1868</v>
      </c>
      <c r="I25" s="4" t="str">
        <f t="shared" si="0"/>
        <v>&lt;a class="new" target="_blank" href="https://exe.io/st?api=a480072bd98881bdfc23c75aa2f815ea2428344e&amp;url=https://narmedicyna.ru/narodnye-sredstva-dlya-zdorovogo-rosta-zubov-u-detej/"&gt;&lt;img class="" alt=""    src="https://narmedicyna.ru/wp-content/uploads/2011/05/zubki2.jpg"&gt;&lt;span class="new_title"&gt;               Folk remedies for healthy dental growth in childrenThe minerals calcium and phosphorus are essential for healthy teeth growth.At the age of two years (plus or minus six months), baby teeth have fully erupted.&lt;/span&gt;&lt;/a&gt;</v>
      </c>
      <c r="J25" s="1">
        <v>24</v>
      </c>
    </row>
    <row r="26" spans="1:10" x14ac:dyDescent="0.25">
      <c r="A26" s="1">
        <v>25</v>
      </c>
      <c r="B26" s="1" t="s">
        <v>1867</v>
      </c>
      <c r="C26" s="1" t="s">
        <v>2078</v>
      </c>
      <c r="D26" s="1" t="s">
        <v>1961</v>
      </c>
      <c r="E26" s="13" t="s">
        <v>1990</v>
      </c>
      <c r="F26" s="1" t="s">
        <v>1866</v>
      </c>
      <c r="G26" s="1" t="s">
        <v>2050</v>
      </c>
      <c r="H26" s="1" t="s">
        <v>1868</v>
      </c>
      <c r="I26" s="4" t="str">
        <f t="shared" si="0"/>
        <v>&lt;a class="new" target="_blank" href="https://exe.io/st?api=a480072bd98881bdfc23c75aa2f815ea2428344e&amp;url=https://narmedicyna.ru/solevye-i-uspokaivayushhie-vanny-dlya-detej/"&gt;&lt;img class="" alt=""    src="https://narmedicyna.ru/wp-content/uploads/2011/02/vanna.jpg"&gt;&lt;span class="new_title"&gt;               Salt and soothing baths for childrenTaking a bath for a child is not only a hygienic procedure.Baths can also have a healing effect, successfully replacing some medications.&lt;/span&gt;&lt;/a&gt;</v>
      </c>
      <c r="J26" s="1">
        <v>25</v>
      </c>
    </row>
    <row r="27" spans="1:10" x14ac:dyDescent="0.25">
      <c r="A27" s="1">
        <v>26</v>
      </c>
      <c r="B27" s="1" t="s">
        <v>1867</v>
      </c>
      <c r="C27" s="1" t="s">
        <v>2079</v>
      </c>
      <c r="D27" s="1" t="s">
        <v>1961</v>
      </c>
      <c r="E27" s="13" t="s">
        <v>1991</v>
      </c>
      <c r="F27" s="1" t="s">
        <v>1866</v>
      </c>
      <c r="G27" s="1" t="s">
        <v>2051</v>
      </c>
      <c r="H27" s="1" t="s">
        <v>1868</v>
      </c>
      <c r="I27" s="4" t="str">
        <f t="shared" si="0"/>
        <v>&lt;a class="new" target="_blank" href="https://exe.io/st?api=a480072bd98881bdfc23c75aa2f815ea2428344e&amp;url=https://narmedicyna.ru/narodnoe-lechenie-molochnicy-u-detej-vo-rtu/"&gt;&lt;img class="" alt=""    src="https://narmedicyna.ru/wp-content/uploads/2010/12/molvortu.jpg"&gt;&lt;span class="new_title"&gt;               Alternative treatment for oral thrush in childrenThrush (candidiasis) is a type of fungal infection.Most often it appears on the mucous membranes, skin, nails, and internal organs of a person.&lt;/span&gt;&lt;/a&gt;</v>
      </c>
      <c r="J27" s="1">
        <v>26</v>
      </c>
    </row>
    <row r="28" spans="1:10" x14ac:dyDescent="0.25">
      <c r="A28" s="1">
        <v>27</v>
      </c>
      <c r="B28" s="1" t="s">
        <v>1867</v>
      </c>
      <c r="C28" s="1" t="s">
        <v>2080</v>
      </c>
      <c r="D28" s="1" t="s">
        <v>1961</v>
      </c>
      <c r="E28" s="13" t="s">
        <v>1992</v>
      </c>
      <c r="F28" s="1" t="s">
        <v>1866</v>
      </c>
      <c r="G28" s="1" t="s">
        <v>2052</v>
      </c>
      <c r="H28" s="1" t="s">
        <v>1868</v>
      </c>
      <c r="I28" s="4" t="str">
        <f t="shared" si="0"/>
        <v>&lt;a class="new" target="_blank" href="https://exe.io/st?api=a480072bd98881bdfc23c75aa2f815ea2428344e&amp;url=https://narmedicyna.ru/lechenie-diateza-narodnymi-sredstvami/"&gt;&lt;img class="" alt=""    src="https://narmedicyna.ru/wp-content/uploads/2010/12/diatez.jpg"&gt;&lt;span class="new_title"&gt;               Treatment of diathesis with folk remediesMost often, diathesis occurs due to improper initiation of complementary feeding for children under 1 year of age. Many doctors do not classify it as a separate disease, however, diathesis can negatively...&lt;/span&gt;&lt;/a&gt;</v>
      </c>
      <c r="J28" s="1">
        <v>27</v>
      </c>
    </row>
    <row r="29" spans="1:10" x14ac:dyDescent="0.25">
      <c r="A29" s="1">
        <v>28</v>
      </c>
      <c r="B29" s="1" t="s">
        <v>1867</v>
      </c>
      <c r="C29" s="1" t="s">
        <v>2081</v>
      </c>
      <c r="D29" s="1" t="s">
        <v>1961</v>
      </c>
      <c r="E29" s="13" t="s">
        <v>1993</v>
      </c>
      <c r="F29" s="1" t="s">
        <v>1866</v>
      </c>
      <c r="G29" s="1" t="s">
        <v>2053</v>
      </c>
      <c r="H29" s="1" t="s">
        <v>1868</v>
      </c>
      <c r="I29" s="4" t="str">
        <f t="shared" si="0"/>
        <v>&lt;a class="new" target="_blank" href="https://exe.io/st?api=a480072bd98881bdfc23c75aa2f815ea2428344e&amp;url=https://narmedicyna.ru/zolotuxa-u-detej-lechenie/"&gt;&lt;img class="" alt=""    src="https://narmedicyna.ru/wp-content/uploads/2010/08/zolotuha.jpg"&gt;&lt;span class="new_title"&gt;               Scrofula in children.Scrofula is a skin disease that can be found in children under 10 years of age; in adults, this disease is very rare.Scrofula develops as a result of a violation...&lt;/span&gt;&lt;/a&gt;</v>
      </c>
      <c r="J29" s="1">
        <v>28</v>
      </c>
    </row>
  </sheetData>
  <hyperlinks>
    <hyperlink ref="E2" r:id="rId1"/>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1"/>
  <sheetViews>
    <sheetView workbookViewId="0">
      <selection activeCell="I2" sqref="I2:I21"/>
    </sheetView>
  </sheetViews>
  <sheetFormatPr defaultRowHeight="15" x14ac:dyDescent="0.25"/>
  <cols>
    <col min="3" max="3" width="23.28515625" customWidth="1"/>
    <col min="11" max="11" width="36.28515625" customWidth="1"/>
    <col min="12" max="12" width="56.85546875" customWidth="1"/>
  </cols>
  <sheetData>
    <row r="1" spans="1:12" x14ac:dyDescent="0.25">
      <c r="A1" t="s">
        <v>2162</v>
      </c>
    </row>
    <row r="2" spans="1:12" x14ac:dyDescent="0.25">
      <c r="A2" s="1">
        <v>1</v>
      </c>
      <c r="B2" s="1" t="s">
        <v>1867</v>
      </c>
      <c r="C2" s="18" t="s">
        <v>2270</v>
      </c>
      <c r="D2" s="1" t="s">
        <v>1961</v>
      </c>
      <c r="E2" s="13" t="s">
        <v>2084</v>
      </c>
      <c r="F2" s="1" t="s">
        <v>1866</v>
      </c>
      <c r="G2" s="1" t="s">
        <v>2142</v>
      </c>
      <c r="H2" s="1" t="s">
        <v>1868</v>
      </c>
      <c r="I2" s="4" t="str">
        <f>B2&amp;""&amp;C2&amp;""&amp;D2&amp;""&amp;E2&amp;""&amp;F2&amp;""&amp;G2&amp;""&amp;H2</f>
        <v>&lt;a class="new" target="_blank" href="https://narmedicyna.ru/kontaktnye"&gt;&lt;img class="" alt=""    src="https://narmedicyna.ru/wp-content/uploads/2022/12/linzi-kontaktnie-218x150.jpg"&gt;&lt;span class="new_title"&gt;               Contact lenses for eyes: what criteria should you pay attention to when choosing them? Without exaggeration, contact lenses can be called the most convenient way to cope with visual impairments. You just need to make the right choice so that the purchased design suits you exactly...&lt;/span&gt;&lt;/a&gt;</v>
      </c>
      <c r="J2" s="1">
        <v>1</v>
      </c>
      <c r="K2" t="s">
        <v>2272</v>
      </c>
      <c r="L2" s="2" t="s">
        <v>2292</v>
      </c>
    </row>
    <row r="3" spans="1:12" x14ac:dyDescent="0.25">
      <c r="A3" s="1">
        <v>2</v>
      </c>
      <c r="B3" s="1" t="s">
        <v>1867</v>
      </c>
      <c r="C3" s="18" t="s">
        <v>2271</v>
      </c>
      <c r="D3" s="1" t="s">
        <v>1961</v>
      </c>
      <c r="E3" s="13" t="s">
        <v>2087</v>
      </c>
      <c r="F3" s="1" t="s">
        <v>1866</v>
      </c>
      <c r="G3" s="1" t="s">
        <v>2143</v>
      </c>
      <c r="H3" s="1" t="s">
        <v>1868</v>
      </c>
      <c r="I3" s="4" t="str">
        <f t="shared" ref="I3:I21" si="0">B3&amp;""&amp;C3&amp;""&amp;D3&amp;""&amp;E3&amp;""&amp;F3&amp;""&amp;G3&amp;""&amp;H3</f>
        <v>&lt;a class="new" target="_blank" href="https://narmedicyna.ru/opasnye-oslozhneniya-blizorukosti"&gt;&lt;img class="" alt=""    src="https://narmedicyna.ru/wp-content/uploads/2023/01/blizorukost-218x150.jpeg"&gt;&lt;span class="new_title"&gt;               Dangerous complications of myopia There is an opinion that with a weak degree of myopia (myopia), you can ignore it and not try to correct it. It's a delusion.&lt;/span&gt;&lt;/a&gt;</v>
      </c>
      <c r="J3" s="1">
        <v>2</v>
      </c>
      <c r="K3" s="1" t="s">
        <v>2272</v>
      </c>
      <c r="L3" s="1" t="s">
        <v>2273</v>
      </c>
    </row>
    <row r="4" spans="1:12" x14ac:dyDescent="0.25">
      <c r="A4" s="1">
        <v>3</v>
      </c>
      <c r="B4" s="1" t="s">
        <v>1867</v>
      </c>
      <c r="C4" s="18" t="s">
        <v>2089</v>
      </c>
      <c r="D4" s="1" t="s">
        <v>1961</v>
      </c>
      <c r="E4" s="13" t="s">
        <v>2090</v>
      </c>
      <c r="F4" s="1" t="s">
        <v>1866</v>
      </c>
      <c r="G4" s="1" t="s">
        <v>2144</v>
      </c>
      <c r="H4" s="1" t="s">
        <v>1868</v>
      </c>
      <c r="I4" s="4" t="str">
        <f t="shared" si="0"/>
        <v>&lt;a class="new" target="_blank" href="https://narmedicyna.ru/acuvue-oasys-with-hydraclear-plus-osnovnye-preimushhestva-kontaktnyh-linz/"&gt;&lt;img class="" alt=""    src="https://narmedicyna.ru/wp-content/uploads/2023/02/acuvue-oasys-218x150.jpg"&gt;&lt;span class="new_title"&gt;               ACUVUE OASYS with HYDRACLEAR PLUS - the main advantages of contact lenses ACUVUE OASYS with HYDRACLEAR PLUS are contact lenses with scheduled replacement. According to the instructions, they need to be worn for two weeks.&lt;/span&gt;&lt;/a&gt;</v>
      </c>
      <c r="J4" s="1">
        <v>3</v>
      </c>
      <c r="K4" s="1" t="s">
        <v>2272</v>
      </c>
      <c r="L4" s="1" t="s">
        <v>2274</v>
      </c>
    </row>
    <row r="5" spans="1:12" x14ac:dyDescent="0.25">
      <c r="A5" s="1">
        <v>4</v>
      </c>
      <c r="B5" s="1" t="s">
        <v>1867</v>
      </c>
      <c r="C5" s="18" t="s">
        <v>2092</v>
      </c>
      <c r="D5" s="1" t="s">
        <v>1961</v>
      </c>
      <c r="E5" s="13" t="s">
        <v>2093</v>
      </c>
      <c r="F5" s="1" t="s">
        <v>1866</v>
      </c>
      <c r="G5" s="1" t="s">
        <v>2145</v>
      </c>
      <c r="H5" s="1" t="s">
        <v>1868</v>
      </c>
      <c r="I5" s="4" t="str">
        <f t="shared" si="0"/>
        <v>&lt;a class="new" target="_blank" href="https://narmedicyna.ru/sposoby-lecheniya-katarakty/"&gt;&lt;img class="" alt=""    src="https://narmedicyna.ru/wp-content/uploads/2023/03/katarakta-218x150.jpg"&gt;&lt;span class="new_title"&gt;               Methods for treating cataracts Cataracts are one of the most common pathologies in the ophthalmology industry. As a rule, it occurs in people over 50 years old, so this category...&lt;/span&gt;&lt;/a&gt;</v>
      </c>
      <c r="J5" s="1">
        <v>4</v>
      </c>
      <c r="K5" s="1" t="s">
        <v>2272</v>
      </c>
      <c r="L5" s="1" t="s">
        <v>2275</v>
      </c>
    </row>
    <row r="6" spans="1:12" x14ac:dyDescent="0.25">
      <c r="A6" s="1">
        <v>5</v>
      </c>
      <c r="B6" s="1" t="s">
        <v>1867</v>
      </c>
      <c r="C6" s="18" t="s">
        <v>2095</v>
      </c>
      <c r="D6" s="1" t="s">
        <v>1961</v>
      </c>
      <c r="E6" s="13" t="s">
        <v>2096</v>
      </c>
      <c r="F6" s="1" t="s">
        <v>1866</v>
      </c>
      <c r="G6" s="1" t="s">
        <v>2146</v>
      </c>
      <c r="H6" s="1" t="s">
        <v>1868</v>
      </c>
      <c r="I6" s="4" t="str">
        <f t="shared" si="0"/>
        <v>&lt;a class="new" target="_blank" href="https://narmedicyna.ru/lazernaya-korrekcziya-pokazaniya-preimushhestva/"&gt;&lt;img class="" alt=""    src="https://narmedicyna.ru/wp-content/uploads/2023/12/korrekciya-218x150.webp"&gt;&lt;span class="new_title"&gt;               Laser correction: indications, advantages Laser vision correction is a modern ophthalmological procedure that is incredibly popular in the current realities. It is aimed at restoring and improving the visual functionality of the eyes....&lt;/span&gt;&lt;/a&gt;</v>
      </c>
      <c r="J6" s="1">
        <v>5</v>
      </c>
      <c r="K6" s="1" t="s">
        <v>2272</v>
      </c>
      <c r="L6" s="1" t="s">
        <v>2276</v>
      </c>
    </row>
    <row r="7" spans="1:12" x14ac:dyDescent="0.25">
      <c r="A7" s="1">
        <v>6</v>
      </c>
      <c r="B7" s="1" t="s">
        <v>1867</v>
      </c>
      <c r="C7" s="18" t="s">
        <v>2098</v>
      </c>
      <c r="D7" s="1" t="s">
        <v>1961</v>
      </c>
      <c r="E7" s="13" t="s">
        <v>2099</v>
      </c>
      <c r="F7" s="1" t="s">
        <v>1866</v>
      </c>
      <c r="G7" s="1" t="s">
        <v>2147</v>
      </c>
      <c r="H7" s="1" t="s">
        <v>1868</v>
      </c>
      <c r="I7" s="4" t="str">
        <f t="shared" si="0"/>
        <v>&lt;a class="new" target="_blank" href="https://narmedicyna.ru/pochemu-opuxayut-verxnie-veki-glaz-vozmozhnye-prichiny/"&gt;&lt;img class="" alt=""    src="https://narmedicyna.ru/wp-content/uploads/2021/12/o-chem-govoryat-opuhshie-veki-218x150.jpg"&gt;&lt;span class="new_title"&gt;               Why the upper eyelids of the eyes swell: possible causes Currently, every person tries to be as attentive as possible to their health, monitor their well-being, nourish and fill it with exclusively useful components and elements.... &lt;/span&gt;&lt;/a&gt;</v>
      </c>
      <c r="J7" s="1">
        <v>6</v>
      </c>
      <c r="K7" s="1" t="s">
        <v>2272</v>
      </c>
      <c r="L7" s="1" t="s">
        <v>2277</v>
      </c>
    </row>
    <row r="8" spans="1:12" x14ac:dyDescent="0.25">
      <c r="A8" s="1">
        <v>7</v>
      </c>
      <c r="B8" s="1" t="s">
        <v>1867</v>
      </c>
      <c r="C8" s="18" t="s">
        <v>2101</v>
      </c>
      <c r="D8" s="1" t="s">
        <v>1961</v>
      </c>
      <c r="E8" s="13" t="s">
        <v>2102</v>
      </c>
      <c r="F8" s="1" t="s">
        <v>1866</v>
      </c>
      <c r="G8" s="1" t="s">
        <v>2148</v>
      </c>
      <c r="H8" s="1" t="s">
        <v>1868</v>
      </c>
      <c r="I8" s="4" t="str">
        <f t="shared" si="0"/>
        <v>&lt;a class="new" target="_blank" href="https://narmedicyna.ru/chto-takoe-nepronikayushhaya-glubokaya-sklerektomiya-ngse/"&gt;&lt;img class="" alt=""    src="https://narmedicyna.ru/wp-content/uploads/2023/12/img_1293-218x150.jpeg"&gt;&lt;span class="new_title"&gt;               What is non-penetrating deep sclerectomy (NPDS) Glaucoma is considered one of the most common ophthalmological diseases, especially among elderly patients. Against the background of a persistent increase in intraocular pressure, retinal ganglion cells begin...&lt;/span&gt;&lt;/a&gt;</v>
      </c>
      <c r="J8" s="1">
        <v>7</v>
      </c>
      <c r="K8" s="1" t="s">
        <v>2272</v>
      </c>
      <c r="L8" s="1" t="s">
        <v>2278</v>
      </c>
    </row>
    <row r="9" spans="1:12" x14ac:dyDescent="0.25">
      <c r="A9" s="1">
        <v>8</v>
      </c>
      <c r="B9" s="1" t="s">
        <v>1867</v>
      </c>
      <c r="C9" s="18" t="s">
        <v>2104</v>
      </c>
      <c r="D9" s="1" t="s">
        <v>1961</v>
      </c>
      <c r="E9" s="13" t="s">
        <v>2105</v>
      </c>
      <c r="F9" s="1" t="s">
        <v>1866</v>
      </c>
      <c r="G9" s="1" t="s">
        <v>2149</v>
      </c>
      <c r="H9" s="1" t="s">
        <v>1868</v>
      </c>
      <c r="I9" s="4" t="str">
        <f t="shared" si="0"/>
        <v>&lt;a class="new" target="_blank" href="https://narmedicyna.ru/gimnastika-dlya-glaz-uluchshenie-zreniya/"&gt;&lt;img class="" alt=""    src="https://narmedicyna.ru/wp-content/uploads/2021/11/zaryadka_glaza-218x150.jpg"&gt;&lt;span class="new_title"&gt;               Gymnastics for the eyes: improving vision In modern conditions of life and activity, a great influence is exerted directly on the state of health, which in turn leads to the development of various problems and ailments,... &lt;/span&gt;&lt;/a&gt;</v>
      </c>
      <c r="J9" s="1">
        <v>8</v>
      </c>
      <c r="K9" s="1" t="s">
        <v>2272</v>
      </c>
      <c r="L9" s="1" t="s">
        <v>2279</v>
      </c>
    </row>
    <row r="10" spans="1:12" x14ac:dyDescent="0.25">
      <c r="A10" s="1">
        <v>9</v>
      </c>
      <c r="B10" s="1" t="s">
        <v>1867</v>
      </c>
      <c r="C10" s="18" t="s">
        <v>2107</v>
      </c>
      <c r="D10" s="1" t="s">
        <v>1961</v>
      </c>
      <c r="E10" s="13" t="s">
        <v>2108</v>
      </c>
      <c r="F10" s="1" t="s">
        <v>1866</v>
      </c>
      <c r="G10" s="1" t="s">
        <v>2150</v>
      </c>
      <c r="H10" s="1" t="s">
        <v>1868</v>
      </c>
      <c r="I10" s="4" t="str">
        <f t="shared" si="0"/>
        <v>&lt;a class="new" target="_blank" href="https://narmedicyna.ru/udalenie-katarakty-ultrazvukom-bezopasna-li-procedura/"&gt;&lt;img class="" alt=""    src="https://narmedicyna.ru/wp-content/uploads/2021/09/udaleniye_katarakti-218x150.jpg"&gt;&lt;span class="new_title"&gt;               Ultrasound cataract removal: is the procedure safe? Cataract removal is a procedure to remove the cloudy lens from your eye. In its place, an artificial lens called an intraocular lens (IOL) is placed.&lt;/span&gt;&lt;/a&gt;</v>
      </c>
      <c r="J10" s="1">
        <v>9</v>
      </c>
      <c r="K10" s="1" t="s">
        <v>2272</v>
      </c>
      <c r="L10" s="1" t="s">
        <v>2280</v>
      </c>
    </row>
    <row r="11" spans="1:12" x14ac:dyDescent="0.25">
      <c r="A11" s="1">
        <v>10</v>
      </c>
      <c r="B11" s="1" t="s">
        <v>1867</v>
      </c>
      <c r="C11" s="18" t="s">
        <v>2110</v>
      </c>
      <c r="D11" s="1" t="s">
        <v>1961</v>
      </c>
      <c r="E11" s="13" t="s">
        <v>2111</v>
      </c>
      <c r="F11" s="1" t="s">
        <v>1866</v>
      </c>
      <c r="G11" s="1" t="s">
        <v>2151</v>
      </c>
      <c r="H11" s="1" t="s">
        <v>1868</v>
      </c>
      <c r="I11" s="4" t="str">
        <f t="shared" si="0"/>
        <v>&lt;a class="new" target="_blank" href="https://narmedicyna.ru/kakie-kapli-pomogut-pri-vospalenii-glaz/"&gt;&lt;img class="" alt=""    src="https://narmedicyna.ru/wp-content/uploads/2021/08/kap-218x150.jpg"&gt;&lt;span class="new_title"&gt;               What drops will help with eye inflammation? Very often people say that something has happened to their vision. Some people see poorly, others have very frequent and very tired eyes....&lt;/span&gt;&lt;/a&gt;</v>
      </c>
      <c r="J11" s="1">
        <v>10</v>
      </c>
      <c r="K11" s="1" t="s">
        <v>2272</v>
      </c>
      <c r="L11" s="1" t="s">
        <v>2281</v>
      </c>
    </row>
    <row r="12" spans="1:12" x14ac:dyDescent="0.25">
      <c r="A12" s="1">
        <v>11</v>
      </c>
      <c r="B12" s="1" t="s">
        <v>1867</v>
      </c>
      <c r="C12" s="18" t="s">
        <v>2113</v>
      </c>
      <c r="D12" s="1" t="s">
        <v>1961</v>
      </c>
      <c r="E12" s="13" t="s">
        <v>2114</v>
      </c>
      <c r="F12" s="1" t="s">
        <v>1866</v>
      </c>
      <c r="G12" s="1" t="s">
        <v>2152</v>
      </c>
      <c r="H12" s="1" t="s">
        <v>1868</v>
      </c>
      <c r="I12" s="4" t="str">
        <f t="shared" si="0"/>
        <v>&lt;a class="new" target="_blank" href="https://narmedicyna.ru/kak-vylechit-blizorukost-narodnymi-sredstvami/"&gt;&lt;img class="" alt=""    src="https://narmedicyna.ru/wp-content/uploads/2021/07/blizorukost-218x150.jpg"&gt;&lt;span class="new_title"&gt;               How to cure myopia with folk remedies? Myopia (myopia) is an ophthalmological pathology that is accompanied by decreased distance vision. That is, a person cannot clearly recognize objects that are at a great distance....&lt;/span&gt;&lt;/a&gt;</v>
      </c>
      <c r="J12" s="1">
        <v>11</v>
      </c>
      <c r="K12" s="1" t="s">
        <v>2272</v>
      </c>
      <c r="L12" s="1" t="s">
        <v>2282</v>
      </c>
    </row>
    <row r="13" spans="1:12" x14ac:dyDescent="0.25">
      <c r="A13" s="1">
        <v>12</v>
      </c>
      <c r="B13" s="1" t="s">
        <v>1867</v>
      </c>
      <c r="C13" s="18" t="s">
        <v>2116</v>
      </c>
      <c r="D13" s="1" t="s">
        <v>1961</v>
      </c>
      <c r="E13" s="13" t="s">
        <v>2117</v>
      </c>
      <c r="F13" s="1" t="s">
        <v>1866</v>
      </c>
      <c r="G13" s="1" t="s">
        <v>2153</v>
      </c>
      <c r="H13" s="1" t="s">
        <v>1868</v>
      </c>
      <c r="I13" s="4" t="str">
        <f t="shared" si="0"/>
        <v>&lt;a class="new" target="_blank" href="https://narmedicyna.ru/lazernaya-korrekciya-zreniya-vidy-operacij/"&gt;&lt;img class="" alt=""    src="https://narmedicyna.ru/wp-content/uploads/2021/06/2-218x150.png"&gt;&lt;span class="new_title"&gt;               Laser vision correction: types of operations One of the methods of vision restoration is laser correction. Currently, this is one of the most popular types of treatment for the visual organ.&lt;/span&gt;&lt;/a&gt;</v>
      </c>
      <c r="J13" s="1">
        <v>12</v>
      </c>
      <c r="K13" s="1" t="s">
        <v>2272</v>
      </c>
      <c r="L13" s="1" t="s">
        <v>2283</v>
      </c>
    </row>
    <row r="14" spans="1:12" x14ac:dyDescent="0.25">
      <c r="A14" s="1">
        <v>13</v>
      </c>
      <c r="B14" s="1" t="s">
        <v>1867</v>
      </c>
      <c r="C14" s="18" t="s">
        <v>2119</v>
      </c>
      <c r="D14" s="1" t="s">
        <v>1961</v>
      </c>
      <c r="E14" s="13" t="s">
        <v>2120</v>
      </c>
      <c r="F14" s="1" t="s">
        <v>1866</v>
      </c>
      <c r="G14" s="1" t="s">
        <v>2154</v>
      </c>
      <c r="H14" s="1" t="s">
        <v>1868</v>
      </c>
      <c r="I14" s="4" t="str">
        <f t="shared" si="0"/>
        <v>&lt;a class="new" target="_blank" href="https://narmedicyna.ru/lechenie-atrofii-zritelnogo-nerva-narodnymi-sredstvami/"&gt;&lt;img class="" alt=""    src="https://narmedicyna.ru/wp-content/uploads/2012/06/zrnerv.jpg"&gt;&lt;span class="new_title"&gt;               Treatment of optic nerve atrophy with folk remedies Optic atrophy occurs in both children and adults. This is a complex disease that can lead to vision loss.&lt;/span&gt;&lt;/a&gt;</v>
      </c>
      <c r="J14" s="1">
        <v>13</v>
      </c>
      <c r="K14" s="1" t="s">
        <v>2272</v>
      </c>
      <c r="L14" s="1" t="s">
        <v>2284</v>
      </c>
    </row>
    <row r="15" spans="1:12" x14ac:dyDescent="0.25">
      <c r="A15" s="1">
        <v>14</v>
      </c>
      <c r="B15" s="1" t="s">
        <v>1867</v>
      </c>
      <c r="C15" s="18" t="s">
        <v>2122</v>
      </c>
      <c r="D15" s="1" t="s">
        <v>1961</v>
      </c>
      <c r="E15" s="13" t="s">
        <v>2123</v>
      </c>
      <c r="F15" s="1" t="s">
        <v>1866</v>
      </c>
      <c r="G15" s="1" t="s">
        <v>2155</v>
      </c>
      <c r="H15" s="1" t="s">
        <v>1868</v>
      </c>
      <c r="I15" s="4" t="str">
        <f t="shared" si="0"/>
        <v>&lt;a class="new" target="_blank" href="https://narmedicyna.ru/eti-glaza-naprotiv-kompyutera-i-kak-im-mozhno-pomoch/"&gt;&lt;img class="" alt=""    src="https://narmedicyna.ru/wp-content/uploads/2011/06/admin-ajax-10-218x150.jpg"&gt;&lt;span class="new_title"&gt;               In what cases is a cadastral engineer’s opinion necessary? Cadastral work is very important, since the correctness of registration of the land plot and the possibility of its future use depend on them. If during such...&lt;/span&gt;&lt;/a&gt;</v>
      </c>
      <c r="J15" s="1">
        <v>14</v>
      </c>
      <c r="K15" s="1" t="s">
        <v>2272</v>
      </c>
      <c r="L15" s="1" t="s">
        <v>2285</v>
      </c>
    </row>
    <row r="16" spans="1:12" x14ac:dyDescent="0.25">
      <c r="A16" s="1">
        <v>15</v>
      </c>
      <c r="B16" s="1" t="s">
        <v>1867</v>
      </c>
      <c r="C16" s="18" t="s">
        <v>2125</v>
      </c>
      <c r="D16" s="1" t="s">
        <v>1961</v>
      </c>
      <c r="E16" s="13" t="s">
        <v>2126</v>
      </c>
      <c r="F16" s="1" t="s">
        <v>1866</v>
      </c>
      <c r="G16" s="1" t="s">
        <v>2156</v>
      </c>
      <c r="H16" s="1" t="s">
        <v>1868</v>
      </c>
      <c r="I16" s="4" t="str">
        <f t="shared" si="0"/>
        <v>&lt;a class="new" target="_blank" href="https://narmedicyna.ru/lechenie-glaznyx-boleznej-narodnymi-sredstvami/"&gt;&lt;img class="" alt=""    src="https://narmedicyna.ru/wp-content/uploads/2011/03/bolgl.jpg"&gt;&lt;span class="new_title"&gt;               Treatment of eye diseases with folk remedies Traditional medicine is rich in its folk remedies for treating eye diseases, and in this article I want to give an example of complex treatment of eye diseases with folk remedies - this... &lt;/span&gt;&lt;/a&gt;</v>
      </c>
      <c r="J16" s="1">
        <v>15</v>
      </c>
      <c r="K16" s="1" t="s">
        <v>2272</v>
      </c>
      <c r="L16" s="1" t="s">
        <v>2286</v>
      </c>
    </row>
    <row r="17" spans="1:12" x14ac:dyDescent="0.25">
      <c r="A17" s="1">
        <v>16</v>
      </c>
      <c r="B17" s="1" t="s">
        <v>1867</v>
      </c>
      <c r="C17" s="18" t="s">
        <v>2128</v>
      </c>
      <c r="D17" s="1" t="s">
        <v>1961</v>
      </c>
      <c r="E17" s="13" t="s">
        <v>2129</v>
      </c>
      <c r="F17" s="1" t="s">
        <v>1866</v>
      </c>
      <c r="G17" s="1" t="s">
        <v>2157</v>
      </c>
      <c r="H17" s="1" t="s">
        <v>1868</v>
      </c>
      <c r="I17" s="4" t="str">
        <f t="shared" si="0"/>
        <v>&lt;a class="new" target="_blank" href="https://narmedicyna.ru/lechenie-slezotecheniya-iz-glaz-narodnymi-sredstvami/"&gt;&lt;img class="" alt=""    src="https://narmedicyna.ru/wp-content/uploads/2011/02/slglaz.jpg"&gt;&lt;span class="new_title"&gt;               Treatment of lacrimation from the eyes with folk remedies Some people face such a problem as involuntary tearing from the eyes, especially in the cold. At the same time, the eyes are very itchy.&lt;/span&gt;&lt;/a&gt;</v>
      </c>
      <c r="J17" s="1">
        <v>16</v>
      </c>
      <c r="K17" s="1" t="s">
        <v>2272</v>
      </c>
      <c r="L17" s="1" t="s">
        <v>2287</v>
      </c>
    </row>
    <row r="18" spans="1:12" x14ac:dyDescent="0.25">
      <c r="A18" s="1">
        <v>17</v>
      </c>
      <c r="B18" s="1" t="s">
        <v>1867</v>
      </c>
      <c r="C18" s="18" t="s">
        <v>2131</v>
      </c>
      <c r="D18" s="1" t="s">
        <v>1961</v>
      </c>
      <c r="E18" s="13" t="s">
        <v>2132</v>
      </c>
      <c r="F18" s="1" t="s">
        <v>1866</v>
      </c>
      <c r="G18" s="1" t="s">
        <v>2158</v>
      </c>
      <c r="H18" s="1" t="s">
        <v>1868</v>
      </c>
      <c r="I18" s="4" t="str">
        <f t="shared" si="0"/>
        <v>&lt;a class="new" target="_blank" href="https://narmedicyna.ru/u-vas-katarakta-narodnye-sredstva-dlya-lecheniya-katarakty/"&gt;&lt;img class="" alt=""    src="https://narmedicyna.ru/wp-content/uploads/2010/11/katarakta.jpg"&gt;&lt;span class="new_title"&gt;               Do you have cataracts? Cataract is a disease that involves clouding of the lens of the eye and causes varying degrees of visual impairment. The lens will allow us to clearly see objects both at a short distance and those...&lt;/span&gt;&lt;/a&gt;</v>
      </c>
      <c r="J18" s="1">
        <v>17</v>
      </c>
      <c r="K18" s="1" t="s">
        <v>2272</v>
      </c>
      <c r="L18" s="1" t="s">
        <v>2288</v>
      </c>
    </row>
    <row r="19" spans="1:12" x14ac:dyDescent="0.25">
      <c r="A19" s="1">
        <v>18</v>
      </c>
      <c r="B19" s="1" t="s">
        <v>1867</v>
      </c>
      <c r="C19" s="18" t="s">
        <v>2134</v>
      </c>
      <c r="D19" s="1" t="s">
        <v>1961</v>
      </c>
      <c r="E19" s="13" t="s">
        <v>2135</v>
      </c>
      <c r="F19" s="1" t="s">
        <v>1866</v>
      </c>
      <c r="G19" s="1" t="s">
        <v>2159</v>
      </c>
      <c r="H19" s="1" t="s">
        <v>1868</v>
      </c>
      <c r="I19" s="4" t="str">
        <f t="shared" si="0"/>
        <v>&lt;a class="new" target="_blank" href="https://narmedicyna.ru/ochanka-lekarstvennaya-dlya-glaz-primenenie/"&gt;&lt;img class="" alt=""    src="https://narmedicyna.ru/wp-content/uploads/2010/11/ochanka.jpg"&gt;&lt;span class="new_title"&gt;               Eyebright for the eyes - application This grass is called differently: eye grass, toad grass, eye grass, barn grass, crow's tears, magpie's tears, twelve-footed grass, meadow heather. Its botanical name is eyebright...&lt;/span&gt;&lt;/a&gt;</v>
      </c>
      <c r="J19" s="1">
        <v>18</v>
      </c>
      <c r="K19" s="1" t="s">
        <v>2272</v>
      </c>
      <c r="L19" s="1" t="s">
        <v>2289</v>
      </c>
    </row>
    <row r="20" spans="1:12" x14ac:dyDescent="0.25">
      <c r="A20" s="1">
        <v>19</v>
      </c>
      <c r="B20" s="1" t="s">
        <v>1867</v>
      </c>
      <c r="C20" s="18" t="s">
        <v>2137</v>
      </c>
      <c r="D20" s="1" t="s">
        <v>1961</v>
      </c>
      <c r="E20" s="13" t="s">
        <v>2138</v>
      </c>
      <c r="F20" s="1" t="s">
        <v>1866</v>
      </c>
      <c r="G20" s="1" t="s">
        <v>2160</v>
      </c>
      <c r="H20" s="1" t="s">
        <v>1868</v>
      </c>
      <c r="I20" s="4" t="str">
        <f t="shared" si="0"/>
        <v>&lt;a class="new" target="_blank" href="https://narmedicyna.ru/metody-uluchsheniya-zreniya/"&gt;&lt;img class="" alt=""    src="https://narmedicyna.ru/wp-content/uploads/2020/11/8TClQsdEZA9NAxW1iTqImSrL7Gq8wJ42qrCCFnCN-218x150.jpeg"&gt;&lt;span class="new_title"&gt;               Methods for improving vision - folk recipes At the age of 35-40 pets, the aging of the lens begins, which contributes to the deterioration of vision. Therefore, your diet must include foods that slow down aging: cottage cheese, pumpkin, sweets...&lt;/span&gt;&lt;/a&gt;</v>
      </c>
      <c r="J20" s="1">
        <v>19</v>
      </c>
      <c r="K20" s="1" t="s">
        <v>2272</v>
      </c>
      <c r="L20" s="1" t="s">
        <v>2290</v>
      </c>
    </row>
    <row r="21" spans="1:12" x14ac:dyDescent="0.25">
      <c r="A21" s="1">
        <v>20</v>
      </c>
      <c r="B21" s="1" t="s">
        <v>1867</v>
      </c>
      <c r="C21" s="18" t="s">
        <v>2140</v>
      </c>
      <c r="D21" s="1" t="s">
        <v>1961</v>
      </c>
      <c r="E21" s="13" t="s">
        <v>2138</v>
      </c>
      <c r="F21" s="1" t="s">
        <v>1866</v>
      </c>
      <c r="G21" s="1" t="s">
        <v>2161</v>
      </c>
      <c r="H21" s="1" t="s">
        <v>1868</v>
      </c>
      <c r="I21" s="4" t="str">
        <f t="shared" si="0"/>
        <v>&lt;a class="new" target="_blank" href="https://narmedicyna.ru/glaukoma-lechenie-narodnymi-sredstvami/"&gt;&lt;img class="" alt=""    src="https://narmedicyna.ru/wp-content/uploads/2020/11/8TClQsdEZA9NAxW1iTqImSrL7Gq8wJ42qrCCFnCN-218x150.jpeg"&gt;&lt;span class="new_title"&gt;               Glaucoma - treatment with folk remedies Glaucoma is a disease that affects the eyes. Glaucoma is characterized by increased intraocular pressure and damage to the optic nerve.&lt;/span&gt;&lt;/a&gt;</v>
      </c>
      <c r="J21" s="1">
        <v>20</v>
      </c>
      <c r="K21" s="1" t="s">
        <v>2272</v>
      </c>
      <c r="L21" s="1" t="s">
        <v>2291</v>
      </c>
    </row>
  </sheetData>
  <hyperlinks>
    <hyperlink ref="E2" r:id="rId1" display="https://narmedicyna.ru/wp-content/uploads/2021/10/pediatr-218x150.jpg"/>
    <hyperlink ref="L2" r:id="rId2"/>
  </hyperlinks>
  <pageMargins left="0.7" right="0.7" top="0.75" bottom="0.75" header="0.3" footer="0.3"/>
  <pageSetup paperSize="9" orientation="portrait" verticalDpi="0"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49"/>
  <sheetViews>
    <sheetView workbookViewId="0">
      <selection activeCell="I2" sqref="I2:I20"/>
    </sheetView>
  </sheetViews>
  <sheetFormatPr defaultRowHeight="15" x14ac:dyDescent="0.25"/>
  <cols>
    <col min="3" max="3" width="37.7109375" customWidth="1"/>
  </cols>
  <sheetData>
    <row r="1" spans="1:17" x14ac:dyDescent="0.25">
      <c r="B1" t="s">
        <v>2269</v>
      </c>
    </row>
    <row r="2" spans="1:17" x14ac:dyDescent="0.25">
      <c r="A2" s="1">
        <v>1</v>
      </c>
      <c r="B2" s="1" t="s">
        <v>1867</v>
      </c>
      <c r="C2" s="2" t="s">
        <v>2339</v>
      </c>
      <c r="D2" s="1" t="s">
        <v>1961</v>
      </c>
      <c r="E2" s="13" t="s">
        <v>2164</v>
      </c>
      <c r="F2" s="1" t="s">
        <v>1866</v>
      </c>
      <c r="G2" s="1" t="s">
        <v>2250</v>
      </c>
      <c r="H2" s="1" t="s">
        <v>1868</v>
      </c>
      <c r="I2" s="4" t="str">
        <f>B2&amp;""&amp;C2&amp;""&amp;D2&amp;""&amp;E2&amp;""&amp;F2&amp;""&amp;G2&amp;""&amp;H2</f>
        <v>&lt;a class="new" target="_blank" href="https://exe.io/st?api=a480072bd98881bdfc23c75aa2f815ea2428344e&amp;url=https://narmedicyna.ru/lechenie-faringita/"&gt;&lt;img class="" alt=""    src="https://narmedicyna.ru/wp-content/uploads/2022/05/ee90f54476a72ba1c880a8b352cc7c2d-218x150.jpg"&gt;&lt;span class="new_title"&gt;               Treatment of pharyngitis Pharyngitis is an inflammation of the pharyngeal mucosa, acute or chronic. Among the main symptoms are pain, discomfort in the throat, and sore throat.&lt;/span&gt;&lt;/a&gt;</v>
      </c>
      <c r="J2" s="1">
        <v>1</v>
      </c>
      <c r="K2" t="str">
        <f>G2&amp;" "&amp;C2&amp;"      "&amp;L2</f>
        <v>Treatment of pharyngitis Pharyngitis is an inflammation of the pharyngeal mucosa, acute or chronic. Among the main symptoms are pain, discomfort in the throat, and sore throat. https://exe.io/st?api=a480072bd98881bdfc23c75aa2f815ea2428344e&amp;url=https://narmedicyna.ru/lechenie-faringita/      /////////////////////////////////////////////////</v>
      </c>
      <c r="L2" t="s">
        <v>2319</v>
      </c>
      <c r="Q2" t="s">
        <v>2163</v>
      </c>
    </row>
    <row r="3" spans="1:17" x14ac:dyDescent="0.25">
      <c r="A3" s="1">
        <v>2</v>
      </c>
      <c r="B3" s="1" t="s">
        <v>1867</v>
      </c>
      <c r="C3" s="1" t="s">
        <v>2340</v>
      </c>
      <c r="D3" s="1" t="s">
        <v>1961</v>
      </c>
      <c r="E3" s="13" t="s">
        <v>2169</v>
      </c>
      <c r="F3" s="1" t="s">
        <v>1866</v>
      </c>
      <c r="G3" s="1" t="s">
        <v>2251</v>
      </c>
      <c r="H3" s="1" t="s">
        <v>1868</v>
      </c>
      <c r="I3" s="4" t="str">
        <f t="shared" ref="I3:I20" si="0">B3&amp;""&amp;C3&amp;""&amp;D3&amp;""&amp;E3&amp;""&amp;F3&amp;""&amp;G3&amp;""&amp;H3</f>
        <v>&lt;a class="new" target="_blank" href="https://exe.io/st?api=a480072bd98881bdfc23c75aa2f815ea2428344e&amp;url=https://narmedicyna.ru/ambroksol-reneval-pokazaniya-dlya-primeneniya-preparata/"&gt;&lt;img class="" alt=""    src="https://narmedicyna.ru/wp-content/uploads/2022/02/foto-ambroksol-218x150.jpg"&gt;&lt;span class="new_title"&gt;               Ambroxol Renewal: indications for use of the drug Breathing is a function of a living organism that maintains the constancy of its internal environment, ensuring normal metabolism and energy balance. Acute respiratory diseases require immediate treatment, otherwise...&lt;/span&gt;&lt;/a&gt;</v>
      </c>
      <c r="J3" s="1">
        <v>2</v>
      </c>
      <c r="K3" s="1" t="str">
        <f>G3&amp;" "&amp;C3&amp;"      "&amp;L3</f>
        <v>Ambroxol Renewal: indications for use of the drug Breathing is a function of a living organism that maintains the constancy of its internal environment, ensuring normal metabolism and energy balance. Acute respiratory diseases require immediate treatment, otherwise... https://exe.io/st?api=a480072bd98881bdfc23c75aa2f815ea2428344e&amp;url=https://narmedicyna.ru/ambroksol-reneval-pokazaniya-dlya-primeneniya-preparata/      /////////////////////////////////////////////////</v>
      </c>
      <c r="L3" s="1" t="s">
        <v>2319</v>
      </c>
      <c r="Q3" t="s">
        <v>2168</v>
      </c>
    </row>
    <row r="4" spans="1:17" x14ac:dyDescent="0.25">
      <c r="A4" s="1">
        <v>3</v>
      </c>
      <c r="B4" s="1" t="s">
        <v>1867</v>
      </c>
      <c r="C4" s="1" t="s">
        <v>2341</v>
      </c>
      <c r="D4" s="1" t="s">
        <v>1961</v>
      </c>
      <c r="E4" s="13" t="s">
        <v>2174</v>
      </c>
      <c r="F4" s="1" t="s">
        <v>1866</v>
      </c>
      <c r="G4" s="1" t="s">
        <v>2252</v>
      </c>
      <c r="H4" s="1" t="s">
        <v>1868</v>
      </c>
      <c r="I4" s="4" t="str">
        <f t="shared" si="0"/>
        <v>&lt;a class="new" target="_blank" href="https://exe.io/st?api=a480072bd98881bdfc23c75aa2f815ea2428344e&amp;url=https://narmedicyna.ru/reabilitaciya-posle-koronavirusa-kak-proisxodit/"&gt;&lt;img class="" alt=""    src="https://narmedicyna.ru/wp-content/uploads/2021/12/sa-5-218x150.jpg"&gt;&lt;span class="new_title"&gt;               Rehabilitation after coronavirus: how does it happen? Coronavirus infection can have a severe and long-term course, and after recovery, it can remind itself of the so-called “post-Covid syndrome”, so many patients are in the process of recovery... &lt;/span&gt;&lt;/a&gt;</v>
      </c>
      <c r="J4" s="1">
        <v>3</v>
      </c>
      <c r="K4" s="1" t="str">
        <f t="shared" ref="K4:K20" si="1">G4&amp;" "&amp;C4&amp;"      "&amp;L4</f>
        <v>Rehabilitation after coronavirus: how does it happen? Coronavirus infection can have a severe and long-term course, and after recovery, it can remind itself of the so-called “post-Covid syndrome”, so many patients are in the process of recovery...  https://exe.io/st?api=a480072bd98881bdfc23c75aa2f815ea2428344e&amp;url=https://narmedicyna.ru/reabilitaciya-posle-koronavirusa-kak-proisxodit/      /////////////////////////////////////////////////</v>
      </c>
      <c r="L4" s="1" t="s">
        <v>2319</v>
      </c>
      <c r="Q4" t="s">
        <v>2173</v>
      </c>
    </row>
    <row r="5" spans="1:17" x14ac:dyDescent="0.25">
      <c r="A5" s="1">
        <v>4</v>
      </c>
      <c r="B5" s="1" t="s">
        <v>1867</v>
      </c>
      <c r="C5" s="1" t="s">
        <v>2342</v>
      </c>
      <c r="D5" s="1" t="s">
        <v>1961</v>
      </c>
      <c r="E5" s="13" t="s">
        <v>2178</v>
      </c>
      <c r="F5" s="1" t="s">
        <v>1866</v>
      </c>
      <c r="G5" s="1" t="s">
        <v>2253</v>
      </c>
      <c r="H5" s="1" t="s">
        <v>1868</v>
      </c>
      <c r="I5" s="4" t="str">
        <f t="shared" si="0"/>
        <v>&lt;a class="new" target="_blank" href="https://exe.io/st?api=a480072bd98881bdfc23c75aa2f815ea2428344e&amp;url=https://narmedicyna.ru/apparat-iskusstvennoj-ventilyacii-legkix/"&gt;&lt;img class="" alt=""    src="https://narmedicyna.ru/wp-content/uploads/2021/11/1-1-218x150.webp"&gt;&lt;span class="new_title"&gt;               Ventilator Mechanical ventilators are mandatory medical equipment for any intensive care unit. It is necessary for forced breathing when the patient cannot breathe on his own....&lt;/span&gt;&lt;/a&gt;</v>
      </c>
      <c r="J5" s="1">
        <v>4</v>
      </c>
      <c r="K5" s="1" t="str">
        <f t="shared" si="1"/>
        <v>Ventilator Mechanical ventilators are mandatory medical equipment for any intensive care unit. It is necessary for forced breathing when the patient cannot breathe on his own.... https://exe.io/st?api=a480072bd98881bdfc23c75aa2f815ea2428344e&amp;url=https://narmedicyna.ru/apparat-iskusstvennoj-ventilyacii-legkix/      /////////////////////////////////////////////////</v>
      </c>
      <c r="L5" s="1" t="s">
        <v>2319</v>
      </c>
      <c r="Q5" t="s">
        <v>2177</v>
      </c>
    </row>
    <row r="6" spans="1:17" x14ac:dyDescent="0.25">
      <c r="A6" s="1">
        <v>5</v>
      </c>
      <c r="B6" s="1" t="s">
        <v>1867</v>
      </c>
      <c r="C6" s="1" t="s">
        <v>2343</v>
      </c>
      <c r="D6" s="1" t="s">
        <v>1961</v>
      </c>
      <c r="E6" s="13" t="s">
        <v>2183</v>
      </c>
      <c r="F6" s="1" t="s">
        <v>1866</v>
      </c>
      <c r="G6" s="1" t="s">
        <v>2254</v>
      </c>
      <c r="H6" s="1" t="s">
        <v>1868</v>
      </c>
      <c r="I6" s="4" t="str">
        <f t="shared" si="0"/>
        <v>&lt;a class="new" target="_blank" href="https://exe.io/st?api=a480072bd98881bdfc23c75aa2f815ea2428344e&amp;url=https://narmedicyna.ru/plevralnaya-punkcziya-chto-eto-za-proczedura-kak-ee-provodyat/"&gt;&lt;img class="" alt=""    src="https://narmedicyna.ru/wp-content/uploads/2023/11/plevralnaya-punkciya-218x150.png"&gt;&lt;span class="new_title"&gt;               Pleural puncture: what is this procedure and how is it performed? Pleural puncture or thoracentesis is a minimally invasive procedure. The procedure involves inserting a needle or special instrument into the pleural cavity using a puncture of the chest...&lt;/span&gt;&lt;/a&gt;</v>
      </c>
      <c r="J6" s="1">
        <v>5</v>
      </c>
      <c r="K6" s="1" t="str">
        <f t="shared" si="1"/>
        <v>Pleural puncture: what is this procedure and how is it performed? Pleural puncture or thoracentesis is a minimally invasive procedure. The procedure involves inserting a needle or special instrument into the pleural cavity using a puncture of the chest... https://exe.io/st?api=a480072bd98881bdfc23c75aa2f815ea2428344e&amp;url=https://narmedicyna.ru/plevralnaya-punkcziya-chto-eto-za-proczedura-kak-ee-provodyat/      /////////////////////////////////////////////////</v>
      </c>
      <c r="L6" s="1" t="s">
        <v>2319</v>
      </c>
      <c r="Q6" t="s">
        <v>2182</v>
      </c>
    </row>
    <row r="7" spans="1:17" x14ac:dyDescent="0.25">
      <c r="A7" s="1">
        <v>6</v>
      </c>
      <c r="B7" s="1" t="s">
        <v>1867</v>
      </c>
      <c r="C7" s="1" t="s">
        <v>2344</v>
      </c>
      <c r="D7" s="1" t="s">
        <v>1961</v>
      </c>
      <c r="E7" s="13" t="s">
        <v>2188</v>
      </c>
      <c r="F7" s="1" t="s">
        <v>1866</v>
      </c>
      <c r="G7" s="1" t="s">
        <v>2255</v>
      </c>
      <c r="H7" s="1" t="s">
        <v>1868</v>
      </c>
      <c r="I7" s="4" t="str">
        <f t="shared" si="0"/>
        <v>&lt;a class="new" target="_blank" href="https://exe.io/st?api=a480072bd98881bdfc23c75aa2f815ea2428344e&amp;url=https://narmedicyna.ru/narusheno-obonyanie-vozmozhnye-prichiny/"&gt;&lt;img class="" alt=""    src="https://narmedicyna.ru/wp-content/uploads/2021/04/narusheno_obonyaniye-218x150.png"&gt;&lt;span class="new_title"&gt;               Impaired sense of smell: possible causes Some of us may not realize the correlation between our sense of smell and taste. The more important fact to remember is that they can change...&lt;/span&gt;&lt;/a&gt;</v>
      </c>
      <c r="J7" s="1">
        <v>6</v>
      </c>
      <c r="K7" s="1" t="str">
        <f t="shared" si="1"/>
        <v>Impaired sense of smell: possible causes Some of us may not realize the correlation between our sense of smell and taste. The more important fact to remember is that they can change... https://exe.io/st?api=a480072bd98881bdfc23c75aa2f815ea2428344e&amp;url=https://narmedicyna.ru/narusheno-obonyanie-vozmozhnye-prichiny/      /////////////////////////////////////////////////</v>
      </c>
      <c r="L7" s="1" t="s">
        <v>2319</v>
      </c>
      <c r="Q7" t="s">
        <v>2187</v>
      </c>
    </row>
    <row r="8" spans="1:17" x14ac:dyDescent="0.25">
      <c r="A8" s="1">
        <v>7</v>
      </c>
      <c r="B8" s="1" t="s">
        <v>1867</v>
      </c>
      <c r="C8" s="1" t="s">
        <v>2345</v>
      </c>
      <c r="D8" s="1" t="s">
        <v>1961</v>
      </c>
      <c r="E8" s="13" t="s">
        <v>2193</v>
      </c>
      <c r="F8" s="1" t="s">
        <v>1866</v>
      </c>
      <c r="G8" s="1" t="s">
        <v>2256</v>
      </c>
      <c r="H8" s="1" t="s">
        <v>1868</v>
      </c>
      <c r="I8" s="4" t="str">
        <f t="shared" si="0"/>
        <v>&lt;a class="new" target="_blank" href="https://exe.io/st?api=a480072bd98881bdfc23c75aa2f815ea2428344e&amp;url=https://narmedicyna.ru/uslugi-po-perevozke-lezhachix-bolnyx/"&gt;&lt;img class="" alt=""    src="https://narmedicyna.ru/wp-content/uploads/2021/01/perevozka-218x150.jpg"&gt;&lt;span class="new_title"&gt;               Transportation services for bedridden patients Are you immobile for a long time after a serious illness, injury or surgery? Are you dependent on a crutch or wheelchair?&lt;/span&gt;&lt;/a&gt;</v>
      </c>
      <c r="J8" s="1">
        <v>7</v>
      </c>
      <c r="K8" s="1" t="str">
        <f t="shared" si="1"/>
        <v>Transportation services for bedridden patients Are you immobile for a long time after a serious illness, injury or surgery? Are you dependent on a crutch or wheelchair? https://exe.io/st?api=a480072bd98881bdfc23c75aa2f815ea2428344e&amp;url=https://narmedicyna.ru/uslugi-po-perevozke-lezhachix-bolnyx/      /////////////////////////////////////////////////</v>
      </c>
      <c r="L8" s="1" t="s">
        <v>2319</v>
      </c>
      <c r="Q8" t="s">
        <v>2192</v>
      </c>
    </row>
    <row r="9" spans="1:17" x14ac:dyDescent="0.25">
      <c r="A9" s="1">
        <v>8</v>
      </c>
      <c r="B9" s="1" t="s">
        <v>1867</v>
      </c>
      <c r="C9" s="1" t="s">
        <v>2346</v>
      </c>
      <c r="D9" s="1" t="s">
        <v>1961</v>
      </c>
      <c r="E9" s="13" t="s">
        <v>2198</v>
      </c>
      <c r="F9" s="1" t="s">
        <v>1866</v>
      </c>
      <c r="G9" s="1" t="s">
        <v>2257</v>
      </c>
      <c r="H9" s="1" t="s">
        <v>1868</v>
      </c>
      <c r="I9" s="4" t="str">
        <f t="shared" si="0"/>
        <v>&lt;a class="new" target="_blank" href="https://exe.io/st?api=a480072bd98881bdfc23c75aa2f815ea2428344e&amp;url=https://narmedicyna.ru/kashel-kak-vybrat-sredstvo-ot-kashlya-na-ozone/"&gt;&lt;img class="" alt=""    src="https://narmedicyna.ru/wp-content/uploads/2023/05/kashel-218x150.jpg"&gt;&lt;span class="new_title"&gt;               Cough: how to choose a cough remedy on Ozone? Coughing is a natural reaction of the body that occurs when foreign substances or dust enter the respiratory tract. It can also be caused by tumors...&lt;/span&gt;&lt;/a&gt;</v>
      </c>
      <c r="J9" s="1">
        <v>8</v>
      </c>
      <c r="K9" s="1" t="str">
        <f t="shared" si="1"/>
        <v>Cough: how to choose a cough remedy on Ozone? Coughing is a natural reaction of the body that occurs when foreign substances or dust enter the respiratory tract. It can also be caused by tumors... https://exe.io/st?api=a480072bd98881bdfc23c75aa2f815ea2428344e&amp;url=https://narmedicyna.ru/kashel-kak-vybrat-sredstvo-ot-kashlya-na-ozone/      /////////////////////////////////////////////////</v>
      </c>
      <c r="L9" s="1" t="s">
        <v>2319</v>
      </c>
      <c r="Q9" t="s">
        <v>2197</v>
      </c>
    </row>
    <row r="10" spans="1:17" x14ac:dyDescent="0.25">
      <c r="A10" s="1">
        <v>9</v>
      </c>
      <c r="B10" s="1" t="s">
        <v>1867</v>
      </c>
      <c r="C10" s="1" t="s">
        <v>2347</v>
      </c>
      <c r="D10" s="1" t="s">
        <v>1961</v>
      </c>
      <c r="E10" s="13" t="s">
        <v>2138</v>
      </c>
      <c r="F10" s="1" t="s">
        <v>1866</v>
      </c>
      <c r="G10" s="1" t="s">
        <v>2258</v>
      </c>
      <c r="H10" s="1" t="s">
        <v>1868</v>
      </c>
      <c r="I10" s="4" t="str">
        <f t="shared" si="0"/>
        <v>&lt;a class="new" target="_blank" href="https://exe.io/st?api=a480072bd98881bdfc23c75aa2f815ea2428344e&amp;url=https://narmedicyna.ru/lechenie-vospaleniya-legkix-narodnymi-sredstvami/"&gt;&lt;img class="" alt=""    src="https://narmedicyna.ru/wp-content/uploads/2020/11/8TClQsdEZA9NAxW1iTqImSrL7Gq8wJ42qrCCFnCN-218x150.jpeg"&gt;&lt;span class="new_title"&gt;               Treatment of pneumonia with folk remedies Pneumonia is a rather serious disease that cannot be left without special treatment. Basic treatment should always be prescribed only by a doctor.&lt;/span&gt;&lt;/a&gt;</v>
      </c>
      <c r="J10" s="1">
        <v>9</v>
      </c>
      <c r="K10" s="1" t="str">
        <f t="shared" si="1"/>
        <v>Treatment of pneumonia with folk remedies Pneumonia is a rather serious disease that cannot be left without special treatment. Basic treatment should always be prescribed only by a doctor. https://exe.io/st?api=a480072bd98881bdfc23c75aa2f815ea2428344e&amp;url=https://narmedicyna.ru/lechenie-vospaleniya-legkix-narodnymi-sredstvami/      /////////////////////////////////////////////////</v>
      </c>
      <c r="L10" s="1" t="s">
        <v>2319</v>
      </c>
      <c r="Q10" t="s">
        <v>2202</v>
      </c>
    </row>
    <row r="11" spans="1:17" x14ac:dyDescent="0.25">
      <c r="A11" s="1">
        <v>10</v>
      </c>
      <c r="B11" s="1" t="s">
        <v>1867</v>
      </c>
      <c r="C11" s="1" t="s">
        <v>2348</v>
      </c>
      <c r="D11" s="1" t="s">
        <v>1961</v>
      </c>
      <c r="E11" s="13" t="s">
        <v>2207</v>
      </c>
      <c r="F11" s="1" t="s">
        <v>1866</v>
      </c>
      <c r="G11" s="1" t="s">
        <v>2259</v>
      </c>
      <c r="H11" s="1" t="s">
        <v>1868</v>
      </c>
      <c r="I11" s="4" t="str">
        <f t="shared" si="0"/>
        <v>&lt;a class="new" target="_blank" href="https://exe.io/st?api=a480072bd98881bdfc23c75aa2f815ea2428344e&amp;url=https://narmedicyna.ru/silikoz-legkix-lechenie-narodnymi-sredstvami/"&gt;&lt;img class="" alt=""    src="https://narmedicyna.ru/wp-content/uploads/2020/11/0-72-218x150.jpg"&gt;&lt;span class="new_title"&gt;               Pulmonary silicosis - treatment with folk remedies Pulmonary silicosis is an occupational disease that develops as a result of prolonged inhalation of dust from quartzite, granite, sandstone, etc. Symptoms of pulmonary silicosis: rare dry cough, pain in the area... &lt;/span&gt;&lt;/a&gt;</v>
      </c>
      <c r="J11" s="1">
        <v>10</v>
      </c>
      <c r="K11" s="1" t="str">
        <f t="shared" si="1"/>
        <v>Pulmonary silicosis - treatment with folk remedies Pulmonary silicosis is an occupational disease that develops as a result of prolonged inhalation of dust from quartzite, granite, sandstone, etc. Symptoms of pulmonary silicosis: rare dry cough, pain in the area...  https://exe.io/st?api=a480072bd98881bdfc23c75aa2f815ea2428344e&amp;url=https://narmedicyna.ru/silikoz-legkix-lechenie-narodnymi-sredstvami/      /////////////////////////////////////////////////</v>
      </c>
      <c r="L11" s="1" t="s">
        <v>2319</v>
      </c>
      <c r="Q11" t="s">
        <v>2206</v>
      </c>
    </row>
    <row r="12" spans="1:17" x14ac:dyDescent="0.25">
      <c r="A12" s="1">
        <v>11</v>
      </c>
      <c r="B12" s="1" t="s">
        <v>1867</v>
      </c>
      <c r="C12" s="1" t="s">
        <v>2349</v>
      </c>
      <c r="D12" s="1" t="s">
        <v>1961</v>
      </c>
      <c r="E12" s="13" t="s">
        <v>2211</v>
      </c>
      <c r="F12" s="1" t="s">
        <v>1866</v>
      </c>
      <c r="G12" s="1" t="s">
        <v>2260</v>
      </c>
      <c r="H12" s="1" t="s">
        <v>1868</v>
      </c>
      <c r="I12" s="4" t="str">
        <f t="shared" si="0"/>
        <v>&lt;a class="new" target="_blank" href="https://exe.io/st?api=a480072bd98881bdfc23c75aa2f815ea2428344e&amp;url=https://narmedicyna.ru/narodnoe-lechenie-bronxialnoj-astmy-dlya-vsex-vozrastov/"&gt;&lt;img class="" alt=""    src="https://narmedicyna.ru/wp-content/uploads/2020/11/0-75-218x150.jpg"&gt;&lt;span class="new_title"&gt;               Traditional treatment of bronchial asthma for all ages Bronchial asthma is a chronic disease in which attacks of breathlessness occur periodically. This is a rather complex disease that is difficult to treat.&lt;/span&gt;&lt;/a&gt;</v>
      </c>
      <c r="J12" s="1">
        <v>11</v>
      </c>
      <c r="K12" s="1" t="str">
        <f t="shared" si="1"/>
        <v>Traditional treatment of bronchial asthma for all ages Bronchial asthma is a chronic disease in which attacks of breathlessness occur periodically. This is a rather complex disease that is difficult to treat. https://exe.io/st?api=a480072bd98881bdfc23c75aa2f815ea2428344e&amp;url=https://narmedicyna.ru/narodnoe-lechenie-bronxialnoj-astmy-dlya-vsex-vozrastov/      /////////////////////////////////////////////////</v>
      </c>
      <c r="L12" s="1" t="s">
        <v>2319</v>
      </c>
      <c r="Q12" t="s">
        <v>2210</v>
      </c>
    </row>
    <row r="13" spans="1:17" x14ac:dyDescent="0.25">
      <c r="A13" s="1">
        <v>12</v>
      </c>
      <c r="B13" s="1" t="s">
        <v>1867</v>
      </c>
      <c r="C13" s="1" t="s">
        <v>2350</v>
      </c>
      <c r="D13" s="1" t="s">
        <v>1961</v>
      </c>
      <c r="E13" s="13" t="s">
        <v>2216</v>
      </c>
      <c r="F13" s="1" t="s">
        <v>1866</v>
      </c>
      <c r="G13" s="1" t="s">
        <v>2261</v>
      </c>
      <c r="H13" s="1" t="s">
        <v>1868</v>
      </c>
      <c r="I13" s="4" t="str">
        <f t="shared" si="0"/>
        <v>&lt;a class="new" target="_blank" href="https://exe.io/st?api=a480072bd98881bdfc23c75aa2f815ea2428344e&amp;url=https://narmedicyna.ru/lechebnoe-pitanie-pri-pnevmonii-dieta/"&gt;&lt;img class="" alt=""    src="https://narmedicyna.ru/wp-content/uploads/2020/11/0-79-218x150.jpg"&gt;&lt;span class="new_title"&gt;               Therapeutic nutrition for Pneumonia (diet) During the treatment of pneumonia, a high-calorie diet with a high content of free fluid is necessary. It is recommended to eat little and often during pneumonia.&lt;/span&gt;&lt;/a&gt;</v>
      </c>
      <c r="J13" s="1">
        <v>12</v>
      </c>
      <c r="K13" s="1" t="str">
        <f t="shared" si="1"/>
        <v>Therapeutic nutrition for Pneumonia (diet) During the treatment of pneumonia, a high-calorie diet with a high content of free fluid is necessary. It is recommended to eat little and often during pneumonia. https://exe.io/st?api=a480072bd98881bdfc23c75aa2f815ea2428344e&amp;url=https://narmedicyna.ru/lechebnoe-pitanie-pri-pnevmonii-dieta/      /////////////////////////////////////////////////</v>
      </c>
      <c r="L13" s="1" t="s">
        <v>2319</v>
      </c>
      <c r="Q13" t="s">
        <v>2215</v>
      </c>
    </row>
    <row r="14" spans="1:17" x14ac:dyDescent="0.25">
      <c r="A14" s="1">
        <v>13</v>
      </c>
      <c r="B14" s="1" t="s">
        <v>1867</v>
      </c>
      <c r="C14" s="1" t="s">
        <v>2351</v>
      </c>
      <c r="D14" s="1" t="s">
        <v>1961</v>
      </c>
      <c r="E14" s="13" t="s">
        <v>2221</v>
      </c>
      <c r="F14" s="1" t="s">
        <v>1866</v>
      </c>
      <c r="G14" s="1" t="s">
        <v>2262</v>
      </c>
      <c r="H14" s="1" t="s">
        <v>1868</v>
      </c>
      <c r="I14" s="4" t="str">
        <f t="shared" si="0"/>
        <v>&lt;a class="new" target="_blank" href="https://exe.io/st?api=a480072bd98881bdfc23c75aa2f815ea2428344e&amp;url=https://narmedicyna.ru/lechenie-abscessa-legkix-v-domashnix-usloviyax/"&gt;&lt;img class="" alt=""    src="https://narmedicyna.ru/wp-content/uploads/2012/05/abscess.jpg"&gt;&lt;span class="new_title"&gt;               Treatment of lung abscess at home Abscess is the medical name for boils or ulcers. Most often, an abscess occurs as a result of microflora invasion.&lt;/span&gt;&lt;/a&gt;</v>
      </c>
      <c r="J14" s="1">
        <v>13</v>
      </c>
      <c r="K14" s="1" t="str">
        <f t="shared" si="1"/>
        <v>Treatment of lung abscess at home Abscess is the medical name for boils or ulcers. Most often, an abscess occurs as a result of microflora invasion. https://exe.io/st?api=a480072bd98881bdfc23c75aa2f815ea2428344e&amp;url=https://narmedicyna.ru/lechenie-abscessa-legkix-v-domashnix-usloviyax/      /////////////////////////////////////////////////</v>
      </c>
      <c r="L14" s="1" t="s">
        <v>2319</v>
      </c>
      <c r="Q14" t="s">
        <v>2220</v>
      </c>
    </row>
    <row r="15" spans="1:17" x14ac:dyDescent="0.25">
      <c r="A15" s="1">
        <v>14</v>
      </c>
      <c r="B15" s="1" t="s">
        <v>1867</v>
      </c>
      <c r="C15" s="1" t="s">
        <v>2352</v>
      </c>
      <c r="D15" s="1" t="s">
        <v>1961</v>
      </c>
      <c r="E15" s="13" t="s">
        <v>2138</v>
      </c>
      <c r="F15" s="1" t="s">
        <v>1866</v>
      </c>
      <c r="G15" s="1" t="s">
        <v>2263</v>
      </c>
      <c r="H15" s="1" t="s">
        <v>1868</v>
      </c>
      <c r="I15" s="4" t="str">
        <f t="shared" si="0"/>
        <v>&lt;a class="new" target="_blank" href="https://exe.io/st?api=a480072bd98881bdfc23c75aa2f815ea2428344e&amp;url=https://narmedicyna.ru/lechenie-pnevmonii-v-domashnix-usloviyax/"&gt;&lt;img class="" alt=""    src="https://narmedicyna.ru/wp-content/uploads/2020/11/8TClQsdEZA9NAxW1iTqImSrL7Gq8wJ42qrCCFnCN-218x150.jpeg"&gt;&lt;span class="new_title"&gt;               Treating pneumonia at home Pneumonia is a disease of the lungs. It can occur as an independent disease or as a complication.&lt;/span&gt;&lt;/a&gt;</v>
      </c>
      <c r="J15" s="1">
        <v>14</v>
      </c>
      <c r="K15" s="1" t="str">
        <f t="shared" si="1"/>
        <v>Treating pneumonia at home Pneumonia is a disease of the lungs. It can occur as an independent disease or as a complication. https://exe.io/st?api=a480072bd98881bdfc23c75aa2f815ea2428344e&amp;url=https://narmedicyna.ru/lechenie-pnevmonii-v-domashnix-usloviyax/      /////////////////////////////////////////////////</v>
      </c>
      <c r="L15" s="1" t="s">
        <v>2319</v>
      </c>
      <c r="Q15" t="s">
        <v>2225</v>
      </c>
    </row>
    <row r="16" spans="1:17" x14ac:dyDescent="0.25">
      <c r="A16" s="1">
        <v>15</v>
      </c>
      <c r="B16" s="1" t="s">
        <v>1867</v>
      </c>
      <c r="C16" s="1" t="s">
        <v>2353</v>
      </c>
      <c r="D16" s="1" t="s">
        <v>1961</v>
      </c>
      <c r="E16" s="13" t="s">
        <v>2138</v>
      </c>
      <c r="F16" s="1" t="s">
        <v>1866</v>
      </c>
      <c r="G16" s="1" t="s">
        <v>2264</v>
      </c>
      <c r="H16" s="1" t="s">
        <v>1868</v>
      </c>
      <c r="I16" s="4" t="str">
        <f t="shared" si="0"/>
        <v>&lt;a class="new" target="_blank" href="https://exe.io/st?api=a480072bd98881bdfc23c75aa2f815ea2428344e&amp;url=https://narmedicyna.ru/plevrit-simptomy-i-narodnoe-lechenie/"&gt;&lt;img class="" alt=""    src="https://narmedicyna.ru/wp-content/uploads/2020/11/8TClQsdEZA9NAxW1iTqImSrL7Gq8wJ42qrCCFnCN-218x150.jpeg"&gt;&lt;span class="new_title"&gt;               Pleurisy - symptoms and alternative treatment Pleurisy is a disease in which the pleura becomes inflamed. Most often it appears as a complication of another disease (for example: heart attack, gangrene, pneumonia, etc.).&lt;/span&gt;&lt;/a&gt;</v>
      </c>
      <c r="J16" s="1">
        <v>15</v>
      </c>
      <c r="K16" s="1" t="str">
        <f t="shared" si="1"/>
        <v>Pleurisy - symptoms and alternative treatment Pleurisy is a disease in which the pleura becomes inflamed. Most often it appears as a complication of another disease (for example: heart attack, gangrene, pneumonia, etc.). https://exe.io/st?api=a480072bd98881bdfc23c75aa2f815ea2428344e&amp;url=https://narmedicyna.ru/plevrit-simptomy-i-narodnoe-lechenie/      /////////////////////////////////////////////////</v>
      </c>
      <c r="L16" s="1" t="s">
        <v>2319</v>
      </c>
      <c r="Q16" t="s">
        <v>2229</v>
      </c>
    </row>
    <row r="17" spans="1:17" x14ac:dyDescent="0.25">
      <c r="A17" s="1">
        <v>16</v>
      </c>
      <c r="B17" s="1" t="s">
        <v>1867</v>
      </c>
      <c r="C17" s="1" t="s">
        <v>2354</v>
      </c>
      <c r="D17" s="1" t="s">
        <v>1961</v>
      </c>
      <c r="E17" s="13" t="s">
        <v>2234</v>
      </c>
      <c r="F17" s="1" t="s">
        <v>1866</v>
      </c>
      <c r="G17" s="1" t="s">
        <v>2265</v>
      </c>
      <c r="H17" s="1" t="s">
        <v>1868</v>
      </c>
      <c r="I17" s="4" t="str">
        <f t="shared" si="0"/>
        <v>&lt;a class="new" target="_blank" href="https://exe.io/st?api=a480072bd98881bdfc23c75aa2f815ea2428344e&amp;url=https://narmedicyna.ru/kashel-lechenie-dlya-vsex/"&gt;&lt;img class="" alt=""    src="https://narmedicyna.ru/wp-content/uploads/2010/03/kashel.jpg"&gt;&lt;span class="new_title"&gt;               Cough - treatment for everyone If you or your child are bothered by a cough, the folk remedies discussed below will help cure it, which can be used at any time convenient for you... &lt;/span&gt;&lt;/a&gt;</v>
      </c>
      <c r="J17" s="1">
        <v>16</v>
      </c>
      <c r="K17" s="1" t="str">
        <f t="shared" si="1"/>
        <v>Cough - treatment for everyone If you or your child are bothered by a cough, the folk remedies discussed below will help cure it, which can be used at any time convenient for you...  https://exe.io/st?api=a480072bd98881bdfc23c75aa2f815ea2428344e&amp;url=https://narmedicyna.ru/kashel-lechenie-dlya-vsex/      /////////////////////////////////////////////////</v>
      </c>
      <c r="L17" s="1" t="s">
        <v>2319</v>
      </c>
      <c r="Q17" t="s">
        <v>2233</v>
      </c>
    </row>
    <row r="18" spans="1:17" x14ac:dyDescent="0.25">
      <c r="A18" s="1">
        <v>17</v>
      </c>
      <c r="B18" s="1" t="s">
        <v>1867</v>
      </c>
      <c r="C18" s="1" t="s">
        <v>2355</v>
      </c>
      <c r="D18" s="1" t="s">
        <v>1961</v>
      </c>
      <c r="E18" s="13" t="s">
        <v>2138</v>
      </c>
      <c r="F18" s="1" t="s">
        <v>1866</v>
      </c>
      <c r="G18" s="1" t="s">
        <v>2266</v>
      </c>
      <c r="H18" s="1" t="s">
        <v>1868</v>
      </c>
      <c r="I18" s="4" t="str">
        <f t="shared" si="0"/>
        <v>&lt;a class="new" target="_blank" href="https://exe.io/st?api=a480072bd98881bdfc23c75aa2f815ea2428344e&amp;url=https://narmedicyna.ru/universalnoe-lecheniya-bronxita-i-bolnyx-sustavov/"&gt;&lt;img class="" alt=""    src="https://narmedicyna.ru/wp-content/uploads/2020/11/8TClQsdEZA9NAxW1iTqImSrL7Gq8wJ42qrCCFnCN-218x150.jpeg"&gt;&lt;span class="new_title"&gt;               Universal treatment of bronchitis and painful joints In folk medicine, there are often universal remedies that can treat several diseases at once. An example of this is compresses made from garlic and butter.&lt;/span&gt;&lt;/a&gt;</v>
      </c>
      <c r="J18" s="1">
        <v>17</v>
      </c>
      <c r="K18" s="1" t="str">
        <f t="shared" si="1"/>
        <v>Universal treatment of bronchitis and painful joints In folk medicine, there are often universal remedies that can treat several diseases at once. An example of this is compresses made from garlic and butter. https://exe.io/st?api=a480072bd98881bdfc23c75aa2f815ea2428344e&amp;url=https://narmedicyna.ru/universalnoe-lecheniya-bronxita-i-bolnyx-sustavov/      /////////////////////////////////////////////////</v>
      </c>
      <c r="L18" s="1" t="s">
        <v>2319</v>
      </c>
      <c r="Q18" t="s">
        <v>2237</v>
      </c>
    </row>
    <row r="19" spans="1:17" x14ac:dyDescent="0.25">
      <c r="A19" s="1">
        <v>18</v>
      </c>
      <c r="B19" s="1" t="s">
        <v>1867</v>
      </c>
      <c r="C19" s="1" t="s">
        <v>2356</v>
      </c>
      <c r="D19" s="1" t="s">
        <v>1961</v>
      </c>
      <c r="E19" s="13" t="s">
        <v>2242</v>
      </c>
      <c r="F19" s="1" t="s">
        <v>1866</v>
      </c>
      <c r="G19" s="1" t="s">
        <v>2267</v>
      </c>
      <c r="H19" s="1" t="s">
        <v>1868</v>
      </c>
      <c r="I19" s="4" t="str">
        <f t="shared" si="0"/>
        <v>&lt;a class="new" target="_blank" href="https://exe.io/st?api=a480072bd98881bdfc23c75aa2f815ea2428344e&amp;url=https://narmedicyna.ru/bronxit-lechenie-narodnymi-sredstvami/"&gt;&lt;img class="" alt=""    src="https://narmedicyna.ru/wp-content/uploads/2020/11/0-186-218x150.jpg"&gt;&lt;span class="new_title"&gt;               Bronchitis - treatment with folk remedies For bronchitis, the best traditional treatment is all kinds of warming and therapeutic compresses. Therefore, we offer you folk remedies for the treatment of bronchitis.&lt;/span&gt;&lt;/a&gt;</v>
      </c>
      <c r="J19" s="1">
        <v>18</v>
      </c>
      <c r="K19" s="1" t="str">
        <f t="shared" si="1"/>
        <v>Bronchitis - treatment with folk remedies For bronchitis, the best traditional treatment is all kinds of warming and therapeutic compresses. Therefore, we offer you folk remedies for the treatment of bronchitis. https://exe.io/st?api=a480072bd98881bdfc23c75aa2f815ea2428344e&amp;url=https://narmedicyna.ru/bronxit-lechenie-narodnymi-sredstvami/      /////////////////////////////////////////////////</v>
      </c>
      <c r="L19" s="1" t="s">
        <v>2319</v>
      </c>
      <c r="Q19" t="s">
        <v>2241</v>
      </c>
    </row>
    <row r="20" spans="1:17" x14ac:dyDescent="0.25">
      <c r="A20" s="1">
        <v>19</v>
      </c>
      <c r="B20" s="1" t="s">
        <v>1867</v>
      </c>
      <c r="C20" s="1" t="s">
        <v>2357</v>
      </c>
      <c r="D20" s="1" t="s">
        <v>1961</v>
      </c>
      <c r="E20" s="13" t="s">
        <v>2138</v>
      </c>
      <c r="F20" s="1" t="s">
        <v>1866</v>
      </c>
      <c r="G20" s="1" t="s">
        <v>2268</v>
      </c>
      <c r="H20" s="1" t="s">
        <v>1868</v>
      </c>
      <c r="I20" s="4" t="str">
        <f t="shared" si="0"/>
        <v>&lt;a class="new" target="_blank" href="https://exe.io/st?api=a480072bd98881bdfc23c75aa2f815ea2428344e&amp;url=https://narmedicyna.ru/lechim-tuberkulez/"&gt;&lt;img class="" alt=""    src="https://narmedicyna.ru/wp-content/uploads/2020/11/8TClQsdEZA9NAxW1iTqImSrL7Gq8wJ42qrCCFnCN-218x150.jpeg"&gt;&lt;span class="new_title"&gt;               Treatment of tuberculosis with folk remedies We offer you methods of treating tuberculosis with folk remedies at home. Contents: 1. Aloe 2. Honey 3. Birch leaves 4. Black radish 5. Propolis Aloe Take a champagne bottle, crumble aloe into it, add...&lt;/span&gt;&lt;/a&gt;</v>
      </c>
      <c r="J20" s="1">
        <v>19</v>
      </c>
      <c r="K20" s="1" t="str">
        <f t="shared" si="1"/>
        <v>Treatment of tuberculosis with folk remedies We offer you methods of treating tuberculosis with folk remedies at home. Contents: 1. Aloe 2. Honey 3. Birch leaves 4. Black radish 5. Propolis Aloe Take a champagne bottle, crumble aloe into it, add... https://exe.io/st?api=a480072bd98881bdfc23c75aa2f815ea2428344e&amp;url=https://narmedicyna.ru/lechim-tuberkulez/      /////////////////////////////////////////////////</v>
      </c>
      <c r="L20" s="1" t="s">
        <v>2319</v>
      </c>
      <c r="Q20" t="s">
        <v>2246</v>
      </c>
    </row>
    <row r="21" spans="1:17" x14ac:dyDescent="0.25">
      <c r="C21" t="s">
        <v>2358</v>
      </c>
    </row>
    <row r="28" spans="1:17" x14ac:dyDescent="0.25">
      <c r="M28" t="s">
        <v>2320</v>
      </c>
    </row>
    <row r="29" spans="1:17" x14ac:dyDescent="0.25">
      <c r="M29" t="s">
        <v>2321</v>
      </c>
    </row>
    <row r="30" spans="1:17" x14ac:dyDescent="0.25">
      <c r="M30" t="s">
        <v>2322</v>
      </c>
    </row>
    <row r="31" spans="1:17" x14ac:dyDescent="0.25">
      <c r="M31" t="s">
        <v>2323</v>
      </c>
    </row>
    <row r="32" spans="1:17" x14ac:dyDescent="0.25">
      <c r="M32" t="s">
        <v>2324</v>
      </c>
    </row>
    <row r="33" spans="13:13" x14ac:dyDescent="0.25">
      <c r="M33" t="s">
        <v>2325</v>
      </c>
    </row>
    <row r="34" spans="13:13" x14ac:dyDescent="0.25">
      <c r="M34" t="s">
        <v>2326</v>
      </c>
    </row>
    <row r="35" spans="13:13" x14ac:dyDescent="0.25">
      <c r="M35" t="s">
        <v>2327</v>
      </c>
    </row>
    <row r="36" spans="13:13" x14ac:dyDescent="0.25">
      <c r="M36" t="s">
        <v>2328</v>
      </c>
    </row>
    <row r="37" spans="13:13" x14ac:dyDescent="0.25">
      <c r="M37" t="s">
        <v>2329</v>
      </c>
    </row>
    <row r="38" spans="13:13" x14ac:dyDescent="0.25">
      <c r="M38" t="s">
        <v>2330</v>
      </c>
    </row>
    <row r="39" spans="13:13" x14ac:dyDescent="0.25">
      <c r="M39" t="s">
        <v>2331</v>
      </c>
    </row>
    <row r="40" spans="13:13" x14ac:dyDescent="0.25">
      <c r="M40" t="s">
        <v>2332</v>
      </c>
    </row>
    <row r="41" spans="13:13" x14ac:dyDescent="0.25">
      <c r="M41" t="s">
        <v>2319</v>
      </c>
    </row>
    <row r="42" spans="13:13" x14ac:dyDescent="0.25">
      <c r="M42" t="s">
        <v>2333</v>
      </c>
    </row>
    <row r="43" spans="13:13" x14ac:dyDescent="0.25">
      <c r="M43" t="s">
        <v>2334</v>
      </c>
    </row>
    <row r="44" spans="13:13" x14ac:dyDescent="0.25">
      <c r="M44" t="s">
        <v>2319</v>
      </c>
    </row>
    <row r="45" spans="13:13" x14ac:dyDescent="0.25">
      <c r="M45" t="s">
        <v>2335</v>
      </c>
    </row>
    <row r="46" spans="13:13" x14ac:dyDescent="0.25">
      <c r="M46" t="s">
        <v>2336</v>
      </c>
    </row>
    <row r="47" spans="13:13" x14ac:dyDescent="0.25">
      <c r="M47" t="s">
        <v>2337</v>
      </c>
    </row>
    <row r="48" spans="13:13" x14ac:dyDescent="0.25">
      <c r="M48" t="s">
        <v>2338</v>
      </c>
    </row>
    <row r="49" spans="13:13" x14ac:dyDescent="0.25">
      <c r="M49" t="s">
        <v>2319</v>
      </c>
    </row>
  </sheetData>
  <hyperlinks>
    <hyperlink ref="E2" r:id="rId1" display="https://narmedicyna.ru/wp-content/uploads/2021/10/pediatr-218x150.jpg"/>
  </hyperlinks>
  <pageMargins left="0.7" right="0.7" top="0.75" bottom="0.75" header="0.3" footer="0.3"/>
  <pageSetup paperSize="9" orientation="portrait" verticalDpi="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0"/>
  <sheetViews>
    <sheetView workbookViewId="0"/>
  </sheetViews>
  <sheetFormatPr defaultRowHeight="15" x14ac:dyDescent="0.25"/>
  <cols>
    <col min="1" max="1" width="9.140625" customWidth="1"/>
    <col min="9" max="9" width="9.140625" customWidth="1"/>
  </cols>
  <sheetData>
    <row r="1" spans="1:1" x14ac:dyDescent="0.25">
      <c r="A1" s="2" t="s">
        <v>2270</v>
      </c>
    </row>
    <row r="2" spans="1:1" x14ac:dyDescent="0.25">
      <c r="A2" t="s">
        <v>2271</v>
      </c>
    </row>
    <row r="3" spans="1:1" x14ac:dyDescent="0.25">
      <c r="A3" t="s">
        <v>2089</v>
      </c>
    </row>
    <row r="4" spans="1:1" x14ac:dyDescent="0.25">
      <c r="A4" t="s">
        <v>2092</v>
      </c>
    </row>
    <row r="5" spans="1:1" x14ac:dyDescent="0.25">
      <c r="A5" t="s">
        <v>2095</v>
      </c>
    </row>
    <row r="6" spans="1:1" x14ac:dyDescent="0.25">
      <c r="A6" t="s">
        <v>2098</v>
      </c>
    </row>
    <row r="7" spans="1:1" x14ac:dyDescent="0.25">
      <c r="A7" t="s">
        <v>2101</v>
      </c>
    </row>
    <row r="8" spans="1:1" x14ac:dyDescent="0.25">
      <c r="A8" t="s">
        <v>2104</v>
      </c>
    </row>
    <row r="9" spans="1:1" x14ac:dyDescent="0.25">
      <c r="A9" t="s">
        <v>2107</v>
      </c>
    </row>
    <row r="10" spans="1:1" x14ac:dyDescent="0.25">
      <c r="A10" t="s">
        <v>2110</v>
      </c>
    </row>
    <row r="11" spans="1:1" x14ac:dyDescent="0.25">
      <c r="A11" t="s">
        <v>2113</v>
      </c>
    </row>
    <row r="12" spans="1:1" x14ac:dyDescent="0.25">
      <c r="A12" t="s">
        <v>2116</v>
      </c>
    </row>
    <row r="13" spans="1:1" x14ac:dyDescent="0.25">
      <c r="A13" t="s">
        <v>2119</v>
      </c>
    </row>
    <row r="14" spans="1:1" x14ac:dyDescent="0.25">
      <c r="A14" t="s">
        <v>2122</v>
      </c>
    </row>
    <row r="15" spans="1:1" x14ac:dyDescent="0.25">
      <c r="A15" t="s">
        <v>2125</v>
      </c>
    </row>
    <row r="16" spans="1:1" x14ac:dyDescent="0.25">
      <c r="A16" t="s">
        <v>2128</v>
      </c>
    </row>
    <row r="17" spans="1:1" x14ac:dyDescent="0.25">
      <c r="A17" t="s">
        <v>2131</v>
      </c>
    </row>
    <row r="18" spans="1:1" x14ac:dyDescent="0.25">
      <c r="A18" t="s">
        <v>2134</v>
      </c>
    </row>
    <row r="19" spans="1:1" x14ac:dyDescent="0.25">
      <c r="A19" t="s">
        <v>2137</v>
      </c>
    </row>
    <row r="20" spans="1:1" x14ac:dyDescent="0.25">
      <c r="A20" t="s">
        <v>2140</v>
      </c>
    </row>
  </sheetData>
  <hyperlinks>
    <hyperlink ref="A1" r:id="rId1" display="https://exe.io/st?api=a480072bd98881bdfc23c75aa2f815ea2428344e&amp;url=https://narmedicyna.ru/kontaktnye"/>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1"/>
  <sheetViews>
    <sheetView workbookViewId="0">
      <selection activeCell="A19" sqref="A19"/>
    </sheetView>
  </sheetViews>
  <sheetFormatPr defaultRowHeight="15" x14ac:dyDescent="0.25"/>
  <cols>
    <col min="1" max="1" width="102.28515625" customWidth="1"/>
  </cols>
  <sheetData>
    <row r="1" spans="1:3" x14ac:dyDescent="0.25">
      <c r="A1" t="s">
        <v>2293</v>
      </c>
      <c r="B1" t="s">
        <v>2294</v>
      </c>
      <c r="C1" t="s">
        <v>2295</v>
      </c>
    </row>
    <row r="2" spans="1:3" x14ac:dyDescent="0.25">
      <c r="A2" t="s">
        <v>2296</v>
      </c>
      <c r="B2" t="s">
        <v>2084</v>
      </c>
      <c r="C2" t="s">
        <v>2142</v>
      </c>
    </row>
    <row r="3" spans="1:3" x14ac:dyDescent="0.25">
      <c r="A3" t="s">
        <v>2297</v>
      </c>
      <c r="B3" t="s">
        <v>2087</v>
      </c>
      <c r="C3" t="s">
        <v>2143</v>
      </c>
    </row>
    <row r="4" spans="1:3" x14ac:dyDescent="0.25">
      <c r="A4" t="s">
        <v>2298</v>
      </c>
      <c r="B4" t="s">
        <v>2090</v>
      </c>
      <c r="C4" t="s">
        <v>2144</v>
      </c>
    </row>
    <row r="5" spans="1:3" x14ac:dyDescent="0.25">
      <c r="A5" t="s">
        <v>2299</v>
      </c>
      <c r="B5" t="s">
        <v>2093</v>
      </c>
      <c r="C5" t="s">
        <v>2145</v>
      </c>
    </row>
    <row r="6" spans="1:3" x14ac:dyDescent="0.25">
      <c r="A6" t="s">
        <v>2300</v>
      </c>
      <c r="B6" t="s">
        <v>2096</v>
      </c>
      <c r="C6" t="s">
        <v>2146</v>
      </c>
    </row>
    <row r="7" spans="1:3" x14ac:dyDescent="0.25">
      <c r="A7" t="s">
        <v>2301</v>
      </c>
      <c r="B7" t="s">
        <v>2099</v>
      </c>
      <c r="C7" t="s">
        <v>2302</v>
      </c>
    </row>
    <row r="8" spans="1:3" x14ac:dyDescent="0.25">
      <c r="A8" t="s">
        <v>2303</v>
      </c>
      <c r="B8" t="s">
        <v>2102</v>
      </c>
      <c r="C8" t="s">
        <v>2148</v>
      </c>
    </row>
    <row r="9" spans="1:3" x14ac:dyDescent="0.25">
      <c r="A9" t="s">
        <v>2304</v>
      </c>
      <c r="B9" t="s">
        <v>2105</v>
      </c>
      <c r="C9" t="s">
        <v>2305</v>
      </c>
    </row>
    <row r="10" spans="1:3" x14ac:dyDescent="0.25">
      <c r="A10" t="s">
        <v>2306</v>
      </c>
      <c r="B10" t="s">
        <v>2108</v>
      </c>
      <c r="C10" t="s">
        <v>2150</v>
      </c>
    </row>
    <row r="11" spans="1:3" x14ac:dyDescent="0.25">
      <c r="A11" t="s">
        <v>2307</v>
      </c>
      <c r="B11" t="s">
        <v>2111</v>
      </c>
      <c r="C11" t="s">
        <v>2151</v>
      </c>
    </row>
    <row r="12" spans="1:3" x14ac:dyDescent="0.25">
      <c r="A12" t="s">
        <v>2308</v>
      </c>
      <c r="B12" t="s">
        <v>2114</v>
      </c>
      <c r="C12" t="s">
        <v>2152</v>
      </c>
    </row>
    <row r="13" spans="1:3" x14ac:dyDescent="0.25">
      <c r="A13" t="s">
        <v>2309</v>
      </c>
      <c r="B13" t="s">
        <v>2117</v>
      </c>
      <c r="C13" t="s">
        <v>2153</v>
      </c>
    </row>
    <row r="14" spans="1:3" x14ac:dyDescent="0.25">
      <c r="A14" t="s">
        <v>2310</v>
      </c>
      <c r="B14" t="s">
        <v>2120</v>
      </c>
      <c r="C14" t="s">
        <v>2154</v>
      </c>
    </row>
    <row r="15" spans="1:3" x14ac:dyDescent="0.25">
      <c r="A15" t="s">
        <v>2311</v>
      </c>
      <c r="B15" t="s">
        <v>2123</v>
      </c>
      <c r="C15" t="s">
        <v>2155</v>
      </c>
    </row>
    <row r="16" spans="1:3" x14ac:dyDescent="0.25">
      <c r="A16" t="s">
        <v>2312</v>
      </c>
      <c r="B16" t="s">
        <v>2126</v>
      </c>
      <c r="C16" t="s">
        <v>2313</v>
      </c>
    </row>
    <row r="17" spans="1:3" x14ac:dyDescent="0.25">
      <c r="A17" t="s">
        <v>2314</v>
      </c>
      <c r="B17" t="s">
        <v>2129</v>
      </c>
      <c r="C17" t="s">
        <v>2157</v>
      </c>
    </row>
    <row r="18" spans="1:3" x14ac:dyDescent="0.25">
      <c r="A18" t="s">
        <v>2315</v>
      </c>
      <c r="B18" t="s">
        <v>2132</v>
      </c>
      <c r="C18" t="s">
        <v>2158</v>
      </c>
    </row>
    <row r="19" spans="1:3" x14ac:dyDescent="0.25">
      <c r="A19" s="2" t="s">
        <v>2316</v>
      </c>
      <c r="B19" t="s">
        <v>2135</v>
      </c>
      <c r="C19" t="s">
        <v>2159</v>
      </c>
    </row>
    <row r="20" spans="1:3" x14ac:dyDescent="0.25">
      <c r="A20" t="s">
        <v>2317</v>
      </c>
      <c r="B20" t="s">
        <v>2138</v>
      </c>
      <c r="C20" t="s">
        <v>2160</v>
      </c>
    </row>
    <row r="21" spans="1:3" x14ac:dyDescent="0.25">
      <c r="A21" t="s">
        <v>2318</v>
      </c>
      <c r="B21" t="s">
        <v>2138</v>
      </c>
      <c r="C21" t="s">
        <v>2161</v>
      </c>
    </row>
  </sheetData>
  <hyperlinks>
    <hyperlink ref="A19" r:id="rId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E91"/>
  <sheetViews>
    <sheetView workbookViewId="0">
      <selection activeCell="D3" sqref="D3:D91"/>
    </sheetView>
  </sheetViews>
  <sheetFormatPr defaultRowHeight="15" x14ac:dyDescent="0.25"/>
  <cols>
    <col min="1" max="1" width="9.140625" style="1"/>
  </cols>
  <sheetData>
    <row r="3" spans="1:5" x14ac:dyDescent="0.25">
      <c r="A3" s="1">
        <v>1</v>
      </c>
      <c r="B3" t="s">
        <v>2360</v>
      </c>
      <c r="C3" t="s">
        <v>2361</v>
      </c>
      <c r="D3" t="s">
        <v>2362</v>
      </c>
      <c r="E3" t="s">
        <v>2627</v>
      </c>
    </row>
    <row r="4" spans="1:5" x14ac:dyDescent="0.25">
      <c r="A4" s="1">
        <v>2</v>
      </c>
      <c r="B4" t="s">
        <v>2363</v>
      </c>
      <c r="C4" t="s">
        <v>2364</v>
      </c>
      <c r="D4" t="s">
        <v>2365</v>
      </c>
      <c r="E4" t="s">
        <v>2628</v>
      </c>
    </row>
    <row r="5" spans="1:5" x14ac:dyDescent="0.25">
      <c r="A5" s="1">
        <v>3</v>
      </c>
      <c r="B5" t="s">
        <v>2366</v>
      </c>
      <c r="C5" t="s">
        <v>2367</v>
      </c>
      <c r="D5" t="s">
        <v>2368</v>
      </c>
      <c r="E5" t="s">
        <v>2629</v>
      </c>
    </row>
    <row r="6" spans="1:5" x14ac:dyDescent="0.25">
      <c r="A6" s="1">
        <v>4</v>
      </c>
      <c r="B6" t="s">
        <v>2369</v>
      </c>
      <c r="C6" t="s">
        <v>2370</v>
      </c>
      <c r="D6" t="s">
        <v>2371</v>
      </c>
      <c r="E6" t="s">
        <v>2630</v>
      </c>
    </row>
    <row r="7" spans="1:5" x14ac:dyDescent="0.25">
      <c r="A7" s="1">
        <v>5</v>
      </c>
      <c r="B7" t="s">
        <v>2372</v>
      </c>
      <c r="C7" t="s">
        <v>2373</v>
      </c>
      <c r="D7" t="s">
        <v>2374</v>
      </c>
      <c r="E7" t="s">
        <v>2631</v>
      </c>
    </row>
    <row r="8" spans="1:5" x14ac:dyDescent="0.25">
      <c r="A8" s="1">
        <v>6</v>
      </c>
      <c r="B8" t="s">
        <v>2375</v>
      </c>
      <c r="C8" t="s">
        <v>2376</v>
      </c>
      <c r="D8" t="s">
        <v>2377</v>
      </c>
      <c r="E8" t="s">
        <v>2632</v>
      </c>
    </row>
    <row r="9" spans="1:5" x14ac:dyDescent="0.25">
      <c r="A9" s="1">
        <v>7</v>
      </c>
      <c r="B9" t="s">
        <v>2378</v>
      </c>
      <c r="C9" t="s">
        <v>2379</v>
      </c>
      <c r="D9" t="s">
        <v>2380</v>
      </c>
      <c r="E9" t="s">
        <v>2633</v>
      </c>
    </row>
    <row r="10" spans="1:5" x14ac:dyDescent="0.25">
      <c r="A10" s="1">
        <v>8</v>
      </c>
      <c r="B10" t="s">
        <v>2381</v>
      </c>
      <c r="C10" t="s">
        <v>2382</v>
      </c>
      <c r="D10" t="s">
        <v>2383</v>
      </c>
      <c r="E10" t="s">
        <v>2634</v>
      </c>
    </row>
    <row r="11" spans="1:5" x14ac:dyDescent="0.25">
      <c r="A11" s="1">
        <v>9</v>
      </c>
      <c r="B11" t="s">
        <v>2384</v>
      </c>
      <c r="C11" t="s">
        <v>2385</v>
      </c>
      <c r="D11" t="s">
        <v>2386</v>
      </c>
      <c r="E11" t="s">
        <v>2635</v>
      </c>
    </row>
    <row r="12" spans="1:5" x14ac:dyDescent="0.25">
      <c r="A12" s="1">
        <v>10</v>
      </c>
      <c r="B12" t="s">
        <v>2387</v>
      </c>
      <c r="C12" t="s">
        <v>2388</v>
      </c>
      <c r="D12" t="s">
        <v>2389</v>
      </c>
      <c r="E12" t="s">
        <v>2636</v>
      </c>
    </row>
    <row r="13" spans="1:5" x14ac:dyDescent="0.25">
      <c r="A13" s="1">
        <v>11</v>
      </c>
      <c r="B13" t="s">
        <v>2390</v>
      </c>
      <c r="C13" t="s">
        <v>2391</v>
      </c>
      <c r="D13" t="s">
        <v>2392</v>
      </c>
      <c r="E13" t="s">
        <v>2637</v>
      </c>
    </row>
    <row r="14" spans="1:5" x14ac:dyDescent="0.25">
      <c r="A14" s="1">
        <v>12</v>
      </c>
      <c r="B14" t="s">
        <v>2393</v>
      </c>
      <c r="C14" t="s">
        <v>2394</v>
      </c>
      <c r="D14" t="s">
        <v>2395</v>
      </c>
      <c r="E14" t="s">
        <v>2638</v>
      </c>
    </row>
    <row r="15" spans="1:5" x14ac:dyDescent="0.25">
      <c r="A15" s="1">
        <v>13</v>
      </c>
      <c r="B15" t="s">
        <v>2396</v>
      </c>
      <c r="C15" t="s">
        <v>2397</v>
      </c>
      <c r="D15" t="s">
        <v>2398</v>
      </c>
      <c r="E15" t="s">
        <v>2639</v>
      </c>
    </row>
    <row r="16" spans="1:5" x14ac:dyDescent="0.25">
      <c r="A16" s="1">
        <v>14</v>
      </c>
      <c r="B16" t="s">
        <v>2399</v>
      </c>
      <c r="C16" t="s">
        <v>2400</v>
      </c>
      <c r="D16" t="s">
        <v>2401</v>
      </c>
      <c r="E16" t="s">
        <v>2640</v>
      </c>
    </row>
    <row r="17" spans="1:5" x14ac:dyDescent="0.25">
      <c r="A17" s="1">
        <v>15</v>
      </c>
      <c r="B17" t="s">
        <v>2402</v>
      </c>
      <c r="C17" t="s">
        <v>2403</v>
      </c>
      <c r="D17" t="s">
        <v>2404</v>
      </c>
      <c r="E17" t="s">
        <v>2641</v>
      </c>
    </row>
    <row r="18" spans="1:5" x14ac:dyDescent="0.25">
      <c r="A18" s="1">
        <v>16</v>
      </c>
      <c r="B18" t="s">
        <v>2405</v>
      </c>
      <c r="C18" t="s">
        <v>2406</v>
      </c>
      <c r="D18" t="s">
        <v>2407</v>
      </c>
      <c r="E18" t="s">
        <v>2642</v>
      </c>
    </row>
    <row r="19" spans="1:5" x14ac:dyDescent="0.25">
      <c r="A19" s="1">
        <v>17</v>
      </c>
      <c r="B19" t="s">
        <v>2408</v>
      </c>
      <c r="C19" t="s">
        <v>2409</v>
      </c>
      <c r="D19" t="s">
        <v>2410</v>
      </c>
      <c r="E19" t="s">
        <v>2643</v>
      </c>
    </row>
    <row r="20" spans="1:5" x14ac:dyDescent="0.25">
      <c r="A20" s="1">
        <v>18</v>
      </c>
      <c r="B20" t="s">
        <v>2411</v>
      </c>
      <c r="C20" t="s">
        <v>2412</v>
      </c>
      <c r="D20" t="s">
        <v>2413</v>
      </c>
      <c r="E20" t="s">
        <v>2644</v>
      </c>
    </row>
    <row r="21" spans="1:5" x14ac:dyDescent="0.25">
      <c r="A21" s="1">
        <v>19</v>
      </c>
      <c r="B21" t="s">
        <v>2414</v>
      </c>
      <c r="C21" t="s">
        <v>2415</v>
      </c>
      <c r="D21" t="s">
        <v>2416</v>
      </c>
      <c r="E21" t="s">
        <v>2645</v>
      </c>
    </row>
    <row r="22" spans="1:5" x14ac:dyDescent="0.25">
      <c r="A22" s="1">
        <v>20</v>
      </c>
      <c r="B22" t="s">
        <v>2417</v>
      </c>
      <c r="C22" t="s">
        <v>2418</v>
      </c>
      <c r="D22" t="s">
        <v>2419</v>
      </c>
      <c r="E22" t="s">
        <v>2646</v>
      </c>
    </row>
    <row r="23" spans="1:5" x14ac:dyDescent="0.25">
      <c r="A23" s="1">
        <v>21</v>
      </c>
      <c r="B23" t="s">
        <v>2420</v>
      </c>
      <c r="C23" t="s">
        <v>2421</v>
      </c>
      <c r="D23" t="s">
        <v>2422</v>
      </c>
      <c r="E23" t="s">
        <v>2647</v>
      </c>
    </row>
    <row r="24" spans="1:5" x14ac:dyDescent="0.25">
      <c r="A24" s="1">
        <v>22</v>
      </c>
      <c r="B24" t="s">
        <v>2423</v>
      </c>
      <c r="C24" t="s">
        <v>2424</v>
      </c>
      <c r="D24" t="s">
        <v>2425</v>
      </c>
      <c r="E24" t="s">
        <v>2648</v>
      </c>
    </row>
    <row r="25" spans="1:5" x14ac:dyDescent="0.25">
      <c r="A25" s="1">
        <v>23</v>
      </c>
      <c r="B25" t="s">
        <v>2426</v>
      </c>
      <c r="C25" t="s">
        <v>2427</v>
      </c>
      <c r="D25" t="s">
        <v>2428</v>
      </c>
      <c r="E25" t="s">
        <v>2649</v>
      </c>
    </row>
    <row r="26" spans="1:5" x14ac:dyDescent="0.25">
      <c r="A26" s="1">
        <v>24</v>
      </c>
      <c r="B26" t="s">
        <v>2429</v>
      </c>
      <c r="C26" t="s">
        <v>2430</v>
      </c>
      <c r="D26" t="s">
        <v>2431</v>
      </c>
      <c r="E26" t="s">
        <v>2650</v>
      </c>
    </row>
    <row r="27" spans="1:5" x14ac:dyDescent="0.25">
      <c r="A27" s="1">
        <v>25</v>
      </c>
      <c r="B27" t="s">
        <v>2432</v>
      </c>
      <c r="C27" t="s">
        <v>2433</v>
      </c>
      <c r="D27" t="s">
        <v>2434</v>
      </c>
      <c r="E27" t="s">
        <v>2651</v>
      </c>
    </row>
    <row r="28" spans="1:5" x14ac:dyDescent="0.25">
      <c r="A28" s="1">
        <v>26</v>
      </c>
      <c r="B28" t="s">
        <v>2435</v>
      </c>
      <c r="C28" t="s">
        <v>2436</v>
      </c>
      <c r="D28" t="s">
        <v>2437</v>
      </c>
      <c r="E28" t="s">
        <v>2652</v>
      </c>
    </row>
    <row r="29" spans="1:5" x14ac:dyDescent="0.25">
      <c r="A29" s="1">
        <v>27</v>
      </c>
      <c r="B29" t="s">
        <v>2438</v>
      </c>
      <c r="C29" t="s">
        <v>2439</v>
      </c>
      <c r="D29" t="s">
        <v>2440</v>
      </c>
      <c r="E29" t="s">
        <v>2653</v>
      </c>
    </row>
    <row r="30" spans="1:5" x14ac:dyDescent="0.25">
      <c r="A30" s="1">
        <v>28</v>
      </c>
      <c r="B30" t="s">
        <v>2441</v>
      </c>
      <c r="C30" t="s">
        <v>2442</v>
      </c>
      <c r="D30" t="s">
        <v>2443</v>
      </c>
      <c r="E30" t="s">
        <v>2654</v>
      </c>
    </row>
    <row r="31" spans="1:5" x14ac:dyDescent="0.25">
      <c r="A31" s="1">
        <v>29</v>
      </c>
      <c r="B31" t="s">
        <v>2444</v>
      </c>
      <c r="C31" t="s">
        <v>2445</v>
      </c>
      <c r="D31" t="s">
        <v>2446</v>
      </c>
      <c r="E31" t="s">
        <v>2655</v>
      </c>
    </row>
    <row r="32" spans="1:5" x14ac:dyDescent="0.25">
      <c r="A32" s="1">
        <v>30</v>
      </c>
      <c r="B32" t="s">
        <v>2447</v>
      </c>
      <c r="C32" t="s">
        <v>2448</v>
      </c>
      <c r="D32" t="s">
        <v>2449</v>
      </c>
      <c r="E32" t="s">
        <v>2656</v>
      </c>
    </row>
    <row r="33" spans="1:5" x14ac:dyDescent="0.25">
      <c r="A33" s="1">
        <f>A3</f>
        <v>1</v>
      </c>
      <c r="B33" t="s">
        <v>2450</v>
      </c>
      <c r="C33" t="s">
        <v>2451</v>
      </c>
      <c r="D33" t="s">
        <v>2452</v>
      </c>
      <c r="E33" t="s">
        <v>2657</v>
      </c>
    </row>
    <row r="34" spans="1:5" x14ac:dyDescent="0.25">
      <c r="A34" s="1">
        <f t="shared" ref="A34:A74" si="0">A4</f>
        <v>2</v>
      </c>
      <c r="B34" t="s">
        <v>2453</v>
      </c>
      <c r="C34" t="s">
        <v>2454</v>
      </c>
      <c r="D34" t="s">
        <v>2455</v>
      </c>
      <c r="E34" t="s">
        <v>2658</v>
      </c>
    </row>
    <row r="35" spans="1:5" x14ac:dyDescent="0.25">
      <c r="A35" s="1">
        <f t="shared" si="0"/>
        <v>3</v>
      </c>
      <c r="B35" t="s">
        <v>2456</v>
      </c>
      <c r="C35" t="s">
        <v>2457</v>
      </c>
      <c r="D35" t="s">
        <v>2458</v>
      </c>
      <c r="E35" t="s">
        <v>2659</v>
      </c>
    </row>
    <row r="36" spans="1:5" x14ac:dyDescent="0.25">
      <c r="A36" s="1">
        <f t="shared" si="0"/>
        <v>4</v>
      </c>
      <c r="B36" t="s">
        <v>2459</v>
      </c>
      <c r="C36" t="s">
        <v>2460</v>
      </c>
      <c r="D36" t="s">
        <v>2461</v>
      </c>
      <c r="E36" t="s">
        <v>2660</v>
      </c>
    </row>
    <row r="37" spans="1:5" x14ac:dyDescent="0.25">
      <c r="A37" s="1">
        <f t="shared" si="0"/>
        <v>5</v>
      </c>
      <c r="B37" t="s">
        <v>2462</v>
      </c>
      <c r="C37" t="s">
        <v>2463</v>
      </c>
      <c r="D37" t="s">
        <v>2464</v>
      </c>
      <c r="E37" t="s">
        <v>2661</v>
      </c>
    </row>
    <row r="38" spans="1:5" x14ac:dyDescent="0.25">
      <c r="A38" s="1">
        <f t="shared" si="0"/>
        <v>6</v>
      </c>
      <c r="B38" t="s">
        <v>2465</v>
      </c>
      <c r="C38" t="s">
        <v>2466</v>
      </c>
      <c r="D38" t="s">
        <v>2467</v>
      </c>
      <c r="E38" t="s">
        <v>2662</v>
      </c>
    </row>
    <row r="39" spans="1:5" x14ac:dyDescent="0.25">
      <c r="A39" s="1">
        <f t="shared" si="0"/>
        <v>7</v>
      </c>
      <c r="B39" t="s">
        <v>2468</v>
      </c>
      <c r="C39" t="s">
        <v>2469</v>
      </c>
      <c r="D39" t="s">
        <v>2470</v>
      </c>
      <c r="E39" t="s">
        <v>2663</v>
      </c>
    </row>
    <row r="40" spans="1:5" x14ac:dyDescent="0.25">
      <c r="A40" s="1">
        <f t="shared" si="0"/>
        <v>8</v>
      </c>
      <c r="B40" t="s">
        <v>2471</v>
      </c>
      <c r="C40" t="s">
        <v>2472</v>
      </c>
      <c r="D40" t="s">
        <v>2473</v>
      </c>
      <c r="E40" t="s">
        <v>2664</v>
      </c>
    </row>
    <row r="41" spans="1:5" x14ac:dyDescent="0.25">
      <c r="A41" s="1">
        <f t="shared" si="0"/>
        <v>9</v>
      </c>
      <c r="B41" t="s">
        <v>2474</v>
      </c>
      <c r="C41" t="s">
        <v>2475</v>
      </c>
      <c r="D41" t="s">
        <v>2476</v>
      </c>
      <c r="E41" t="s">
        <v>2665</v>
      </c>
    </row>
    <row r="42" spans="1:5" x14ac:dyDescent="0.25">
      <c r="A42" s="1">
        <f t="shared" si="0"/>
        <v>10</v>
      </c>
      <c r="B42" t="s">
        <v>2477</v>
      </c>
      <c r="C42" t="s">
        <v>2478</v>
      </c>
      <c r="D42" t="s">
        <v>2479</v>
      </c>
      <c r="E42" t="s">
        <v>2666</v>
      </c>
    </row>
    <row r="43" spans="1:5" x14ac:dyDescent="0.25">
      <c r="A43" s="1">
        <f t="shared" si="0"/>
        <v>11</v>
      </c>
      <c r="B43" t="s">
        <v>2480</v>
      </c>
      <c r="C43" t="s">
        <v>2481</v>
      </c>
      <c r="D43" t="s">
        <v>2482</v>
      </c>
      <c r="E43" t="s">
        <v>2667</v>
      </c>
    </row>
    <row r="44" spans="1:5" x14ac:dyDescent="0.25">
      <c r="A44" s="1">
        <f t="shared" si="0"/>
        <v>12</v>
      </c>
      <c r="B44" t="s">
        <v>2483</v>
      </c>
      <c r="C44" t="s">
        <v>2484</v>
      </c>
      <c r="D44" t="s">
        <v>2485</v>
      </c>
      <c r="E44" t="s">
        <v>2668</v>
      </c>
    </row>
    <row r="45" spans="1:5" x14ac:dyDescent="0.25">
      <c r="A45" s="1">
        <f t="shared" si="0"/>
        <v>13</v>
      </c>
      <c r="B45" t="s">
        <v>2486</v>
      </c>
      <c r="C45" t="s">
        <v>2487</v>
      </c>
      <c r="D45" t="s">
        <v>2488</v>
      </c>
      <c r="E45" t="s">
        <v>2669</v>
      </c>
    </row>
    <row r="46" spans="1:5" x14ac:dyDescent="0.25">
      <c r="A46" s="1">
        <f t="shared" si="0"/>
        <v>14</v>
      </c>
      <c r="B46" t="s">
        <v>2489</v>
      </c>
      <c r="C46" t="s">
        <v>2490</v>
      </c>
      <c r="D46" t="s">
        <v>2491</v>
      </c>
      <c r="E46" t="s">
        <v>2670</v>
      </c>
    </row>
    <row r="47" spans="1:5" x14ac:dyDescent="0.25">
      <c r="A47" s="1">
        <f t="shared" si="0"/>
        <v>15</v>
      </c>
      <c r="B47" t="s">
        <v>2492</v>
      </c>
      <c r="C47" t="s">
        <v>2493</v>
      </c>
      <c r="D47" t="s">
        <v>2494</v>
      </c>
      <c r="E47" t="s">
        <v>2671</v>
      </c>
    </row>
    <row r="48" spans="1:5" x14ac:dyDescent="0.25">
      <c r="A48" s="1">
        <f t="shared" si="0"/>
        <v>16</v>
      </c>
      <c r="B48" t="s">
        <v>2495</v>
      </c>
      <c r="C48" t="s">
        <v>2496</v>
      </c>
      <c r="D48" t="s">
        <v>2497</v>
      </c>
      <c r="E48" t="s">
        <v>2672</v>
      </c>
    </row>
    <row r="49" spans="1:5" x14ac:dyDescent="0.25">
      <c r="A49" s="1">
        <f t="shared" si="0"/>
        <v>17</v>
      </c>
      <c r="B49" t="s">
        <v>2498</v>
      </c>
      <c r="C49" t="s">
        <v>2499</v>
      </c>
      <c r="D49" t="s">
        <v>2500</v>
      </c>
      <c r="E49" t="s">
        <v>2673</v>
      </c>
    </row>
    <row r="50" spans="1:5" x14ac:dyDescent="0.25">
      <c r="A50" s="1">
        <f t="shared" si="0"/>
        <v>18</v>
      </c>
      <c r="B50" t="s">
        <v>2501</v>
      </c>
      <c r="C50" t="s">
        <v>2502</v>
      </c>
      <c r="D50" t="s">
        <v>2503</v>
      </c>
      <c r="E50" t="s">
        <v>2674</v>
      </c>
    </row>
    <row r="51" spans="1:5" x14ac:dyDescent="0.25">
      <c r="A51" s="1">
        <f t="shared" si="0"/>
        <v>19</v>
      </c>
      <c r="B51" t="s">
        <v>2504</v>
      </c>
      <c r="C51" t="s">
        <v>2505</v>
      </c>
      <c r="D51" t="s">
        <v>2506</v>
      </c>
      <c r="E51" t="s">
        <v>2675</v>
      </c>
    </row>
    <row r="52" spans="1:5" x14ac:dyDescent="0.25">
      <c r="A52" s="1">
        <f t="shared" si="0"/>
        <v>20</v>
      </c>
      <c r="B52" t="s">
        <v>2507</v>
      </c>
      <c r="C52" t="s">
        <v>2508</v>
      </c>
      <c r="D52" t="s">
        <v>2509</v>
      </c>
      <c r="E52" t="s">
        <v>2676</v>
      </c>
    </row>
    <row r="53" spans="1:5" x14ac:dyDescent="0.25">
      <c r="A53" s="1">
        <f t="shared" si="0"/>
        <v>21</v>
      </c>
      <c r="B53" t="s">
        <v>2510</v>
      </c>
      <c r="C53" t="s">
        <v>2511</v>
      </c>
      <c r="D53" t="s">
        <v>2512</v>
      </c>
      <c r="E53" t="s">
        <v>2677</v>
      </c>
    </row>
    <row r="54" spans="1:5" x14ac:dyDescent="0.25">
      <c r="A54" s="1">
        <f t="shared" si="0"/>
        <v>22</v>
      </c>
      <c r="B54" t="s">
        <v>2513</v>
      </c>
      <c r="C54" t="s">
        <v>2514</v>
      </c>
      <c r="D54" t="s">
        <v>2515</v>
      </c>
      <c r="E54" t="s">
        <v>2678</v>
      </c>
    </row>
    <row r="55" spans="1:5" x14ac:dyDescent="0.25">
      <c r="A55" s="1">
        <f t="shared" si="0"/>
        <v>23</v>
      </c>
      <c r="B55" t="s">
        <v>2516</v>
      </c>
      <c r="C55" t="s">
        <v>2517</v>
      </c>
      <c r="D55" t="s">
        <v>2518</v>
      </c>
      <c r="E55" t="s">
        <v>2679</v>
      </c>
    </row>
    <row r="56" spans="1:5" x14ac:dyDescent="0.25">
      <c r="A56" s="1">
        <f t="shared" si="0"/>
        <v>24</v>
      </c>
      <c r="B56" t="s">
        <v>2519</v>
      </c>
      <c r="C56" t="s">
        <v>2520</v>
      </c>
      <c r="D56" t="s">
        <v>2521</v>
      </c>
      <c r="E56" t="s">
        <v>2680</v>
      </c>
    </row>
    <row r="57" spans="1:5" x14ac:dyDescent="0.25">
      <c r="A57" s="1">
        <f t="shared" si="0"/>
        <v>25</v>
      </c>
      <c r="B57" t="s">
        <v>2522</v>
      </c>
      <c r="C57" t="s">
        <v>2523</v>
      </c>
      <c r="D57" t="s">
        <v>2524</v>
      </c>
      <c r="E57" t="s">
        <v>2681</v>
      </c>
    </row>
    <row r="58" spans="1:5" x14ac:dyDescent="0.25">
      <c r="A58" s="1">
        <f t="shared" si="0"/>
        <v>26</v>
      </c>
      <c r="B58" t="s">
        <v>2525</v>
      </c>
      <c r="C58" t="s">
        <v>2526</v>
      </c>
      <c r="D58" t="s">
        <v>2527</v>
      </c>
      <c r="E58" t="s">
        <v>2682</v>
      </c>
    </row>
    <row r="59" spans="1:5" x14ac:dyDescent="0.25">
      <c r="A59" s="1">
        <f t="shared" si="0"/>
        <v>27</v>
      </c>
      <c r="B59" t="s">
        <v>2528</v>
      </c>
      <c r="C59" t="s">
        <v>2529</v>
      </c>
      <c r="D59" t="s">
        <v>2530</v>
      </c>
      <c r="E59" t="s">
        <v>2683</v>
      </c>
    </row>
    <row r="60" spans="1:5" x14ac:dyDescent="0.25">
      <c r="A60" s="1">
        <f t="shared" si="0"/>
        <v>28</v>
      </c>
      <c r="B60" t="s">
        <v>2531</v>
      </c>
      <c r="C60" t="s">
        <v>2532</v>
      </c>
      <c r="D60" t="s">
        <v>2533</v>
      </c>
      <c r="E60" t="s">
        <v>2684</v>
      </c>
    </row>
    <row r="61" spans="1:5" x14ac:dyDescent="0.25">
      <c r="A61" s="1">
        <f t="shared" si="0"/>
        <v>29</v>
      </c>
      <c r="B61" t="s">
        <v>2534</v>
      </c>
      <c r="C61" t="s">
        <v>2535</v>
      </c>
      <c r="D61" t="s">
        <v>2536</v>
      </c>
      <c r="E61" t="s">
        <v>2685</v>
      </c>
    </row>
    <row r="62" spans="1:5" x14ac:dyDescent="0.25">
      <c r="A62" s="1">
        <f t="shared" si="0"/>
        <v>30</v>
      </c>
      <c r="B62" t="s">
        <v>2537</v>
      </c>
      <c r="C62" t="s">
        <v>2538</v>
      </c>
      <c r="D62" t="s">
        <v>2539</v>
      </c>
      <c r="E62" t="s">
        <v>2686</v>
      </c>
    </row>
    <row r="63" spans="1:5" x14ac:dyDescent="0.25">
      <c r="A63" s="1">
        <f t="shared" si="0"/>
        <v>1</v>
      </c>
      <c r="B63" t="s">
        <v>2540</v>
      </c>
      <c r="C63" t="s">
        <v>2541</v>
      </c>
      <c r="D63" t="s">
        <v>2542</v>
      </c>
      <c r="E63" t="s">
        <v>2687</v>
      </c>
    </row>
    <row r="64" spans="1:5" x14ac:dyDescent="0.25">
      <c r="A64" s="1">
        <f t="shared" si="0"/>
        <v>2</v>
      </c>
      <c r="B64" t="s">
        <v>2543</v>
      </c>
      <c r="C64" t="s">
        <v>2544</v>
      </c>
      <c r="D64" t="s">
        <v>2545</v>
      </c>
      <c r="E64" t="s">
        <v>2688</v>
      </c>
    </row>
    <row r="65" spans="1:5" x14ac:dyDescent="0.25">
      <c r="A65" s="1">
        <f t="shared" si="0"/>
        <v>3</v>
      </c>
      <c r="B65" t="s">
        <v>2546</v>
      </c>
      <c r="C65" t="s">
        <v>2547</v>
      </c>
      <c r="D65" t="s">
        <v>2548</v>
      </c>
      <c r="E65" t="s">
        <v>2689</v>
      </c>
    </row>
    <row r="66" spans="1:5" x14ac:dyDescent="0.25">
      <c r="A66" s="1">
        <f t="shared" si="0"/>
        <v>4</v>
      </c>
      <c r="B66" t="s">
        <v>2549</v>
      </c>
      <c r="C66" t="s">
        <v>2550</v>
      </c>
      <c r="D66" t="s">
        <v>2551</v>
      </c>
      <c r="E66" t="s">
        <v>2690</v>
      </c>
    </row>
    <row r="67" spans="1:5" x14ac:dyDescent="0.25">
      <c r="A67" s="1">
        <f t="shared" si="0"/>
        <v>5</v>
      </c>
      <c r="B67" t="s">
        <v>2552</v>
      </c>
      <c r="C67" t="s">
        <v>2553</v>
      </c>
      <c r="D67" t="s">
        <v>2554</v>
      </c>
      <c r="E67" t="s">
        <v>2691</v>
      </c>
    </row>
    <row r="68" spans="1:5" x14ac:dyDescent="0.25">
      <c r="A68" s="1">
        <f t="shared" si="0"/>
        <v>6</v>
      </c>
      <c r="B68" t="s">
        <v>2555</v>
      </c>
      <c r="C68" t="s">
        <v>2556</v>
      </c>
      <c r="D68" t="s">
        <v>2557</v>
      </c>
      <c r="E68" t="s">
        <v>2692</v>
      </c>
    </row>
    <row r="69" spans="1:5" x14ac:dyDescent="0.25">
      <c r="A69" s="1">
        <f t="shared" si="0"/>
        <v>7</v>
      </c>
      <c r="B69" t="s">
        <v>2558</v>
      </c>
      <c r="C69" t="s">
        <v>2559</v>
      </c>
      <c r="D69" t="s">
        <v>2560</v>
      </c>
      <c r="E69" t="s">
        <v>2693</v>
      </c>
    </row>
    <row r="70" spans="1:5" x14ac:dyDescent="0.25">
      <c r="A70" s="1">
        <f t="shared" si="0"/>
        <v>8</v>
      </c>
      <c r="B70" t="s">
        <v>2561</v>
      </c>
      <c r="C70" t="s">
        <v>2562</v>
      </c>
      <c r="D70" t="s">
        <v>2563</v>
      </c>
      <c r="E70" t="s">
        <v>2694</v>
      </c>
    </row>
    <row r="71" spans="1:5" x14ac:dyDescent="0.25">
      <c r="A71" s="1">
        <f t="shared" si="0"/>
        <v>9</v>
      </c>
      <c r="B71" t="s">
        <v>2564</v>
      </c>
      <c r="C71" t="s">
        <v>2565</v>
      </c>
      <c r="D71" t="s">
        <v>2566</v>
      </c>
      <c r="E71" t="s">
        <v>2695</v>
      </c>
    </row>
    <row r="72" spans="1:5" x14ac:dyDescent="0.25">
      <c r="A72" s="1">
        <f t="shared" si="0"/>
        <v>10</v>
      </c>
      <c r="B72" t="s">
        <v>2567</v>
      </c>
      <c r="C72" t="s">
        <v>2568</v>
      </c>
      <c r="D72" t="s">
        <v>2569</v>
      </c>
      <c r="E72" t="s">
        <v>2696</v>
      </c>
    </row>
    <row r="73" spans="1:5" x14ac:dyDescent="0.25">
      <c r="A73" s="1">
        <f t="shared" si="0"/>
        <v>11</v>
      </c>
      <c r="B73" t="s">
        <v>2570</v>
      </c>
      <c r="C73" t="s">
        <v>2571</v>
      </c>
      <c r="D73" t="s">
        <v>2572</v>
      </c>
      <c r="E73" t="s">
        <v>2697</v>
      </c>
    </row>
    <row r="74" spans="1:5" x14ac:dyDescent="0.25">
      <c r="A74" s="1">
        <f t="shared" si="0"/>
        <v>12</v>
      </c>
      <c r="B74" t="s">
        <v>2573</v>
      </c>
      <c r="C74" t="s">
        <v>2574</v>
      </c>
      <c r="D74" t="s">
        <v>2575</v>
      </c>
      <c r="E74" t="s">
        <v>2698</v>
      </c>
    </row>
    <row r="75" spans="1:5" x14ac:dyDescent="0.25">
      <c r="A75" s="1">
        <f>A46</f>
        <v>14</v>
      </c>
      <c r="B75" t="s">
        <v>2576</v>
      </c>
      <c r="C75" t="s">
        <v>2577</v>
      </c>
      <c r="D75" t="s">
        <v>2578</v>
      </c>
      <c r="E75" t="s">
        <v>2699</v>
      </c>
    </row>
    <row r="76" spans="1:5" x14ac:dyDescent="0.25">
      <c r="A76" s="1">
        <f>A47</f>
        <v>15</v>
      </c>
      <c r="B76" t="s">
        <v>2579</v>
      </c>
      <c r="C76" t="s">
        <v>2580</v>
      </c>
      <c r="D76" t="s">
        <v>2581</v>
      </c>
      <c r="E76" t="s">
        <v>2700</v>
      </c>
    </row>
    <row r="77" spans="1:5" x14ac:dyDescent="0.25">
      <c r="A77" s="1">
        <f>A48</f>
        <v>16</v>
      </c>
      <c r="B77" t="s">
        <v>2582</v>
      </c>
      <c r="C77" t="s">
        <v>2583</v>
      </c>
      <c r="D77" t="s">
        <v>2584</v>
      </c>
      <c r="E77" t="s">
        <v>2701</v>
      </c>
    </row>
    <row r="78" spans="1:5" x14ac:dyDescent="0.25">
      <c r="A78" s="1">
        <f>A49</f>
        <v>17</v>
      </c>
      <c r="B78" t="s">
        <v>2585</v>
      </c>
      <c r="C78" t="s">
        <v>2586</v>
      </c>
      <c r="D78" t="s">
        <v>2587</v>
      </c>
      <c r="E78" t="s">
        <v>2702</v>
      </c>
    </row>
    <row r="79" spans="1:5" x14ac:dyDescent="0.25">
      <c r="A79" s="1">
        <f>A50</f>
        <v>18</v>
      </c>
      <c r="B79" t="s">
        <v>2588</v>
      </c>
      <c r="C79" t="s">
        <v>2589</v>
      </c>
      <c r="D79" t="s">
        <v>2590</v>
      </c>
      <c r="E79" t="s">
        <v>2703</v>
      </c>
    </row>
    <row r="80" spans="1:5" x14ac:dyDescent="0.25">
      <c r="A80" s="1">
        <f>A51</f>
        <v>19</v>
      </c>
      <c r="B80" t="s">
        <v>2591</v>
      </c>
      <c r="C80" t="s">
        <v>2592</v>
      </c>
      <c r="D80" t="s">
        <v>2593</v>
      </c>
      <c r="E80" t="s">
        <v>2704</v>
      </c>
    </row>
    <row r="81" spans="1:5" x14ac:dyDescent="0.25">
      <c r="A81" s="1">
        <f>A52</f>
        <v>20</v>
      </c>
      <c r="B81" t="s">
        <v>2594</v>
      </c>
      <c r="C81" t="s">
        <v>2595</v>
      </c>
      <c r="D81" t="s">
        <v>2596</v>
      </c>
      <c r="E81" t="s">
        <v>2705</v>
      </c>
    </row>
    <row r="82" spans="1:5" x14ac:dyDescent="0.25">
      <c r="A82" s="1">
        <f>A53</f>
        <v>21</v>
      </c>
      <c r="B82" t="s">
        <v>2597</v>
      </c>
      <c r="C82" t="s">
        <v>2598</v>
      </c>
      <c r="D82" t="s">
        <v>2599</v>
      </c>
      <c r="E82" t="s">
        <v>2706</v>
      </c>
    </row>
    <row r="83" spans="1:5" x14ac:dyDescent="0.25">
      <c r="A83" s="1">
        <f>A54</f>
        <v>22</v>
      </c>
      <c r="B83" t="s">
        <v>2600</v>
      </c>
      <c r="C83" t="s">
        <v>2601</v>
      </c>
      <c r="D83" t="s">
        <v>2602</v>
      </c>
      <c r="E83" t="s">
        <v>2707</v>
      </c>
    </row>
    <row r="84" spans="1:5" x14ac:dyDescent="0.25">
      <c r="A84" s="1">
        <f>A55</f>
        <v>23</v>
      </c>
      <c r="B84" t="s">
        <v>2603</v>
      </c>
      <c r="C84" t="s">
        <v>2604</v>
      </c>
      <c r="D84" t="s">
        <v>2605</v>
      </c>
      <c r="E84" t="s">
        <v>2708</v>
      </c>
    </row>
    <row r="85" spans="1:5" x14ac:dyDescent="0.25">
      <c r="A85" s="1">
        <f>A56</f>
        <v>24</v>
      </c>
      <c r="B85" t="s">
        <v>2606</v>
      </c>
      <c r="C85" t="s">
        <v>2607</v>
      </c>
      <c r="D85" t="s">
        <v>2608</v>
      </c>
      <c r="E85" t="s">
        <v>2709</v>
      </c>
    </row>
    <row r="86" spans="1:5" x14ac:dyDescent="0.25">
      <c r="A86" s="1">
        <f>A57</f>
        <v>25</v>
      </c>
      <c r="B86" t="s">
        <v>2609</v>
      </c>
      <c r="C86" t="s">
        <v>2610</v>
      </c>
      <c r="D86" t="s">
        <v>2611</v>
      </c>
      <c r="E86" t="s">
        <v>2710</v>
      </c>
    </row>
    <row r="87" spans="1:5" x14ac:dyDescent="0.25">
      <c r="A87" s="1">
        <f>A58</f>
        <v>26</v>
      </c>
      <c r="B87" t="s">
        <v>2612</v>
      </c>
      <c r="C87" t="s">
        <v>2613</v>
      </c>
      <c r="D87" t="s">
        <v>2614</v>
      </c>
      <c r="E87" t="s">
        <v>2711</v>
      </c>
    </row>
    <row r="88" spans="1:5" x14ac:dyDescent="0.25">
      <c r="A88" s="1">
        <f>A59</f>
        <v>27</v>
      </c>
      <c r="B88" t="s">
        <v>2615</v>
      </c>
      <c r="C88" t="s">
        <v>2616</v>
      </c>
      <c r="D88" t="s">
        <v>2617</v>
      </c>
      <c r="E88" t="s">
        <v>2712</v>
      </c>
    </row>
    <row r="89" spans="1:5" x14ac:dyDescent="0.25">
      <c r="A89" s="1">
        <f>A60</f>
        <v>28</v>
      </c>
      <c r="B89" t="s">
        <v>2618</v>
      </c>
      <c r="C89" t="s">
        <v>2619</v>
      </c>
      <c r="D89" t="s">
        <v>2620</v>
      </c>
      <c r="E89" t="s">
        <v>2713</v>
      </c>
    </row>
    <row r="90" spans="1:5" x14ac:dyDescent="0.25">
      <c r="A90" s="1">
        <f>A61</f>
        <v>29</v>
      </c>
      <c r="B90" t="s">
        <v>2621</v>
      </c>
      <c r="C90" t="s">
        <v>2622</v>
      </c>
      <c r="D90" t="s">
        <v>2623</v>
      </c>
      <c r="E90" t="s">
        <v>2714</v>
      </c>
    </row>
    <row r="91" spans="1:5" x14ac:dyDescent="0.25">
      <c r="A91" s="1">
        <f>A62</f>
        <v>30</v>
      </c>
      <c r="B91" t="s">
        <v>2624</v>
      </c>
      <c r="C91" t="s">
        <v>2625</v>
      </c>
      <c r="D91" t="s">
        <v>2626</v>
      </c>
      <c r="E91" t="s">
        <v>2715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أوراق العمل</vt:lpstr>
      </vt:variant>
      <vt:variant>
        <vt:i4>16</vt:i4>
      </vt:variant>
    </vt:vector>
  </HeadingPairs>
  <TitlesOfParts>
    <vt:vector size="16" baseType="lpstr">
      <vt:lpstr>الكلية</vt:lpstr>
      <vt:lpstr>المعطيات</vt:lpstr>
      <vt:lpstr>النتيجة</vt:lpstr>
      <vt:lpstr>النتتيج2</vt:lpstr>
      <vt:lpstr>النتتيج2 (2)</vt:lpstr>
      <vt:lpstr>ورقة2</vt:lpstr>
      <vt:lpstr>النتتيج2 (3)</vt:lpstr>
      <vt:lpstr>اختصار الروابط</vt:lpstr>
      <vt:lpstr>ورقة3</vt:lpstr>
      <vt:lpstr>1</vt:lpstr>
      <vt:lpstr>3</vt:lpstr>
      <vt:lpstr>5</vt:lpstr>
      <vt:lpstr>6</vt:lpstr>
      <vt:lpstr>ورقة1</vt:lpstr>
      <vt:lpstr>ورقة4</vt:lpstr>
      <vt:lpstr>ورقة5</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attallah</dc:creator>
  <cp:lastModifiedBy>guehiri</cp:lastModifiedBy>
  <dcterms:created xsi:type="dcterms:W3CDTF">2022-03-04T08:47:16Z</dcterms:created>
  <dcterms:modified xsi:type="dcterms:W3CDTF">2024-03-18T17:28:56Z</dcterms:modified>
</cp:coreProperties>
</file>